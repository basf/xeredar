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6.xml" ContentType="application/vnd.openxmlformats-officedocument.drawingml.chartshapes+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3.xml" ContentType="application/vnd.openxmlformats-officedocument.spreadsheetml.chartsheet+xml"/>
  <Override PartName="/xl/worksheets/sheet10.xml" ContentType="application/vnd.openxmlformats-officedocument.spreadsheetml.worksheet+xml"/>
  <Override PartName="/xl/chartsheets/sheet4.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tables/table5.xml" ContentType="application/vnd.openxmlformats-officedocument.spreadsheetml.table+xml"/>
  <Override PartName="/docProps/app.xml" ContentType="application/vnd.openxmlformats-officedocument.extended-properties+xml"/>
  <Override PartName="/xl/comments1.xml" ContentType="application/vnd.openxmlformats-officedocument.spreadsheetml.comments+xml"/>
  <Override PartName="/xl/tables/table7.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filterPrivacy="1" hidePivotFieldList="1" defaultThemeVersion="124226"/>
  <xr:revisionPtr revIDLastSave="0" documentId="13_ncr:1_{66F15A0B-B537-421F-8322-ECB6DF97E50D}" xr6:coauthVersionLast="47" xr6:coauthVersionMax="47" xr10:uidLastSave="{00000000-0000-0000-0000-000000000000}"/>
  <bookViews>
    <workbookView xWindow="-120" yWindow="-120" windowWidth="29040" windowHeight="15840" firstSheet="5" activeTab="13" xr2:uid="{00000000-000D-0000-FFFF-FFFF00000000}"/>
  </bookViews>
  <sheets>
    <sheet name="Page de garde" sheetId="10" r:id="rId1"/>
    <sheet name="Feuil1" sheetId="39" r:id="rId2"/>
    <sheet name="Feuil2" sheetId="40" r:id="rId3"/>
    <sheet name="Raw data R1" sheetId="35" r:id="rId4"/>
    <sheet name="R1" sheetId="1" r:id="rId5"/>
    <sheet name="Graph R1" sheetId="8" r:id="rId6"/>
    <sheet name="Raw data R2" sheetId="36" r:id="rId7"/>
    <sheet name="R2" sheetId="23" r:id="rId8"/>
    <sheet name="Graph R2" sheetId="19" r:id="rId9"/>
    <sheet name="Raw data R3" sheetId="37" r:id="rId10"/>
    <sheet name="R3" sheetId="33" r:id="rId11"/>
    <sheet name="Graph R3" sheetId="34" r:id="rId12"/>
    <sheet name="pooled normalised values" sheetId="4" r:id="rId13"/>
    <sheet name="pooled normalised graphe" sheetId="5" r:id="rId14"/>
    <sheet name="summary results" sheetId="22" r:id="rId15"/>
    <sheet name="Notice" sheetId="38" r:id="rId16"/>
    <sheet name="Graph format rapport CHG" sheetId="12" r:id="rId17"/>
    <sheet name="Graph format rapport CHG 1éch" sheetId="27" r:id="rId18"/>
    <sheet name="Récap" sheetId="28" r:id="rId19"/>
  </sheets>
  <externalReferences>
    <externalReference r:id="rId20"/>
  </externalReferences>
  <definedNames>
    <definedName name="_xlnm.Print_Area" localSheetId="0">'Page de garde'!$A$1:$I$52</definedName>
  </definedNames>
  <calcPr calcId="191029"/>
  <pivotCaches>
    <pivotCache cacheId="0" r:id="rId21"/>
    <pivotCache cacheId="1" r:id="rId22"/>
    <pivotCache cacheId="2" r:id="rId23"/>
    <pivotCache cacheId="3" r:id="rId24"/>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J14" i="1" l="1"/>
  <c r="J15" i="1"/>
  <c r="J16" i="1"/>
  <c r="J17" i="1"/>
  <c r="J18" i="1"/>
  <c r="J19" i="1"/>
  <c r="J20" i="1"/>
  <c r="J6" i="1"/>
  <c r="J7" i="1"/>
  <c r="J8" i="1"/>
  <c r="J9" i="1"/>
  <c r="J10" i="1"/>
  <c r="J11" i="1"/>
  <c r="J12" i="1"/>
  <c r="J5" i="1"/>
  <c r="H6" i="1"/>
  <c r="H7" i="1"/>
  <c r="H8" i="1"/>
  <c r="H9" i="1"/>
  <c r="H10" i="1"/>
  <c r="H11" i="1"/>
  <c r="H12" i="1"/>
  <c r="G6" i="1"/>
  <c r="G7" i="1"/>
  <c r="G8" i="1"/>
  <c r="G9" i="1"/>
  <c r="G10" i="1"/>
  <c r="G11" i="1"/>
  <c r="G12" i="1"/>
  <c r="G5" i="1"/>
  <c r="F6" i="1"/>
  <c r="F7" i="1"/>
  <c r="F8" i="1"/>
  <c r="F9" i="1"/>
  <c r="F10" i="1"/>
  <c r="F11" i="1"/>
  <c r="F12" i="1"/>
  <c r="E6" i="1"/>
  <c r="E7" i="1"/>
  <c r="E8" i="1"/>
  <c r="E9" i="1"/>
  <c r="E10" i="1"/>
  <c r="E11" i="1"/>
  <c r="E12" i="1"/>
  <c r="E5" i="1"/>
  <c r="D6" i="1"/>
  <c r="D7" i="1"/>
  <c r="D8" i="1"/>
  <c r="D9" i="1"/>
  <c r="D11" i="1"/>
  <c r="D12" i="1"/>
  <c r="D5" i="1"/>
  <c r="C6" i="1"/>
  <c r="C7" i="1"/>
  <c r="C8" i="1"/>
  <c r="C9" i="1"/>
  <c r="C10" i="1"/>
  <c r="C11" i="1"/>
  <c r="C12" i="1"/>
  <c r="C5" i="1"/>
  <c r="L6" i="1"/>
  <c r="L9" i="1"/>
  <c r="L10" i="1"/>
  <c r="L11" i="1"/>
  <c r="L12" i="1"/>
  <c r="L5" i="1"/>
  <c r="K6" i="1"/>
  <c r="K7" i="1"/>
  <c r="K8" i="1"/>
  <c r="K9" i="1"/>
  <c r="K11" i="1"/>
  <c r="K12" i="1"/>
  <c r="K5" i="1"/>
  <c r="B12" i="1"/>
  <c r="B6" i="1"/>
  <c r="B7" i="1"/>
  <c r="B8" i="1"/>
  <c r="B9" i="1"/>
  <c r="B10" i="1"/>
  <c r="B11" i="1"/>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7" i="22" s="1"/>
  <c r="A16" i="10"/>
  <c r="A8" i="22" s="1"/>
  <c r="A17" i="10"/>
  <c r="A9" i="22" s="1"/>
  <c r="A18" i="10"/>
  <c r="A10" i="22" s="1"/>
  <c r="A19" i="10"/>
  <c r="A11" i="22" s="1"/>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L43" i="33"/>
  <c r="L53" i="4" s="1"/>
  <c r="K43" i="33"/>
  <c r="K53" i="4" s="1"/>
  <c r="H43" i="33"/>
  <c r="H53" i="4" s="1"/>
  <c r="G43" i="33"/>
  <c r="G53" i="4" s="1"/>
  <c r="F43" i="33"/>
  <c r="F53" i="4" s="1"/>
  <c r="E43" i="33"/>
  <c r="E53" i="4" s="1"/>
  <c r="D43" i="33"/>
  <c r="D53" i="4" s="1"/>
  <c r="C43" i="33"/>
  <c r="C53" i="4" s="1"/>
  <c r="B43" i="33"/>
  <c r="B53" i="4" s="1"/>
  <c r="L42" i="33"/>
  <c r="L52" i="4" s="1"/>
  <c r="K42" i="33"/>
  <c r="K52" i="4" s="1"/>
  <c r="H42" i="33"/>
  <c r="H52" i="4" s="1"/>
  <c r="G42" i="33"/>
  <c r="G52" i="4" s="1"/>
  <c r="F42" i="33"/>
  <c r="F52" i="4" s="1"/>
  <c r="E42" i="33"/>
  <c r="E52" i="4" s="1"/>
  <c r="D42" i="33"/>
  <c r="D52" i="4" s="1"/>
  <c r="C42" i="33"/>
  <c r="C52" i="4" s="1"/>
  <c r="B42" i="33"/>
  <c r="B52" i="4" s="1"/>
  <c r="L41" i="33"/>
  <c r="L51" i="4" s="1"/>
  <c r="K41" i="33"/>
  <c r="K51" i="4" s="1"/>
  <c r="H41" i="33"/>
  <c r="H51" i="4" s="1"/>
  <c r="G41" i="33"/>
  <c r="G51" i="4" s="1"/>
  <c r="F41" i="33"/>
  <c r="F51" i="4" s="1"/>
  <c r="E41" i="33"/>
  <c r="E51" i="4" s="1"/>
  <c r="D41" i="33"/>
  <c r="D51" i="4" s="1"/>
  <c r="C41" i="33"/>
  <c r="C51" i="4" s="1"/>
  <c r="B41" i="33"/>
  <c r="B51" i="4" s="1"/>
  <c r="L40" i="33"/>
  <c r="L50" i="4" s="1"/>
  <c r="K40" i="33"/>
  <c r="K50" i="4" s="1"/>
  <c r="H40" i="33"/>
  <c r="H50" i="4" s="1"/>
  <c r="G40" i="33"/>
  <c r="G50" i="4" s="1"/>
  <c r="F40" i="33"/>
  <c r="F50" i="4" s="1"/>
  <c r="E40" i="33"/>
  <c r="E50" i="4" s="1"/>
  <c r="D40" i="33"/>
  <c r="D50" i="4" s="1"/>
  <c r="C40" i="33"/>
  <c r="C50" i="4" s="1"/>
  <c r="B40" i="33"/>
  <c r="B50" i="4" s="1"/>
  <c r="L39" i="33"/>
  <c r="L49" i="4" s="1"/>
  <c r="K39" i="33"/>
  <c r="K49" i="4" s="1"/>
  <c r="H39" i="33"/>
  <c r="H49" i="4" s="1"/>
  <c r="G39" i="33"/>
  <c r="G49" i="4" s="1"/>
  <c r="F39" i="33"/>
  <c r="F49" i="4" s="1"/>
  <c r="E39" i="33"/>
  <c r="E49" i="4" s="1"/>
  <c r="D39" i="33"/>
  <c r="D49" i="4" s="1"/>
  <c r="C39" i="33"/>
  <c r="C49" i="4" s="1"/>
  <c r="B39" i="33"/>
  <c r="B49" i="4" s="1"/>
  <c r="L38" i="33"/>
  <c r="L48" i="4" s="1"/>
  <c r="K38" i="33"/>
  <c r="K48" i="4" s="1"/>
  <c r="H38" i="33"/>
  <c r="H48" i="4" s="1"/>
  <c r="G38" i="33"/>
  <c r="G48" i="4" s="1"/>
  <c r="F38" i="33"/>
  <c r="F48" i="4" s="1"/>
  <c r="E38" i="33"/>
  <c r="E48" i="4" s="1"/>
  <c r="D38" i="33"/>
  <c r="D48" i="4" s="1"/>
  <c r="C38" i="33"/>
  <c r="C48" i="4" s="1"/>
  <c r="B38" i="33"/>
  <c r="B48" i="4" s="1"/>
  <c r="L37" i="33"/>
  <c r="L47" i="4" s="1"/>
  <c r="K37" i="33"/>
  <c r="K47" i="4" s="1"/>
  <c r="H37" i="33"/>
  <c r="H47" i="4" s="1"/>
  <c r="G37" i="33"/>
  <c r="G47" i="4" s="1"/>
  <c r="F37" i="33"/>
  <c r="F47" i="4" s="1"/>
  <c r="E37" i="33"/>
  <c r="E47" i="4" s="1"/>
  <c r="D37" i="33"/>
  <c r="D47" i="4" s="1"/>
  <c r="C37" i="33"/>
  <c r="C47" i="4" s="1"/>
  <c r="B37" i="33"/>
  <c r="B47" i="4" s="1"/>
  <c r="L36" i="33"/>
  <c r="L46" i="4" s="1"/>
  <c r="K36" i="33"/>
  <c r="K46" i="4" s="1"/>
  <c r="J36" i="33"/>
  <c r="J46" i="4" s="1"/>
  <c r="H36" i="33"/>
  <c r="H46" i="4" s="1"/>
  <c r="G36" i="33"/>
  <c r="G46" i="4" s="1"/>
  <c r="F36" i="33"/>
  <c r="F46" i="4" s="1"/>
  <c r="E36" i="33"/>
  <c r="E46" i="4" s="1"/>
  <c r="D36" i="33"/>
  <c r="D46" i="4" s="1"/>
  <c r="C36" i="33"/>
  <c r="C46" i="4" s="1"/>
  <c r="B36" i="33"/>
  <c r="B46" i="4" s="1"/>
  <c r="E34" i="33"/>
  <c r="E44" i="4" s="1"/>
  <c r="D33" i="33"/>
  <c r="D43" i="4" s="1"/>
  <c r="L24" i="33"/>
  <c r="K24" i="33"/>
  <c r="J24" i="33"/>
  <c r="H24" i="33"/>
  <c r="G24" i="33"/>
  <c r="F24" i="33"/>
  <c r="E24" i="33"/>
  <c r="D24" i="33"/>
  <c r="C24" i="33"/>
  <c r="B24" i="33"/>
  <c r="L23" i="33"/>
  <c r="K23" i="33"/>
  <c r="J23" i="33"/>
  <c r="B28" i="33" s="1"/>
  <c r="H23" i="33"/>
  <c r="G23" i="33"/>
  <c r="F23" i="33"/>
  <c r="E23" i="33"/>
  <c r="D23" i="33"/>
  <c r="C23" i="33"/>
  <c r="B23" i="33"/>
  <c r="A22" i="33"/>
  <c r="H22" i="33"/>
  <c r="G45" i="33"/>
  <c r="F27" i="33"/>
  <c r="F52" i="33" s="1"/>
  <c r="E45" i="33"/>
  <c r="D22" i="33"/>
  <c r="C45" i="33"/>
  <c r="B45" i="33"/>
  <c r="L28" i="33" l="1"/>
  <c r="L30" i="33"/>
  <c r="L40" i="4" s="1"/>
  <c r="L32" i="33"/>
  <c r="L42" i="4" s="1"/>
  <c r="L35" i="33"/>
  <c r="L45" i="4" s="1"/>
  <c r="K29" i="33"/>
  <c r="K39" i="4" s="1"/>
  <c r="K31" i="33"/>
  <c r="K41" i="4" s="1"/>
  <c r="K34" i="33"/>
  <c r="K44" i="4" s="1"/>
  <c r="L29" i="33"/>
  <c r="L39" i="4" s="1"/>
  <c r="L31" i="33"/>
  <c r="L41" i="4" s="1"/>
  <c r="K33" i="33"/>
  <c r="K43" i="4" s="1"/>
  <c r="L34" i="33"/>
  <c r="L44" i="4" s="1"/>
  <c r="K28" i="33"/>
  <c r="K30" i="33"/>
  <c r="K40" i="4" s="1"/>
  <c r="K32" i="33"/>
  <c r="K42" i="4" s="1"/>
  <c r="L33" i="33"/>
  <c r="L43" i="4" s="1"/>
  <c r="K35" i="33"/>
  <c r="K45" i="4" s="1"/>
  <c r="J37" i="33"/>
  <c r="J47" i="4" s="1"/>
  <c r="J38" i="33"/>
  <c r="J48" i="4" s="1"/>
  <c r="J39" i="33"/>
  <c r="J49" i="4" s="1"/>
  <c r="J40" i="33"/>
  <c r="J50" i="4" s="1"/>
  <c r="J41" i="33"/>
  <c r="J51" i="4" s="1"/>
  <c r="J42" i="33"/>
  <c r="J52" i="4" s="1"/>
  <c r="J43" i="33"/>
  <c r="J53" i="4" s="1"/>
  <c r="J29" i="33"/>
  <c r="J39" i="4" s="1"/>
  <c r="J35" i="33"/>
  <c r="J45" i="4" s="1"/>
  <c r="J30" i="33"/>
  <c r="J40" i="4" s="1"/>
  <c r="J33" i="33"/>
  <c r="J43" i="4" s="1"/>
  <c r="J31" i="33"/>
  <c r="J41" i="4" s="1"/>
  <c r="J28" i="33"/>
  <c r="J32" i="33"/>
  <c r="J42" i="4" s="1"/>
  <c r="J34" i="33"/>
  <c r="J44" i="4" s="1"/>
  <c r="G35" i="33"/>
  <c r="G45" i="4" s="1"/>
  <c r="G31" i="33"/>
  <c r="G41" i="4" s="1"/>
  <c r="C28" i="33"/>
  <c r="F30" i="33"/>
  <c r="F40" i="4" s="1"/>
  <c r="E29" i="33"/>
  <c r="E39" i="4" s="1"/>
  <c r="C31" i="33"/>
  <c r="C41" i="4" s="1"/>
  <c r="H32" i="33"/>
  <c r="H42" i="4" s="1"/>
  <c r="C35" i="33"/>
  <c r="C45" i="4" s="1"/>
  <c r="G28" i="33"/>
  <c r="G38" i="4" s="1"/>
  <c r="F34" i="33"/>
  <c r="F44" i="4" s="1"/>
  <c r="D32" i="33"/>
  <c r="D42" i="4" s="1"/>
  <c r="E33" i="33"/>
  <c r="E43" i="4" s="1"/>
  <c r="D28" i="33"/>
  <c r="D38" i="4" s="1"/>
  <c r="H28" i="33"/>
  <c r="F29" i="33"/>
  <c r="F39" i="4" s="1"/>
  <c r="C30" i="33"/>
  <c r="C40" i="4" s="1"/>
  <c r="G30" i="33"/>
  <c r="G40" i="4" s="1"/>
  <c r="D31" i="33"/>
  <c r="D41" i="4" s="1"/>
  <c r="H31" i="33"/>
  <c r="H41" i="4" s="1"/>
  <c r="E32" i="33"/>
  <c r="E42" i="4" s="1"/>
  <c r="F33" i="33"/>
  <c r="F43" i="4" s="1"/>
  <c r="C34" i="33"/>
  <c r="C44" i="4" s="1"/>
  <c r="G34" i="33"/>
  <c r="G44" i="4" s="1"/>
  <c r="D35" i="33"/>
  <c r="D45" i="4" s="1"/>
  <c r="H35" i="33"/>
  <c r="H45" i="4" s="1"/>
  <c r="E28" i="33"/>
  <c r="C29" i="33"/>
  <c r="G29" i="33"/>
  <c r="D30" i="33"/>
  <c r="D40" i="4" s="1"/>
  <c r="H30" i="33"/>
  <c r="H40" i="4" s="1"/>
  <c r="E31" i="33"/>
  <c r="E41" i="4" s="1"/>
  <c r="F32" i="33"/>
  <c r="F42" i="4" s="1"/>
  <c r="C33" i="33"/>
  <c r="C43" i="4" s="1"/>
  <c r="G33" i="33"/>
  <c r="G43" i="4" s="1"/>
  <c r="D34" i="33"/>
  <c r="D44" i="4" s="1"/>
  <c r="H34" i="33"/>
  <c r="H44" i="4" s="1"/>
  <c r="E35" i="33"/>
  <c r="E45" i="4" s="1"/>
  <c r="F28" i="33"/>
  <c r="D29" i="33"/>
  <c r="D39" i="4" s="1"/>
  <c r="H29" i="33"/>
  <c r="H39" i="4" s="1"/>
  <c r="E30" i="33"/>
  <c r="E40" i="4" s="1"/>
  <c r="F31" i="33"/>
  <c r="F41" i="4" s="1"/>
  <c r="C32" i="33"/>
  <c r="C42" i="4" s="1"/>
  <c r="G32" i="33"/>
  <c r="G42" i="4" s="1"/>
  <c r="H33" i="33"/>
  <c r="H43" i="4" s="1"/>
  <c r="F35" i="33"/>
  <c r="F45" i="4" s="1"/>
  <c r="B29" i="33"/>
  <c r="B30" i="33"/>
  <c r="B40" i="4" s="1"/>
  <c r="B31" i="33"/>
  <c r="B41" i="4" s="1"/>
  <c r="B32" i="33"/>
  <c r="B42" i="4" s="1"/>
  <c r="B33" i="33"/>
  <c r="B43" i="4" s="1"/>
  <c r="B34" i="33"/>
  <c r="B44" i="4" s="1"/>
  <c r="B35" i="33"/>
  <c r="B45" i="4" s="1"/>
  <c r="B38" i="4"/>
  <c r="E38" i="4"/>
  <c r="H38" i="4"/>
  <c r="B22" i="33"/>
  <c r="E22" i="33"/>
  <c r="C38" i="4"/>
  <c r="K46" i="33"/>
  <c r="K53" i="33" s="1"/>
  <c r="K38" i="4"/>
  <c r="K47" i="33"/>
  <c r="K48" i="33" s="1"/>
  <c r="K54" i="33" s="1"/>
  <c r="B27" i="33"/>
  <c r="B52" i="33" s="1"/>
  <c r="L47" i="33"/>
  <c r="L48" i="33" s="1"/>
  <c r="L54" i="33" s="1"/>
  <c r="L38" i="4"/>
  <c r="D27" i="33"/>
  <c r="D52" i="33" s="1"/>
  <c r="E27" i="33"/>
  <c r="E52" i="33" s="1"/>
  <c r="F38" i="4"/>
  <c r="J38" i="4"/>
  <c r="D45" i="33"/>
  <c r="L46" i="33"/>
  <c r="L53" i="33" s="1"/>
  <c r="F22" i="33"/>
  <c r="F45" i="33"/>
  <c r="G22" i="33"/>
  <c r="G27" i="33"/>
  <c r="G52" i="33" s="1"/>
  <c r="C22" i="33"/>
  <c r="C27" i="33"/>
  <c r="C52" i="33" s="1"/>
  <c r="H27" i="33"/>
  <c r="H52" i="33" s="1"/>
  <c r="H45" i="33"/>
  <c r="E56" i="33"/>
  <c r="G56" i="33"/>
  <c r="J56" i="33"/>
  <c r="H56" i="33"/>
  <c r="L56" i="33"/>
  <c r="C56" i="33"/>
  <c r="F56" i="33"/>
  <c r="B56" i="33"/>
  <c r="D56" i="33"/>
  <c r="K56" i="33"/>
  <c r="K57" i="33" l="1"/>
  <c r="L57" i="33"/>
  <c r="B47" i="33"/>
  <c r="G46" i="33"/>
  <c r="G53" i="33" s="1"/>
  <c r="H46" i="33"/>
  <c r="H53" i="33" s="1"/>
  <c r="J57" i="33"/>
  <c r="K59" i="33" s="1"/>
  <c r="E46" i="33"/>
  <c r="E53" i="33" s="1"/>
  <c r="G47" i="33"/>
  <c r="G48" i="33" s="1"/>
  <c r="G54" i="33" s="1"/>
  <c r="E47" i="33"/>
  <c r="E48" i="33" s="1"/>
  <c r="E54" i="33" s="1"/>
  <c r="J46" i="33"/>
  <c r="J53" i="33" s="1"/>
  <c r="J55" i="33" s="1"/>
  <c r="F47" i="33"/>
  <c r="C46" i="33"/>
  <c r="C53" i="33" s="1"/>
  <c r="B46" i="33"/>
  <c r="B53" i="33" s="1"/>
  <c r="H47" i="33"/>
  <c r="H48" i="33" s="1"/>
  <c r="H54" i="33" s="1"/>
  <c r="J47" i="33"/>
  <c r="J48" i="33" s="1"/>
  <c r="J54" i="33" s="1"/>
  <c r="C47" i="33"/>
  <c r="F46" i="33"/>
  <c r="F53" i="33" s="1"/>
  <c r="F48" i="33"/>
  <c r="F54" i="33" s="1"/>
  <c r="G57" i="33"/>
  <c r="C57" i="33"/>
  <c r="F57" i="33"/>
  <c r="E57" i="33"/>
  <c r="H57" i="33"/>
  <c r="D57" i="33"/>
  <c r="G39" i="4"/>
  <c r="D47" i="33"/>
  <c r="D48" i="33" s="1"/>
  <c r="D54" i="33" s="1"/>
  <c r="C39" i="4"/>
  <c r="D46" i="33"/>
  <c r="D53" i="33" s="1"/>
  <c r="C48" i="33"/>
  <c r="C54" i="33" s="1"/>
  <c r="B57" i="33"/>
  <c r="B48" i="33"/>
  <c r="B54" i="33" s="1"/>
  <c r="B39" i="4"/>
  <c r="K55" i="33"/>
  <c r="B64" i="33"/>
  <c r="K60" i="33"/>
  <c r="L55" i="33" l="1"/>
  <c r="L59" i="33"/>
  <c r="K61" i="33"/>
  <c r="B65" i="33"/>
  <c r="F59" i="33"/>
  <c r="J59" i="33"/>
  <c r="C59" i="33"/>
  <c r="E59" i="33"/>
  <c r="G59" i="33"/>
  <c r="H59" i="33"/>
  <c r="D59" i="33"/>
  <c r="D55" i="33"/>
  <c r="B55" i="33"/>
  <c r="G55" i="33"/>
  <c r="F55" i="33"/>
  <c r="C55" i="33"/>
  <c r="H55" i="33"/>
  <c r="E55" i="33"/>
  <c r="F60" i="33"/>
  <c r="H60" i="33"/>
  <c r="G60" i="33"/>
  <c r="J60" i="33"/>
  <c r="L60" i="33"/>
  <c r="D60" i="33"/>
  <c r="C60" i="33"/>
  <c r="E60" i="33"/>
  <c r="L61" i="33" l="1"/>
  <c r="F61" i="33"/>
  <c r="H61" i="33"/>
  <c r="J61" i="33"/>
  <c r="G61" i="33"/>
  <c r="E61" i="33"/>
  <c r="D61" i="33"/>
  <c r="C61" i="33"/>
  <c r="J4" i="33"/>
  <c r="J4" i="23"/>
  <c r="J4" i="1"/>
  <c r="L4" i="1"/>
  <c r="L4" i="33"/>
  <c r="L4" i="23"/>
  <c r="K4" i="33"/>
  <c r="K4" i="23"/>
  <c r="K4" i="1"/>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L22" i="33" l="1"/>
  <c r="L45" i="33"/>
  <c r="L27" i="33"/>
  <c r="L52" i="33" s="1"/>
  <c r="J27" i="33"/>
  <c r="J52" i="33" s="1"/>
  <c r="J22" i="33"/>
  <c r="J45" i="33"/>
  <c r="K22" i="33"/>
  <c r="K45" i="33"/>
  <c r="K27" i="33"/>
  <c r="K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K22" i="1"/>
  <c r="L45" i="1"/>
  <c r="L33" i="23"/>
  <c r="L34" i="23"/>
  <c r="L35" i="23"/>
  <c r="K36" i="23"/>
  <c r="L36" i="23"/>
  <c r="K37" i="23"/>
  <c r="L37" i="23"/>
  <c r="K38" i="23"/>
  <c r="L38" i="23"/>
  <c r="K39" i="23"/>
  <c r="L39" i="23"/>
  <c r="K40" i="23"/>
  <c r="L40" i="23"/>
  <c r="K41" i="23"/>
  <c r="L41" i="23"/>
  <c r="K42" i="23"/>
  <c r="L42" i="23"/>
  <c r="K43" i="23"/>
  <c r="L43" i="23"/>
  <c r="J33" i="23"/>
  <c r="I45" i="1"/>
  <c r="A45" i="1"/>
  <c r="A45" i="23"/>
  <c r="A22" i="23"/>
  <c r="A22" i="1"/>
  <c r="B1" i="4"/>
  <c r="A52" i="23"/>
  <c r="H43" i="23"/>
  <c r="G43" i="23"/>
  <c r="F43" i="23"/>
  <c r="E43" i="23"/>
  <c r="D43" i="23"/>
  <c r="C43" i="23"/>
  <c r="B43" i="23"/>
  <c r="H42" i="23"/>
  <c r="G42" i="23"/>
  <c r="F42" i="23"/>
  <c r="E42" i="23"/>
  <c r="D42" i="23"/>
  <c r="C42" i="23"/>
  <c r="B42" i="23"/>
  <c r="H41" i="23"/>
  <c r="G41" i="23"/>
  <c r="F41" i="23"/>
  <c r="E41" i="23"/>
  <c r="D41" i="23"/>
  <c r="C41" i="23"/>
  <c r="B41" i="23"/>
  <c r="H40" i="23"/>
  <c r="G40" i="23"/>
  <c r="F40" i="23"/>
  <c r="E40" i="23"/>
  <c r="D40" i="23"/>
  <c r="C40" i="23"/>
  <c r="B40" i="23"/>
  <c r="H39" i="23"/>
  <c r="G39" i="23"/>
  <c r="F39" i="23"/>
  <c r="E39" i="23"/>
  <c r="D39" i="23"/>
  <c r="C39" i="23"/>
  <c r="B39" i="23"/>
  <c r="H38" i="23"/>
  <c r="G38" i="23"/>
  <c r="F38" i="23"/>
  <c r="E38" i="23"/>
  <c r="D38" i="23"/>
  <c r="C38" i="23"/>
  <c r="H37" i="23"/>
  <c r="G37" i="23"/>
  <c r="F37" i="23"/>
  <c r="E37" i="23"/>
  <c r="D37" i="23"/>
  <c r="C37" i="23"/>
  <c r="B37" i="23"/>
  <c r="H36" i="23"/>
  <c r="G36" i="23"/>
  <c r="F36" i="23"/>
  <c r="E36" i="23"/>
  <c r="D36" i="23"/>
  <c r="C36" i="23"/>
  <c r="B36" i="23"/>
  <c r="L24" i="23"/>
  <c r="K24" i="23"/>
  <c r="J24" i="23"/>
  <c r="H24" i="23"/>
  <c r="G24" i="23"/>
  <c r="F24" i="23"/>
  <c r="E24" i="23"/>
  <c r="D24" i="23"/>
  <c r="C24" i="23"/>
  <c r="B24" i="23"/>
  <c r="L23" i="23"/>
  <c r="K23" i="23"/>
  <c r="J23" i="23"/>
  <c r="B32" i="23" s="1"/>
  <c r="H23" i="23"/>
  <c r="G23" i="23"/>
  <c r="F23" i="23"/>
  <c r="E23" i="23"/>
  <c r="D23" i="23"/>
  <c r="C23" i="23"/>
  <c r="B23" i="23"/>
  <c r="L45" i="23"/>
  <c r="K45" i="23"/>
  <c r="J45" i="23"/>
  <c r="H27" i="23"/>
  <c r="H52" i="23" s="1"/>
  <c r="G45" i="23"/>
  <c r="F27" i="23"/>
  <c r="F52" i="23" s="1"/>
  <c r="E45" i="23"/>
  <c r="C45" i="23"/>
  <c r="B45" i="23"/>
  <c r="F29" i="23"/>
  <c r="D31" i="23"/>
  <c r="C35" i="23"/>
  <c r="H34" i="23"/>
  <c r="D34" i="23"/>
  <c r="E33" i="23"/>
  <c r="F32" i="23"/>
  <c r="C31" i="23"/>
  <c r="H30" i="23"/>
  <c r="D30" i="23"/>
  <c r="E29" i="23"/>
  <c r="F28" i="23"/>
  <c r="F34" i="23"/>
  <c r="C33" i="23"/>
  <c r="H32" i="23"/>
  <c r="F30" i="23"/>
  <c r="D28" i="23"/>
  <c r="H35" i="23"/>
  <c r="E34" i="23"/>
  <c r="G34" i="23"/>
  <c r="C34" i="23"/>
  <c r="H33" i="23"/>
  <c r="E32" i="23"/>
  <c r="G30" i="23"/>
  <c r="C30" i="23"/>
  <c r="D29" i="23"/>
  <c r="E28" i="23"/>
  <c r="E35" i="23"/>
  <c r="G33" i="23"/>
  <c r="D32" i="23"/>
  <c r="H28" i="23"/>
  <c r="D35" i="23"/>
  <c r="G32" i="23"/>
  <c r="H31" i="23"/>
  <c r="G28" i="23"/>
  <c r="K22" i="23"/>
  <c r="C36" i="1"/>
  <c r="C14" i="4" s="1"/>
  <c r="D36" i="1"/>
  <c r="D14" i="4" s="1"/>
  <c r="E36" i="1"/>
  <c r="E14" i="4" s="1"/>
  <c r="F36" i="1"/>
  <c r="F14" i="4" s="1"/>
  <c r="G36" i="1"/>
  <c r="G14" i="4" s="1"/>
  <c r="H36" i="1"/>
  <c r="H14" i="4" s="1"/>
  <c r="C37" i="1"/>
  <c r="C15" i="4" s="1"/>
  <c r="D37" i="1"/>
  <c r="D15" i="4" s="1"/>
  <c r="E37" i="1"/>
  <c r="E15" i="4" s="1"/>
  <c r="F37" i="1"/>
  <c r="F15" i="4" s="1"/>
  <c r="G37" i="1"/>
  <c r="G15" i="4" s="1"/>
  <c r="H37" i="1"/>
  <c r="H15" i="4" s="1"/>
  <c r="C38" i="1"/>
  <c r="C16" i="4" s="1"/>
  <c r="D38" i="1"/>
  <c r="D16" i="4" s="1"/>
  <c r="E38" i="1"/>
  <c r="E16" i="4" s="1"/>
  <c r="F38" i="1"/>
  <c r="F16" i="4" s="1"/>
  <c r="G38" i="1"/>
  <c r="G16" i="4" s="1"/>
  <c r="H38" i="1"/>
  <c r="H16" i="4" s="1"/>
  <c r="C39" i="1"/>
  <c r="C17" i="4" s="1"/>
  <c r="D39" i="1"/>
  <c r="E39" i="1"/>
  <c r="E17" i="4" s="1"/>
  <c r="F39" i="1"/>
  <c r="F17" i="4" s="1"/>
  <c r="G39" i="1"/>
  <c r="G17" i="4" s="1"/>
  <c r="H39" i="1"/>
  <c r="H17" i="4" s="1"/>
  <c r="C40" i="1"/>
  <c r="C18" i="4" s="1"/>
  <c r="D40" i="1"/>
  <c r="D18" i="4" s="1"/>
  <c r="E40" i="1"/>
  <c r="E18" i="4" s="1"/>
  <c r="F40" i="1"/>
  <c r="F18" i="4" s="1"/>
  <c r="G40" i="1"/>
  <c r="G18" i="4" s="1"/>
  <c r="H40" i="1"/>
  <c r="H18" i="4" s="1"/>
  <c r="C41" i="1"/>
  <c r="C19" i="4" s="1"/>
  <c r="D41" i="1"/>
  <c r="D19" i="4" s="1"/>
  <c r="E41" i="1"/>
  <c r="E19" i="4" s="1"/>
  <c r="F41" i="1"/>
  <c r="F19" i="4" s="1"/>
  <c r="G41" i="1"/>
  <c r="G19" i="4" s="1"/>
  <c r="H41" i="1"/>
  <c r="H19" i="4" s="1"/>
  <c r="C42" i="1"/>
  <c r="C20" i="4" s="1"/>
  <c r="D42" i="1"/>
  <c r="D20" i="4" s="1"/>
  <c r="E42" i="1"/>
  <c r="E20" i="4" s="1"/>
  <c r="F42" i="1"/>
  <c r="F20" i="4" s="1"/>
  <c r="G42" i="1"/>
  <c r="G20" i="4" s="1"/>
  <c r="H42" i="1"/>
  <c r="H20" i="4" s="1"/>
  <c r="C43" i="1"/>
  <c r="D43" i="1"/>
  <c r="E43" i="1"/>
  <c r="F43" i="1"/>
  <c r="G43" i="1"/>
  <c r="H43" i="1"/>
  <c r="L36" i="1"/>
  <c r="L14" i="4" s="1"/>
  <c r="L37" i="1"/>
  <c r="L15" i="4" s="1"/>
  <c r="K38" i="1"/>
  <c r="K16" i="4" s="1"/>
  <c r="L38" i="1"/>
  <c r="L16" i="4" s="1"/>
  <c r="K39" i="1"/>
  <c r="K17" i="4" s="1"/>
  <c r="L39" i="1"/>
  <c r="L17" i="4" s="1"/>
  <c r="K40" i="1"/>
  <c r="K18" i="4" s="1"/>
  <c r="L40" i="1"/>
  <c r="L18" i="4" s="1"/>
  <c r="K41" i="1"/>
  <c r="K19" i="4" s="1"/>
  <c r="L41" i="1"/>
  <c r="L19" i="4" s="1"/>
  <c r="K42" i="1"/>
  <c r="K20" i="4" s="1"/>
  <c r="L42" i="1"/>
  <c r="L20" i="4" s="1"/>
  <c r="K43" i="1"/>
  <c r="L43" i="1"/>
  <c r="B36" i="1"/>
  <c r="B14" i="4" s="1"/>
  <c r="B37" i="1"/>
  <c r="B15" i="4" s="1"/>
  <c r="B38" i="1"/>
  <c r="B16" i="4" s="1"/>
  <c r="B39" i="1"/>
  <c r="B17" i="4" s="1"/>
  <c r="B40" i="1"/>
  <c r="B18" i="4" s="1"/>
  <c r="B41" i="1"/>
  <c r="B19" i="4" s="1"/>
  <c r="B42" i="1"/>
  <c r="B20" i="4" s="1"/>
  <c r="B43" i="1"/>
  <c r="B23" i="1"/>
  <c r="B4" i="4"/>
  <c r="B62" i="4" s="1"/>
  <c r="A52" i="1"/>
  <c r="J22" i="1"/>
  <c r="L24" i="1"/>
  <c r="K24" i="1"/>
  <c r="J24" i="1"/>
  <c r="L23" i="1"/>
  <c r="K23" i="1"/>
  <c r="J23" i="1"/>
  <c r="C29" i="1" s="1"/>
  <c r="C7" i="4" s="1"/>
  <c r="H27" i="1"/>
  <c r="H52" i="1" s="1"/>
  <c r="G27" i="1"/>
  <c r="G52" i="1" s="1"/>
  <c r="F27" i="1"/>
  <c r="F52" i="1" s="1"/>
  <c r="E4" i="4"/>
  <c r="D22" i="1"/>
  <c r="C45" i="1"/>
  <c r="J39" i="1"/>
  <c r="J17" i="4" s="1"/>
  <c r="L31" i="1"/>
  <c r="L9" i="4" s="1"/>
  <c r="L34" i="1"/>
  <c r="L12" i="4" s="1"/>
  <c r="J42" i="1"/>
  <c r="J20" i="4" s="1"/>
  <c r="K30" i="1"/>
  <c r="K8" i="4" s="1"/>
  <c r="K33" i="1"/>
  <c r="K11" i="4" s="1"/>
  <c r="J41" i="1"/>
  <c r="J19" i="4" s="1"/>
  <c r="L27" i="1"/>
  <c r="L52" i="1" s="1"/>
  <c r="H24" i="1"/>
  <c r="G24" i="1"/>
  <c r="F24" i="1"/>
  <c r="E24" i="1"/>
  <c r="D24" i="1"/>
  <c r="C24" i="1"/>
  <c r="B24" i="1"/>
  <c r="H23" i="1"/>
  <c r="G23" i="1"/>
  <c r="F23" i="1"/>
  <c r="E23" i="1"/>
  <c r="D23" i="1"/>
  <c r="C23" i="1"/>
  <c r="O9" i="12" l="1"/>
  <c r="O10" i="12" s="1"/>
  <c r="K30" i="23"/>
  <c r="J35" i="23"/>
  <c r="K34" i="23"/>
  <c r="K28" i="23"/>
  <c r="J43" i="23"/>
  <c r="J29" i="23"/>
  <c r="F33" i="23"/>
  <c r="G29" i="23"/>
  <c r="H29" i="23"/>
  <c r="F31" i="23"/>
  <c r="D33" i="23"/>
  <c r="F35" i="23"/>
  <c r="C32" i="23"/>
  <c r="C29" i="23"/>
  <c r="E31" i="23"/>
  <c r="G31" i="23"/>
  <c r="G35" i="23"/>
  <c r="C28" i="23"/>
  <c r="E30" i="23"/>
  <c r="J39" i="23"/>
  <c r="K32" i="23"/>
  <c r="J42" i="23"/>
  <c r="J36" i="23"/>
  <c r="L31" i="23"/>
  <c r="L29" i="23"/>
  <c r="J41" i="23"/>
  <c r="K35" i="23"/>
  <c r="K33" i="23"/>
  <c r="K31" i="23"/>
  <c r="K29" i="23"/>
  <c r="J40" i="23"/>
  <c r="L32" i="23"/>
  <c r="L30" i="23"/>
  <c r="L28" i="23"/>
  <c r="J38" i="1"/>
  <c r="J16" i="4" s="1"/>
  <c r="J40" i="1"/>
  <c r="J18" i="4" s="1"/>
  <c r="J43" i="1"/>
  <c r="L33" i="1"/>
  <c r="L11" i="4" s="1"/>
  <c r="L28" i="1"/>
  <c r="L35" i="1"/>
  <c r="L13" i="4" s="1"/>
  <c r="K34" i="1"/>
  <c r="K12" i="4" s="1"/>
  <c r="C33" i="1"/>
  <c r="C11" i="4" s="1"/>
  <c r="K28" i="1"/>
  <c r="J32" i="1"/>
  <c r="J10" i="4" s="1"/>
  <c r="F34" i="1"/>
  <c r="F12" i="4" s="1"/>
  <c r="F30" i="1"/>
  <c r="F8" i="4" s="1"/>
  <c r="E32" i="1"/>
  <c r="E10" i="4" s="1"/>
  <c r="B33" i="1"/>
  <c r="B11" i="4" s="1"/>
  <c r="F29" i="1"/>
  <c r="F7" i="4" s="1"/>
  <c r="E30" i="1"/>
  <c r="E8" i="4" s="1"/>
  <c r="H31" i="1"/>
  <c r="H9" i="4" s="1"/>
  <c r="F32" i="1"/>
  <c r="F10" i="4" s="1"/>
  <c r="F33" i="1"/>
  <c r="F11" i="4" s="1"/>
  <c r="C35" i="1"/>
  <c r="C13" i="4" s="1"/>
  <c r="H32" i="1"/>
  <c r="H10" i="4" s="1"/>
  <c r="F35" i="1"/>
  <c r="F13" i="4" s="1"/>
  <c r="D33" i="1"/>
  <c r="D11" i="4" s="1"/>
  <c r="D35" i="1"/>
  <c r="D13" i="4" s="1"/>
  <c r="H34" i="1"/>
  <c r="H12" i="4" s="1"/>
  <c r="G29" i="1"/>
  <c r="G7" i="4" s="1"/>
  <c r="G30" i="1"/>
  <c r="G8" i="4" s="1"/>
  <c r="G34" i="1"/>
  <c r="G12" i="4" s="1"/>
  <c r="G35" i="1"/>
  <c r="G13" i="4" s="1"/>
  <c r="E33" i="1"/>
  <c r="E11" i="4" s="1"/>
  <c r="E29" i="1"/>
  <c r="E7" i="4" s="1"/>
  <c r="H33" i="1"/>
  <c r="H11" i="4" s="1"/>
  <c r="H35" i="1"/>
  <c r="H13" i="4" s="1"/>
  <c r="E35" i="1"/>
  <c r="E13" i="4" s="1"/>
  <c r="H30" i="1"/>
  <c r="H8" i="4" s="1"/>
  <c r="L6" i="4"/>
  <c r="K6" i="4"/>
  <c r="L22" i="1"/>
  <c r="S9" i="12"/>
  <c r="S10" i="12" s="1"/>
  <c r="N9" i="12"/>
  <c r="N10" i="12" s="1"/>
  <c r="M9" i="12"/>
  <c r="M10" i="12" s="1"/>
  <c r="I9" i="12"/>
  <c r="I10" i="12" s="1"/>
  <c r="P9" i="12"/>
  <c r="P10" i="12" s="1"/>
  <c r="G32" i="1"/>
  <c r="G10" i="4" s="1"/>
  <c r="H29" i="1"/>
  <c r="E28" i="1"/>
  <c r="D34" i="1"/>
  <c r="D12" i="4" s="1"/>
  <c r="F28" i="1"/>
  <c r="L29" i="1"/>
  <c r="J37" i="1"/>
  <c r="J15" i="4" s="1"/>
  <c r="K29" i="1"/>
  <c r="B34" i="1"/>
  <c r="B12" i="4" s="1"/>
  <c r="B35" i="1"/>
  <c r="B13" i="4" s="1"/>
  <c r="C34" i="1"/>
  <c r="C12" i="4" s="1"/>
  <c r="G31" i="1"/>
  <c r="G9" i="4" s="1"/>
  <c r="H28" i="1"/>
  <c r="E34" i="1"/>
  <c r="F31" i="1"/>
  <c r="G28" i="1"/>
  <c r="G33" i="1"/>
  <c r="E31" i="1"/>
  <c r="E9" i="4" s="1"/>
  <c r="H2" i="12"/>
  <c r="E55" i="4"/>
  <c r="E62" i="4"/>
  <c r="K9" i="12"/>
  <c r="K10" i="12" s="1"/>
  <c r="K21" i="4"/>
  <c r="J21" i="4"/>
  <c r="L21" i="4"/>
  <c r="C27" i="23"/>
  <c r="C52" i="23" s="1"/>
  <c r="B21" i="4"/>
  <c r="J37" i="23"/>
  <c r="J34" i="23"/>
  <c r="J38" i="23"/>
  <c r="B38" i="23"/>
  <c r="L4" i="4"/>
  <c r="L62" i="4" s="1"/>
  <c r="H7" i="22"/>
  <c r="A44" i="22"/>
  <c r="H22" i="22"/>
  <c r="H19" i="22"/>
  <c r="H15" i="22"/>
  <c r="H25" i="22"/>
  <c r="H21" i="22"/>
  <c r="H18" i="22"/>
  <c r="K27" i="23"/>
  <c r="K52" i="23" s="1"/>
  <c r="H20" i="22"/>
  <c r="H17" i="22"/>
  <c r="H23" i="22"/>
  <c r="H16" i="22"/>
  <c r="A49" i="22"/>
  <c r="H10" i="22"/>
  <c r="H13" i="22"/>
  <c r="H12" i="22"/>
  <c r="H11" i="22"/>
  <c r="H9" i="22"/>
  <c r="H8" i="22"/>
  <c r="J32" i="23"/>
  <c r="J31" i="23"/>
  <c r="J30" i="23"/>
  <c r="B33" i="23"/>
  <c r="B28" i="23"/>
  <c r="B30" i="23"/>
  <c r="B34" i="23"/>
  <c r="B35" i="23"/>
  <c r="J28" i="23"/>
  <c r="B31" i="23"/>
  <c r="B29" i="23"/>
  <c r="L32" i="1"/>
  <c r="K32" i="1"/>
  <c r="K10" i="4" s="1"/>
  <c r="D4" i="4"/>
  <c r="J29" i="1"/>
  <c r="J7" i="4" s="1"/>
  <c r="B27" i="23"/>
  <c r="B52" i="23" s="1"/>
  <c r="E27" i="23"/>
  <c r="E52" i="23" s="1"/>
  <c r="L30" i="1"/>
  <c r="L8" i="4" s="1"/>
  <c r="B29" i="1"/>
  <c r="B7" i="4" s="1"/>
  <c r="K35" i="1"/>
  <c r="K13" i="4" s="1"/>
  <c r="K31" i="1"/>
  <c r="K9" i="4" s="1"/>
  <c r="H22" i="23"/>
  <c r="D47" i="23"/>
  <c r="D48" i="23" s="1"/>
  <c r="D54" i="23" s="1"/>
  <c r="K37" i="1"/>
  <c r="F22" i="23"/>
  <c r="E46" i="23"/>
  <c r="E53" i="23" s="1"/>
  <c r="J36" i="1"/>
  <c r="H45" i="23"/>
  <c r="H47" i="23"/>
  <c r="H48" i="23" s="1"/>
  <c r="H54" i="23" s="1"/>
  <c r="D46" i="23"/>
  <c r="D53" i="23" s="1"/>
  <c r="H46" i="23"/>
  <c r="H53" i="23" s="1"/>
  <c r="D21" i="4"/>
  <c r="K36" i="1"/>
  <c r="K14" i="4" s="1"/>
  <c r="C21" i="4"/>
  <c r="J34" i="1"/>
  <c r="J12" i="4" s="1"/>
  <c r="J35" i="1"/>
  <c r="J13" i="4" s="1"/>
  <c r="J33" i="1"/>
  <c r="J11" i="4" s="1"/>
  <c r="J30" i="1"/>
  <c r="J8" i="4" s="1"/>
  <c r="B31" i="1"/>
  <c r="B9" i="4" s="1"/>
  <c r="J31" i="1"/>
  <c r="J9" i="4" s="1"/>
  <c r="B32" i="1"/>
  <c r="D28" i="1"/>
  <c r="C32" i="1"/>
  <c r="B28" i="1"/>
  <c r="D32" i="1"/>
  <c r="B30" i="1"/>
  <c r="B8" i="4" s="1"/>
  <c r="C28" i="1"/>
  <c r="D31" i="1"/>
  <c r="D9" i="4" s="1"/>
  <c r="J28" i="1"/>
  <c r="C30" i="1"/>
  <c r="C8" i="4" s="1"/>
  <c r="C31" i="1"/>
  <c r="C9" i="4" s="1"/>
  <c r="D29" i="1"/>
  <c r="D7" i="4" s="1"/>
  <c r="D30" i="1"/>
  <c r="G21" i="4"/>
  <c r="F21" i="4"/>
  <c r="H21" i="4"/>
  <c r="E21" i="4"/>
  <c r="D17" i="4"/>
  <c r="C4" i="4"/>
  <c r="C47" i="23"/>
  <c r="C48" i="23" s="1"/>
  <c r="C54" i="23" s="1"/>
  <c r="E47" i="23"/>
  <c r="E48" i="23" s="1"/>
  <c r="E54" i="23" s="1"/>
  <c r="A47" i="22"/>
  <c r="C46" i="23"/>
  <c r="C53" i="23" s="1"/>
  <c r="G27" i="23"/>
  <c r="G52" i="23" s="1"/>
  <c r="A50" i="22"/>
  <c r="H50" i="22" s="1"/>
  <c r="D27" i="1"/>
  <c r="D52" i="1" s="1"/>
  <c r="D45" i="1"/>
  <c r="D22" i="23"/>
  <c r="D45" i="23"/>
  <c r="D27" i="23"/>
  <c r="D52" i="23" s="1"/>
  <c r="F45" i="23"/>
  <c r="E22" i="23"/>
  <c r="G22" i="23"/>
  <c r="J22" i="23"/>
  <c r="L22" i="23"/>
  <c r="B22" i="23"/>
  <c r="C22" i="23"/>
  <c r="L27" i="23"/>
  <c r="L52" i="23" s="1"/>
  <c r="J27" i="23"/>
  <c r="J52" i="23" s="1"/>
  <c r="E45" i="1"/>
  <c r="B27" i="1"/>
  <c r="B52" i="1" s="1"/>
  <c r="F4" i="4"/>
  <c r="G22" i="1"/>
  <c r="F45" i="1"/>
  <c r="C22" i="1"/>
  <c r="B22" i="1"/>
  <c r="G45" i="1"/>
  <c r="E27" i="1"/>
  <c r="E52" i="1" s="1"/>
  <c r="E22" i="1"/>
  <c r="K27" i="1"/>
  <c r="K52" i="1" s="1"/>
  <c r="H4" i="4"/>
  <c r="F22" i="1"/>
  <c r="G4" i="4"/>
  <c r="C27" i="1"/>
  <c r="C52" i="1" s="1"/>
  <c r="B45" i="1"/>
  <c r="G2" i="12"/>
  <c r="H22" i="1"/>
  <c r="J4" i="4"/>
  <c r="H45" i="1"/>
  <c r="J45" i="1"/>
  <c r="K4" i="4"/>
  <c r="K45" i="1"/>
  <c r="J27" i="1"/>
  <c r="J52" i="1" s="1"/>
  <c r="B55" i="4"/>
  <c r="H9" i="12"/>
  <c r="H10" i="12" s="1"/>
  <c r="G9" i="12"/>
  <c r="G10" i="12" s="1"/>
  <c r="E9" i="12"/>
  <c r="E10" i="12" s="1"/>
  <c r="E74" i="4"/>
  <c r="B74" i="4"/>
  <c r="T9" i="12"/>
  <c r="T10" i="12" s="1"/>
  <c r="F9" i="12"/>
  <c r="F10" i="12" s="1"/>
  <c r="L9" i="12"/>
  <c r="L10" i="12" s="1"/>
  <c r="J9" i="12"/>
  <c r="J10" i="12" s="1"/>
  <c r="R9" i="12"/>
  <c r="R10" i="12" s="1"/>
  <c r="E56" i="23"/>
  <c r="G56" i="23"/>
  <c r="L56" i="23"/>
  <c r="L56" i="1"/>
  <c r="D56" i="1"/>
  <c r="K56" i="1"/>
  <c r="B56" i="23"/>
  <c r="E56" i="1"/>
  <c r="C56" i="23"/>
  <c r="J56" i="1"/>
  <c r="H56" i="23"/>
  <c r="B56" i="1"/>
  <c r="C56" i="1"/>
  <c r="F56" i="1"/>
  <c r="H56" i="1"/>
  <c r="G56" i="1"/>
  <c r="F56" i="23"/>
  <c r="K56" i="23"/>
  <c r="J56" i="23"/>
  <c r="D56" i="23"/>
  <c r="G47" i="23" l="1"/>
  <c r="G48" i="23" s="1"/>
  <c r="G54" i="23" s="1"/>
  <c r="F47" i="23"/>
  <c r="F48" i="23" s="1"/>
  <c r="F54" i="23" s="1"/>
  <c r="K46" i="23"/>
  <c r="K53" i="23" s="1"/>
  <c r="F46" i="23"/>
  <c r="F53" i="23" s="1"/>
  <c r="F55" i="23" s="1"/>
  <c r="L47" i="23"/>
  <c r="L48" i="23" s="1"/>
  <c r="L54" i="23" s="1"/>
  <c r="G46" i="23"/>
  <c r="G53" i="23" s="1"/>
  <c r="E57" i="23"/>
  <c r="D57" i="23"/>
  <c r="C57" i="23"/>
  <c r="F57" i="23"/>
  <c r="H57" i="23"/>
  <c r="G57" i="23"/>
  <c r="L57" i="23"/>
  <c r="K57" i="23"/>
  <c r="K47" i="23"/>
  <c r="K48" i="23" s="1"/>
  <c r="K54" i="23" s="1"/>
  <c r="L46" i="23"/>
  <c r="L53" i="23" s="1"/>
  <c r="F46" i="1"/>
  <c r="F53" i="1" s="1"/>
  <c r="C6" i="4"/>
  <c r="K7" i="4"/>
  <c r="E6" i="4"/>
  <c r="D6" i="4"/>
  <c r="H6" i="4"/>
  <c r="F6" i="4"/>
  <c r="K47" i="1"/>
  <c r="K48" i="1" s="1"/>
  <c r="K54" i="1" s="1"/>
  <c r="J6" i="4"/>
  <c r="B6" i="4"/>
  <c r="G6" i="4"/>
  <c r="L7" i="4"/>
  <c r="H47" i="22"/>
  <c r="H49" i="22"/>
  <c r="H44" i="22"/>
  <c r="A46" i="22"/>
  <c r="H46" i="22" s="1"/>
  <c r="A34" i="22"/>
  <c r="H34" i="22" s="1"/>
  <c r="A35" i="22"/>
  <c r="H35" i="22" s="1"/>
  <c r="A38" i="22"/>
  <c r="H38" i="22" s="1"/>
  <c r="A42" i="22"/>
  <c r="H42" i="22" s="1"/>
  <c r="A40" i="22"/>
  <c r="H40" i="22" s="1"/>
  <c r="F47" i="1"/>
  <c r="F48" i="1" s="1"/>
  <c r="F54" i="1" s="1"/>
  <c r="G47" i="1"/>
  <c r="G48" i="1" s="1"/>
  <c r="G54" i="1" s="1"/>
  <c r="E47" i="1"/>
  <c r="E48" i="1" s="1"/>
  <c r="E54" i="1" s="1"/>
  <c r="L46" i="1"/>
  <c r="L53" i="1" s="1"/>
  <c r="E46" i="1"/>
  <c r="E53" i="1" s="1"/>
  <c r="L47" i="1"/>
  <c r="L48" i="1" s="1"/>
  <c r="L54" i="1" s="1"/>
  <c r="L74" i="4"/>
  <c r="A51" i="22"/>
  <c r="H51" i="22" s="1"/>
  <c r="A45" i="22"/>
  <c r="H45" i="22" s="1"/>
  <c r="H57" i="1"/>
  <c r="G57" i="1"/>
  <c r="F57" i="1"/>
  <c r="E57" i="1"/>
  <c r="H7" i="4"/>
  <c r="G46" i="1"/>
  <c r="G53" i="1" s="1"/>
  <c r="H46" i="1"/>
  <c r="H53" i="1" s="1"/>
  <c r="H47" i="1"/>
  <c r="H48" i="1" s="1"/>
  <c r="H54" i="1" s="1"/>
  <c r="G11" i="4"/>
  <c r="F9" i="4"/>
  <c r="E12" i="4"/>
  <c r="J55" i="4"/>
  <c r="J62" i="4"/>
  <c r="F55" i="4"/>
  <c r="F62" i="4"/>
  <c r="K55" i="4"/>
  <c r="K62" i="4"/>
  <c r="G55" i="4"/>
  <c r="G62" i="4"/>
  <c r="H74" i="4"/>
  <c r="H62" i="4"/>
  <c r="C74" i="4"/>
  <c r="C62" i="4"/>
  <c r="D55" i="4"/>
  <c r="D62" i="4"/>
  <c r="A36" i="22"/>
  <c r="H36" i="22" s="1"/>
  <c r="L55" i="4"/>
  <c r="L10" i="4"/>
  <c r="H55" i="4"/>
  <c r="J14" i="4"/>
  <c r="K15" i="4"/>
  <c r="B10" i="4"/>
  <c r="A32" i="22"/>
  <c r="H32" i="22" s="1"/>
  <c r="D13" i="28"/>
  <c r="D9" i="28"/>
  <c r="D5" i="28"/>
  <c r="D14" i="28"/>
  <c r="D10" i="28"/>
  <c r="D6" i="28"/>
  <c r="D15" i="28"/>
  <c r="D11" i="28"/>
  <c r="D7" i="28"/>
  <c r="D3" i="28"/>
  <c r="D12" i="28"/>
  <c r="D8" i="28"/>
  <c r="D4" i="28"/>
  <c r="K46" i="1"/>
  <c r="K53" i="1" s="1"/>
  <c r="A37" i="22"/>
  <c r="H37" i="22" s="1"/>
  <c r="I2" i="12"/>
  <c r="F2" i="12"/>
  <c r="A48" i="22"/>
  <c r="H48" i="22" s="1"/>
  <c r="A33" i="22"/>
  <c r="H33" i="22" s="1"/>
  <c r="A43" i="22"/>
  <c r="H43" i="22" s="1"/>
  <c r="A41" i="22"/>
  <c r="H41" i="22" s="1"/>
  <c r="A39" i="22"/>
  <c r="H39" i="22" s="1"/>
  <c r="C55" i="4"/>
  <c r="L2" i="12"/>
  <c r="B46" i="23"/>
  <c r="B53" i="23" s="1"/>
  <c r="B55" i="23" s="1"/>
  <c r="J46" i="23"/>
  <c r="J53" i="23" s="1"/>
  <c r="J55" i="23" s="1"/>
  <c r="J47" i="23"/>
  <c r="J48" i="23" s="1"/>
  <c r="J54" i="23" s="1"/>
  <c r="B47" i="23"/>
  <c r="B48" i="23" s="1"/>
  <c r="B54" i="23" s="1"/>
  <c r="B57" i="23"/>
  <c r="J57" i="23"/>
  <c r="L57" i="1"/>
  <c r="D74" i="4"/>
  <c r="M2" i="12"/>
  <c r="J2" i="12"/>
  <c r="C47" i="1"/>
  <c r="C48" i="1" s="1"/>
  <c r="C54" i="1" s="1"/>
  <c r="G74" i="4"/>
  <c r="D57" i="1"/>
  <c r="K57" i="1"/>
  <c r="J57" i="1"/>
  <c r="C57" i="1"/>
  <c r="D10" i="4"/>
  <c r="C10" i="4"/>
  <c r="B57" i="1"/>
  <c r="C46" i="1"/>
  <c r="C53" i="1" s="1"/>
  <c r="B46" i="1"/>
  <c r="B53" i="1" s="1"/>
  <c r="B47" i="1"/>
  <c r="B48" i="1" s="1"/>
  <c r="B54" i="1" s="1"/>
  <c r="D46" i="1"/>
  <c r="D53" i="1" s="1"/>
  <c r="J47" i="1"/>
  <c r="J48" i="1" s="1"/>
  <c r="J54" i="1" s="1"/>
  <c r="J46" i="1"/>
  <c r="J53" i="1" s="1"/>
  <c r="J55" i="1" s="1"/>
  <c r="D47" i="1"/>
  <c r="D48" i="1" s="1"/>
  <c r="D54" i="1" s="1"/>
  <c r="D8" i="4"/>
  <c r="F74" i="4"/>
  <c r="J74" i="4"/>
  <c r="K74" i="4"/>
  <c r="AD2" i="12"/>
  <c r="K78" i="4"/>
  <c r="H78" i="4"/>
  <c r="F78" i="4"/>
  <c r="L78" i="4"/>
  <c r="B78" i="4"/>
  <c r="J78" i="4"/>
  <c r="D78" i="4"/>
  <c r="E78" i="4"/>
  <c r="G78" i="4"/>
  <c r="C78" i="4"/>
  <c r="C55" i="23" l="1"/>
  <c r="C63" i="4"/>
  <c r="C64" i="4" s="1"/>
  <c r="F4" i="12"/>
  <c r="H56" i="4"/>
  <c r="H75" i="4" s="1"/>
  <c r="G55" i="1"/>
  <c r="F63" i="4"/>
  <c r="F64" i="4" s="1"/>
  <c r="L55" i="1"/>
  <c r="K55" i="23"/>
  <c r="K55" i="1"/>
  <c r="L55" i="23"/>
  <c r="D63" i="4"/>
  <c r="D64" i="4" s="1"/>
  <c r="B63" i="4"/>
  <c r="B64" i="4" s="1"/>
  <c r="J63" i="4"/>
  <c r="J64" i="4" s="1"/>
  <c r="G56" i="4"/>
  <c r="G75" i="4" s="1"/>
  <c r="H57" i="4"/>
  <c r="H58" i="4" s="1"/>
  <c r="H76" i="4" s="1"/>
  <c r="H63" i="4"/>
  <c r="H64" i="4" s="1"/>
  <c r="K63" i="4"/>
  <c r="K64" i="4" s="1"/>
  <c r="G63" i="4"/>
  <c r="G64" i="4" s="1"/>
  <c r="E63" i="4"/>
  <c r="E64" i="4" s="1"/>
  <c r="L63" i="4"/>
  <c r="L64" i="4" s="1"/>
  <c r="J4" i="12"/>
  <c r="G4" i="12"/>
  <c r="I4" i="12"/>
  <c r="G57" i="4"/>
  <c r="G58" i="4" s="1"/>
  <c r="G76" i="4" s="1"/>
  <c r="F57" i="4"/>
  <c r="F58" i="4" s="1"/>
  <c r="F76" i="4" s="1"/>
  <c r="B56" i="4"/>
  <c r="E79" i="4"/>
  <c r="G79" i="4"/>
  <c r="H79" i="4"/>
  <c r="F79" i="4"/>
  <c r="E57" i="4"/>
  <c r="E58" i="4" s="1"/>
  <c r="E76" i="4" s="1"/>
  <c r="E56" i="4"/>
  <c r="E75" i="4" s="1"/>
  <c r="F56" i="4"/>
  <c r="F75" i="4" s="1"/>
  <c r="K57" i="4"/>
  <c r="K58" i="4" s="1"/>
  <c r="K76" i="4" s="1"/>
  <c r="D56" i="4"/>
  <c r="D75" i="4" s="1"/>
  <c r="B57" i="4"/>
  <c r="B58" i="4" s="1"/>
  <c r="B76" i="4" s="1"/>
  <c r="D57" i="4"/>
  <c r="D58" i="4" s="1"/>
  <c r="D76" i="4" s="1"/>
  <c r="J57" i="4"/>
  <c r="J58" i="4" s="1"/>
  <c r="J76" i="4" s="1"/>
  <c r="C57" i="4"/>
  <c r="C58" i="4" s="1"/>
  <c r="C76" i="4" s="1"/>
  <c r="Q2" i="12"/>
  <c r="Q4" i="12" s="1"/>
  <c r="P2" i="12"/>
  <c r="P4" i="12" s="1"/>
  <c r="L56" i="4"/>
  <c r="L75" i="4" s="1"/>
  <c r="J56" i="4"/>
  <c r="J75" i="4" s="1"/>
  <c r="C56" i="4"/>
  <c r="C75" i="4" s="1"/>
  <c r="R2" i="12"/>
  <c r="R4" i="12" s="1"/>
  <c r="Z2" i="12"/>
  <c r="K56" i="4"/>
  <c r="L57" i="4"/>
  <c r="L58" i="4" s="1"/>
  <c r="L76" i="4" s="1"/>
  <c r="L79" i="4"/>
  <c r="K79" i="4"/>
  <c r="F2" i="27"/>
  <c r="F4" i="27" s="1"/>
  <c r="O2" i="12"/>
  <c r="O4" i="12" s="1"/>
  <c r="C79" i="4"/>
  <c r="D79" i="4"/>
  <c r="K15" i="28"/>
  <c r="K13" i="28"/>
  <c r="K11" i="28"/>
  <c r="K9" i="28"/>
  <c r="K7" i="28"/>
  <c r="K5" i="28"/>
  <c r="L14" i="28"/>
  <c r="L12" i="28"/>
  <c r="L10" i="28"/>
  <c r="L8" i="28"/>
  <c r="L6" i="28"/>
  <c r="L4" i="28"/>
  <c r="L15" i="28"/>
  <c r="L13" i="28"/>
  <c r="L11" i="28"/>
  <c r="L9" i="28"/>
  <c r="L7" i="28"/>
  <c r="L5" i="28"/>
  <c r="K14" i="28"/>
  <c r="K12" i="28"/>
  <c r="K10" i="28"/>
  <c r="K8" i="28"/>
  <c r="K6" i="28"/>
  <c r="K4" i="28"/>
  <c r="D55" i="23"/>
  <c r="H55" i="23"/>
  <c r="G55" i="23"/>
  <c r="E55" i="23"/>
  <c r="J79" i="4"/>
  <c r="B79" i="4"/>
  <c r="B64" i="23"/>
  <c r="F59" i="23"/>
  <c r="F60" i="23" s="1"/>
  <c r="L59" i="23"/>
  <c r="L60" i="23" s="1"/>
  <c r="K59" i="23"/>
  <c r="K60" i="23" s="1"/>
  <c r="B65" i="23"/>
  <c r="N2" i="12"/>
  <c r="N4" i="12" s="1"/>
  <c r="S2" i="12"/>
  <c r="S4" i="12" s="1"/>
  <c r="C59" i="23"/>
  <c r="C60" i="23" s="1"/>
  <c r="E59" i="23"/>
  <c r="E60" i="23" s="1"/>
  <c r="D59" i="23"/>
  <c r="D60" i="23" s="1"/>
  <c r="J59" i="23"/>
  <c r="J60" i="23" s="1"/>
  <c r="G59" i="23"/>
  <c r="G60" i="23" s="1"/>
  <c r="H59" i="23"/>
  <c r="H60" i="23" s="1"/>
  <c r="C55" i="1"/>
  <c r="H55" i="1"/>
  <c r="F55" i="1"/>
  <c r="D55" i="1"/>
  <c r="E55" i="1"/>
  <c r="H3" i="12"/>
  <c r="J59" i="1"/>
  <c r="J60" i="1" s="1"/>
  <c r="F59" i="1"/>
  <c r="F60" i="1" s="1"/>
  <c r="E59" i="1"/>
  <c r="H59" i="1"/>
  <c r="D59" i="1"/>
  <c r="D60" i="1" s="1"/>
  <c r="C59" i="1"/>
  <c r="C60" i="1" s="1"/>
  <c r="G59" i="1"/>
  <c r="G60" i="1" s="1"/>
  <c r="K59" i="1"/>
  <c r="K60" i="1" s="1"/>
  <c r="L59" i="1"/>
  <c r="L60" i="1" s="1"/>
  <c r="B65" i="1"/>
  <c r="B64" i="1"/>
  <c r="B55" i="1"/>
  <c r="G3" i="12"/>
  <c r="F3" i="12"/>
  <c r="J3" i="12"/>
  <c r="I3" i="12"/>
  <c r="E60" i="1"/>
  <c r="H60" i="1"/>
  <c r="AA2" i="12" l="1"/>
  <c r="AH2" i="12"/>
  <c r="H4" i="12"/>
  <c r="M4" i="12"/>
  <c r="L4" i="12"/>
  <c r="B80" i="4"/>
  <c r="K75" i="4"/>
  <c r="B5" i="27" s="1"/>
  <c r="J81" i="4"/>
  <c r="J82" i="4" s="1"/>
  <c r="AE2" i="12"/>
  <c r="Y2" i="12"/>
  <c r="B6" i="12"/>
  <c r="B6" i="27"/>
  <c r="F3" i="27"/>
  <c r="J77" i="4"/>
  <c r="L77" i="4"/>
  <c r="K81" i="4"/>
  <c r="K82" i="4" s="1"/>
  <c r="L81" i="4"/>
  <c r="B86" i="4"/>
  <c r="B87" i="4"/>
  <c r="B75" i="4"/>
  <c r="E61" i="23"/>
  <c r="D61" i="23"/>
  <c r="C61" i="23"/>
  <c r="L61" i="23"/>
  <c r="K61" i="23"/>
  <c r="F61" i="23"/>
  <c r="H61" i="23"/>
  <c r="G61" i="23"/>
  <c r="D61" i="1"/>
  <c r="G61" i="1"/>
  <c r="E61" i="1"/>
  <c r="F61" i="1"/>
  <c r="H61" i="1"/>
  <c r="O3" i="12"/>
  <c r="R3" i="12"/>
  <c r="S3" i="12"/>
  <c r="N3" i="12"/>
  <c r="M3" i="12"/>
  <c r="L3" i="12"/>
  <c r="AC2" i="12"/>
  <c r="W2" i="12"/>
  <c r="AG2" i="12"/>
  <c r="AD4" i="12"/>
  <c r="P3" i="12"/>
  <c r="Q3" i="12"/>
  <c r="K2" i="12"/>
  <c r="K4" i="12" s="1"/>
  <c r="B4" i="27"/>
  <c r="B4" i="12"/>
  <c r="J61" i="1"/>
  <c r="L61" i="1"/>
  <c r="K61" i="1"/>
  <c r="C61" i="1"/>
  <c r="AB2" i="12"/>
  <c r="AB4" i="12" s="1"/>
  <c r="AF2" i="12"/>
  <c r="L82" i="4"/>
  <c r="B5" i="12" l="1"/>
  <c r="K77" i="4"/>
  <c r="AE4" i="12"/>
  <c r="Z4" i="12"/>
  <c r="W4" i="12"/>
  <c r="AG4" i="12"/>
  <c r="AC4" i="12"/>
  <c r="AH4" i="12"/>
  <c r="AF4" i="12"/>
  <c r="Y4" i="12"/>
  <c r="AA4" i="12"/>
  <c r="F2" i="28"/>
  <c r="F81" i="4"/>
  <c r="G81" i="4"/>
  <c r="H81" i="4"/>
  <c r="D81" i="4"/>
  <c r="E81" i="4"/>
  <c r="C81" i="4"/>
  <c r="G77" i="4"/>
  <c r="F77" i="4"/>
  <c r="B77" i="4"/>
  <c r="B2" i="27"/>
  <c r="G6" i="27" s="1"/>
  <c r="I3" i="28"/>
  <c r="B2" i="12"/>
  <c r="E6" i="12" s="1"/>
  <c r="H77" i="4"/>
  <c r="D77" i="4"/>
  <c r="C77" i="4"/>
  <c r="E77" i="4"/>
  <c r="AG8" i="12"/>
  <c r="U8" i="12"/>
  <c r="AJ8" i="12"/>
  <c r="AB8" i="12"/>
  <c r="AB9" i="12" s="1"/>
  <c r="AB10" i="12" s="1"/>
  <c r="Z8" i="12"/>
  <c r="AC8" i="12"/>
  <c r="V8" i="12"/>
  <c r="X8" i="12"/>
  <c r="X9" i="12" s="1"/>
  <c r="X10" i="12" s="1"/>
  <c r="AH8" i="12"/>
  <c r="AD8" i="12"/>
  <c r="AI8" i="12"/>
  <c r="W8" i="12"/>
  <c r="W9" i="12" s="1"/>
  <c r="W10" i="12" s="1"/>
  <c r="Y8" i="12"/>
  <c r="AE8" i="12"/>
  <c r="AA8" i="12"/>
  <c r="AF8" i="12"/>
  <c r="AF9" i="12" s="1"/>
  <c r="AF10" i="12" s="1"/>
  <c r="H8" i="27"/>
  <c r="H9" i="27" s="1"/>
  <c r="H10" i="27" s="1"/>
  <c r="J8" i="27"/>
  <c r="J9" i="27" s="1"/>
  <c r="J10" i="27" s="1"/>
  <c r="I8" i="27"/>
  <c r="I9" i="27" s="1"/>
  <c r="I10" i="27" s="1"/>
  <c r="Q5" i="12"/>
  <c r="R5" i="12"/>
  <c r="K83" i="4"/>
  <c r="S5" i="12"/>
  <c r="L83" i="4"/>
  <c r="P5" i="12"/>
  <c r="J83" i="4"/>
  <c r="J61" i="23"/>
  <c r="AG3" i="12"/>
  <c r="AD3" i="12"/>
  <c r="AE3" i="12"/>
  <c r="AC3" i="12"/>
  <c r="W3" i="12"/>
  <c r="Y3" i="12"/>
  <c r="I2" i="27"/>
  <c r="I4" i="27" s="1"/>
  <c r="V2" i="12"/>
  <c r="V4" i="12" s="1"/>
  <c r="J2" i="28"/>
  <c r="K3" i="12"/>
  <c r="J3" i="28"/>
  <c r="F3" i="28"/>
  <c r="Z3" i="12"/>
  <c r="AA3" i="12"/>
  <c r="AH3" i="12"/>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D83" i="4" l="1"/>
  <c r="F83" i="4"/>
  <c r="AE9" i="12"/>
  <c r="AE10" i="12" s="1"/>
  <c r="AD9" i="12"/>
  <c r="AD10" i="12" s="1"/>
  <c r="AC9" i="12"/>
  <c r="AC10" i="12" s="1"/>
  <c r="U9" i="12"/>
  <c r="U10" i="12" s="1"/>
  <c r="Y9" i="12"/>
  <c r="Y10" i="12" s="1"/>
  <c r="AH9" i="12"/>
  <c r="AH10" i="12" s="1"/>
  <c r="Z9" i="12"/>
  <c r="Z10" i="12" s="1"/>
  <c r="AG9" i="12"/>
  <c r="AG10" i="12" s="1"/>
  <c r="AA9" i="12"/>
  <c r="AA10" i="12" s="1"/>
  <c r="AI9" i="12"/>
  <c r="AI10" i="12" s="1"/>
  <c r="V9" i="12"/>
  <c r="V10" i="12" s="1"/>
  <c r="AJ9" i="12"/>
  <c r="AJ10" i="12" s="1"/>
  <c r="G83" i="4"/>
  <c r="E83" i="4"/>
  <c r="C83" i="4"/>
  <c r="H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I9" i="22" s="1"/>
  <c r="F12" i="22"/>
  <c r="G12" i="22" s="1"/>
  <c r="F16" i="22"/>
  <c r="G16" i="22" s="1"/>
  <c r="F22" i="22"/>
  <c r="I22" i="22" s="1"/>
  <c r="J5" i="12"/>
  <c r="F15" i="22"/>
  <c r="I15" i="22" s="1"/>
  <c r="L5" i="12"/>
  <c r="F21" i="22"/>
  <c r="G21" i="22" s="1"/>
  <c r="F5" i="12"/>
  <c r="F24" i="22"/>
  <c r="G24" i="22" s="1"/>
  <c r="F10" i="22"/>
  <c r="K10" i="22" s="1"/>
  <c r="F11" i="22"/>
  <c r="I11" i="22" s="1"/>
  <c r="F13" i="22"/>
  <c r="I13" i="22" s="1"/>
  <c r="F14" i="22"/>
  <c r="K14" i="22" s="1"/>
  <c r="M14" i="22" s="1"/>
  <c r="F18" i="22"/>
  <c r="G18" i="22" s="1"/>
  <c r="F8" i="22"/>
  <c r="G8" i="22" s="1"/>
  <c r="F5" i="27"/>
  <c r="F25" i="22"/>
  <c r="K25" i="22" s="1"/>
  <c r="M25" i="22" s="1"/>
  <c r="G5" i="12"/>
  <c r="H5" i="12"/>
  <c r="F17" i="22"/>
  <c r="K17" i="22" s="1"/>
  <c r="M17" i="22" s="1"/>
  <c r="K5" i="12"/>
  <c r="G51" i="22"/>
  <c r="J51" i="22" s="1"/>
  <c r="I51" i="22"/>
  <c r="M51" i="22" s="1"/>
  <c r="K51" i="22"/>
  <c r="N51" i="22" s="1"/>
  <c r="G44" i="22"/>
  <c r="J44" i="22" s="1"/>
  <c r="I44" i="22"/>
  <c r="M44" i="22" s="1"/>
  <c r="K44" i="22"/>
  <c r="N44" i="22" s="1"/>
  <c r="G9" i="22"/>
  <c r="I24" i="22"/>
  <c r="G38" i="22"/>
  <c r="J38" i="22" s="1"/>
  <c r="I38" i="22"/>
  <c r="M38" i="22" s="1"/>
  <c r="K38" i="22"/>
  <c r="N38" i="22" s="1"/>
  <c r="G33" i="22"/>
  <c r="J33" i="22" s="1"/>
  <c r="I33" i="22"/>
  <c r="M33" i="22" s="1"/>
  <c r="K33" i="22"/>
  <c r="N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I35" i="22"/>
  <c r="M35" i="22" s="1"/>
  <c r="K35" i="22"/>
  <c r="N35" i="22" s="1"/>
  <c r="G42" i="22"/>
  <c r="J42" i="22" s="1"/>
  <c r="I42" i="22"/>
  <c r="M42" i="22" s="1"/>
  <c r="K42" i="22"/>
  <c r="N42" i="22" s="1"/>
  <c r="G47" i="22"/>
  <c r="J47" i="22" s="1"/>
  <c r="I47" i="22"/>
  <c r="M47" i="22" s="1"/>
  <c r="K47" i="22"/>
  <c r="N47" i="22" s="1"/>
  <c r="G49" i="22"/>
  <c r="J49" i="22" s="1"/>
  <c r="I49" i="22"/>
  <c r="M49" i="22" s="1"/>
  <c r="K49" i="22"/>
  <c r="N49" i="22" s="1"/>
  <c r="G34" i="22"/>
  <c r="J34" i="22" s="1"/>
  <c r="I34" i="22"/>
  <c r="M34" i="22" s="1"/>
  <c r="K34" i="22"/>
  <c r="N34" i="22" s="1"/>
  <c r="G39" i="22"/>
  <c r="J39" i="22" s="1"/>
  <c r="I39" i="22"/>
  <c r="M39" i="22" s="1"/>
  <c r="K39" i="22"/>
  <c r="N39" i="22" s="1"/>
  <c r="G32" i="22"/>
  <c r="J32" i="22" s="1"/>
  <c r="I32" i="22"/>
  <c r="M32" i="22" s="1"/>
  <c r="K32" i="22"/>
  <c r="G45" i="22"/>
  <c r="J45" i="22" s="1"/>
  <c r="I45" i="22"/>
  <c r="M45" i="22" s="1"/>
  <c r="K45" i="22"/>
  <c r="N45" i="22" s="1"/>
  <c r="G36" i="22"/>
  <c r="J36" i="22" s="1"/>
  <c r="I36" i="22"/>
  <c r="M36" i="22" s="1"/>
  <c r="K36" i="22"/>
  <c r="N36" i="22" s="1"/>
  <c r="G48" i="22"/>
  <c r="J48" i="22" s="1"/>
  <c r="I48" i="22"/>
  <c r="M48" i="22" s="1"/>
  <c r="K48" i="22"/>
  <c r="N48" i="22" s="1"/>
  <c r="G43" i="22"/>
  <c r="J43" i="22" s="1"/>
  <c r="I43" i="22"/>
  <c r="M43" i="22" s="1"/>
  <c r="K43" i="22"/>
  <c r="N43" i="22" s="1"/>
  <c r="L3" i="28"/>
  <c r="K15" i="22" l="1"/>
  <c r="M15" i="22" s="1"/>
  <c r="G25" i="22"/>
  <c r="K26" i="22"/>
  <c r="M26" i="22" s="1"/>
  <c r="G13" i="22"/>
  <c r="I12" i="22"/>
  <c r="G22" i="22"/>
  <c r="K12" i="22"/>
  <c r="M12" i="22" s="1"/>
  <c r="G15" i="22"/>
  <c r="G14" i="22"/>
  <c r="I17" i="22"/>
  <c r="K7" i="22"/>
  <c r="M7" i="22" s="1"/>
  <c r="I25" i="22"/>
  <c r="K19" i="22"/>
  <c r="M19" i="22" s="1"/>
  <c r="I14" i="22"/>
  <c r="G10" i="22"/>
  <c r="K18" i="22"/>
  <c r="M18" i="22" s="1"/>
  <c r="K16" i="22"/>
  <c r="M16" i="22" s="1"/>
  <c r="I19" i="22"/>
  <c r="I18" i="22"/>
  <c r="I10" i="22"/>
  <c r="K21" i="22"/>
  <c r="M21" i="22" s="1"/>
  <c r="G11" i="22"/>
  <c r="I7" i="22"/>
  <c r="G3" i="28" s="1"/>
  <c r="K24" i="22"/>
  <c r="M24" i="22" s="1"/>
  <c r="I26" i="22"/>
  <c r="G17" i="22"/>
  <c r="K13" i="22"/>
  <c r="M13" i="22" s="1"/>
  <c r="K9" i="22"/>
  <c r="M9" i="22" s="1"/>
  <c r="M10" i="22"/>
  <c r="N10" i="22"/>
  <c r="I16" i="22"/>
  <c r="G20" i="22"/>
  <c r="K8" i="22"/>
  <c r="M8" i="22" s="1"/>
  <c r="K23" i="22"/>
  <c r="M23" i="22" s="1"/>
  <c r="I21" i="22"/>
  <c r="K22" i="22"/>
  <c r="M22" i="22" s="1"/>
  <c r="I8" i="22"/>
  <c r="I23" i="22"/>
  <c r="K20" i="22"/>
  <c r="M20" i="22" s="1"/>
  <c r="K11" i="22"/>
  <c r="M11" i="22" s="1"/>
  <c r="H3" i="28"/>
  <c r="N25" i="22"/>
  <c r="N17" i="22"/>
  <c r="N14" i="22"/>
  <c r="L2" i="28"/>
  <c r="N32" i="22"/>
  <c r="K3" i="28"/>
  <c r="K2" i="28"/>
  <c r="G13" i="28"/>
  <c r="G14" i="28"/>
  <c r="G4" i="28"/>
  <c r="G8" i="28"/>
  <c r="G11" i="28"/>
  <c r="G12" i="28"/>
  <c r="G9" i="28"/>
  <c r="G6" i="28"/>
  <c r="G15" i="28"/>
  <c r="G7" i="28"/>
  <c r="G5" i="28"/>
  <c r="G10" i="28"/>
  <c r="H6" i="28"/>
  <c r="H15" i="28"/>
  <c r="H12" i="28"/>
  <c r="H9" i="28"/>
  <c r="H14" i="28"/>
  <c r="H10" i="28"/>
  <c r="H13" i="28"/>
  <c r="H11" i="28"/>
  <c r="H8" i="28"/>
  <c r="H5" i="28"/>
  <c r="H4" i="28"/>
  <c r="H7" i="28"/>
  <c r="N26" i="22" l="1"/>
  <c r="N12" i="22"/>
  <c r="N15" i="22"/>
  <c r="N16" i="22"/>
  <c r="N7" i="22"/>
  <c r="H2" i="28"/>
  <c r="N19" i="22"/>
  <c r="N21" i="22"/>
  <c r="N18" i="22"/>
  <c r="N24" i="22"/>
  <c r="N20" i="22"/>
  <c r="G2" i="28"/>
  <c r="N13" i="22"/>
  <c r="N8" i="22"/>
  <c r="N11" i="22"/>
  <c r="N9" i="22"/>
  <c r="N23" i="22"/>
  <c r="N2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<sst xmlns="http://schemas.openxmlformats.org/spreadsheetml/2006/main" count="4312" uniqueCount="1448">
  <si>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</si>
  <si>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</si>
  <si>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</si>
  <si>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</si>
  <si>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</si>
  <si>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</si>
  <si>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</si>
  <si>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</si>
  <si>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</si>
  <si>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</si>
  <si>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</si>
  <si>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</si>
  <si>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</si>
  <si>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</si>
  <si>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</si>
  <si>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</si>
  <si>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</si>
  <si>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</si>
  <si>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</si>
  <si>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</si>
  <si>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</si>
  <si>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</si>
  <si>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</si>
  <si>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</si>
  <si>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</si>
  <si>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</si>
  <si>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</si>
  <si>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</si>
  <si>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</si>
  <si>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</si>
  <si>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</si>
  <si>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</si>
  <si>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</si>
  <si>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</si>
  <si>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</si>
  <si>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</si>
  <si>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</si>
  <si>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</si>
  <si>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</si>
  <si>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</si>
  <si>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</si>
  <si>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</si>
  <si>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</si>
  <si>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</si>
  <si>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</si>
  <si>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</si>
  <si>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</si>
  <si>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</si>
  <si>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</si>
  <si>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</si>
  <si>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</si>
  <si>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</si>
  <si>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</si>
  <si>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</si>
  <si>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</si>
  <si>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</si>
  <si>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</si>
  <si>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</si>
  <si>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</si>
  <si>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</si>
  <si>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</si>
  <si>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</si>
  <si>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</si>
  <si>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</si>
  <si>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</si>
  <si>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</si>
  <si>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</si>
  <si>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</si>
  <si>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</si>
  <si>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</si>
  <si>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</si>
  <si>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</si>
  <si>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</si>
  <si>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</si>
  <si>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</si>
  <si>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</si>
  <si>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</si>
  <si>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</si>
  <si>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</si>
  <si>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</si>
  <si>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</si>
  <si>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</si>
  <si>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</si>
  <si>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</si>
  <si>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</si>
  <si>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</si>
  <si>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</si>
  <si>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</si>
  <si>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</si>
  <si>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</si>
  <si>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</si>
  <si>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</si>
  <si>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</si>
  <si>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</si>
  <si>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</si>
  <si>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</si>
  <si>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</si>
  <si>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</si>
  <si>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</si>
  <si>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</si>
  <si>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</si>
  <si>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</si>
  <si>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</si>
  <si>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</si>
  <si>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</si>
  <si>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</si>
  <si>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</si>
  <si>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</si>
  <si>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</si>
  <si>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</si>
  <si>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</si>
  <si>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</si>
  <si>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</si>
  <si>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</si>
  <si>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</si>
  <si>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</si>
  <si>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</si>
  <si>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</si>
  <si>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</si>
  <si>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</si>
  <si>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</si>
  <si>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</si>
  <si>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</si>
  <si>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</si>
  <si>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</si>
  <si>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</si>
  <si>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</si>
  <si>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</si>
  <si>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</si>
  <si>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</si>
  <si>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</si>
  <si>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</si>
  <si>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</si>
  <si>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</si>
  <si>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</si>
  <si>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</si>
  <si>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</si>
  <si>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</si>
  <si>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</si>
  <si>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</si>
  <si>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</si>
  <si>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</si>
  <si>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</si>
  <si>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</si>
  <si>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</si>
  <si>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</si>
  <si>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</si>
  <si>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</si>
  <si>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</si>
  <si>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</si>
  <si>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</si>
  <si>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</si>
  <si>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</si>
  <si>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</si>
  <si>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</si>
  <si>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</si>
  <si>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</si>
  <si>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</si>
  <si>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</si>
  <si>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</si>
  <si>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</si>
  <si>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</si>
  <si>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</si>
  <si>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</si>
  <si>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</si>
  <si>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</si>
  <si>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</si>
  <si>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 xml:space="preserve">file name </t>
  </si>
  <si>
    <t>C:\Users\cbarrier\Desktop\Calibration\20201110_Cefas_Test3_Run1/@1/20201110_Cefas_Test3_Run1/@1/A10- exclu.tif</t>
  </si>
  <si>
    <t xml:space="preserve">C:\Users\cbarrier\Desktop\Calibration\20201110_Cefas_Test3_Run1/@1/20201110_Cefas_Test3_Run1/@1/B10.tif </t>
  </si>
  <si>
    <t xml:space="preserve"> 36.2845 </t>
  </si>
  <si>
    <t xml:space="preserve">C:\Users\cbarrier\Desktop\Calibration\20201110_Cefas_Test3_Run1/@1/20201110_Cefas_Test3_Run1/@1/C10.tif </t>
  </si>
  <si>
    <t xml:space="preserve"> 34.866 </t>
  </si>
  <si>
    <t xml:space="preserve">C:\Users\cbarrier\Desktop\Calibration\20201110_Cefas_Test3_Run1/@1/20201110_Cefas_Test3_Run1/@1/D10.tif </t>
  </si>
  <si>
    <t xml:space="preserve"> 35.9808 </t>
  </si>
  <si>
    <t xml:space="preserve">C:\Users\cbarrier\Desktop\Calibration\20201110_Cefas_Test3_Run1/@1/20201110_Cefas_Test3_Run1/@1/E10.tif </t>
  </si>
  <si>
    <t xml:space="preserve"> 31.1 </t>
  </si>
  <si>
    <t xml:space="preserve">C:\Users\cbarrier\Desktop\Calibration\20201110_Cefas_Test3_Run1/@1/20201110_Cefas_Test3_Run1/@1/F10.tif </t>
  </si>
  <si>
    <t xml:space="preserve"> 34.0192 </t>
  </si>
  <si>
    <t xml:space="preserve">C:\Users\cbarrier\Desktop\Calibration\20201110_Cefas_Test3_Run1/@1/20201110_Cefas_Test3_Run1/@1/G10.tif </t>
  </si>
  <si>
    <t xml:space="preserve"> 34.8137 </t>
  </si>
  <si>
    <t xml:space="preserve">C:\Users\cbarrier\Desktop\Calibration\20201110_Cefas_Test3_Run1/@1/20201110_Cefas_Test3_Run1/@1/H10.tif </t>
  </si>
  <si>
    <t xml:space="preserve"> 36.3977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</si>
  <si>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</si>
  <si>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</si>
  <si>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</si>
  <si>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</si>
  <si>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</si>
  <si>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</si>
  <si>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</si>
  <si>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C:\Users\cbarrier\Desktop\Calibration\20201110_Cefas_Test3_Run1/@1/ </t>
  </si>
  <si>
    <t xml:space="preserve"> 37.6506 </t>
  </si>
  <si>
    <t xml:space="preserve"> 8.2965 </t>
  </si>
  <si>
    <t xml:space="preserve"> 12643.8806 </t>
  </si>
  <si>
    <t xml:space="preserve">C:\Users\cbarrier\Desktop\Calibration\20201110_Cefas_Test3_Run1/@13/20201110_Cefas_Test3_Run1/@13/A8.tif </t>
  </si>
  <si>
    <t xml:space="preserve"> 40.7675 </t>
  </si>
  <si>
    <t xml:space="preserve">C:\Users\cbarrier\Desktop\Calibration\20201110_Cefas_Test3_Run1/@13/20201110_Cefas_Test3_Run1/@13/B8.tif </t>
  </si>
  <si>
    <t xml:space="preserve"> 34.4396 </t>
  </si>
  <si>
    <t xml:space="preserve">C:\Users\cbarrier\Desktop\Calibration\20201110_Cefas_Test3_Run1/@13/20201110_Cefas_Test3_Run1/@13/C8.tif </t>
  </si>
  <si>
    <t xml:space="preserve"> 39.7307 </t>
  </si>
  <si>
    <t xml:space="preserve">C:\Users\cbarrier\Desktop\Calibration\20201110_Cefas_Test3_Run1/@13/20201110_Cefas_Test3_Run1/@13/D8.tif </t>
  </si>
  <si>
    <t xml:space="preserve"> 41.1683 </t>
  </si>
  <si>
    <t xml:space="preserve">C:\Users\cbarrier\Desktop\Calibration\20201110_Cefas_Test3_Run1/@13/20201110_Cefas_Test3_Run1/@13/E8.tif </t>
  </si>
  <si>
    <t xml:space="preserve"> 43.0151 </t>
  </si>
  <si>
    <t xml:space="preserve">C:\Users\cbarrier\Desktop\Calibration\20201110_Cefas_Test3_Run1/@13/20201110_Cefas_Test3_Run1/@13/F8.tif </t>
  </si>
  <si>
    <t xml:space="preserve"> 34.6405 </t>
  </si>
  <si>
    <t xml:space="preserve">C:\Users\cbarrier\Desktop\Calibration\20201110_Cefas_Test3_Run1/@13/20201110_Cefas_Test3_Run1/@13/G8.tif </t>
  </si>
  <si>
    <t xml:space="preserve"> 50.4736 </t>
  </si>
  <si>
    <t xml:space="preserve">C:\Users\cbarrier\Desktop\Calibration\20201110_Cefas_Test3_Run1/@13/20201110_Cefas_Test3_Run1/@13/H8.tif </t>
  </si>
  <si>
    <t xml:space="preserve"> 45.4599 </t>
  </si>
  <si>
    <t xml:space="preserve">C:\Users\cbarrier\Desktop\Calibration\20201110_Cefas_Test3_Run1/@13/ </t>
  </si>
  <si>
    <t xml:space="preserve"> 41.2119 </t>
  </si>
  <si>
    <t xml:space="preserve"> 5.3254 </t>
  </si>
  <si>
    <t xml:space="preserve"> 85677.125 </t>
  </si>
  <si>
    <t xml:space="preserve"> 50552.6322 </t>
  </si>
  <si>
    <t>C:\Users\cbarrier\Desktop\Calibration\20201110_Cefas_Test3_Run1/@14/20201110_Cefas_Test3_Run1/@14/A9- exclu.tif</t>
  </si>
  <si>
    <t xml:space="preserve">C:\Users\cbarrier\Desktop\Calibration\20201110_Cefas_Test3_Run1/@14/20201110_Cefas_Test3_Run1/@14/B9.tif </t>
  </si>
  <si>
    <t xml:space="preserve"> 37.4247 </t>
  </si>
  <si>
    <t xml:space="preserve">C:\Users\cbarrier\Desktop\Calibration\20201110_Cefas_Test3_Run1/@14/20201110_Cefas_Test3_Run1/@14/C9.tif </t>
  </si>
  <si>
    <t xml:space="preserve"> 33.4644 </t>
  </si>
  <si>
    <t xml:space="preserve">C:\Users\cbarrier\Desktop\Calibration\20201110_Cefas_Test3_Run1/@14/20201110_Cefas_Test3_Run1/@14/D9.tif </t>
  </si>
  <si>
    <t xml:space="preserve"> 40.1654 </t>
  </si>
  <si>
    <t xml:space="preserve">C:\Users\cbarrier\Desktop\Calibration\20201110_Cefas_Test3_Run1/@14/20201110_Cefas_Test3_Run1/@14/E9.tif </t>
  </si>
  <si>
    <t xml:space="preserve"> 36.3516 </t>
  </si>
  <si>
    <t xml:space="preserve">C:\Users\cbarrier\Desktop\Calibration\20201110_Cefas_Test3_Run1/@14/20201110_Cefas_Test3_Run1/@14/F9.tif </t>
  </si>
  <si>
    <t xml:space="preserve"> 42.0302 </t>
  </si>
  <si>
    <t xml:space="preserve">C:\Users\cbarrier\Desktop\Calibration\20201110_Cefas_Test3_Run1/@14/20201110_Cefas_Test3_Run1/@14/G9.tif </t>
  </si>
  <si>
    <t xml:space="preserve"> 39.6157 </t>
  </si>
  <si>
    <t xml:space="preserve">C:\Users\cbarrier\Desktop\Calibration\20201110_Cefas_Test3_Run1/@14/20201110_Cefas_Test3_Run1/@14/H9.tif </t>
  </si>
  <si>
    <t xml:space="preserve"> 37.8518 </t>
  </si>
  <si>
    <t xml:space="preserve">C:\Users\cbarrier\Desktop\Calibration\20201110_Cefas_Test3_Run1/@14/ </t>
  </si>
  <si>
    <t xml:space="preserve"> 38.5467 </t>
  </si>
  <si>
    <t xml:space="preserve"> 2.8494 </t>
  </si>
  <si>
    <t xml:space="preserve"> 67514.75 </t>
  </si>
  <si>
    <t xml:space="preserve"> 35477.0645 </t>
  </si>
  <si>
    <t xml:space="preserve">C:\Users\cbarrier\Desktop\Calibration\20201110_Cefas_Test3_Run1/@15/20201110_Cefas_Test3_Run1/@15/A11.tif </t>
  </si>
  <si>
    <t xml:space="preserve"> 48.5006 </t>
  </si>
  <si>
    <t xml:space="preserve">C:\Users\cbarrier\Desktop\Calibration\20201110_Cefas_Test3_Run1/@15/20201110_Cefas_Test3_Run1/@15/B11.tif </t>
  </si>
  <si>
    <t xml:space="preserve"> 53.6902 </t>
  </si>
  <si>
    <t xml:space="preserve">C:\Users\cbarrier\Desktop\Calibration\20201110_Cefas_Test3_Run1/@15/20201110_Cefas_Test3_Run1/@15/C11.tif </t>
  </si>
  <si>
    <t xml:space="preserve"> 50.859 </t>
  </si>
  <si>
    <t xml:space="preserve">C:\Users\cbarrier\Desktop\Calibration\20201110_Cefas_Test3_Run1/@15/20201110_Cefas_Test3_Run1/@15/D11.tif </t>
  </si>
  <si>
    <t xml:space="preserve"> 52.5354 </t>
  </si>
  <si>
    <t xml:space="preserve">C:\Users\cbarrier\Desktop\Calibration\20201110_Cefas_Test3_Run1/@15/20201110_Cefas_Test3_Run1/@15/E11.tif </t>
  </si>
  <si>
    <t xml:space="preserve"> 46.9044 </t>
  </si>
  <si>
    <t>C:\Users\cbarrier\Desktop\Calibration\20201110_Cefas_Test3_Run1/@15/20201110_Cefas_Test3_Run1/@15/F11- exclu.tif</t>
  </si>
  <si>
    <t xml:space="preserve">C:\Users\cbarrier\Desktop\Calibration\20201110_Cefas_Test3_Run1/@15/20201110_Cefas_Test3_Run1/@15/G11.tif </t>
  </si>
  <si>
    <t xml:space="preserve"> 50.9069 </t>
  </si>
  <si>
    <t xml:space="preserve">C:\Users\cbarrier\Desktop\Calibration\20201110_Cefas_Test3_Run1/@15/20201110_Cefas_Test3_Run1/@15/H11.tif </t>
  </si>
  <si>
    <t xml:space="preserve"> 44.7974 </t>
  </si>
  <si>
    <t xml:space="preserve">C:\Users\cbarrier\Desktop\Calibration\20201110_Cefas_Test3_Run1/@15/ </t>
  </si>
  <si>
    <t xml:space="preserve"> 47.4978 </t>
  </si>
  <si>
    <t xml:space="preserve"> 6.9905 </t>
  </si>
  <si>
    <t xml:space="preserve"> 150466.125 </t>
  </si>
  <si>
    <t xml:space="preserve"> 65257.0663 </t>
  </si>
  <si>
    <t xml:space="preserve">C:\Users\cbarrier\Desktop\Calibration\20201110_Cefas_Test3_Run1/@16/20201110_Cefas_Test3_Run1/@16/A12.tif </t>
  </si>
  <si>
    <t xml:space="preserve"> 32.8421 </t>
  </si>
  <si>
    <t xml:space="preserve">C:\Users\cbarrier\Desktop\Calibration\20201110_Cefas_Test3_Run1/@16/20201110_Cefas_Test3_Run1/@16/B12.tif </t>
  </si>
  <si>
    <t xml:space="preserve"> 36.2417 </t>
  </si>
  <si>
    <t>C:\Users\cbarrier\Desktop\Calibration\20201110_Cefas_Test3_Run1/@16/20201110_Cefas_Test3_Run1/@16/C12- exclu.tif</t>
  </si>
  <si>
    <t>C:\Users\cbarrier\Desktop\Calibration\20201110_Cefas_Test3_Run1/@16/20201110_Cefas_Test3_Run1/@16/D12- exclu.tif</t>
  </si>
  <si>
    <t xml:space="preserve">C:\Users\cbarrier\Desktop\Calibration\20201110_Cefas_Test3_Run1/@16/20201110_Cefas_Test3_Run1/@16/E12.tif </t>
  </si>
  <si>
    <t xml:space="preserve"> 36.1742 </t>
  </si>
  <si>
    <t xml:space="preserve">C:\Users\cbarrier\Desktop\Calibration\20201110_Cefas_Test3_Run1/@16/20201110_Cefas_Test3_Run1/@16/F12.tif </t>
  </si>
  <si>
    <t xml:space="preserve"> 34.4074 </t>
  </si>
  <si>
    <t xml:space="preserve">C:\Users\cbarrier\Desktop\Calibration\20201110_Cefas_Test3_Run1/@16/20201110_Cefas_Test3_Run1/@16/G12.tif </t>
  </si>
  <si>
    <t xml:space="preserve"> 32.3158 </t>
  </si>
  <si>
    <t xml:space="preserve">C:\Users\cbarrier\Desktop\Calibration\20201110_Cefas_Test3_Run1/@16/20201110_Cefas_Test3_Run1/@16/H12.tif </t>
  </si>
  <si>
    <t xml:space="preserve"> 35.4727 </t>
  </si>
  <si>
    <t xml:space="preserve">C:\Users\cbarrier\Desktop\Calibration\20201110_Cefas_Test3_Run1/@16/ </t>
  </si>
  <si>
    <t xml:space="preserve"> 33.0461 </t>
  </si>
  <si>
    <t xml:space="preserve"> 15.5382 </t>
  </si>
  <si>
    <t xml:space="preserve"> 11149.8637 </t>
  </si>
  <si>
    <t xml:space="preserve">C:\Users\cbarrier\Desktop\Calibration\20201110_Cefas_Test3_Run1/@2/20201110_Cefas_Test3_Run1/@2/A2.tif </t>
  </si>
  <si>
    <t xml:space="preserve"> 40.2773 </t>
  </si>
  <si>
    <t xml:space="preserve">C:\Users\cbarrier\Desktop\Calibration\20201110_Cefas_Test3_Run1/@2/20201110_Cefas_Test3_Run1/@2/B2.tif </t>
  </si>
  <si>
    <t xml:space="preserve"> 34.1202 </t>
  </si>
  <si>
    <t xml:space="preserve">C:\Users\cbarrier\Desktop\Calibration\20201110_Cefas_Test3_Run1/@2/20201110_Cefas_Test3_Run1/@2/C2.tif </t>
  </si>
  <si>
    <t xml:space="preserve"> 42.4342 </t>
  </si>
  <si>
    <t xml:space="preserve">C:\Users\cbarrier\Desktop\Calibration\20201110_Cefas_Test3_Run1/@2/20201110_Cefas_Test3_Run1/@2/D2.tif </t>
  </si>
  <si>
    <t xml:space="preserve">C:\Users\cbarrier\Desktop\Calibration\20201110_Cefas_Test3_Run1/@2/20201110_Cefas_Test3_Run1/@2/E2.tif </t>
  </si>
  <si>
    <t xml:space="preserve"> 37.2097 </t>
  </si>
  <si>
    <t xml:space="preserve">C:\Users\cbarrier\Desktop\Calibration\20201110_Cefas_Test3_Run1/@2/20201110_Cefas_Test3_Run1/@2/F2.tif </t>
  </si>
  <si>
    <t xml:space="preserve"> 46.5494 </t>
  </si>
  <si>
    <t xml:space="preserve">C:\Users\cbarrier\Desktop\Calibration\20201110_Cefas_Test3_Run1/@2/20201110_Cefas_Test3_Run1/@2/G2.tif </t>
  </si>
  <si>
    <t xml:space="preserve"> 30.7692 </t>
  </si>
  <si>
    <t xml:space="preserve">C:\Users\cbarrier\Desktop\Calibration\20201110_Cefas_Test3_Run1/@2/20201110_Cefas_Test3_Run1/@2/H2.tif </t>
  </si>
  <si>
    <t xml:space="preserve"> 41.3618 </t>
  </si>
  <si>
    <t xml:space="preserve">C:\Users\cbarrier\Desktop\Calibration\20201110_Cefas_Test3_Run1/@2/ </t>
  </si>
  <si>
    <t xml:space="preserve"> 38.7152 </t>
  </si>
  <si>
    <t xml:space="preserve"> 4.9873 </t>
  </si>
  <si>
    <t xml:space="preserve"> 10853.875 </t>
  </si>
  <si>
    <t xml:space="preserve"> 7530.4165 </t>
  </si>
  <si>
    <t xml:space="preserve">C:\Users\cbarrier\Desktop\Calibration\20201110_Cefas_Test3_Run1/@3/20201110_Cefas_Test3_Run1/@3/A3.tif </t>
  </si>
  <si>
    <t xml:space="preserve"> 36.6114 </t>
  </si>
  <si>
    <t xml:space="preserve">C:\Users\cbarrier\Desktop\Calibration\20201110_Cefas_Test3_Run1/@3/20201110_Cefas_Test3_Run1/@3/B3.tif </t>
  </si>
  <si>
    <t xml:space="preserve"> 38.243 </t>
  </si>
  <si>
    <t xml:space="preserve">C:\Users\cbarrier\Desktop\Calibration\20201110_Cefas_Test3_Run1/@3/20201110_Cefas_Test3_Run1/@3/C3.tif </t>
  </si>
  <si>
    <t xml:space="preserve"> 48.1749 </t>
  </si>
  <si>
    <t xml:space="preserve">C:\Users\cbarrier\Desktop\Calibration\20201110_Cefas_Test3_Run1/@3/20201110_Cefas_Test3_Run1/@3/D3.tif </t>
  </si>
  <si>
    <t xml:space="preserve"> 41.5405 </t>
  </si>
  <si>
    <t xml:space="preserve">C:\Users\cbarrier\Desktop\Calibration\20201110_Cefas_Test3_Run1/@3/20201110_Cefas_Test3_Run1/@3/E3.tif </t>
  </si>
  <si>
    <t xml:space="preserve"> 35.9839 </t>
  </si>
  <si>
    <t>C:\Users\cbarrier\Desktop\Calibration\20201110_Cefas_Test3_Run1/@3/20201110_Cefas_Test3_Run1/@3/F3- exclu.tif</t>
  </si>
  <si>
    <t xml:space="preserve">C:\Users\cbarrier\Desktop\Calibration\20201110_Cefas_Test3_Run1/@3/20201110_Cefas_Test3_Run1/@3/G3.tif </t>
  </si>
  <si>
    <t xml:space="preserve">C:\Users\cbarrier\Desktop\Calibration\20201110_Cefas_Test3_Run1/@3/20201110_Cefas_Test3_Run1/@3/H3.tif </t>
  </si>
  <si>
    <t xml:space="preserve"> 31.1852 </t>
  </si>
  <si>
    <t xml:space="preserve">C:\Users\cbarrier\Desktop\Calibration\20201110_Cefas_Test3_Run1/@3/ </t>
  </si>
  <si>
    <t xml:space="preserve"> 28.9674 </t>
  </si>
  <si>
    <t xml:space="preserve"> 18.5312 </t>
  </si>
  <si>
    <t xml:space="preserve"> 9296.6117 </t>
  </si>
  <si>
    <t xml:space="preserve">C:\Users\cbarrier\Desktop\Calibration\20201110_Cefas_Test3_Run1/@4/20201110_Cefas_Test3_Run1/@4/A4.tif </t>
  </si>
  <si>
    <t xml:space="preserve"> 35.5126 </t>
  </si>
  <si>
    <t xml:space="preserve">C:\Users\cbarrier\Desktop\Calibration\20201110_Cefas_Test3_Run1/@4/20201110_Cefas_Test3_Run1/@4/B4.tif </t>
  </si>
  <si>
    <t xml:space="preserve"> 42.8324 </t>
  </si>
  <si>
    <t xml:space="preserve">C:\Users\cbarrier\Desktop\Calibration\20201110_Cefas_Test3_Run1/@4/20201110_Cefas_Test3_Run1/@4/C4.tif </t>
  </si>
  <si>
    <t xml:space="preserve"> 33.7261 </t>
  </si>
  <si>
    <t xml:space="preserve">C:\Users\cbarrier\Desktop\Calibration\20201110_Cefas_Test3_Run1/@4/20201110_Cefas_Test3_Run1/@4/D4.tif </t>
  </si>
  <si>
    <t xml:space="preserve"> 34.0115 </t>
  </si>
  <si>
    <t xml:space="preserve">C:\Users\cbarrier\Desktop\Calibration\20201110_Cefas_Test3_Run1/@4/20201110_Cefas_Test3_Run1/@4/E4.tif </t>
  </si>
  <si>
    <t xml:space="preserve"> 33.019 </t>
  </si>
  <si>
    <t xml:space="preserve">C:\Users\cbarrier\Desktop\Calibration\20201110_Cefas_Test3_Run1/@4/20201110_Cefas_Test3_Run1/@4/F4.tif </t>
  </si>
  <si>
    <t xml:space="preserve"> 37.9021 </t>
  </si>
  <si>
    <t xml:space="preserve">C:\Users\cbarrier\Desktop\Calibration\20201110_Cefas_Test3_Run1/@4/20201110_Cefas_Test3_Run1/@4/G4.tif </t>
  </si>
  <si>
    <t xml:space="preserve"> 31.2258 </t>
  </si>
  <si>
    <t xml:space="preserve">C:\Users\cbarrier\Desktop\Calibration\20201110_Cefas_Test3_Run1/@4/20201110_Cefas_Test3_Run1/@4/H4.tif </t>
  </si>
  <si>
    <t xml:space="preserve"> 33.7216 </t>
  </si>
  <si>
    <t xml:space="preserve">C:\Users\cbarrier\Desktop\Calibration\20201110_Cefas_Test3_Run1/@4/ </t>
  </si>
  <si>
    <t xml:space="preserve"> 35.2439 </t>
  </si>
  <si>
    <t xml:space="preserve"> 3.6245 </t>
  </si>
  <si>
    <t xml:space="preserve"> 12785.625 </t>
  </si>
  <si>
    <t xml:space="preserve"> 15918.971 </t>
  </si>
  <si>
    <t>C:\Users\cbarrier\Desktop\Calibration\20201110_Cefas_Test3_Run1/@5/20201110_Cefas_Test3_Run1/@5/A5- exclu.tif</t>
  </si>
  <si>
    <t xml:space="preserve">C:\Users\cbarrier\Desktop\Calibration\20201110_Cefas_Test3_Run1/@5/20201110_Cefas_Test3_Run1/@5/B5.tif </t>
  </si>
  <si>
    <t xml:space="preserve"> 36.6576 </t>
  </si>
  <si>
    <t xml:space="preserve">C:\Users\cbarrier\Desktop\Calibration\20201110_Cefas_Test3_Run1/@5/20201110_Cefas_Test3_Run1/@5/C5.tif </t>
  </si>
  <si>
    <t xml:space="preserve">C:\Users\cbarrier\Desktop\Calibration\20201110_Cefas_Test3_Run1/@5/20201110_Cefas_Test3_Run1/@5/D5.tif </t>
  </si>
  <si>
    <t xml:space="preserve"> 41.0994 </t>
  </si>
  <si>
    <t xml:space="preserve">C:\Users\cbarrier\Desktop\Calibration\20201110_Cefas_Test3_Run1/@5/20201110_Cefas_Test3_Run1/@5/E5.tif </t>
  </si>
  <si>
    <t xml:space="preserve"> 33.1946 </t>
  </si>
  <si>
    <t xml:space="preserve">C:\Users\cbarrier\Desktop\Calibration\20201110_Cefas_Test3_Run1/@5/20201110_Cefas_Test3_Run1/@5/F5.tif </t>
  </si>
  <si>
    <t xml:space="preserve"> 33.3618 </t>
  </si>
  <si>
    <t xml:space="preserve">C:\Users\cbarrier\Desktop\Calibration\20201110_Cefas_Test3_Run1/@5/20201110_Cefas_Test3_Run1/@5/G5.tif </t>
  </si>
  <si>
    <t xml:space="preserve"> 42.8066 </t>
  </si>
  <si>
    <t xml:space="preserve">C:\Users\cbarrier\Desktop\Calibration\20201110_Cefas_Test3_Run1/@5/20201110_Cefas_Test3_Run1/@5/H5.tif </t>
  </si>
  <si>
    <t xml:space="preserve"> 35.1931 </t>
  </si>
  <si>
    <t xml:space="preserve">C:\Users\cbarrier\Desktop\Calibration\20201110_Cefas_Test3_Run1/@5/ </t>
  </si>
  <si>
    <t xml:space="preserve"> 31.7058 </t>
  </si>
  <si>
    <t xml:space="preserve"> 13.4084 </t>
  </si>
  <si>
    <t xml:space="preserve"> 35706.25 </t>
  </si>
  <si>
    <t xml:space="preserve"> 45702.4664 </t>
  </si>
  <si>
    <t xml:space="preserve">C:\Users\cbarrier\Desktop\Calibration\20201110_Cefas_Test3_Run1/@6/20201110_Cefas_Test3_Run1/@6/A6.tif </t>
  </si>
  <si>
    <t xml:space="preserve"> 40.8889 </t>
  </si>
  <si>
    <t xml:space="preserve">C:\Users\cbarrier\Desktop\Calibration\20201110_Cefas_Test3_Run1/@6/20201110_Cefas_Test3_Run1/@6/B6.tif </t>
  </si>
  <si>
    <t xml:space="preserve"> 54.0529 </t>
  </si>
  <si>
    <t xml:space="preserve">C:\Users\cbarrier\Desktop\Calibration\20201110_Cefas_Test3_Run1/@6/20201110_Cefas_Test3_Run1/@6/C6.tif </t>
  </si>
  <si>
    <t xml:space="preserve"> 37.2811 </t>
  </si>
  <si>
    <t xml:space="preserve">C:\Users\cbarrier\Desktop\Calibration\20201110_Cefas_Test3_Run1/@6/20201110_Cefas_Test3_Run1/@6/D6.tif </t>
  </si>
  <si>
    <t xml:space="preserve"> 36.0694 </t>
  </si>
  <si>
    <t xml:space="preserve">C:\Users\cbarrier\Desktop\Calibration\20201110_Cefas_Test3_Run1/@6/20201110_Cefas_Test3_Run1/@6/E6.tif </t>
  </si>
  <si>
    <t xml:space="preserve"> 34.3982 </t>
  </si>
  <si>
    <t xml:space="preserve">C:\Users\cbarrier\Desktop\Calibration\20201110_Cefas_Test3_Run1/@6/20201110_Cefas_Test3_Run1/@6/F6.tif </t>
  </si>
  <si>
    <t xml:space="preserve"> 56.2331 </t>
  </si>
  <si>
    <t xml:space="preserve">C:\Users\cbarrier\Desktop\Calibration\20201110_Cefas_Test3_Run1/@6/20201110_Cefas_Test3_Run1/@6/G6.tif </t>
  </si>
  <si>
    <t xml:space="preserve"> 44.382 </t>
  </si>
  <si>
    <t xml:space="preserve">C:\Users\cbarrier\Desktop\Calibration\20201110_Cefas_Test3_Run1/@6/20201110_Cefas_Test3_Run1/@6/H6.tif </t>
  </si>
  <si>
    <t xml:space="preserve"> 43.5374 </t>
  </si>
  <si>
    <t xml:space="preserve">C:\Users\cbarrier\Desktop\Calibration\20201110_Cefas_Test3_Run1/@6/ </t>
  </si>
  <si>
    <t xml:space="preserve"> 43.3554 </t>
  </si>
  <si>
    <t xml:space="preserve"> 8.0858 </t>
  </si>
  <si>
    <t xml:space="preserve"> 76725.625 </t>
  </si>
  <si>
    <t xml:space="preserve"> 52533.3061 </t>
  </si>
  <si>
    <t>C:\Users\cbarrier\Desktop\Calibration\20201110_Cefas_Test3_Run1/@7/20201110_Cefas_Test3_Run1/@7/A7- exclu.tif</t>
  </si>
  <si>
    <t xml:space="preserve">C:\Users\cbarrier\Desktop\Calibration\20201110_Cefas_Test3_Run1/@7/20201110_Cefas_Test3_Run1/@7/B7.tif </t>
  </si>
  <si>
    <t xml:space="preserve"> 58.8782 </t>
  </si>
  <si>
    <t xml:space="preserve">C:\Users\cbarrier\Desktop\Calibration\20201110_Cefas_Test3_Run1/@7/20201110_Cefas_Test3_Run1/@7/C7.tif </t>
  </si>
  <si>
    <t xml:space="preserve"> 59.896 </t>
  </si>
  <si>
    <t xml:space="preserve">C:\Users\cbarrier\Desktop\Calibration\20201110_Cefas_Test3_Run1/@7/20201110_Cefas_Test3_Run1/@7/D7.tif </t>
  </si>
  <si>
    <t xml:space="preserve"> 50.3653 </t>
  </si>
  <si>
    <t xml:space="preserve">C:\Users\cbarrier\Desktop\Calibration\20201110_Cefas_Test3_Run1/@7/20201110_Cefas_Test3_Run1/@7/E7.tif </t>
  </si>
  <si>
    <t xml:space="preserve"> 49.9501 </t>
  </si>
  <si>
    <t xml:space="preserve">C:\Users\cbarrier\Desktop\Calibration\20201110_Cefas_Test3_Run1/@7/20201110_Cefas_Test3_Run1/@7/F7.tif </t>
  </si>
  <si>
    <t xml:space="preserve"> 54.1053 </t>
  </si>
  <si>
    <t xml:space="preserve">C:\Users\cbarrier\Desktop\Calibration\20201110_Cefas_Test3_Run1/@7/20201110_Cefas_Test3_Run1/@7/G7.tif </t>
  </si>
  <si>
    <t xml:space="preserve"> 38.8052 </t>
  </si>
  <si>
    <t xml:space="preserve">C:\Users\cbarrier\Desktop\Calibration\20201110_Cefas_Test3_Run1/@7/20201110_Cefas_Test3_Run1/@7/H7.tif </t>
  </si>
  <si>
    <t xml:space="preserve"> 56.5463 </t>
  </si>
  <si>
    <t xml:space="preserve">C:\Users\cbarrier\Desktop\Calibration\20201110_Cefas_Test3_Run1/@7/ </t>
  </si>
  <si>
    <t xml:space="preserve"> 50.5218 </t>
  </si>
  <si>
    <t xml:space="preserve"> 8.9944 </t>
  </si>
  <si>
    <t xml:space="preserve"> 143775.5 </t>
  </si>
  <si>
    <t xml:space="preserve"> 79914.9341 </t>
  </si>
  <si>
    <t>Colonne1</t>
  </si>
  <si>
    <t>1</t>
  </si>
  <si>
    <t>13</t>
  </si>
  <si>
    <t>14</t>
  </si>
  <si>
    <t>15</t>
  </si>
  <si>
    <t>16</t>
  </si>
  <si>
    <t>2</t>
  </si>
  <si>
    <t>3</t>
  </si>
  <si>
    <t>4</t>
  </si>
  <si>
    <t>5</t>
  </si>
  <si>
    <t>6</t>
  </si>
  <si>
    <t>7</t>
  </si>
  <si>
    <t/>
  </si>
  <si>
    <t xml:space="preserve">C:\Users\cbarrier\Desktop\Calibration\20201112_Cefas_Test5_Run3/@1/A10_01.tif </t>
  </si>
  <si>
    <t xml:space="preserve"> 8781.7372 </t>
  </si>
  <si>
    <t xml:space="preserve"> 33.6773 </t>
  </si>
  <si>
    <t xml:space="preserve">C:\Users\cbarrier\Desktop\Calibration\20201112_Cefas_Test5_Run3/@1/A10_02.tif </t>
  </si>
  <si>
    <t xml:space="preserve"> 4953.2459 </t>
  </si>
  <si>
    <t xml:space="preserve"> 33.3668 </t>
  </si>
  <si>
    <t xml:space="preserve">C:\Users\cbarrier\Desktop\Calibration\20201112_Cefas_Test5_Run3/@1/A10_03.tif </t>
  </si>
  <si>
    <t xml:space="preserve"> 5472.3633 </t>
  </si>
  <si>
    <t xml:space="preserve"> 33.2095 </t>
  </si>
  <si>
    <t xml:space="preserve">C:\Users\cbarrier\Desktop\Calibration\20201112_Cefas_Test5_Run3/@1/B10_01.tif </t>
  </si>
  <si>
    <t xml:space="preserve"> 9062.9258 </t>
  </si>
  <si>
    <t xml:space="preserve"> 38.494 </t>
  </si>
  <si>
    <t xml:space="preserve">C:\Users\cbarrier\Desktop\Calibration\20201112_Cefas_Test5_Run3/@1/B10_02.tif </t>
  </si>
  <si>
    <t xml:space="preserve">C:\Users\cbarrier\Desktop\Calibration\20201112_Cefas_Test5_Run3/@1/B10_03.tif </t>
  </si>
  <si>
    <t xml:space="preserve"> 9993.0113 </t>
  </si>
  <si>
    <t xml:space="preserve"> 36.0758 </t>
  </si>
  <si>
    <t xml:space="preserve">C:\Users\cbarrier\Desktop\Calibration\20201112_Cefas_Test5_Run3/@1/C10_01.tif </t>
  </si>
  <si>
    <t xml:space="preserve"> 7094.6054 </t>
  </si>
  <si>
    <t xml:space="preserve"> 35.125 </t>
  </si>
  <si>
    <t>C:\Users\cbarrier\Desktop\Calibration\20201112_Cefas_Test5_Run3/@1/C10_02- exclu.tif</t>
  </si>
  <si>
    <t>C:\Users\cbarrier\Desktop\Calibration\20201112_Cefas_Test5_Run3/@1/C10_03- exclu.tif</t>
  </si>
  <si>
    <t xml:space="preserve">C:\Users\cbarrier\Desktop\Calibration\20201112_Cefas_Test5_Run3/@1/D10_01.tif </t>
  </si>
  <si>
    <t xml:space="preserve">C:\Users\cbarrier\Desktop\Calibration\20201112_Cefas_Test5_Run3/@1/D10_02.tif </t>
  </si>
  <si>
    <t xml:space="preserve">C:\Users\cbarrier\Desktop\Calibration\20201112_Cefas_Test5_Run3/@1/D10_03.tif </t>
  </si>
  <si>
    <t xml:space="preserve"> 21.6299 </t>
  </si>
  <si>
    <t xml:space="preserve">C:\Users\cbarrier\Desktop\Calibration\20201112_Cefas_Test5_Run3/@1/E10_01.tif </t>
  </si>
  <si>
    <t xml:space="preserve"> 1622.2421 </t>
  </si>
  <si>
    <t xml:space="preserve"> 33.28 </t>
  </si>
  <si>
    <t xml:space="preserve">C:\Users\cbarrier\Desktop\Calibration\20201112_Cefas_Test5_Run3/@1/E10_02.tif </t>
  </si>
  <si>
    <t xml:space="preserve"> 194.6691 </t>
  </si>
  <si>
    <t xml:space="preserve"> 30.2222 </t>
  </si>
  <si>
    <t xml:space="preserve">C:\Users\cbarrier\Desktop\Calibration\20201112_Cefas_Test5_Run3/@1/E10_03.tif </t>
  </si>
  <si>
    <t xml:space="preserve"> 302.8185 </t>
  </si>
  <si>
    <t xml:space="preserve"> 31.2857 </t>
  </si>
  <si>
    <t xml:space="preserve">C:\Users\cbarrier\Desktop\Calibration\20201112_Cefas_Test5_Run3/@1/F10_01.tif </t>
  </si>
  <si>
    <t xml:space="preserve"> 519.1175 </t>
  </si>
  <si>
    <t xml:space="preserve"> 31.375 </t>
  </si>
  <si>
    <t xml:space="preserve">C:\Users\cbarrier\Desktop\Calibration\20201112_Cefas_Test5_Run3/@1/F10_02.tif </t>
  </si>
  <si>
    <t xml:space="preserve"> 281.1886 </t>
  </si>
  <si>
    <t xml:space="preserve"> 31.8462 </t>
  </si>
  <si>
    <t xml:space="preserve">C:\Users\cbarrier\Desktop\Calibration\20201112_Cefas_Test5_Run3/@1/F10_03.tif </t>
  </si>
  <si>
    <t xml:space="preserve"> 735.4164 </t>
  </si>
  <si>
    <t xml:space="preserve"> 34.4706 </t>
  </si>
  <si>
    <t xml:space="preserve">C:\Users\cbarrier\Desktop\Calibration\20201112_Cefas_Test5_Run3/@1/G10_01.tif </t>
  </si>
  <si>
    <t xml:space="preserve"> 3309.3739 </t>
  </si>
  <si>
    <t xml:space="preserve"> 35.9935 </t>
  </si>
  <si>
    <t xml:space="preserve">C:\Users\cbarrier\Desktop\Calibration\20201112_Cefas_Test5_Run3/@1/G10_02.tif </t>
  </si>
  <si>
    <t xml:space="preserve"> 3806.8615 </t>
  </si>
  <si>
    <t xml:space="preserve"> 34.8864 </t>
  </si>
  <si>
    <t xml:space="preserve">C:\Users\cbarrier\Desktop\Calibration\20201112_Cefas_Test5_Run3/@1/G10_03.tif </t>
  </si>
  <si>
    <t xml:space="preserve"> 1665.5019 </t>
  </si>
  <si>
    <t xml:space="preserve"> 32.8961 </t>
  </si>
  <si>
    <t xml:space="preserve">C:\Users\cbarrier\Desktop\Calibration\20201112_Cefas_Test5_Run3/@1/H10_01.tif </t>
  </si>
  <si>
    <t xml:space="preserve"> 713.7865 </t>
  </si>
  <si>
    <t xml:space="preserve"> 31.9697 </t>
  </si>
  <si>
    <t xml:space="preserve">C:\Users\cbarrier\Desktop\Calibration\20201112_Cefas_Test5_Run3/@1/H10_02.tif </t>
  </si>
  <si>
    <t xml:space="preserve"> 1752.0215 </t>
  </si>
  <si>
    <t xml:space="preserve"> 32.679 </t>
  </si>
  <si>
    <t xml:space="preserve">C:\Users\cbarrier\Desktop\Calibration\20201112_Cefas_Test5_Run3/@1/H10_03.tif </t>
  </si>
  <si>
    <t xml:space="preserve">C:\Users\cbarrier\Desktop\Calibration\20201112_Cefas_Test5_Run3/@1/ </t>
  </si>
  <si>
    <t xml:space="preserve"> 29.8126 </t>
  </si>
  <si>
    <t xml:space="preserve"> 15.0176 </t>
  </si>
  <si>
    <t xml:space="preserve"> 169003.375 </t>
  </si>
  <si>
    <t>C:\Users\cbarrier\Desktop\Calibration\20201112_Cefas_Test5_Run3/@13/A8_01- exclu.tif</t>
  </si>
  <si>
    <t xml:space="preserve">C:\Users\cbarrier\Desktop\Calibration\20201112_Cefas_Test5_Run3/@13/A8_02.tif </t>
  </si>
  <si>
    <t xml:space="preserve"> 11571.9936 </t>
  </si>
  <si>
    <t xml:space="preserve"> 36.3009 </t>
  </si>
  <si>
    <t xml:space="preserve">C:\Users\cbarrier\Desktop\Calibration\20201112_Cefas_Test5_Run3/@13/A8_03.tif </t>
  </si>
  <si>
    <t xml:space="preserve"> 389.3381 </t>
  </si>
  <si>
    <t xml:space="preserve"> 33.2778 </t>
  </si>
  <si>
    <t xml:space="preserve">C:\Users\cbarrier\Desktop\Calibration\20201112_Cefas_Test5_Run3/@13/B8_01.tif </t>
  </si>
  <si>
    <t xml:space="preserve"> 2141.3596 </t>
  </si>
  <si>
    <t xml:space="preserve"> 33.3636 </t>
  </si>
  <si>
    <t>C:\Users\cbarrier\Desktop\Calibration\20201112_Cefas_Test5_Run3/@13/B8_02- exclu.tif</t>
  </si>
  <si>
    <t xml:space="preserve">C:\Users\cbarrier\Desktop\Calibration\20201112_Cefas_Test5_Run3/@13/B8_03.tif </t>
  </si>
  <si>
    <t xml:space="preserve"> 3395.8935 </t>
  </si>
  <si>
    <t xml:space="preserve"> 34.6433 </t>
  </si>
  <si>
    <t xml:space="preserve">C:\Users\cbarrier\Desktop\Calibration\20201112_Cefas_Test5_Run3/@13/C8_01.tif </t>
  </si>
  <si>
    <t xml:space="preserve"> 9409.0042 </t>
  </si>
  <si>
    <t xml:space="preserve"> 34.0023 </t>
  </si>
  <si>
    <t xml:space="preserve">C:\Users\cbarrier\Desktop\Calibration\20201112_Cefas_Test5_Run3/@13/C8_02.tif </t>
  </si>
  <si>
    <t xml:space="preserve"> 6921.5663 </t>
  </si>
  <si>
    <t xml:space="preserve"> 33.8563 </t>
  </si>
  <si>
    <t xml:space="preserve">C:\Users\cbarrier\Desktop\Calibration\20201112_Cefas_Test5_Run3/@13/C8_03.tif </t>
  </si>
  <si>
    <t xml:space="preserve"> 6207.7798 </t>
  </si>
  <si>
    <t xml:space="preserve"> 34.4216 </t>
  </si>
  <si>
    <t xml:space="preserve">C:\Users\cbarrier\Desktop\Calibration\20201112_Cefas_Test5_Run3/@13/D8_01.tif </t>
  </si>
  <si>
    <t xml:space="preserve"> 64046.118 </t>
  </si>
  <si>
    <t xml:space="preserve"> 42.2215 </t>
  </si>
  <si>
    <t xml:space="preserve">C:\Users\cbarrier\Desktop\Calibration\20201112_Cefas_Test5_Run3/@13/D8_02.tif </t>
  </si>
  <si>
    <t xml:space="preserve"> 72092.4388 </t>
  </si>
  <si>
    <t xml:space="preserve"> 41.5836 </t>
  </si>
  <si>
    <t xml:space="preserve">C:\Users\cbarrier\Desktop\Calibration\20201112_Cefas_Test5_Run3/@13/D8_03.tif </t>
  </si>
  <si>
    <t xml:space="preserve"> 61407.2709 </t>
  </si>
  <si>
    <t xml:space="preserve"> 40.0169 </t>
  </si>
  <si>
    <t xml:space="preserve">C:\Users\cbarrier\Desktop\Calibration\20201112_Cefas_Test5_Run3/@13/E8_01.tif </t>
  </si>
  <si>
    <t xml:space="preserve"> 69907.8194 </t>
  </si>
  <si>
    <t xml:space="preserve"> 40.0637 </t>
  </si>
  <si>
    <t xml:space="preserve">C:\Users\cbarrier\Desktop\Calibration\20201112_Cefas_Test5_Run3/@13/E8_02.tif </t>
  </si>
  <si>
    <t xml:space="preserve"> 67182.4527 </t>
  </si>
  <si>
    <t xml:space="preserve"> 40.2579 </t>
  </si>
  <si>
    <t xml:space="preserve">C:\Users\cbarrier\Desktop\Calibration\20201112_Cefas_Test5_Run3/@13/E8_03.tif </t>
  </si>
  <si>
    <t xml:space="preserve"> 70599.9761 </t>
  </si>
  <si>
    <t xml:space="preserve"> 42.7874 </t>
  </si>
  <si>
    <t xml:space="preserve">C:\Users\cbarrier\Desktop\Calibration\20201112_Cefas_Test5_Run3/@13/F8_01.tif </t>
  </si>
  <si>
    <t xml:space="preserve"> 4801.8366 </t>
  </si>
  <si>
    <t xml:space="preserve"> 31.3829 </t>
  </si>
  <si>
    <t xml:space="preserve">C:\Users\cbarrier\Desktop\Calibration\20201112_Cefas_Test5_Run3/@13/F8_02.tif </t>
  </si>
  <si>
    <t xml:space="preserve"> 31.0267 </t>
  </si>
  <si>
    <t>C:\Users\cbarrier\Desktop\Calibration\20201112_Cefas_Test5_Run3/@13/F8_03- exclu.tif</t>
  </si>
  <si>
    <t xml:space="preserve">C:\Users\cbarrier\Desktop\Calibration\20201112_Cefas_Test5_Run3/@13/G8_01.tif </t>
  </si>
  <si>
    <t xml:space="preserve"> 30736.0803 </t>
  </si>
  <si>
    <t xml:space="preserve"> 37.3871 </t>
  </si>
  <si>
    <t xml:space="preserve">C:\Users\cbarrier\Desktop\Calibration\20201112_Cefas_Test5_Run3/@13/G8_02.tif </t>
  </si>
  <si>
    <t xml:space="preserve"> 42546.0027 </t>
  </si>
  <si>
    <t xml:space="preserve"> 37.847 </t>
  </si>
  <si>
    <t>C:\Users\cbarrier\Desktop\Calibration\20201112_Cefas_Test5_Run3/@13/G8_03- exclu.tif</t>
  </si>
  <si>
    <t xml:space="preserve">C:\Users\cbarrier\Desktop\Calibration\20201112_Cefas_Test5_Run3/@13/H8_01.tif </t>
  </si>
  <si>
    <t xml:space="preserve"> 32012.2441 </t>
  </si>
  <si>
    <t xml:space="preserve"> 35.1561 </t>
  </si>
  <si>
    <t xml:space="preserve">C:\Users\cbarrier\Desktop\Calibration\20201112_Cefas_Test5_Run3/@13/H8_02.tif </t>
  </si>
  <si>
    <t xml:space="preserve"> 31860.8348 </t>
  </si>
  <si>
    <t xml:space="preserve"> 36.1629 </t>
  </si>
  <si>
    <t xml:space="preserve">C:\Users\cbarrier\Desktop\Calibration\20201112_Cefas_Test5_Run3/@13/H8_03.tif </t>
  </si>
  <si>
    <t xml:space="preserve"> 39431.2979 </t>
  </si>
  <si>
    <t xml:space="preserve"> 37.8486 </t>
  </si>
  <si>
    <t xml:space="preserve">C:\Users\cbarrier\Desktop\Calibration\20201112_Cefas_Test5_Run3/@13/ </t>
  </si>
  <si>
    <t xml:space="preserve"> 37.1063 </t>
  </si>
  <si>
    <t xml:space="preserve"> 4.0321 </t>
  </si>
  <si>
    <t xml:space="preserve"> 1145808.5 </t>
  </si>
  <si>
    <t>C:\Users\cbarrier\Desktop\Calibration\20201112_Cefas_Test5_Run3/@14/A9_01- exclu.tif</t>
  </si>
  <si>
    <t>C:\Users\cbarrier\Desktop\Calibration\20201112_Cefas_Test5_Run3/@14/A9_02- exclu.tif</t>
  </si>
  <si>
    <t>C:\Users\cbarrier\Desktop\Calibration\20201112_Cefas_Test5_Run3/@14/A9_03- exclu.tif</t>
  </si>
  <si>
    <t xml:space="preserve">C:\Users\cbarrier\Desktop\Calibration\20201112_Cefas_Test5_Run3/@14/B9_01.tif </t>
  </si>
  <si>
    <t xml:space="preserve"> 68199.0578 </t>
  </si>
  <si>
    <t xml:space="preserve"> 42.4066 </t>
  </si>
  <si>
    <t xml:space="preserve">C:\Users\cbarrier\Desktop\Calibration\20201112_Cefas_Test5_Run3/@14/B9_02.tif </t>
  </si>
  <si>
    <t xml:space="preserve"> 57297.5909 </t>
  </si>
  <si>
    <t xml:space="preserve"> 42.3337 </t>
  </si>
  <si>
    <t xml:space="preserve">C:\Users\cbarrier\Desktop\Calibration\20201112_Cefas_Test5_Run3/@14/B9_03.tif </t>
  </si>
  <si>
    <t xml:space="preserve"> 61493.7904 </t>
  </si>
  <si>
    <t xml:space="preserve"> 45.9884 </t>
  </si>
  <si>
    <t xml:space="preserve">C:\Users\cbarrier\Desktop\Calibration\20201112_Cefas_Test5_Run3/@14/C9_01.tif </t>
  </si>
  <si>
    <t xml:space="preserve"> 61991.278 </t>
  </si>
  <si>
    <t xml:space="preserve"> 48.0084 </t>
  </si>
  <si>
    <t xml:space="preserve">C:\Users\cbarrier\Desktop\Calibration\20201112_Cefas_Test5_Run3/@14/C9_02.tif </t>
  </si>
  <si>
    <t xml:space="preserve"> 61558.6801 </t>
  </si>
  <si>
    <t xml:space="preserve"> 49.3851 </t>
  </si>
  <si>
    <t xml:space="preserve">C:\Users\cbarrier\Desktop\Calibration\20201112_Cefas_Test5_Run3/@14/C9_03.tif </t>
  </si>
  <si>
    <t xml:space="preserve"> 62445.5058 </t>
  </si>
  <si>
    <t xml:space="preserve"> 49.4908 </t>
  </si>
  <si>
    <t xml:space="preserve">C:\Users\cbarrier\Desktop\Calibration\20201112_Cefas_Test5_Run3/@14/D9_01.tif </t>
  </si>
  <si>
    <t xml:space="preserve"> 28097.2331 </t>
  </si>
  <si>
    <t xml:space="preserve"> 32.7275 </t>
  </si>
  <si>
    <t xml:space="preserve">C:\Users\cbarrier\Desktop\Calibration\20201112_Cefas_Test5_Run3/@14/D9_02.tif </t>
  </si>
  <si>
    <t xml:space="preserve"> 21629.8946 </t>
  </si>
  <si>
    <t xml:space="preserve"> 33.294 </t>
  </si>
  <si>
    <t xml:space="preserve">C:\Users\cbarrier\Desktop\Calibration\20201112_Cefas_Test5_Run3/@14/D9_03.tif </t>
  </si>
  <si>
    <t xml:space="preserve"> 21413.5957 </t>
  </si>
  <si>
    <t xml:space="preserve"> 32.4535 </t>
  </si>
  <si>
    <t xml:space="preserve">C:\Users\cbarrier\Desktop\Calibration\20201112_Cefas_Test5_Run3/@14/E9_01.tif </t>
  </si>
  <si>
    <t xml:space="preserve"> 36597.7817 </t>
  </si>
  <si>
    <t xml:space="preserve"> 39.7411 </t>
  </si>
  <si>
    <t xml:space="preserve">C:\Users\cbarrier\Desktop\Calibration\20201112_Cefas_Test5_Run3/@14/E9_02.tif </t>
  </si>
  <si>
    <t xml:space="preserve"> 43562.6078 </t>
  </si>
  <si>
    <t xml:space="preserve"> 43.7925 </t>
  </si>
  <si>
    <t xml:space="preserve">C:\Users\cbarrier\Desktop\Calibration\20201112_Cefas_Test5_Run3/@14/E9_03.tif </t>
  </si>
  <si>
    <t xml:space="preserve"> 29568.066 </t>
  </si>
  <si>
    <t xml:space="preserve"> 39.5779 </t>
  </si>
  <si>
    <t xml:space="preserve">C:\Users\cbarrier\Desktop\Calibration\20201112_Cefas_Test5_Run3/@14/F9_01.tif </t>
  </si>
  <si>
    <t xml:space="preserve"> 6532.2282 </t>
  </si>
  <si>
    <t xml:space="preserve"> 32.1457 </t>
  </si>
  <si>
    <t xml:space="preserve">C:\Users\cbarrier\Desktop\Calibration\20201112_Cefas_Test5_Run3/@14/F9_02.tif </t>
  </si>
  <si>
    <t xml:space="preserve"> 15487.0046 </t>
  </si>
  <si>
    <t xml:space="preserve"> 34.0084 </t>
  </si>
  <si>
    <t xml:space="preserve">C:\Users\cbarrier\Desktop\Calibration\20201112_Cefas_Test5_Run3/@14/F9_03.tif </t>
  </si>
  <si>
    <t xml:space="preserve"> 10014.6412 </t>
  </si>
  <si>
    <t xml:space="preserve"> 32.838 </t>
  </si>
  <si>
    <t xml:space="preserve">C:\Users\cbarrier\Desktop\Calibration\20201112_Cefas_Test5_Run3/@14/G9_01.tif </t>
  </si>
  <si>
    <t xml:space="preserve"> 17649.994 </t>
  </si>
  <si>
    <t xml:space="preserve"> 32.25 </t>
  </si>
  <si>
    <t xml:space="preserve">C:\Users\cbarrier\Desktop\Calibration\20201112_Cefas_Test5_Run3/@14/G9_02.tif </t>
  </si>
  <si>
    <t xml:space="preserve"> 24636.45 </t>
  </si>
  <si>
    <t xml:space="preserve"> 34.1229 </t>
  </si>
  <si>
    <t xml:space="preserve">C:\Users\cbarrier\Desktop\Calibration\20201112_Cefas_Test5_Run3/@14/G9_03.tif </t>
  </si>
  <si>
    <t xml:space="preserve"> 29351.767 </t>
  </si>
  <si>
    <t xml:space="preserve"> 33.843 </t>
  </si>
  <si>
    <t xml:space="preserve">C:\Users\cbarrier\Desktop\Calibration\20201112_Cefas_Test5_Run3/@14/H9_01.tif </t>
  </si>
  <si>
    <t xml:space="preserve"> 10706.7978 </t>
  </si>
  <si>
    <t xml:space="preserve"> 33.8101 </t>
  </si>
  <si>
    <t xml:space="preserve">C:\Users\cbarrier\Desktop\Calibration\20201112_Cefas_Test5_Run3/@14/H9_02.tif </t>
  </si>
  <si>
    <t xml:space="preserve"> 7440.6838 </t>
  </si>
  <si>
    <t xml:space="preserve"> 35.2849 </t>
  </si>
  <si>
    <t xml:space="preserve">C:\Users\cbarrier\Desktop\Calibration\20201112_Cefas_Test5_Run3/@14/H9_03.tif </t>
  </si>
  <si>
    <t xml:space="preserve"> 7570.4631 </t>
  </si>
  <si>
    <t xml:space="preserve"> 38.7257 </t>
  </si>
  <si>
    <t xml:space="preserve">C:\Users\cbarrier\Desktop\Calibration\20201112_Cefas_Test5_Run3/@14/ </t>
  </si>
  <si>
    <t xml:space="preserve"> 33.5928 </t>
  </si>
  <si>
    <t xml:space="preserve"> 14.1685 </t>
  </si>
  <si>
    <t xml:space="preserve"> 1187745.29 </t>
  </si>
  <si>
    <t xml:space="preserve">C:\Users\cbarrier\Desktop\Calibration\20201112_Cefas_Test5_Run3/@15/A11_01.tif </t>
  </si>
  <si>
    <t xml:space="preserve"> 76548.1971 </t>
  </si>
  <si>
    <t xml:space="preserve"> 45.9797 </t>
  </si>
  <si>
    <t xml:space="preserve">C:\Users\cbarrier\Desktop\Calibration\20201112_Cefas_Test5_Run3/@15/A11_02.tif </t>
  </si>
  <si>
    <t xml:space="preserve"> 71919.3996 </t>
  </si>
  <si>
    <t xml:space="preserve"> 43.1239 </t>
  </si>
  <si>
    <t xml:space="preserve">C:\Users\cbarrier\Desktop\Calibration\20201112_Cefas_Test5_Run3/@15/A11_03.tif </t>
  </si>
  <si>
    <t xml:space="preserve"> 75423.4426 </t>
  </si>
  <si>
    <t xml:space="preserve"> 47.0493 </t>
  </si>
  <si>
    <t xml:space="preserve">C:\Users\cbarrier\Desktop\Calibration\20201112_Cefas_Test5_Run3/@15/B11_01.tif </t>
  </si>
  <si>
    <t xml:space="preserve"> 66079.3281 </t>
  </si>
  <si>
    <t xml:space="preserve"> 48.0399 </t>
  </si>
  <si>
    <t xml:space="preserve">C:\Users\cbarrier\Desktop\Calibration\20201112_Cefas_Test5_Run3/@15/B11_02.tif </t>
  </si>
  <si>
    <t xml:space="preserve"> 69042.6237 </t>
  </si>
  <si>
    <t xml:space="preserve"> 48.5736 </t>
  </si>
  <si>
    <t xml:space="preserve">C:\Users\cbarrier\Desktop\Calibration\20201112_Cefas_Test5_Run3/@15/B11_03.tif </t>
  </si>
  <si>
    <t xml:space="preserve"> 46.5453 </t>
  </si>
  <si>
    <t xml:space="preserve">C:\Users\cbarrier\Desktop\Calibration\20201112_Cefas_Test5_Run3/@15/C11_01.tif </t>
  </si>
  <si>
    <t xml:space="preserve"> 29935.7742 </t>
  </si>
  <si>
    <t xml:space="preserve"> 43.0419 </t>
  </si>
  <si>
    <t xml:space="preserve">C:\Users\cbarrier\Desktop\Calibration\20201112_Cefas_Test5_Run3/@15/C11_02.tif </t>
  </si>
  <si>
    <t xml:space="preserve"> 24117.3325 </t>
  </si>
  <si>
    <t xml:space="preserve"> 41.5408 </t>
  </si>
  <si>
    <t xml:space="preserve">C:\Users\cbarrier\Desktop\Calibration\20201112_Cefas_Test5_Run3/@15/C11_03.tif </t>
  </si>
  <si>
    <t xml:space="preserve"> 22927.6883 </t>
  </si>
  <si>
    <t xml:space="preserve"> 45.1217 </t>
  </si>
  <si>
    <t xml:space="preserve">C:\Users\cbarrier\Desktop\Calibration\20201112_Cefas_Test5_Run3/@15/D11_01.tif </t>
  </si>
  <si>
    <t xml:space="preserve"> 54204.5159 </t>
  </si>
  <si>
    <t xml:space="preserve"> 41.3296 </t>
  </si>
  <si>
    <t>C:\Users\cbarrier\Desktop\Calibration\20201112_Cefas_Test5_Run3/@15/D11_02- exclu.tif</t>
  </si>
  <si>
    <t>C:\Users\cbarrier\Desktop\Calibration\20201112_Cefas_Test5_Run3/@15/D11_03- exclu.tif</t>
  </si>
  <si>
    <t xml:space="preserve">C:\Users\cbarrier\Desktop\Calibration\20201112_Cefas_Test5_Run3/@15/E11_01.tif </t>
  </si>
  <si>
    <t xml:space="preserve"> 61234.2317 </t>
  </si>
  <si>
    <t xml:space="preserve"> 48.6047 </t>
  </si>
  <si>
    <t xml:space="preserve">C:\Users\cbarrier\Desktop\Calibration\20201112_Cefas_Test5_Run3/@15/E11_02.tif </t>
  </si>
  <si>
    <t xml:space="preserve"> 60866.5235 </t>
  </si>
  <si>
    <t xml:space="preserve"> 49.5437 </t>
  </si>
  <si>
    <t xml:space="preserve">C:\Users\cbarrier\Desktop\Calibration\20201112_Cefas_Test5_Run3/@15/E11_03.tif </t>
  </si>
  <si>
    <t xml:space="preserve"> 57600.4094 </t>
  </si>
  <si>
    <t xml:space="preserve"> 49.0759 </t>
  </si>
  <si>
    <t xml:space="preserve">C:\Users\cbarrier\Desktop\Calibration\20201112_Cefas_Test5_Run3/@15/F11_01.tif </t>
  </si>
  <si>
    <t xml:space="preserve"> 60888.1534 </t>
  </si>
  <si>
    <t xml:space="preserve"> 43.4863 </t>
  </si>
  <si>
    <t xml:space="preserve">C:\Users\cbarrier\Desktop\Calibration\20201112_Cefas_Test5_Run3/@15/F11_02.tif </t>
  </si>
  <si>
    <t xml:space="preserve"> 59611.9896 </t>
  </si>
  <si>
    <t xml:space="preserve"> 46.7188 </t>
  </si>
  <si>
    <t>C:\Users\cbarrier\Desktop\Calibration\20201112_Cefas_Test5_Run3/@15/F11_03- exclu.tif</t>
  </si>
  <si>
    <t xml:space="preserve">C:\Users\cbarrier\Desktop\Calibration\20201112_Cefas_Test5_Run3/@15/G11_01.tif </t>
  </si>
  <si>
    <t xml:space="preserve"> 68523.5062 </t>
  </si>
  <si>
    <t xml:space="preserve"> 49.6847 </t>
  </si>
  <si>
    <t xml:space="preserve">C:\Users\cbarrier\Desktop\Calibration\20201112_Cefas_Test5_Run3/@15/G11_02.tif </t>
  </si>
  <si>
    <t xml:space="preserve"> 65214.1323 </t>
  </si>
  <si>
    <t xml:space="preserve"> 51.3519 </t>
  </si>
  <si>
    <t xml:space="preserve">C:\Users\cbarrier\Desktop\Calibration\20201112_Cefas_Test5_Run3/@15/G11_03.tif </t>
  </si>
  <si>
    <t xml:space="preserve"> 71551.6914 </t>
  </si>
  <si>
    <t xml:space="preserve"> 55.9365 </t>
  </si>
  <si>
    <t xml:space="preserve">C:\Users\cbarrier\Desktop\Calibration\20201112_Cefas_Test5_Run3/@15/H11_01.tif </t>
  </si>
  <si>
    <t xml:space="preserve"> 17931.1826 </t>
  </si>
  <si>
    <t xml:space="preserve"> 37.2027 </t>
  </si>
  <si>
    <t xml:space="preserve">C:\Users\cbarrier\Desktop\Calibration\20201112_Cefas_Test5_Run3/@15/H11_02.tif </t>
  </si>
  <si>
    <t xml:space="preserve"> 16481.9797 </t>
  </si>
  <si>
    <t xml:space="preserve"> 37.6535 </t>
  </si>
  <si>
    <t xml:space="preserve">C:\Users\cbarrier\Desktop\Calibration\20201112_Cefas_Test5_Run3/@15/H11_03.tif </t>
  </si>
  <si>
    <t xml:space="preserve"> 18753.1186 </t>
  </si>
  <si>
    <t xml:space="preserve"> 37.5905 </t>
  </si>
  <si>
    <t xml:space="preserve">C:\Users\cbarrier\Desktop\Calibration\20201112_Cefas_Test5_Run3/@15/ </t>
  </si>
  <si>
    <t xml:space="preserve"> 45.8348 </t>
  </si>
  <si>
    <t xml:space="preserve"> 4.5561 </t>
  </si>
  <si>
    <t xml:space="preserve"> 2396898.71 </t>
  </si>
  <si>
    <t xml:space="preserve">C:\Users\cbarrier\Desktop\Calibration\20201112_Cefas_Test5_Run3/@16/A12_01.tif </t>
  </si>
  <si>
    <t xml:space="preserve"> 1643.872 </t>
  </si>
  <si>
    <t xml:space="preserve"> 34.1842 </t>
  </si>
  <si>
    <t xml:space="preserve">C:\Users\cbarrier\Desktop\Calibration\20201112_Cefas_Test5_Run3/@16/A12_02.tif </t>
  </si>
  <si>
    <t xml:space="preserve"> 43.2598 </t>
  </si>
  <si>
    <t xml:space="preserve"> 32.5 </t>
  </si>
  <si>
    <t xml:space="preserve">C:\Users\cbarrier\Desktop\Calibration\20201112_Cefas_Test5_Run3/@16/A12_03.tif </t>
  </si>
  <si>
    <t xml:space="preserve"> 1168.0143 </t>
  </si>
  <si>
    <t xml:space="preserve"> 33.7778 </t>
  </si>
  <si>
    <t xml:space="preserve">C:\Users\cbarrier\Desktop\Calibration\20201112_Cefas_Test5_Run3/@16/B12_01.tif </t>
  </si>
  <si>
    <t xml:space="preserve">C:\Users\cbarrier\Desktop\Calibration\20201112_Cefas_Test5_Run3/@16/B12_02.tif </t>
  </si>
  <si>
    <t xml:space="preserve"> 1297.7937 </t>
  </si>
  <si>
    <t xml:space="preserve"> 31.05 </t>
  </si>
  <si>
    <t xml:space="preserve">C:\Users\cbarrier\Desktop\Calibration\20201112_Cefas_Test5_Run3/@16/B12_03.tif </t>
  </si>
  <si>
    <t xml:space="preserve"> 2098.0998 </t>
  </si>
  <si>
    <t xml:space="preserve"> 32.2165 </t>
  </si>
  <si>
    <t xml:space="preserve">C:\Users\cbarrier\Desktop\Calibration\20201112_Cefas_Test5_Run3/@16/C12_01.tif </t>
  </si>
  <si>
    <t xml:space="preserve"> 454.2278 </t>
  </si>
  <si>
    <t xml:space="preserve"> 36.619 </t>
  </si>
  <si>
    <t xml:space="preserve">C:\Users\cbarrier\Desktop\Calibration\20201112_Cefas_Test5_Run3/@16/C12_02.tif </t>
  </si>
  <si>
    <t xml:space="preserve">C:\Users\cbarrier\Desktop\Calibration\20201112_Cefas_Test5_Run3/@16/C12_03.tif </t>
  </si>
  <si>
    <t xml:space="preserve"> 2422.5482 </t>
  </si>
  <si>
    <t xml:space="preserve"> 33.5446 </t>
  </si>
  <si>
    <t xml:space="preserve">C:\Users\cbarrier\Desktop\Calibration\20201112_Cefas_Test5_Run3/@16/D12_01.tif </t>
  </si>
  <si>
    <t xml:space="preserve"> 5104.6551 </t>
  </si>
  <si>
    <t xml:space="preserve"> 34.2754 </t>
  </si>
  <si>
    <t xml:space="preserve">C:\Users\cbarrier\Desktop\Calibration\20201112_Cefas_Test5_Run3/@16/D12_02.tif </t>
  </si>
  <si>
    <t xml:space="preserve"> 7375.7941 </t>
  </si>
  <si>
    <t xml:space="preserve"> 37.346 </t>
  </si>
  <si>
    <t xml:space="preserve">C:\Users\cbarrier\Desktop\Calibration\20201112_Cefas_Test5_Run3/@16/D12_03.tif </t>
  </si>
  <si>
    <t xml:space="preserve"> 9776.7124 </t>
  </si>
  <si>
    <t xml:space="preserve"> 42.8296 </t>
  </si>
  <si>
    <t xml:space="preserve">C:\Users\cbarrier\Desktop\Calibration\20201112_Cefas_Test5_Run3/@16/E12_01.tif </t>
  </si>
  <si>
    <t xml:space="preserve"> 2465.808 </t>
  </si>
  <si>
    <t xml:space="preserve"> 33.8158 </t>
  </si>
  <si>
    <t xml:space="preserve">C:\Users\cbarrier\Desktop\Calibration\20201112_Cefas_Test5_Run3/@16/E12_02.tif </t>
  </si>
  <si>
    <t xml:space="preserve"> 605.637 </t>
  </si>
  <si>
    <t xml:space="preserve"> 32.4286 </t>
  </si>
  <si>
    <t xml:space="preserve">C:\Users\cbarrier\Desktop\Calibration\20201112_Cefas_Test5_Run3/@16/E12_03.tif </t>
  </si>
  <si>
    <t xml:space="preserve"> 237.9288 </t>
  </si>
  <si>
    <t xml:space="preserve"> 30.7273 </t>
  </si>
  <si>
    <t xml:space="preserve">C:\Users\cbarrier\Desktop\Calibration\20201112_Cefas_Test5_Run3/@16/F12_01.tif </t>
  </si>
  <si>
    <t xml:space="preserve">C:\Users\cbarrier\Desktop\Calibration\20201112_Cefas_Test5_Run3/@16/F12_02.tif </t>
  </si>
  <si>
    <t xml:space="preserve">C:\Users\cbarrier\Desktop\Calibration\20201112_Cefas_Test5_Run3/@16/F12_03.tif </t>
  </si>
  <si>
    <t xml:space="preserve">C:\Users\cbarrier\Desktop\Calibration\20201112_Cefas_Test5_Run3/@16/G12_01.tif </t>
  </si>
  <si>
    <t xml:space="preserve"> 670.5267 </t>
  </si>
  <si>
    <t xml:space="preserve"> 33.5161 </t>
  </si>
  <si>
    <t xml:space="preserve">C:\Users\cbarrier\Desktop\Calibration\20201112_Cefas_Test5_Run3/@16/G12_02.tif </t>
  </si>
  <si>
    <t xml:space="preserve"> 497.4876 </t>
  </si>
  <si>
    <t xml:space="preserve"> 31.2609 </t>
  </si>
  <si>
    <t xml:space="preserve">C:\Users\cbarrier\Desktop\Calibration\20201112_Cefas_Test5_Run3/@16/G12_03.tif </t>
  </si>
  <si>
    <t xml:space="preserve">C:\Users\cbarrier\Desktop\Calibration\20201112_Cefas_Test5_Run3/@16/H12_01.tif </t>
  </si>
  <si>
    <t xml:space="preserve">C:\Users\cbarrier\Desktop\Calibration\20201112_Cefas_Test5_Run3/@16/H12_02.tif </t>
  </si>
  <si>
    <t xml:space="preserve"> 31.3333 </t>
  </si>
  <si>
    <t xml:space="preserve">C:\Users\cbarrier\Desktop\Calibration\20201112_Cefas_Test5_Run3/@16/H12_03.tif </t>
  </si>
  <si>
    <t xml:space="preserve"> 692.1566 </t>
  </si>
  <si>
    <t xml:space="preserve"> 32.0625 </t>
  </si>
  <si>
    <t xml:space="preserve">C:\Users\cbarrier\Desktop\Calibration\20201112_Cefas_Test5_Run3/@16/ </t>
  </si>
  <si>
    <t xml:space="preserve"> 27.7287 </t>
  </si>
  <si>
    <t xml:space="preserve"> 12.9488 </t>
  </si>
  <si>
    <t xml:space="preserve"> 56954.1667 </t>
  </si>
  <si>
    <t xml:space="preserve">C:\Users\cbarrier\Desktop\Calibration\20201112_Cefas_Test5_Run3/@2/A2_01.tif </t>
  </si>
  <si>
    <t xml:space="preserve"> 4866.7263 </t>
  </si>
  <si>
    <t xml:space="preserve"> 36.52 </t>
  </si>
  <si>
    <t xml:space="preserve">C:\Users\cbarrier\Desktop\Calibration\20201112_Cefas_Test5_Run3/@2/A2_02.tif </t>
  </si>
  <si>
    <t xml:space="preserve"> 4390.8686 </t>
  </si>
  <si>
    <t xml:space="preserve"> 36.33 </t>
  </si>
  <si>
    <t xml:space="preserve">C:\Users\cbarrier\Desktop\Calibration\20201112_Cefas_Test5_Run3/@2/A2_03.tif </t>
  </si>
  <si>
    <t xml:space="preserve"> 648.8968 </t>
  </si>
  <si>
    <t xml:space="preserve"> 35.6333 </t>
  </si>
  <si>
    <t xml:space="preserve">C:\Users\cbarrier\Desktop\Calibration\20201112_Cefas_Test5_Run3/@2/B2_01.tif </t>
  </si>
  <si>
    <t xml:space="preserve"> 2400.9183 </t>
  </si>
  <si>
    <t xml:space="preserve"> 35.0811 </t>
  </si>
  <si>
    <t xml:space="preserve">C:\Users\cbarrier\Desktop\Calibration\20201112_Cefas_Test5_Run3/@2/B2_02.tif </t>
  </si>
  <si>
    <t xml:space="preserve"> 5926.5911 </t>
  </si>
  <si>
    <t xml:space="preserve"> 35.8102 </t>
  </si>
  <si>
    <t xml:space="preserve">C:\Users\cbarrier\Desktop\Calibration\20201112_Cefas_Test5_Run3/@2/B2_03.tif </t>
  </si>
  <si>
    <t xml:space="preserve"> 7246.0147 </t>
  </si>
  <si>
    <t xml:space="preserve"> 40.7821 </t>
  </si>
  <si>
    <t xml:space="preserve">C:\Users\cbarrier\Desktop\Calibration\20201112_Cefas_Test5_Run3/@2/C2_01.tif </t>
  </si>
  <si>
    <t xml:space="preserve"> 151.4093 </t>
  </si>
  <si>
    <t xml:space="preserve">C:\Users\cbarrier\Desktop\Calibration\20201112_Cefas_Test5_Run3/@2/C2_02.tif </t>
  </si>
  <si>
    <t>C:\Users\cbarrier\Desktop\Calibration\20201112_Cefas_Test5_Run3/@2/C2_03- exclu.tif</t>
  </si>
  <si>
    <t xml:space="preserve">C:\Users\cbarrier\Desktop\Calibration\20201112_Cefas_Test5_Run3/@2/D2_01.tif </t>
  </si>
  <si>
    <t xml:space="preserve"> 108.1495 </t>
  </si>
  <si>
    <t xml:space="preserve"> 30.2 </t>
  </si>
  <si>
    <t xml:space="preserve">C:\Users\cbarrier\Desktop\Calibration\20201112_Cefas_Test5_Run3/@2/D2_02.tif </t>
  </si>
  <si>
    <t xml:space="preserve">C:\Users\cbarrier\Desktop\Calibration\20201112_Cefas_Test5_Run3/@2/D2_03.tif </t>
  </si>
  <si>
    <t xml:space="preserve"> 173.0392 </t>
  </si>
  <si>
    <t xml:space="preserve">C:\Users\cbarrier\Desktop\Calibration\20201112_Cefas_Test5_Run3/@2/E2_01.tif </t>
  </si>
  <si>
    <t xml:space="preserve"> 52041.5265 </t>
  </si>
  <si>
    <t xml:space="preserve"> 36.9663 </t>
  </si>
  <si>
    <t xml:space="preserve">C:\Users\cbarrier\Desktop\Calibration\20201112_Cefas_Test5_Run3/@2/E2_02.tif </t>
  </si>
  <si>
    <t xml:space="preserve"> 55264.3808 </t>
  </si>
  <si>
    <t xml:space="preserve"> 37.6454 </t>
  </si>
  <si>
    <t xml:space="preserve">C:\Users\cbarrier\Desktop\Calibration\20201112_Cefas_Test5_Run3/@2/E2_03.tif </t>
  </si>
  <si>
    <t xml:space="preserve"> 51176.3307 </t>
  </si>
  <si>
    <t xml:space="preserve"> 37.7823 </t>
  </si>
  <si>
    <t xml:space="preserve">C:\Users\cbarrier\Desktop\Calibration\20201112_Cefas_Test5_Run3/@2/F2_01.tif </t>
  </si>
  <si>
    <t xml:space="preserve"> 32.1111 </t>
  </si>
  <si>
    <t xml:space="preserve">C:\Users\cbarrier\Desktop\Calibration\20201112_Cefas_Test5_Run3/@2/F2_02.tif </t>
  </si>
  <si>
    <t xml:space="preserve">C:\Users\cbarrier\Desktop\Calibration\20201112_Cefas_Test5_Run3/@2/F2_03.tif </t>
  </si>
  <si>
    <t xml:space="preserve"> 1600.6122 </t>
  </si>
  <si>
    <t xml:space="preserve"> 35.3378 </t>
  </si>
  <si>
    <t xml:space="preserve">C:\Users\cbarrier\Desktop\Calibration\20201112_Cefas_Test5_Run3/@2/G2_01.tif </t>
  </si>
  <si>
    <t xml:space="preserve"> 1838.541 </t>
  </si>
  <si>
    <t xml:space="preserve"> 32.9529 </t>
  </si>
  <si>
    <t xml:space="preserve">C:\Users\cbarrier\Desktop\Calibration\20201112_Cefas_Test5_Run3/@2/G2_02.tif </t>
  </si>
  <si>
    <t xml:space="preserve"> 6726.8972 </t>
  </si>
  <si>
    <t xml:space="preserve"> 39.8039 </t>
  </si>
  <si>
    <t xml:space="preserve">C:\Users\cbarrier\Desktop\Calibration\20201112_Cefas_Test5_Run3/@2/G2_03.tif </t>
  </si>
  <si>
    <t xml:space="preserve"> 5407.4737 </t>
  </si>
  <si>
    <t xml:space="preserve"> 39.276 </t>
  </si>
  <si>
    <t xml:space="preserve">C:\Users\cbarrier\Desktop\Calibration\20201112_Cefas_Test5_Run3/@2/H2_01.tif </t>
  </si>
  <si>
    <t xml:space="preserve">C:\Users\cbarrier\Desktop\Calibration\20201112_Cefas_Test5_Run3/@2/H2_02.tif </t>
  </si>
  <si>
    <t xml:space="preserve">C:\Users\cbarrier\Desktop\Calibration\20201112_Cefas_Test5_Run3/@2/H2_03.tif </t>
  </si>
  <si>
    <t xml:space="preserve"> 410.968 </t>
  </si>
  <si>
    <t xml:space="preserve"> 31.7368 </t>
  </si>
  <si>
    <t xml:space="preserve">C:\Users\cbarrier\Desktop\Calibration\20201112_Cefas_Test5_Run3/@2/ </t>
  </si>
  <si>
    <t xml:space="preserve"> 31.7776 </t>
  </si>
  <si>
    <t xml:space="preserve"> 10.271 </t>
  </si>
  <si>
    <t xml:space="preserve"> 317300.625 </t>
  </si>
  <si>
    <t xml:space="preserve">C:\Users\cbarrier\Desktop\Calibration\20201112_Cefas_Test5_Run3/@3/A3_01.tif </t>
  </si>
  <si>
    <t xml:space="preserve"> 4585.5377 </t>
  </si>
  <si>
    <t xml:space="preserve"> 34.783 </t>
  </si>
  <si>
    <t xml:space="preserve">C:\Users\cbarrier\Desktop\Calibration\20201112_Cefas_Test5_Run3/@3/A3_02.tif </t>
  </si>
  <si>
    <t xml:space="preserve"> 2336.0286 </t>
  </si>
  <si>
    <t xml:space="preserve"> 34.4537 </t>
  </si>
  <si>
    <t xml:space="preserve">C:\Users\cbarrier\Desktop\Calibration\20201112_Cefas_Test5_Run3/@3/A3_03.tif </t>
  </si>
  <si>
    <t xml:space="preserve"> 2119.7297 </t>
  </si>
  <si>
    <t xml:space="preserve"> 33.5306 </t>
  </si>
  <si>
    <t xml:space="preserve">C:\Users\cbarrier\Desktop\Calibration\20201112_Cefas_Test5_Run3/@3/B3_01.tif </t>
  </si>
  <si>
    <t xml:space="preserve"> 1557.3524 </t>
  </si>
  <si>
    <t xml:space="preserve"> 33.5 </t>
  </si>
  <si>
    <t xml:space="preserve">C:\Users\cbarrier\Desktop\Calibration\20201112_Cefas_Test5_Run3/@3/B3_02.tif </t>
  </si>
  <si>
    <t xml:space="preserve"> 3179.5945 </t>
  </si>
  <si>
    <t xml:space="preserve"> 32.5918 </t>
  </si>
  <si>
    <t xml:space="preserve">C:\Users\cbarrier\Desktop\Calibration\20201112_Cefas_Test5_Run3/@3/B3_03.tif </t>
  </si>
  <si>
    <t xml:space="preserve"> 2746.9966 </t>
  </si>
  <si>
    <t xml:space="preserve"> 32.4803 </t>
  </si>
  <si>
    <t xml:space="preserve">C:\Users\cbarrier\Desktop\Calibration\20201112_Cefas_Test5_Run3/@3/C3_01.tif </t>
  </si>
  <si>
    <t xml:space="preserve"> 6943.1962 </t>
  </si>
  <si>
    <t xml:space="preserve"> 39.5016 </t>
  </si>
  <si>
    <t xml:space="preserve">C:\Users\cbarrier\Desktop\Calibration\20201112_Cefas_Test5_Run3/@3/C3_02.tif </t>
  </si>
  <si>
    <t xml:space="preserve"> 64.8897 </t>
  </si>
  <si>
    <t xml:space="preserve">C:\Users\cbarrier\Desktop\Calibration\20201112_Cefas_Test5_Run3/@3/C3_03.tif </t>
  </si>
  <si>
    <t xml:space="preserve"> 8738.4774 </t>
  </si>
  <si>
    <t xml:space="preserve"> 42.255 </t>
  </si>
  <si>
    <t xml:space="preserve">C:\Users\cbarrier\Desktop\Calibration\20201112_Cefas_Test5_Run3/@3/D3_01.tif </t>
  </si>
  <si>
    <t xml:space="preserve"> 10577.0185 </t>
  </si>
  <si>
    <t xml:space="preserve"> 34.4703 </t>
  </si>
  <si>
    <t>C:\Users\cbarrier\Desktop\Calibration\20201112_Cefas_Test5_Run3/@3/D3_02- exclu.tif</t>
  </si>
  <si>
    <t xml:space="preserve">C:\Users\cbarrier\Desktop\Calibration\20201112_Cefas_Test5_Run3/@3/D3_03.tif </t>
  </si>
  <si>
    <t xml:space="preserve"> 13064.4564 </t>
  </si>
  <si>
    <t xml:space="preserve"> 33.2384 </t>
  </si>
  <si>
    <t xml:space="preserve">C:\Users\cbarrier\Desktop\Calibration\20201112_Cefas_Test5_Run3/@3/E3_01.tif </t>
  </si>
  <si>
    <t xml:space="preserve"> 2379.2884 </t>
  </si>
  <si>
    <t xml:space="preserve"> 33.1 </t>
  </si>
  <si>
    <t xml:space="preserve">C:\Users\cbarrier\Desktop\Calibration\20201112_Cefas_Test5_Run3/@3/E3_02.tif </t>
  </si>
  <si>
    <t xml:space="preserve"> 5623.7726 </t>
  </si>
  <si>
    <t xml:space="preserve"> 37.2923 </t>
  </si>
  <si>
    <t>C:\Users\cbarrier\Desktop\Calibration\20201112_Cefas_Test5_Run3/@3/E3_03- exclu.tif</t>
  </si>
  <si>
    <t>C:\Users\cbarrier\Desktop\Calibration\20201112_Cefas_Test5_Run3/@3/F3_01- exclu.tif</t>
  </si>
  <si>
    <t>C:\Users\cbarrier\Desktop\Calibration\20201112_Cefas_Test5_Run3/@3/F3_02- exclu.tif</t>
  </si>
  <si>
    <t>C:\Users\cbarrier\Desktop\Calibration\20201112_Cefas_Test5_Run3/@3/F3_03- exclu.tif</t>
  </si>
  <si>
    <t xml:space="preserve">C:\Users\cbarrier\Desktop\Calibration\20201112_Cefas_Test5_Run3/@3/G3_01.tif </t>
  </si>
  <si>
    <t xml:space="preserve"> 6553.8581 </t>
  </si>
  <si>
    <t xml:space="preserve"> 31.6007 </t>
  </si>
  <si>
    <t xml:space="preserve">C:\Users\cbarrier\Desktop\Calibration\20201112_Cefas_Test5_Run3/@3/G3_02.tif </t>
  </si>
  <si>
    <t xml:space="preserve"> 3958.2707 </t>
  </si>
  <si>
    <t xml:space="preserve"> 31.5464 </t>
  </si>
  <si>
    <t xml:space="preserve">C:\Users\cbarrier\Desktop\Calibration\20201112_Cefas_Test5_Run3/@3/G3_03.tif </t>
  </si>
  <si>
    <t xml:space="preserve"> 9603.6732 </t>
  </si>
  <si>
    <t xml:space="preserve"> 32.3829 </t>
  </si>
  <si>
    <t xml:space="preserve">C:\Users\cbarrier\Desktop\Calibration\20201112_Cefas_Test5_Run3/@3/H3_01.tif </t>
  </si>
  <si>
    <t xml:space="preserve"> 2833.5162 </t>
  </si>
  <si>
    <t xml:space="preserve"> 32.855 </t>
  </si>
  <si>
    <t xml:space="preserve">C:\Users\cbarrier\Desktop\Calibration\20201112_Cefas_Test5_Run3/@3/H3_02.tif </t>
  </si>
  <si>
    <t xml:space="preserve"> 4152.9398 </t>
  </si>
  <si>
    <t xml:space="preserve"> 33.6146 </t>
  </si>
  <si>
    <t xml:space="preserve">C:\Users\cbarrier\Desktop\Calibration\20201112_Cefas_Test5_Run3/@3/H3_03.tif </t>
  </si>
  <si>
    <t xml:space="preserve"> 6142.8901 </t>
  </si>
  <si>
    <t xml:space="preserve"> 35.4789 </t>
  </si>
  <si>
    <t xml:space="preserve">C:\Users\cbarrier\Desktop\Calibration\20201112_Cefas_Test5_Run3/@3/ </t>
  </si>
  <si>
    <t xml:space="preserve"> 33.8432 </t>
  </si>
  <si>
    <t xml:space="preserve"> 9.0385 </t>
  </si>
  <si>
    <t xml:space="preserve"> 207149.458 </t>
  </si>
  <si>
    <t xml:space="preserve">C:\Users\cbarrier\Desktop\Calibration\20201112_Cefas_Test5_Run3/@4/A4_01.tif </t>
  </si>
  <si>
    <t xml:space="preserve"> 55221.121 </t>
  </si>
  <si>
    <t xml:space="preserve"> 37.479 </t>
  </si>
  <si>
    <t xml:space="preserve">C:\Users\cbarrier\Desktop\Calibration\20201112_Cefas_Test5_Run3/@4/A4_02.tif </t>
  </si>
  <si>
    <t xml:space="preserve"> 51630.5585 </t>
  </si>
  <si>
    <t xml:space="preserve"> 37.1077 </t>
  </si>
  <si>
    <t xml:space="preserve">C:\Users\cbarrier\Desktop\Calibration\20201112_Cefas_Test5_Run3/@4/A4_03.tif </t>
  </si>
  <si>
    <t xml:space="preserve"> 48991.7113 </t>
  </si>
  <si>
    <t xml:space="preserve"> 35.4543 </t>
  </si>
  <si>
    <t xml:space="preserve">C:\Users\cbarrier\Desktop\Calibration\20201112_Cefas_Test5_Run3/@4/B4_01.tif </t>
  </si>
  <si>
    <t xml:space="preserve"> 32.1695 </t>
  </si>
  <si>
    <t xml:space="preserve">C:\Users\cbarrier\Desktop\Calibration\20201112_Cefas_Test5_Run3/@4/B4_02.tif </t>
  </si>
  <si>
    <t xml:space="preserve"> 7397.424 </t>
  </si>
  <si>
    <t xml:space="preserve"> 32.6082 </t>
  </si>
  <si>
    <t xml:space="preserve">C:\Users\cbarrier\Desktop\Calibration\20201112_Cefas_Test5_Run3/@4/B4_03.tif </t>
  </si>
  <si>
    <t xml:space="preserve"> 16806.4281 </t>
  </si>
  <si>
    <t xml:space="preserve"> 33.4157 </t>
  </si>
  <si>
    <t>C:\Users\cbarrier\Desktop\Calibration\20201112_Cefas_Test5_Run3/@4/C4_01- exclu.tif</t>
  </si>
  <si>
    <t xml:space="preserve">C:\Users\cbarrier\Desktop\Calibration\20201112_Cefas_Test5_Run3/@4/C4_02.tif </t>
  </si>
  <si>
    <t xml:space="preserve"> 4758.5768 </t>
  </si>
  <si>
    <t xml:space="preserve"> 31.8682 </t>
  </si>
  <si>
    <t>C:\Users\cbarrier\Desktop\Calibration\20201112_Cefas_Test5_Run3/@4/C4_03- exclu.tif</t>
  </si>
  <si>
    <t xml:space="preserve">C:\Users\cbarrier\Desktop\Calibration\20201112_Cefas_Test5_Run3/@4/D4_01.tif </t>
  </si>
  <si>
    <t xml:space="preserve"> 994.9752 </t>
  </si>
  <si>
    <t xml:space="preserve">C:\Users\cbarrier\Desktop\Calibration\20201112_Cefas_Test5_Run3/@4/D4_02.tif </t>
  </si>
  <si>
    <t xml:space="preserve"> 2660.477 </t>
  </si>
  <si>
    <t xml:space="preserve"> 34.187 </t>
  </si>
  <si>
    <t xml:space="preserve">C:\Users\cbarrier\Desktop\Calibration\20201112_Cefas_Test5_Run3/@4/D4_03.tif </t>
  </si>
  <si>
    <t xml:space="preserve"> 3006.5554 </t>
  </si>
  <si>
    <t xml:space="preserve"> 33.8993 </t>
  </si>
  <si>
    <t xml:space="preserve">C:\Users\cbarrier\Desktop\Calibration\20201112_Cefas_Test5_Run3/@4/E4_01.tif </t>
  </si>
  <si>
    <t xml:space="preserve"> 9690.1928 </t>
  </si>
  <si>
    <t xml:space="preserve"> 32.0603 </t>
  </si>
  <si>
    <t xml:space="preserve">C:\Users\cbarrier\Desktop\Calibration\20201112_Cefas_Test5_Run3/@4/E4_02.tif </t>
  </si>
  <si>
    <t xml:space="preserve"> 11680.1431 </t>
  </si>
  <si>
    <t xml:space="preserve"> 31.9796 </t>
  </si>
  <si>
    <t xml:space="preserve">C:\Users\cbarrier\Desktop\Calibration\20201112_Cefas_Test5_Run3/@4/E4_03.tif </t>
  </si>
  <si>
    <t xml:space="preserve"> 19358.7557 </t>
  </si>
  <si>
    <t xml:space="preserve"> 33.3765 </t>
  </si>
  <si>
    <t xml:space="preserve">C:\Users\cbarrier\Desktop\Calibration\20201112_Cefas_Test5_Run3/@4/F4_01.tif </t>
  </si>
  <si>
    <t xml:space="preserve"> 24030.8129 </t>
  </si>
  <si>
    <t xml:space="preserve"> 36.1764 </t>
  </si>
  <si>
    <t xml:space="preserve">C:\Users\cbarrier\Desktop\Calibration\20201112_Cefas_Test5_Run3/@4/F4_02.tif </t>
  </si>
  <si>
    <t xml:space="preserve"> 23879.4037 </t>
  </si>
  <si>
    <t xml:space="preserve"> 36.5299 </t>
  </si>
  <si>
    <t xml:space="preserve">C:\Users\cbarrier\Desktop\Calibration\20201112_Cefas_Test5_Run3/@4/F4_03.tif </t>
  </si>
  <si>
    <t xml:space="preserve"> 30130.4432 </t>
  </si>
  <si>
    <t xml:space="preserve"> 35.6956 </t>
  </si>
  <si>
    <t>C:\Users\cbarrier\Desktop\Calibration\20201112_Cefas_Test5_Run3/@4/G4_01- exclu.tif</t>
  </si>
  <si>
    <t>C:\Users\cbarrier\Desktop\Calibration\20201112_Cefas_Test5_Run3/@4/G4_02- exclu.tif</t>
  </si>
  <si>
    <t>C:\Users\cbarrier\Desktop\Calibration\20201112_Cefas_Test5_Run3/@4/G4_03- exclu.tif</t>
  </si>
  <si>
    <t xml:space="preserve">C:\Users\cbarrier\Desktop\Calibration\20201112_Cefas_Test5_Run3/@4/H4_01.tif </t>
  </si>
  <si>
    <t xml:space="preserve"> 18255.6311 </t>
  </si>
  <si>
    <t xml:space="preserve"> 33.2891 </t>
  </si>
  <si>
    <t xml:space="preserve">C:\Users\cbarrier\Desktop\Calibration\20201112_Cefas_Test5_Run3/@4/H4_02.tif </t>
  </si>
  <si>
    <t xml:space="preserve"> 31471.4967 </t>
  </si>
  <si>
    <t xml:space="preserve"> 33.4206 </t>
  </si>
  <si>
    <t xml:space="preserve">C:\Users\cbarrier\Desktop\Calibration\20201112_Cefas_Test5_Run3/@4/H4_03.tif </t>
  </si>
  <si>
    <t xml:space="preserve"> 20829.5885 </t>
  </si>
  <si>
    <t xml:space="preserve"> 33.5888 </t>
  </si>
  <si>
    <t xml:space="preserve">C:\Users\cbarrier\Desktop\Calibration\20201112_Cefas_Test5_Run3/@4/ </t>
  </si>
  <si>
    <t xml:space="preserve"> 34.1881 </t>
  </si>
  <si>
    <t xml:space="preserve"> 2.0922 </t>
  </si>
  <si>
    <t xml:space="preserve"> 602109.667 </t>
  </si>
  <si>
    <t xml:space="preserve">C:\Users\cbarrier\Desktop\Calibration\20201112_Cefas_Test5_Run3/@5/A5_01.tif </t>
  </si>
  <si>
    <t xml:space="preserve"> 5861.7014 </t>
  </si>
  <si>
    <t xml:space="preserve"> 31.0886 </t>
  </si>
  <si>
    <t xml:space="preserve">C:\Users\cbarrier\Desktop\Calibration\20201112_Cefas_Test5_Run3/@5/A5_02.tif </t>
  </si>
  <si>
    <t xml:space="preserve"> 12545.3389 </t>
  </si>
  <si>
    <t xml:space="preserve"> 32.2138 </t>
  </si>
  <si>
    <t xml:space="preserve">C:\Users\cbarrier\Desktop\Calibration\20201112_Cefas_Test5_Run3/@5/A5_03.tif </t>
  </si>
  <si>
    <t xml:space="preserve"> 10858.2071 </t>
  </si>
  <si>
    <t xml:space="preserve"> 32.2689 </t>
  </si>
  <si>
    <t xml:space="preserve">C:\Users\cbarrier\Desktop\Calibration\20201112_Cefas_Test5_Run3/@5/B5_01.tif </t>
  </si>
  <si>
    <t xml:space="preserve"> 18731.4887 </t>
  </si>
  <si>
    <t xml:space="preserve"> 36.0439 </t>
  </si>
  <si>
    <t xml:space="preserve">C:\Users\cbarrier\Desktop\Calibration\20201112_Cefas_Test5_Run3/@5/B5_02.tif </t>
  </si>
  <si>
    <t xml:space="preserve"> 22408.5708 </t>
  </si>
  <si>
    <t xml:space="preserve"> 35.4701 </t>
  </si>
  <si>
    <t xml:space="preserve">C:\Users\cbarrier\Desktop\Calibration\20201112_Cefas_Test5_Run3/@5/B5_03.tif </t>
  </si>
  <si>
    <t xml:space="preserve"> 9560.4134 </t>
  </si>
  <si>
    <t xml:space="preserve"> 37.9186 </t>
  </si>
  <si>
    <t xml:space="preserve">C:\Users\cbarrier\Desktop\Calibration\20201112_Cefas_Test5_Run3/@5/C5_01.tif </t>
  </si>
  <si>
    <t xml:space="preserve"> 75207.1436 </t>
  </si>
  <si>
    <t xml:space="preserve"> 39.5861 </t>
  </si>
  <si>
    <t xml:space="preserve">C:\Users\cbarrier\Desktop\Calibration\20201112_Cefas_Test5_Run3/@5/C5_02.tif </t>
  </si>
  <si>
    <t xml:space="preserve"> 63224.182 </t>
  </si>
  <si>
    <t xml:space="preserve"> 38.1057 </t>
  </si>
  <si>
    <t xml:space="preserve">C:\Users\cbarrier\Desktop\Calibration\20201112_Cefas_Test5_Run3/@5/C5_03.tif </t>
  </si>
  <si>
    <t xml:space="preserve"> 37.796 </t>
  </si>
  <si>
    <t xml:space="preserve">C:\Users\cbarrier\Desktop\Calibration\20201112_Cefas_Test5_Run3/@5/D5_01.tif </t>
  </si>
  <si>
    <t xml:space="preserve"> 68026.0186 </t>
  </si>
  <si>
    <t xml:space="preserve"> 38.5275 </t>
  </si>
  <si>
    <t>C:\Users\cbarrier\Desktop\Calibration\20201112_Cefas_Test5_Run3/@5/D5_02- exclu.tif</t>
  </si>
  <si>
    <t xml:space="preserve">C:\Users\cbarrier\Desktop\Calibration\20201112_Cefas_Test5_Run3/@5/D5_03.tif </t>
  </si>
  <si>
    <t xml:space="preserve"> 76613.0868 </t>
  </si>
  <si>
    <t xml:space="preserve"> 41.832 </t>
  </si>
  <si>
    <t xml:space="preserve">C:\Users\cbarrier\Desktop\Calibration\20201112_Cefas_Test5_Run3/@5/E5_01.tif </t>
  </si>
  <si>
    <t xml:space="preserve"> 48429.3341 </t>
  </si>
  <si>
    <t xml:space="preserve"> 35.0071 </t>
  </si>
  <si>
    <t xml:space="preserve">C:\Users\cbarrier\Desktop\Calibration\20201112_Cefas_Test5_Run3/@5/E5_02.tif </t>
  </si>
  <si>
    <t xml:space="preserve"> 36727.5611 </t>
  </si>
  <si>
    <t xml:space="preserve"> 35.0948 </t>
  </si>
  <si>
    <t xml:space="preserve">C:\Users\cbarrier\Desktop\Calibration\20201112_Cefas_Test5_Run3/@5/E5_03.tif </t>
  </si>
  <si>
    <t xml:space="preserve"> 50051.5762 </t>
  </si>
  <si>
    <t xml:space="preserve"> 37.6863 </t>
  </si>
  <si>
    <t xml:space="preserve">C:\Users\cbarrier\Desktop\Calibration\20201112_Cefas_Test5_Run3/@5/F5_01.tif </t>
  </si>
  <si>
    <t xml:space="preserve"> 10166.0505 </t>
  </si>
  <si>
    <t xml:space="preserve"> 31.2064 </t>
  </si>
  <si>
    <t xml:space="preserve">C:\Users\cbarrier\Desktop\Calibration\20201112_Cefas_Test5_Run3/@5/F5_02.tif </t>
  </si>
  <si>
    <t xml:space="preserve"> 26215.4323 </t>
  </si>
  <si>
    <t xml:space="preserve"> 31.9373 </t>
  </si>
  <si>
    <t xml:space="preserve">C:\Users\cbarrier\Desktop\Calibration\20201112_Cefas_Test5_Run3/@5/F5_03.tif </t>
  </si>
  <si>
    <t xml:space="preserve"> 17390.4353 </t>
  </si>
  <si>
    <t xml:space="preserve"> 31.7649 </t>
  </si>
  <si>
    <t xml:space="preserve">C:\Users\cbarrier\Desktop\Calibration\20201112_Cefas_Test5_Run3/@5/G5_01.tif </t>
  </si>
  <si>
    <t xml:space="preserve"> 33050.479 </t>
  </si>
  <si>
    <t xml:space="preserve"> 49.7539 </t>
  </si>
  <si>
    <t xml:space="preserve">C:\Users\cbarrier\Desktop\Calibration\20201112_Cefas_Test5_Run3/@5/G5_02.tif </t>
  </si>
  <si>
    <t xml:space="preserve"> 33894.0449 </t>
  </si>
  <si>
    <t xml:space="preserve"> 49.656 </t>
  </si>
  <si>
    <t xml:space="preserve">C:\Users\cbarrier\Desktop\Calibration\20201112_Cefas_Test5_Run3/@5/G5_03.tif </t>
  </si>
  <si>
    <t xml:space="preserve"> 25544.9056 </t>
  </si>
  <si>
    <t xml:space="preserve"> 52.2811 </t>
  </si>
  <si>
    <t xml:space="preserve">C:\Users\cbarrier\Desktop\Calibration\20201112_Cefas_Test5_Run3/@5/H5_01.tif </t>
  </si>
  <si>
    <t xml:space="preserve"> 78970.7453 </t>
  </si>
  <si>
    <t xml:space="preserve"> 40.3996 </t>
  </si>
  <si>
    <t xml:space="preserve">C:\Users\cbarrier\Desktop\Calibration\20201112_Cefas_Test5_Run3/@5/H5_02.tif </t>
  </si>
  <si>
    <t xml:space="preserve"> 75791.1508 </t>
  </si>
  <si>
    <t xml:space="preserve"> 43.1147 </t>
  </si>
  <si>
    <t xml:space="preserve">C:\Users\cbarrier\Desktop\Calibration\20201112_Cefas_Test5_Run3/@5/H5_03.tif </t>
  </si>
  <si>
    <t xml:space="preserve"> 79792.6813 </t>
  </si>
  <si>
    <t xml:space="preserve"> 40.338 </t>
  </si>
  <si>
    <t xml:space="preserve">C:\Users\cbarrier\Desktop\Calibration\20201112_Cefas_Test5_Run3/@5/ </t>
  </si>
  <si>
    <t xml:space="preserve"> 38.2553 </t>
  </si>
  <si>
    <t xml:space="preserve"> 5.8829 </t>
  </si>
  <si>
    <t xml:space="preserve"> 1661652.79 </t>
  </si>
  <si>
    <t xml:space="preserve">C:\Users\cbarrier\Desktop\Calibration\20201112_Cefas_Test5_Run3/@6/A6_01.tif </t>
  </si>
  <si>
    <t xml:space="preserve"> 57859.9681 </t>
  </si>
  <si>
    <t xml:space="preserve"> 48.5402 </t>
  </si>
  <si>
    <t>C:\Users\cbarrier\Desktop\Calibration\20201112_Cefas_Test5_Run3/@6/A6_02- exclu.tif</t>
  </si>
  <si>
    <t>C:\Users\cbarrier\Desktop\Calibration\20201112_Cefas_Test5_Run3/@6/A6_03- exclu.tif</t>
  </si>
  <si>
    <t xml:space="preserve">C:\Users\cbarrier\Desktop\Calibration\20201112_Cefas_Test5_Run3/@6/B6_01.tif </t>
  </si>
  <si>
    <t xml:space="preserve"> 77716.2114 </t>
  </si>
  <si>
    <t xml:space="preserve"> 43.0392 </t>
  </si>
  <si>
    <t xml:space="preserve">C:\Users\cbarrier\Desktop\Calibration\20201112_Cefas_Test5_Run3/@6/B6_02.tif </t>
  </si>
  <si>
    <t xml:space="preserve"> 75142.2539 </t>
  </si>
  <si>
    <t xml:space="preserve"> 46.5276 </t>
  </si>
  <si>
    <t xml:space="preserve">C:\Users\cbarrier\Desktop\Calibration\20201112_Cefas_Test5_Run3/@6/B6_03.tif </t>
  </si>
  <si>
    <t xml:space="preserve"> 75618.1116 </t>
  </si>
  <si>
    <t xml:space="preserve"> 46.1773 </t>
  </si>
  <si>
    <t xml:space="preserve">C:\Users\cbarrier\Desktop\Calibration\20201112_Cefas_Test5_Run3/@6/C6_01.tif </t>
  </si>
  <si>
    <t xml:space="preserve"> 80484.8379 </t>
  </si>
  <si>
    <t xml:space="preserve"> 46.258 </t>
  </si>
  <si>
    <t xml:space="preserve">C:\Users\cbarrier\Desktop\Calibration\20201112_Cefas_Test5_Run3/@6/C6_02.tif </t>
  </si>
  <si>
    <t xml:space="preserve"> 69648.2607 </t>
  </si>
  <si>
    <t xml:space="preserve"> 46.5851 </t>
  </si>
  <si>
    <t xml:space="preserve">C:\Users\cbarrier\Desktop\Calibration\20201112_Cefas_Test5_Run3/@6/C6_03.tif </t>
  </si>
  <si>
    <t xml:space="preserve"> 66187.4776 </t>
  </si>
  <si>
    <t xml:space="preserve"> 44.2631 </t>
  </si>
  <si>
    <t xml:space="preserve">C:\Users\cbarrier\Desktop\Calibration\20201112_Cefas_Test5_Run3/@6/D6_01.tif </t>
  </si>
  <si>
    <t xml:space="preserve"> 51197.9606 </t>
  </si>
  <si>
    <t xml:space="preserve"> 41.703 </t>
  </si>
  <si>
    <t xml:space="preserve">C:\Users\cbarrier\Desktop\Calibration\20201112_Cefas_Test5_Run3/@6/D6_02.tif </t>
  </si>
  <si>
    <t xml:space="preserve"> 60542.0751 </t>
  </si>
  <si>
    <t xml:space="preserve"> 43.766 </t>
  </si>
  <si>
    <t>C:\Users\cbarrier\Desktop\Calibration\20201112_Cefas_Test5_Run3/@6/D6_03- exclu.tif</t>
  </si>
  <si>
    <t xml:space="preserve">C:\Users\cbarrier\Desktop\Calibration\20201112_Cefas_Test5_Run3/@6/E6_01.tif </t>
  </si>
  <si>
    <t xml:space="preserve"> 35429.7674 </t>
  </si>
  <si>
    <t xml:space="preserve"> 40.0592 </t>
  </si>
  <si>
    <t xml:space="preserve">C:\Users\cbarrier\Desktop\Calibration\20201112_Cefas_Test5_Run3/@6/E6_02.tif </t>
  </si>
  <si>
    <t xml:space="preserve"> 35862.3653 </t>
  </si>
  <si>
    <t xml:space="preserve"> 42.4276 </t>
  </si>
  <si>
    <t>C:\Users\cbarrier\Desktop\Calibration\20201112_Cefas_Test5_Run3/@6/E6_03- exclu.tif</t>
  </si>
  <si>
    <t xml:space="preserve">C:\Users\cbarrier\Desktop\Calibration\20201112_Cefas_Test5_Run3/@6/F6_01.tif </t>
  </si>
  <si>
    <t xml:space="preserve"> 61883.1285 </t>
  </si>
  <si>
    <t xml:space="preserve"> 50.59 </t>
  </si>
  <si>
    <t xml:space="preserve">C:\Users\cbarrier\Desktop\Calibration\20201112_Cefas_Test5_Run3/@6/F6_02.tif </t>
  </si>
  <si>
    <t xml:space="preserve"> 58379.0856 </t>
  </si>
  <si>
    <t xml:space="preserve"> 52.7873 </t>
  </si>
  <si>
    <t xml:space="preserve">C:\Users\cbarrier\Desktop\Calibration\20201112_Cefas_Test5_Run3/@6/F6_03.tif </t>
  </si>
  <si>
    <t xml:space="preserve"> 53252.8006 </t>
  </si>
  <si>
    <t xml:space="preserve"> 49.708 </t>
  </si>
  <si>
    <t xml:space="preserve">C:\Users\cbarrier\Desktop\Calibration\20201112_Cefas_Test5_Run3/@6/G6_01.tif </t>
  </si>
  <si>
    <t xml:space="preserve"> 46547.5332 </t>
  </si>
  <si>
    <t xml:space="preserve"> 41.4721 </t>
  </si>
  <si>
    <t xml:space="preserve">C:\Users\cbarrier\Desktop\Calibration\20201112_Cefas_Test5_Run3/@6/G6_02.tif </t>
  </si>
  <si>
    <t xml:space="preserve"> 37765.796 </t>
  </si>
  <si>
    <t xml:space="preserve"> 41.9519 </t>
  </si>
  <si>
    <t xml:space="preserve">C:\Users\cbarrier\Desktop\Calibration\20201112_Cefas_Test5_Run3/@6/G6_03.tif </t>
  </si>
  <si>
    <t xml:space="preserve"> 40383.0133 </t>
  </si>
  <si>
    <t xml:space="preserve"> 44.4788 </t>
  </si>
  <si>
    <t xml:space="preserve">C:\Users\cbarrier\Desktop\Calibration\20201112_Cefas_Test5_Run3/@6/H6_01.tif </t>
  </si>
  <si>
    <t xml:space="preserve"> 92078.4614 </t>
  </si>
  <si>
    <t xml:space="preserve"> 47.8062 </t>
  </si>
  <si>
    <t xml:space="preserve">C:\Users\cbarrier\Desktop\Calibration\20201112_Cefas_Test5_Run3/@6/H6_02.tif </t>
  </si>
  <si>
    <t xml:space="preserve"> 84875.7065 </t>
  </si>
  <si>
    <t xml:space="preserve"> 53.1746 </t>
  </si>
  <si>
    <t xml:space="preserve">C:\Users\cbarrier\Desktop\Calibration\20201112_Cefas_Test5_Run3/@6/H6_03.tif </t>
  </si>
  <si>
    <t xml:space="preserve"> 81847.5213 </t>
  </si>
  <si>
    <t xml:space="preserve"> 45.7674 </t>
  </si>
  <si>
    <t xml:space="preserve">C:\Users\cbarrier\Desktop\Calibration\20201112_Cefas_Test5_Run3/@6/ </t>
  </si>
  <si>
    <t xml:space="preserve"> 45.5358 </t>
  </si>
  <si>
    <t xml:space="preserve"> 3.7806 </t>
  </si>
  <si>
    <t xml:space="preserve"> 2650270.54 </t>
  </si>
  <si>
    <t xml:space="preserve">C:\Users\cbarrier\Desktop\Calibration\20201112_Cefas_Test5_Run3/@7/A7_01.tif </t>
  </si>
  <si>
    <t xml:space="preserve"> 86238.3899 </t>
  </si>
  <si>
    <t xml:space="preserve"> 57.5079 </t>
  </si>
  <si>
    <t xml:space="preserve">C:\Users\cbarrier\Desktop\Calibration\20201112_Cefas_Test5_Run3/@7/A7_02.tif </t>
  </si>
  <si>
    <t xml:space="preserve"> 83275.0943 </t>
  </si>
  <si>
    <t xml:space="preserve"> 55.8631 </t>
  </si>
  <si>
    <t xml:space="preserve">C:\Users\cbarrier\Desktop\Calibration\20201112_Cefas_Test5_Run3/@7/A7_03.tif </t>
  </si>
  <si>
    <t xml:space="preserve"> 81458.1832 </t>
  </si>
  <si>
    <t xml:space="preserve"> 52.3603 </t>
  </si>
  <si>
    <t xml:space="preserve">C:\Users\cbarrier\Desktop\Calibration\20201112_Cefas_Test5_Run3/@7/B7_01.tif </t>
  </si>
  <si>
    <t xml:space="preserve"> 68307.2072 </t>
  </si>
  <si>
    <t xml:space="preserve"> 40.2008 </t>
  </si>
  <si>
    <t xml:space="preserve">C:\Users\cbarrier\Desktop\Calibration\20201112_Cefas_Test5_Run3/@7/B7_02.tif </t>
  </si>
  <si>
    <t xml:space="preserve"> 85265.0446 </t>
  </si>
  <si>
    <t xml:space="preserve"> 44.1149 </t>
  </si>
  <si>
    <t xml:space="preserve">C:\Users\cbarrier\Desktop\Calibration\20201112_Cefas_Test5_Run3/@7/B7_03.tif </t>
  </si>
  <si>
    <t xml:space="preserve"> 87341.5145 </t>
  </si>
  <si>
    <t xml:space="preserve"> 43.9886 </t>
  </si>
  <si>
    <t xml:space="preserve">C:\Users\cbarrier\Desktop\Calibration\20201112_Cefas_Test5_Run3/@7/C7_01.tif </t>
  </si>
  <si>
    <t xml:space="preserve"> 105294.327 </t>
  </si>
  <si>
    <t xml:space="preserve"> 56.1845 </t>
  </si>
  <si>
    <t xml:space="preserve">C:\Users\cbarrier\Desktop\Calibration\20201112_Cefas_Test5_Run3/@7/C7_02.tif </t>
  </si>
  <si>
    <t xml:space="preserve"> 101314.426 </t>
  </si>
  <si>
    <t xml:space="preserve"> 58.9872 </t>
  </si>
  <si>
    <t xml:space="preserve">C:\Users\cbarrier\Desktop\Calibration\20201112_Cefas_Test5_Run3/@7/C7_03.tif </t>
  </si>
  <si>
    <t xml:space="preserve"> 96534.2197 </t>
  </si>
  <si>
    <t xml:space="preserve"> 58.659 </t>
  </si>
  <si>
    <t xml:space="preserve">C:\Users\cbarrier\Desktop\Calibration\20201112_Cefas_Test5_Run3/@7/D7_01.tif </t>
  </si>
  <si>
    <t xml:space="preserve"> 85200.1549 </t>
  </si>
  <si>
    <t xml:space="preserve"> 52.1315 </t>
  </si>
  <si>
    <t xml:space="preserve">C:\Users\cbarrier\Desktop\Calibration\20201112_Cefas_Test5_Run3/@7/D7_02.tif </t>
  </si>
  <si>
    <t xml:space="preserve"> 81241.8842 </t>
  </si>
  <si>
    <t xml:space="preserve"> 55.5783 </t>
  </si>
  <si>
    <t xml:space="preserve">C:\Users\cbarrier\Desktop\Calibration\20201112_Cefas_Test5_Run3/@7/D7_03.tif </t>
  </si>
  <si>
    <t xml:space="preserve"> 90218.2905 </t>
  </si>
  <si>
    <t xml:space="preserve"> 58.3601 </t>
  </si>
  <si>
    <t>C:\Users\cbarrier\Desktop\Calibration\20201112_Cefas_Test5_Run3/@7/E7_01- exclu.tif</t>
  </si>
  <si>
    <t xml:space="preserve">C:\Users\cbarrier\Desktop\Calibration\20201112_Cefas_Test5_Run3/@7/E7_02.tif </t>
  </si>
  <si>
    <t xml:space="preserve"> 58746.7938 </t>
  </si>
  <si>
    <t xml:space="preserve"> 58.7474 </t>
  </si>
  <si>
    <t xml:space="preserve">C:\Users\cbarrier\Desktop\Calibration\20201112_Cefas_Test5_Run3/@7/E7_03.tif </t>
  </si>
  <si>
    <t xml:space="preserve"> 55156.2313 </t>
  </si>
  <si>
    <t xml:space="preserve"> 57.5345 </t>
  </si>
  <si>
    <t xml:space="preserve">C:\Users\cbarrier\Desktop\Calibration\20201112_Cefas_Test5_Run3/@7/F7_01.tif </t>
  </si>
  <si>
    <t xml:space="preserve"> 80117.1297 </t>
  </si>
  <si>
    <t xml:space="preserve"> 51.3094 </t>
  </si>
  <si>
    <t xml:space="preserve">C:\Users\cbarrier\Desktop\Calibration\20201112_Cefas_Test5_Run3/@7/F7_02.tif </t>
  </si>
  <si>
    <t xml:space="preserve"> 79273.5638 </t>
  </si>
  <si>
    <t xml:space="preserve"> 56.9266 </t>
  </si>
  <si>
    <t xml:space="preserve">C:\Users\cbarrier\Desktop\Calibration\20201112_Cefas_Test5_Run3/@7/F7_03.tif </t>
  </si>
  <si>
    <t xml:space="preserve"> 75034.1045 </t>
  </si>
  <si>
    <t xml:space="preserve"> 54.8345 </t>
  </si>
  <si>
    <t xml:space="preserve">C:\Users\cbarrier\Desktop\Calibration\20201112_Cefas_Test5_Run3/@7/G7_01.tif </t>
  </si>
  <si>
    <t xml:space="preserve"> 35083.6891 </t>
  </si>
  <si>
    <t xml:space="preserve"> 48.9531 </t>
  </si>
  <si>
    <t xml:space="preserve">C:\Users\cbarrier\Desktop\Calibration\20201112_Cefas_Test5_Run3/@7/G7_02.tif </t>
  </si>
  <si>
    <t xml:space="preserve"> 32747.6605 </t>
  </si>
  <si>
    <t xml:space="preserve"> 57.7576 </t>
  </si>
  <si>
    <t xml:space="preserve">C:\Users\cbarrier\Desktop\Calibration\20201112_Cefas_Test5_Run3/@7/G7_03.tif </t>
  </si>
  <si>
    <t xml:space="preserve"> 31428.2369 </t>
  </si>
  <si>
    <t xml:space="preserve"> 56.457 </t>
  </si>
  <si>
    <t xml:space="preserve">C:\Users\cbarrier\Desktop\Calibration\20201112_Cefas_Test5_Run3/@7/H7_01.tif </t>
  </si>
  <si>
    <t xml:space="preserve"> 24744.5995 </t>
  </si>
  <si>
    <t xml:space="preserve"> 43.5227 </t>
  </si>
  <si>
    <t xml:space="preserve">C:\Users\cbarrier\Desktop\Calibration\20201112_Cefas_Test5_Run3/@7/H7_02.tif </t>
  </si>
  <si>
    <t xml:space="preserve"> 23035.8378 </t>
  </si>
  <si>
    <t xml:space="preserve"> 47.7812 </t>
  </si>
  <si>
    <t xml:space="preserve">C:\Users\cbarrier\Desktop\Calibration\20201112_Cefas_Test5_Run3/@7/H7_03.tif </t>
  </si>
  <si>
    <t xml:space="preserve"> 20050.9123 </t>
  </si>
  <si>
    <t xml:space="preserve"> 50.2093 </t>
  </si>
  <si>
    <t xml:space="preserve">C:\Users\cbarrier\Desktop\Calibration\20201112_Cefas_Test5_Run3/@7/ </t>
  </si>
  <si>
    <t xml:space="preserve"> 52.7258 </t>
  </si>
  <si>
    <t xml:space="preserve"> 5.6993 </t>
  </si>
  <si>
    <t xml:space="preserve"> 3595610.38 </t>
  </si>
  <si>
    <t>B</t>
  </si>
  <si>
    <t>C</t>
  </si>
  <si>
    <t>D</t>
  </si>
  <si>
    <t>E</t>
  </si>
  <si>
    <t>F</t>
  </si>
  <si>
    <t>G</t>
  </si>
  <si>
    <t>H</t>
  </si>
  <si>
    <t xml:space="preserve">C:\Users\cbarrier\Desktop\Calibration\20201111_Cefas_Test4_Run2\@1/01_A10_A10-1_20201111_14011001.tif </t>
  </si>
  <si>
    <t xml:space="preserve"> 379583.021 </t>
  </si>
  <si>
    <t xml:space="preserve"> 44.6723 </t>
  </si>
  <si>
    <t xml:space="preserve">C:\Users\cbarrier\Desktop\Calibration\20201111_Cefas_Test4_Run2\@1/01_B10_B10-1_20201111_14011401.tif </t>
  </si>
  <si>
    <t xml:space="preserve"> 399396.004 </t>
  </si>
  <si>
    <t xml:space="preserve"> 41.8538 </t>
  </si>
  <si>
    <t xml:space="preserve">C:\Users\cbarrier\Desktop\Calibration\20201111_Cefas_Test4_Run2\@1/01_C10_C10-1_20201111_14011601.tif </t>
  </si>
  <si>
    <t xml:space="preserve"> 350945.04 </t>
  </si>
  <si>
    <t xml:space="preserve"> 46.6568 </t>
  </si>
  <si>
    <t xml:space="preserve">C:\Users\cbarrier\Desktop\Calibration\20201111_Cefas_Test4_Run2\@1/01_D10_D10-1_20201111_14011901.tif </t>
  </si>
  <si>
    <t xml:space="preserve"> 371969.298 </t>
  </si>
  <si>
    <t xml:space="preserve"> 47.0464 </t>
  </si>
  <si>
    <t xml:space="preserve">C:\Users\cbarrier\Desktop\Calibration\20201111_Cefas_Test4_Run2\@1/01_E10_E10-1_20201111_14012401.tif </t>
  </si>
  <si>
    <t xml:space="preserve"> 403721.983 </t>
  </si>
  <si>
    <t xml:space="preserve"> 45.7725 </t>
  </si>
  <si>
    <t xml:space="preserve">C:\Users\cbarrier\Desktop\Calibration\20201111_Cefas_Test4_Run2\@1/01_F10_F10-1_20201111_14012801.tif </t>
  </si>
  <si>
    <t xml:space="preserve"> 371060.842 </t>
  </si>
  <si>
    <t xml:space="preserve"> 42.1316 </t>
  </si>
  <si>
    <t xml:space="preserve">C:\Users\cbarrier\Desktop\Calibration\20201111_Cefas_Test4_Run2\@1/01_G10_G10-1_20201111_14013001.tif </t>
  </si>
  <si>
    <t xml:space="preserve"> 298990.033 </t>
  </si>
  <si>
    <t xml:space="preserve"> 46.5927 </t>
  </si>
  <si>
    <t xml:space="preserve">C:\Users\cbarrier\Desktop\Calibration\20201111_Cefas_Test4_Run2\@1/01_H10_H10-1_20201111_14013401.tif </t>
  </si>
  <si>
    <t xml:space="preserve"> 339740.755 </t>
  </si>
  <si>
    <t xml:space="preserve"> 43.5473 </t>
  </si>
  <si>
    <t xml:space="preserve">C:\Users\cbarrier\Desktop\Calibration\20201111_Cefas_Test4_Run2\@1/ </t>
  </si>
  <si>
    <t xml:space="preserve"> 44.7842 </t>
  </si>
  <si>
    <t xml:space="preserve"> 2.0715 </t>
  </si>
  <si>
    <t xml:space="preserve"> 16298144.5 </t>
  </si>
  <si>
    <t xml:space="preserve"> 1469828.59 </t>
  </si>
  <si>
    <t xml:space="preserve">C:\Users\cbarrier\Desktop\Calibration\20201111_Cefas_Test4_Run2\@13/01_A8_A8-1_20201111_14002501.tif </t>
  </si>
  <si>
    <t xml:space="preserve"> 390419.598 </t>
  </si>
  <si>
    <t xml:space="preserve"> 45.854 </t>
  </si>
  <si>
    <t xml:space="preserve">C:\Users\cbarrier\Desktop\Calibration\20201111_Cefas_Test4_Run2\@13/01_B8_B8-1_20201111_14003101.tif </t>
  </si>
  <si>
    <t xml:space="preserve"> 368335.476 </t>
  </si>
  <si>
    <t xml:space="preserve"> 57.5562 </t>
  </si>
  <si>
    <t xml:space="preserve">C:\Users\cbarrier\Desktop\Calibration\20201111_Cefas_Test4_Run2\@13/01_C8_C8-1_20201111_14003301.tif </t>
  </si>
  <si>
    <t xml:space="preserve"> 442028.527 </t>
  </si>
  <si>
    <t xml:space="preserve"> 45.0104 </t>
  </si>
  <si>
    <t xml:space="preserve">C:\Users\cbarrier\Desktop\Calibration\20201111_Cefas_Test4_Run2\@13/01_D8_D8-1_20201111_14003501.tif </t>
  </si>
  <si>
    <t xml:space="preserve"> 354146.265 </t>
  </si>
  <si>
    <t xml:space="preserve"> 46.2608 </t>
  </si>
  <si>
    <t xml:space="preserve">C:\Users\cbarrier\Desktop\Calibration\20201111_Cefas_Test4_Run2\@13/01_E8_E8-1_20201111_14003901.tif </t>
  </si>
  <si>
    <t xml:space="preserve"> 383627.811 </t>
  </si>
  <si>
    <t xml:space="preserve"> 56.8512 </t>
  </si>
  <si>
    <t xml:space="preserve">C:\Users\cbarrier\Desktop\Calibration\20201111_Cefas_Test4_Run2\@13/01_F8_F8-1_20201111_14004101.tif </t>
  </si>
  <si>
    <t xml:space="preserve"> 203731.978 </t>
  </si>
  <si>
    <t xml:space="preserve"> 39.4173 </t>
  </si>
  <si>
    <t xml:space="preserve">C:\Users\cbarrier\Desktop\Calibration\20201111_Cefas_Test4_Run2\@13/01_G8_G8-1_20201111_14004401.tif </t>
  </si>
  <si>
    <t xml:space="preserve"> 476117.241 </t>
  </si>
  <si>
    <t xml:space="preserve"> 48.9264 </t>
  </si>
  <si>
    <t xml:space="preserve">C:\Users\cbarrier\Desktop\Calibration\20201111_Cefas_Test4_Run2\@13/01_H8_H8-1_20201111_14004601.tif </t>
  </si>
  <si>
    <t xml:space="preserve"> 430305.124 </t>
  </si>
  <si>
    <t xml:space="preserve"> 56.2417 </t>
  </si>
  <si>
    <t xml:space="preserve">C:\Users\cbarrier\Desktop\Calibration\20201111_Cefas_Test4_Run2\@13/ </t>
  </si>
  <si>
    <t xml:space="preserve"> 49.5147 </t>
  </si>
  <si>
    <t xml:space="preserve"> 6.6582 </t>
  </si>
  <si>
    <t xml:space="preserve"> 19089658.1 </t>
  </si>
  <si>
    <t xml:space="preserve"> 5173414.52 </t>
  </si>
  <si>
    <t xml:space="preserve">C:\Users\cbarrier\Desktop\Calibration\20201111_Cefas_Test4_Run2\@14/01_A9_A9-1_20201111_14004701.tif </t>
  </si>
  <si>
    <t xml:space="preserve"> 338334.812 </t>
  </si>
  <si>
    <t xml:space="preserve"> 43.0602 </t>
  </si>
  <si>
    <t xml:space="preserve">C:\Users\cbarrier\Desktop\Calibration\20201111_Cefas_Test4_Run2\@14/01_B9_B9-1_20201111_14005001.tif </t>
  </si>
  <si>
    <t xml:space="preserve"> 393123.335 </t>
  </si>
  <si>
    <t xml:space="preserve"> 47.6015 </t>
  </si>
  <si>
    <t xml:space="preserve">C:\Users\cbarrier\Desktop\Calibration\20201111_Cefas_Test4_Run2\@14/01_C9_C9-1_20201111_14005101.tif </t>
  </si>
  <si>
    <t xml:space="preserve"> 361500.429 </t>
  </si>
  <si>
    <t xml:space="preserve"> 54.2569 </t>
  </si>
  <si>
    <t xml:space="preserve">C:\Users\cbarrier\Desktop\Calibration\20201111_Cefas_Test4_Run2\@14/01_D9_D9-1_20201111_14005301.tif </t>
  </si>
  <si>
    <t xml:space="preserve"> 343547.616 </t>
  </si>
  <si>
    <t xml:space="preserve"> 51.2622 </t>
  </si>
  <si>
    <t xml:space="preserve">C:\Users\cbarrier\Desktop\Calibration\20201111_Cefas_Test4_Run2\@14/01_E9_E9-1_20201111_14005601.tif </t>
  </si>
  <si>
    <t xml:space="preserve"> 398444.289 </t>
  </si>
  <si>
    <t xml:space="preserve"> 52.4888 </t>
  </si>
  <si>
    <t xml:space="preserve">C:\Users\cbarrier\Desktop\Calibration\20201111_Cefas_Test4_Run2\@14/01_F9_F9-1_20201111_14010001.tif </t>
  </si>
  <si>
    <t xml:space="preserve"> 391717.392 </t>
  </si>
  <si>
    <t xml:space="preserve"> 41.0919 </t>
  </si>
  <si>
    <t xml:space="preserve">C:\Users\cbarrier\Desktop\Calibration\20201111_Cefas_Test4_Run2\@14/01_G9_G9-1_20201111_14010401.tif </t>
  </si>
  <si>
    <t xml:space="preserve"> 538627.636 </t>
  </si>
  <si>
    <t xml:space="preserve"> 47.7701 </t>
  </si>
  <si>
    <t xml:space="preserve">C:\Users\cbarrier\Desktop\Calibration\20201111_Cefas_Test4_Run2\@14/01_H9_H9-1_20201111_14010801.tif </t>
  </si>
  <si>
    <t xml:space="preserve"> 334225.132 </t>
  </si>
  <si>
    <t xml:space="preserve"> 46.3136 </t>
  </si>
  <si>
    <t xml:space="preserve">C:\Users\cbarrier\Desktop\Calibration\20201111_Cefas_Test4_Run2\@14/ </t>
  </si>
  <si>
    <t xml:space="preserve"> 47.9806 </t>
  </si>
  <si>
    <t xml:space="preserve"> 4.5531 </t>
  </si>
  <si>
    <t xml:space="preserve"> 3595068.67 </t>
  </si>
  <si>
    <t xml:space="preserve">C:\Users\cbarrier\Desktop\Calibration\20201111_Cefas_Test4_Run2\@15/01_A11_A11-1_20201111_14013901.tif </t>
  </si>
  <si>
    <t xml:space="preserve"> 32790.9203 </t>
  </si>
  <si>
    <t xml:space="preserve"> 34.626 </t>
  </si>
  <si>
    <t xml:space="preserve">C:\Users\cbarrier\Desktop\Calibration\20201111_Cefas_Test4_Run2\@15/01_B11_B11-1_20201111_14014101.tif </t>
  </si>
  <si>
    <t xml:space="preserve"> 390181.669 </t>
  </si>
  <si>
    <t xml:space="preserve"> 50.901 </t>
  </si>
  <si>
    <t xml:space="preserve">C:\Users\cbarrier\Desktop\Calibration\20201111_Cefas_Test4_Run2\@15/01_C11_C11-1_20201111_14014301.tif </t>
  </si>
  <si>
    <t xml:space="preserve"> 247597.404 </t>
  </si>
  <si>
    <t xml:space="preserve"> 52.4751 </t>
  </si>
  <si>
    <t xml:space="preserve">C:\Users\cbarrier\Desktop\Calibration\20201111_Cefas_Test4_Run2\@15/01_D11_D11-1_20201111_14014501.tif </t>
  </si>
  <si>
    <t xml:space="preserve"> 336474.641 </t>
  </si>
  <si>
    <t xml:space="preserve"> 58.6563 </t>
  </si>
  <si>
    <t xml:space="preserve">C:\Users\cbarrier\Desktop\Calibration\20201111_Cefas_Test4_Run2\@15/01_E11_E11-1_20201111_14014601.tif </t>
  </si>
  <si>
    <t xml:space="preserve"> 380924.074 </t>
  </si>
  <si>
    <t xml:space="preserve"> 45.8331 </t>
  </si>
  <si>
    <t xml:space="preserve">C:\Users\cbarrier\Desktop\Calibration\20201111_Cefas_Test4_Run2\@15/01_F11_F11-1_20201111_14014801.tif </t>
  </si>
  <si>
    <t xml:space="preserve"> 287764.118 </t>
  </si>
  <si>
    <t xml:space="preserve"> 55.4629 </t>
  </si>
  <si>
    <t xml:space="preserve">C:\Users\cbarrier\Desktop\Calibration\20201111_Cefas_Test4_Run2\@15/01_G11_G11-1_20201111_14014901.tif </t>
  </si>
  <si>
    <t xml:space="preserve"> 324275.38 </t>
  </si>
  <si>
    <t xml:space="preserve"> 61.0623 </t>
  </si>
  <si>
    <t xml:space="preserve">C:\Users\cbarrier\Desktop\Calibration\20201111_Cefas_Test4_Run2\@15/01_H11_H11-1_20201111_14014901.tif </t>
  </si>
  <si>
    <t xml:space="preserve"> 561101.097 </t>
  </si>
  <si>
    <t xml:space="preserve"> 52.5207 </t>
  </si>
  <si>
    <t xml:space="preserve">C:\Users\cbarrier\Desktop\Calibration\20201111_Cefas_Test4_Run2\@15/ </t>
  </si>
  <si>
    <t xml:space="preserve"> 51.4422 </t>
  </si>
  <si>
    <t xml:space="preserve"> 8.2594 </t>
  </si>
  <si>
    <t xml:space="preserve"> 17051835.5 </t>
  </si>
  <si>
    <t xml:space="preserve"> 8000146.47 </t>
  </si>
  <si>
    <t xml:space="preserve">C:\Users\cbarrier\Desktop\Calibration\20201111_Cefas_Test4_Run2\@16/01_A12_A12-1_20201111_14014901.tif </t>
  </si>
  <si>
    <t xml:space="preserve"> 233905.681 </t>
  </si>
  <si>
    <t xml:space="preserve"> 41.2122 </t>
  </si>
  <si>
    <t xml:space="preserve">C:\Users\cbarrier\Desktop\Calibration\20201111_Cefas_Test4_Run2\@16/01_C12_C12-1_20201111_14015001.tif </t>
  </si>
  <si>
    <t xml:space="preserve"> 125604.798 </t>
  </si>
  <si>
    <t xml:space="preserve"> 37.3954 </t>
  </si>
  <si>
    <t xml:space="preserve">C:\Users\cbarrier\Desktop\Calibration\20201111_Cefas_Test4_Run2\@16/01_D12_D12-1_20201111_14015001.tif </t>
  </si>
  <si>
    <t xml:space="preserve"> 468200.699 </t>
  </si>
  <si>
    <t xml:space="preserve"> 48.7433 </t>
  </si>
  <si>
    <t xml:space="preserve">C:\Users\cbarrier\Desktop\Calibration\20201111_Cefas_Test4_Run2\@16/01_E12_E12-1_20201111_14015001.tif </t>
  </si>
  <si>
    <t xml:space="preserve"> 321312.085 </t>
  </si>
  <si>
    <t xml:space="preserve"> 44.4561 </t>
  </si>
  <si>
    <t xml:space="preserve">C:\Users\cbarrier\Desktop\Calibration\20201111_Cefas_Test4_Run2\@16/01_G12_G12-1_20201111_14015001.tif </t>
  </si>
  <si>
    <t xml:space="preserve"> 323193.886 </t>
  </si>
  <si>
    <t xml:space="preserve"> 47.2763 </t>
  </si>
  <si>
    <t xml:space="preserve">C:\Users\cbarrier\Desktop\Calibration\20201111_Cefas_Test4_Run2\@16/ </t>
  </si>
  <si>
    <t xml:space="preserve"> 43.8167 </t>
  </si>
  <si>
    <t xml:space="preserve"> 4.6007 </t>
  </si>
  <si>
    <t xml:space="preserve"> 13344438.2 </t>
  </si>
  <si>
    <t xml:space="preserve"> 6762899.55 </t>
  </si>
  <si>
    <t xml:space="preserve">C:\Users\cbarrier\Desktop\Calibration\20201111_Cefas_Test4_Run2\@2/01_A2_A2-1_20201111_13583701.tif </t>
  </si>
  <si>
    <t xml:space="preserve"> 307555.472 </t>
  </si>
  <si>
    <t xml:space="preserve"> 47.5244 </t>
  </si>
  <si>
    <t xml:space="preserve">C:\Users\cbarrier\Desktop\Calibration\20201111_Cefas_Test4_Run2\@2/01_B2_B2-1_20201111_13583801.tif </t>
  </si>
  <si>
    <t xml:space="preserve"> 292890.403 </t>
  </si>
  <si>
    <t xml:space="preserve"> 44.7613 </t>
  </si>
  <si>
    <t xml:space="preserve">C:\Users\cbarrier\Desktop\Calibration\20201111_Cefas_Test4_Run2\@2/01_C2_C2-1_20201111_13583901.tif </t>
  </si>
  <si>
    <t xml:space="preserve"> 357087.93 </t>
  </si>
  <si>
    <t xml:space="preserve"> 41.4594 </t>
  </si>
  <si>
    <t xml:space="preserve">C:\Users\cbarrier\Desktop\Calibration\20201111_Cefas_Test4_Run2\@2/01_D2_D2-1_20201111_13584101.tif </t>
  </si>
  <si>
    <t xml:space="preserve"> 501489.107 </t>
  </si>
  <si>
    <t xml:space="preserve"> 39.6262 </t>
  </si>
  <si>
    <t xml:space="preserve">C:\Users\cbarrier\Desktop\Calibration\20201111_Cefas_Test4_Run2\@2/01_E2_E2-1_20201111_13584201.tif </t>
  </si>
  <si>
    <t xml:space="preserve"> 337253.317 </t>
  </si>
  <si>
    <t xml:space="preserve"> 45.4103 </t>
  </si>
  <si>
    <t xml:space="preserve">C:\Users\cbarrier\Desktop\Calibration\20201111_Cefas_Test4_Run2\@2/01_F2_F2-1_20201111_13584401.tif </t>
  </si>
  <si>
    <t xml:space="preserve"> 399720.453 </t>
  </si>
  <si>
    <t xml:space="preserve"> 42.9635 </t>
  </si>
  <si>
    <t xml:space="preserve">C:\Users\cbarrier\Desktop\Calibration\20201111_Cefas_Test4_Run2\@2/01_G2_G2-1_20201111_13584601.tif </t>
  </si>
  <si>
    <t xml:space="preserve"> 223955.929 </t>
  </si>
  <si>
    <t xml:space="preserve"> 44.1346 </t>
  </si>
  <si>
    <t xml:space="preserve">C:\Users\cbarrier\Desktop\Calibration\20201111_Cefas_Test4_Run2\@2/02_H2_H2-1_20201111_13584802.tif </t>
  </si>
  <si>
    <t xml:space="preserve"> 400153.051 </t>
  </si>
  <si>
    <t xml:space="preserve"> 40.7752 </t>
  </si>
  <si>
    <t xml:space="preserve">C:\Users\cbarrier\Desktop\Calibration\20201111_Cefas_Test4_Run2\@2/ </t>
  </si>
  <si>
    <t xml:space="preserve"> 43.3319 </t>
  </si>
  <si>
    <t xml:space="preserve"> 2.6321 </t>
  </si>
  <si>
    <t xml:space="preserve"> 15136502.9 </t>
  </si>
  <si>
    <t xml:space="preserve"> 2929456.34 </t>
  </si>
  <si>
    <t xml:space="preserve">C:\Users\cbarrier\Desktop\Calibration\20201111_Cefas_Test4_Run2\@3/01_A3_A3-1_20201111_13584901.tif </t>
  </si>
  <si>
    <t xml:space="preserve"> 395740.552 </t>
  </si>
  <si>
    <t xml:space="preserve"> 40.5285 </t>
  </si>
  <si>
    <t xml:space="preserve">C:\Users\cbarrier\Desktop\Calibration\20201111_Cefas_Test4_Run2\@3/01_B3_B3-1_20201111_13585001.tif </t>
  </si>
  <si>
    <t xml:space="preserve"> 509405.648 </t>
  </si>
  <si>
    <t xml:space="preserve"> 46.5538 </t>
  </si>
  <si>
    <t xml:space="preserve">C:\Users\cbarrier\Desktop\Calibration\20201111_Cefas_Test4_Run2\@3/01_C3_C3-1_20201111_13585301.tif </t>
  </si>
  <si>
    <t xml:space="preserve"> 269638.266 </t>
  </si>
  <si>
    <t xml:space="preserve"> 43.4365 </t>
  </si>
  <si>
    <t xml:space="preserve">C:\Users\cbarrier\Desktop\Calibration\20201111_Cefas_Test4_Run2\@3/01_D3_D3-1_20201111_13585401.tif </t>
  </si>
  <si>
    <t xml:space="preserve"> 368681.554 </t>
  </si>
  <si>
    <t xml:space="preserve"> 44.8753 </t>
  </si>
  <si>
    <t xml:space="preserve">C:\Users\cbarrier\Desktop\Calibration\20201111_Cefas_Test4_Run2\@3/01_E3_E3-1_20201111_13585601.tif </t>
  </si>
  <si>
    <t xml:space="preserve"> 376035.718 </t>
  </si>
  <si>
    <t xml:space="preserve"> 47.4495 </t>
  </si>
  <si>
    <t xml:space="preserve">C:\Users\cbarrier\Desktop\Calibration\20201111_Cefas_Test4_Run2\@3/01_F3_F3-1_20201111_13585701.tif </t>
  </si>
  <si>
    <t xml:space="preserve"> 349906.805 </t>
  </si>
  <si>
    <t xml:space="preserve"> 42.9286 </t>
  </si>
  <si>
    <t xml:space="preserve">C:\Users\cbarrier\Desktop\Calibration\20201111_Cefas_Test4_Run2\@3/01_G3_G3-1_20201111_13585901.tif </t>
  </si>
  <si>
    <t xml:space="preserve"> 553444.114 </t>
  </si>
  <si>
    <t xml:space="preserve"> 38.8848 </t>
  </si>
  <si>
    <t xml:space="preserve">C:\Users\cbarrier\Desktop\Calibration\20201111_Cefas_Test4_Run2\@3/01_H3_H3-1_20201111_13590001.tif </t>
  </si>
  <si>
    <t xml:space="preserve"> 307231.023 </t>
  </si>
  <si>
    <t xml:space="preserve"> 45.7194 </t>
  </si>
  <si>
    <t xml:space="preserve">C:\Users\cbarrier\Desktop\Calibration\20201111_Cefas_Test4_Run2\@3/ </t>
  </si>
  <si>
    <t xml:space="preserve"> 43.797 </t>
  </si>
  <si>
    <t xml:space="preserve"> 2.964 </t>
  </si>
  <si>
    <t xml:space="preserve"> 17055131.5 </t>
  </si>
  <si>
    <t xml:space="preserve"> 3926866.24 </t>
  </si>
  <si>
    <t xml:space="preserve">C:\Users\cbarrier\Desktop\Calibration\20201111_Cefas_Test4_Run2\@4/01_A4_A4-1_20201111_13590201.tif </t>
  </si>
  <si>
    <t xml:space="preserve"> 377268.622 </t>
  </si>
  <si>
    <t xml:space="preserve"> 50.0584 </t>
  </si>
  <si>
    <t xml:space="preserve">C:\Users\cbarrier\Desktop\Calibration\20201111_Cefas_Test4_Run2\@4/01_B4_B4-1_20201111_14015101.tif </t>
  </si>
  <si>
    <t xml:space="preserve"> 272774.601 </t>
  </si>
  <si>
    <t xml:space="preserve"> 47.5008 </t>
  </si>
  <si>
    <t xml:space="preserve">C:\Users\cbarrier\Desktop\Calibration\20201111_Cefas_Test4_Run2\@4/01_C4_C4-1_20201111_13590401.tif </t>
  </si>
  <si>
    <t xml:space="preserve"> 449772.029 </t>
  </si>
  <si>
    <t xml:space="preserve"> 43.5215 </t>
  </si>
  <si>
    <t xml:space="preserve">C:\Users\cbarrier\Desktop\Calibration\20201111_Cefas_Test4_Run2\@4/01_E4_E4-1_20201111_13590601.tif </t>
  </si>
  <si>
    <t xml:space="preserve"> 225989.139 </t>
  </si>
  <si>
    <t xml:space="preserve"> 44.4247 </t>
  </si>
  <si>
    <t xml:space="preserve">C:\Users\cbarrier\Desktop\Calibration\20201111_Cefas_Test4_Run2\@4/01_F4_F4-1_20201111_13590901.tif </t>
  </si>
  <si>
    <t xml:space="preserve"> 497271.278 </t>
  </si>
  <si>
    <t xml:space="preserve"> 46.2073 </t>
  </si>
  <si>
    <t xml:space="preserve">C:\Users\cbarrier\Desktop\Calibration\20201111_Cefas_Test4_Run2\@4/01_G4_G4-1_20201111_13591101.tif </t>
  </si>
  <si>
    <t xml:space="preserve"> 404327.62 </t>
  </si>
  <si>
    <t xml:space="preserve"> 44.3712 </t>
  </si>
  <si>
    <t xml:space="preserve">C:\Users\cbarrier\Desktop\Calibration\20201111_Cefas_Test4_Run2\@4/01_H4_H4-1_20201111_13591201.tif </t>
  </si>
  <si>
    <t xml:space="preserve"> 375343.561 </t>
  </si>
  <si>
    <t xml:space="preserve"> 42.6559 </t>
  </si>
  <si>
    <t xml:space="preserve">C:\Users\cbarrier\Desktop\Calibration\20201111_Cefas_Test4_Run2\@4/02_D4_D4-1_20201111_13590502.tif </t>
  </si>
  <si>
    <t xml:space="preserve"> 468525.148 </t>
  </si>
  <si>
    <t xml:space="preserve"> 44.9741 </t>
  </si>
  <si>
    <t xml:space="preserve">C:\Users\cbarrier\Desktop\Calibration\20201111_Cefas_Test4_Run2\@4/ </t>
  </si>
  <si>
    <t xml:space="preserve"> 45.4642 </t>
  </si>
  <si>
    <t xml:space="preserve"> 2.39 </t>
  </si>
  <si>
    <t xml:space="preserve"> 17432105.4 </t>
  </si>
  <si>
    <t xml:space="preserve"> 4270435.58 </t>
  </si>
  <si>
    <t xml:space="preserve">C:\Users\cbarrier\Desktop\Calibration\20201111_Cefas_Test4_Run2\@5/01_A5_A5-1_20201111_13591401.tif </t>
  </si>
  <si>
    <t xml:space="preserve"> 264295.682 </t>
  </si>
  <si>
    <t xml:space="preserve"> 48.2414 </t>
  </si>
  <si>
    <t xml:space="preserve">C:\Users\cbarrier\Desktop\Calibration\20201111_Cefas_Test4_Run2\@5/01_B5_B5-1_20201111_13591501.tif </t>
  </si>
  <si>
    <t xml:space="preserve"> 432597.893 </t>
  </si>
  <si>
    <t xml:space="preserve"> 51.9963 </t>
  </si>
  <si>
    <t xml:space="preserve">C:\Users\cbarrier\Desktop\Calibration\20201111_Cefas_Test4_Run2\@5/01_E5_E5-1_20201111_13592701.tif </t>
  </si>
  <si>
    <t xml:space="preserve"> 435734.227 </t>
  </si>
  <si>
    <t xml:space="preserve"> 46.2128 </t>
  </si>
  <si>
    <t xml:space="preserve">C:\Users\cbarrier\Desktop\Calibration\20201111_Cefas_Test4_Run2\@5/01_F5_F5-1_20201111_13592901.tif </t>
  </si>
  <si>
    <t xml:space="preserve"> 445554.199 </t>
  </si>
  <si>
    <t xml:space="preserve"> 45.8632 </t>
  </si>
  <si>
    <t xml:space="preserve">C:\Users\cbarrier\Desktop\Calibration\20201111_Cefas_Test4_Run2\@5/01_G5_G5-1_20201111_13593501.tif </t>
  </si>
  <si>
    <t xml:space="preserve"> 327801.053 </t>
  </si>
  <si>
    <t xml:space="preserve"> 47.2993 </t>
  </si>
  <si>
    <t xml:space="preserve">C:\Users\cbarrier\Desktop\Calibration\20201111_Cefas_Test4_Run2\@5/01_H5_H5-1_20201111_13593701.tif </t>
  </si>
  <si>
    <t xml:space="preserve"> 419382.027 </t>
  </si>
  <si>
    <t xml:space="preserve"> 49.0069 </t>
  </si>
  <si>
    <t xml:space="preserve">C:\Users\cbarrier\Desktop\Calibration\20201111_Cefas_Test4_Run2\@5/02_D5_D5-1_20201111_13592402.tif </t>
  </si>
  <si>
    <t xml:space="preserve"> 239789.012 </t>
  </si>
  <si>
    <t xml:space="preserve"> 45.1085 </t>
  </si>
  <si>
    <t xml:space="preserve">C:\Users\cbarrier\Desktop\Calibration\20201111_Cefas_Test4_Run2\@5/ </t>
  </si>
  <si>
    <t xml:space="preserve"> 47.6755 </t>
  </si>
  <si>
    <t xml:space="preserve"> 2.3422 </t>
  </si>
  <si>
    <t xml:space="preserve"> 17526913.7 </t>
  </si>
  <si>
    <t xml:space="preserve"> 4491157.36 </t>
  </si>
  <si>
    <t xml:space="preserve">C:\Users\cbarrier\Desktop\Calibration\20201111_Cefas_Test4_Run2\@6/01_A6_A6-1_20201111_13594101.tif </t>
  </si>
  <si>
    <t xml:space="preserve"> 464242.428 </t>
  </si>
  <si>
    <t xml:space="preserve"> 43.8362 </t>
  </si>
  <si>
    <t xml:space="preserve">C:\Users\cbarrier\Desktop\Calibration\20201111_Cefas_Test4_Run2\@6/01_C6_C6-1_20201111_13595001.tif </t>
  </si>
  <si>
    <t xml:space="preserve"> 502873.42 </t>
  </si>
  <si>
    <t xml:space="preserve"> 54.5106 </t>
  </si>
  <si>
    <t xml:space="preserve">C:\Users\cbarrier\Desktop\Calibration\20201111_Cefas_Test4_Run2\@6/01_D6_D6-1_20201111_13595201.tif </t>
  </si>
  <si>
    <t xml:space="preserve"> 345926.905 </t>
  </si>
  <si>
    <t xml:space="preserve"> 49.9914 </t>
  </si>
  <si>
    <t xml:space="preserve">C:\Users\cbarrier\Desktop\Calibration\20201111_Cefas_Test4_Run2\@6/01_E6_E6-1_20201111_13595501.tif </t>
  </si>
  <si>
    <t xml:space="preserve"> 331910.733 </t>
  </si>
  <si>
    <t xml:space="preserve"> 47.5333 </t>
  </si>
  <si>
    <t xml:space="preserve">C:\Users\cbarrier\Desktop\Calibration\20201111_Cefas_Test4_Run2\@6/01_F6_F6-1_20201111_13595901.tif </t>
  </si>
  <si>
    <t xml:space="preserve"> 328860.918 </t>
  </si>
  <si>
    <t xml:space="preserve"> 53.4261 </t>
  </si>
  <si>
    <t xml:space="preserve">C:\Users\cbarrier\Desktop\Calibration\20201111_Cefas_Test4_Run2\@6/01_G6_G6-1_20201111_14000201.tif </t>
  </si>
  <si>
    <t xml:space="preserve"> 381248.523 </t>
  </si>
  <si>
    <t xml:space="preserve"> 54.1324 </t>
  </si>
  <si>
    <t xml:space="preserve">C:\Users\cbarrier\Desktop\Calibration\20201111_Cefas_Test4_Run2\@6/01_H6_H6-1_20201111_14000701.tif </t>
  </si>
  <si>
    <t xml:space="preserve"> 447003.402 </t>
  </si>
  <si>
    <t xml:space="preserve"> 50.3336 </t>
  </si>
  <si>
    <t xml:space="preserve">C:\Users\cbarrier\Desktop\Calibration\20201111_Cefas_Test4_Run2\@6/02_B6_B6-1_20201111_13594602.tif </t>
  </si>
  <si>
    <t xml:space="preserve"> 364463.724 </t>
  </si>
  <si>
    <t xml:space="preserve"> 49.4423 </t>
  </si>
  <si>
    <t xml:space="preserve">C:\Users\cbarrier\Desktop\Calibration\20201111_Cefas_Test4_Run2\@6/ </t>
  </si>
  <si>
    <t xml:space="preserve"> 50.4007 </t>
  </si>
  <si>
    <t xml:space="preserve"> 3.6327 </t>
  </si>
  <si>
    <t xml:space="preserve"> 19944944.9 </t>
  </si>
  <si>
    <t xml:space="preserve"> 3716302.99 </t>
  </si>
  <si>
    <t xml:space="preserve">C:\Users\cbarrier\Desktop\Calibration\20201111_Cefas_Test4_Run2\@7/01_B7_B7-1_20201111_14001001.tif </t>
  </si>
  <si>
    <t xml:space="preserve"> 357866.607 </t>
  </si>
  <si>
    <t xml:space="preserve"> 60.8169 </t>
  </si>
  <si>
    <t xml:space="preserve">C:\Users\cbarrier\Desktop\Calibration\20201111_Cefas_Test4_Run2\@7/01_E7_E7-1_20201111_14001801.tif </t>
  </si>
  <si>
    <t xml:space="preserve"> 413130.987 </t>
  </si>
  <si>
    <t xml:space="preserve"> 57.7986 </t>
  </si>
  <si>
    <t xml:space="preserve">C:\Users\cbarrier\Desktop\Calibration\20201111_Cefas_Test4_Run2\@7/01_F7_F7-1_20201111_14002101.tif </t>
  </si>
  <si>
    <t xml:space="preserve"> 272709.711 </t>
  </si>
  <si>
    <t xml:space="preserve"> 53.4276 </t>
  </si>
  <si>
    <t xml:space="preserve">C:\Users\cbarrier\Desktop\Calibration\20201111_Cefas_Test4_Run2\@7/01_G7_G7-1_20201111_14002201.tif </t>
  </si>
  <si>
    <t xml:space="preserve"> 453687.04 </t>
  </si>
  <si>
    <t xml:space="preserve"> 59.1445 </t>
  </si>
  <si>
    <t xml:space="preserve">C:\Users\cbarrier\Desktop\Calibration\20201111_Cefas_Test4_Run2\@7/01_H7_H7-1_20201111_14002401.tif </t>
  </si>
  <si>
    <t xml:space="preserve"> 383065.434 </t>
  </si>
  <si>
    <t xml:space="preserve"> 55.1003 </t>
  </si>
  <si>
    <t xml:space="preserve">C:\Users\cbarrier\Desktop\Calibration\20201111_Cefas_Test4_Run2\@7/02_D7_D7-1_20201111_14001602.tif </t>
  </si>
  <si>
    <t xml:space="preserve"> 342141.673 </t>
  </si>
  <si>
    <t xml:space="preserve"> 62.1642 </t>
  </si>
  <si>
    <t xml:space="preserve">C:\Users\cbarrier\Desktop\Calibration\20201111_Cefas_Test4_Run2\@7/ </t>
  </si>
  <si>
    <t xml:space="preserve"> 58.0753 </t>
  </si>
  <si>
    <t xml:space="preserve"> 3.3439 </t>
  </si>
  <si>
    <t xml:space="preserve"> 21570333.2 </t>
  </si>
  <si>
    <t xml:space="preserve"> 4058776.91 </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</si>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</sst>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sz val="7"/>
      <name val="Arial"/>
      <family val="2"/>
    </font>
  </fonts>
  <fills count="20">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
      <left style="thin">
        <color theme="4"/>
      </left>
      <right style="thin">
        <color theme="4"/>
      </right>
      <top style="thin">
        <color theme="4"/>
      </top>
      <bottom style="thin">
        <color theme="4"/>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46">
    <xf numFmtId="0" fontId="0" fillId="0" borderId="0" xfId="0"/>
    <xf numFmtId="0" fontId="0" fillId="0" borderId="0" xfId="0"/>
    <xf numFmtId="0" fontId="1" fillId="0" borderId="0" xfId="0" applyFont="1"/>
    <xf numFmtId="0" fontId="0" fillId="0" borderId="0" xfId="0"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0" fontId="0" fillId="0" borderId="5"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2" fillId="0" borderId="1" xfId="0" applyFont="1" applyBorder="1" applyAlignment="1">
      <alignment horizontal="right"/>
    </xf>
    <xf numFmtId="0" fontId="3" fillId="0" borderId="4" xfId="0" applyFont="1" applyBorder="1" applyAlignment="1">
      <alignment vertical="center"/>
    </xf>
    <xf numFmtId="0" fontId="3" fillId="13"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4"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4" borderId="1" xfId="0" applyFont="1" applyFill="1" applyBorder="1"/>
    <xf numFmtId="0" fontId="8" fillId="14" borderId="32" xfId="0" applyFont="1" applyFill="1" applyBorder="1"/>
    <xf numFmtId="0" fontId="8" fillId="9" borderId="32" xfId="0" applyFont="1" applyFill="1" applyBorder="1"/>
    <xf numFmtId="0" fontId="13" fillId="16"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5"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0" fontId="0" fillId="0" borderId="0" xfId="0" pivotButton="1"/>
    <xf numFmtId="2" fontId="8" fillId="15" borderId="1" xfId="0" applyNumberFormat="1" applyFont="1" applyFill="1" applyBorder="1" applyAlignment="1">
      <alignment horizontal="center"/>
    </xf>
    <xf numFmtId="2" fontId="8" fillId="14" borderId="1" xfId="0" applyNumberFormat="1" applyFont="1" applyFill="1" applyBorder="1" applyAlignment="1">
      <alignment horizontal="center"/>
    </xf>
    <xf numFmtId="2" fontId="8" fillId="14" borderId="32" xfId="0" applyNumberFormat="1" applyFont="1" applyFill="1" applyBorder="1" applyAlignment="1">
      <alignment horizontal="center"/>
    </xf>
    <xf numFmtId="2" fontId="8" fillId="14" borderId="32" xfId="7" applyNumberFormat="1" applyFont="1" applyFill="1" applyBorder="1" applyAlignment="1">
      <alignment horizontal="center"/>
    </xf>
    <xf numFmtId="2" fontId="8" fillId="16" borderId="1" xfId="0" applyNumberFormat="1" applyFont="1" applyFill="1" applyBorder="1" applyAlignment="1">
      <alignment horizontal="center"/>
    </xf>
    <xf numFmtId="1" fontId="8" fillId="14"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6" borderId="1" xfId="0" applyNumberFormat="1" applyFont="1" applyFill="1" applyBorder="1" applyAlignment="1">
      <alignment horizontal="center"/>
    </xf>
    <xf numFmtId="0" fontId="8" fillId="14" borderId="1" xfId="0" applyNumberFormat="1" applyFont="1" applyFill="1" applyBorder="1" applyAlignment="1">
      <alignment horizontal="center"/>
    </xf>
    <xf numFmtId="0" fontId="8" fillId="14" borderId="32" xfId="0" applyNumberFormat="1" applyFont="1" applyFill="1" applyBorder="1" applyAlignment="1">
      <alignment horizontal="center"/>
    </xf>
    <xf numFmtId="0" fontId="8" fillId="14" borderId="32" xfId="7" applyNumberFormat="1" applyFont="1" applyFill="1" applyBorder="1" applyAlignment="1">
      <alignment horizontal="center"/>
    </xf>
    <xf numFmtId="0" fontId="8" fillId="14" borderId="32" xfId="0" applyNumberFormat="1" applyFont="1" applyFill="1" applyBorder="1"/>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7" borderId="31" xfId="0" applyFont="1" applyFill="1" applyBorder="1" applyAlignment="1">
      <alignment horizontal="center" vertical="center" wrapText="1"/>
    </xf>
    <xf numFmtId="13" fontId="16" fillId="17" borderId="31" xfId="0" applyNumberFormat="1" applyFont="1" applyFill="1" applyBorder="1" applyAlignment="1">
      <alignment horizontal="center" vertical="center" wrapText="1"/>
    </xf>
    <xf numFmtId="0" fontId="0" fillId="0" borderId="0" xfId="0" applyAlignment="1">
      <alignment horizontal="left"/>
    </xf>
    <xf numFmtId="0" fontId="0" fillId="17"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8" borderId="3" xfId="0" applyFont="1" applyFill="1" applyBorder="1" applyAlignment="1">
      <alignment horizontal="center"/>
    </xf>
    <xf numFmtId="164" fontId="0" fillId="18"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4" xfId="0" applyNumberFormat="1" applyFont="1" applyFill="1" applyBorder="1" applyAlignment="1">
      <alignment vertical="center"/>
    </xf>
    <xf numFmtId="0" fontId="3" fillId="13" borderId="29" xfId="0" applyFont="1" applyFill="1" applyBorder="1" applyAlignment="1">
      <alignment vertical="center"/>
    </xf>
    <xf numFmtId="0" fontId="3" fillId="13" borderId="35" xfId="0" applyNumberFormat="1" applyFont="1" applyFill="1" applyBorder="1" applyAlignment="1">
      <alignment vertical="center"/>
    </xf>
    <xf numFmtId="0" fontId="3" fillId="13" borderId="24" xfId="0" applyFont="1" applyFill="1" applyBorder="1" applyAlignment="1">
      <alignment vertical="center"/>
    </xf>
    <xf numFmtId="0" fontId="3" fillId="13" borderId="36" xfId="0" applyNumberFormat="1" applyFont="1" applyFill="1" applyBorder="1" applyAlignment="1">
      <alignment vertical="center"/>
    </xf>
    <xf numFmtId="0" fontId="3" fillId="13" borderId="37"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8" xfId="0" applyNumberFormat="1" applyFont="1" applyFill="1" applyBorder="1" applyAlignment="1">
      <alignment horizontal="center" vertical="center"/>
    </xf>
    <xf numFmtId="0" fontId="3" fillId="13" borderId="38" xfId="0" applyFont="1" applyFill="1" applyBorder="1" applyAlignment="1">
      <alignment horizontal="center" vertical="center"/>
    </xf>
    <xf numFmtId="0" fontId="3" fillId="13"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19" borderId="44" xfId="0" applyFont="1" applyFill="1" applyBorder="1" applyAlignment="1">
      <alignment horizontal="left" vertical="top" wrapText="1"/>
    </xf>
    <xf numFmtId="0" fontId="0" fillId="19" borderId="32" xfId="0" applyFont="1" applyFill="1" applyBorder="1" applyAlignment="1">
      <alignment horizontal="left" vertical="top" wrapText="1"/>
    </xf>
    <xf numFmtId="0" fontId="0" fillId="19" borderId="42" xfId="0" applyFont="1" applyFill="1" applyBorder="1" applyAlignment="1">
      <alignment horizontal="left" vertical="top" wrapText="1"/>
    </xf>
    <xf numFmtId="0" fontId="0" fillId="19"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3" borderId="46"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8" fillId="9" borderId="12" xfId="0" applyFont="1" applyFill="1" applyBorder="1" applyAlignment="1">
      <alignment horizontal="left"/>
    </xf>
    <xf numFmtId="0" fontId="0" fillId="0" borderId="47" xfId="0" applyFont="1" applyBorder="1"/>
    <xf numFmtId="0" fontId="1" fillId="2" borderId="7" xfId="0" applyFont="1" applyFill="1" applyBorder="1" applyAlignment="1">
      <alignment vertical="center"/>
    </xf>
    <xf numFmtId="0" fontId="1" fillId="2" borderId="6" xfId="0" applyFont="1" applyFill="1" applyBorder="1" applyAlignment="1">
      <alignment vertical="center"/>
    </xf>
    <xf numFmtId="0" fontId="7" fillId="11" borderId="7" xfId="0" applyFont="1" applyFill="1" applyBorder="1" applyAlignment="1"/>
    <xf numFmtId="0" fontId="7" fillId="11" borderId="6" xfId="0" applyFont="1" applyFill="1" applyBorder="1" applyAlignment="1"/>
    <xf numFmtId="0" fontId="7" fillId="11" borderId="5" xfId="0" applyFont="1" applyFill="1" applyBorder="1" applyAlignment="1"/>
    <xf numFmtId="164" fontId="7" fillId="11" borderId="7" xfId="0" applyNumberFormat="1" applyFont="1" applyFill="1" applyBorder="1" applyAlignment="1"/>
    <xf numFmtId="164" fontId="7" fillId="11" borderId="6" xfId="0" applyNumberFormat="1" applyFont="1" applyFill="1" applyBorder="1" applyAlignment="1"/>
    <xf numFmtId="0" fontId="1" fillId="0" borderId="1" xfId="0" applyFont="1" applyBorder="1" applyAlignment="1">
      <alignment vertical="center"/>
    </xf>
    <xf numFmtId="0" fontId="1" fillId="0" borderId="1" xfId="0" applyFont="1" applyBorder="1" applyAlignment="1">
      <alignment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164" fontId="7" fillId="11" borderId="5" xfId="0" applyNumberFormat="1" applyFont="1" applyFill="1" applyBorder="1" applyAlignment="1">
      <alignment horizontal="left" vertical="center"/>
    </xf>
    <xf numFmtId="0" fontId="19" fillId="0" borderId="0" xfId="0" applyFont="1"/>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164" fontId="7" fillId="11" borderId="5" xfId="0" applyNumberFormat="1" applyFont="1" applyFill="1" applyBorder="1" applyAlignment="1">
      <alignment horizontal="left" vertical="center"/>
    </xf>
    <xf numFmtId="0" fontId="1" fillId="2" borderId="5" xfId="0" applyFont="1" applyFill="1" applyBorder="1" applyAlignment="1">
      <alignment horizontal="center" vertical="center"/>
    </xf>
    <xf numFmtId="0" fontId="16" fillId="17"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5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alignment horizontal="center"/>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0.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chartsheet" Target="chartsheets/sheet3.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worksheet" Target="worksheets/sheet9.xml"/><Relationship Id="rId24"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worksheet" Target="worksheets/sheet15.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hartsheet" Target="chartsheets/sheet4.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'R1'!$I$48:$L$48</c:f>
                <c:numCache>
                  <c:formatCode>General</c:formatCode>
                  <c:ptCount val="4"/>
                  <c:pt idx="0">
                    <c:v>0</c:v>
                  </c:pt>
                  <c:pt idx="1">
                    <c:v>0.14048133633251281</c:v>
                  </c:pt>
                  <c:pt idx="2">
                    <c:v>0.14097152190940387</c:v>
                  </c:pt>
                  <c:pt idx="3">
                    <c:v>1.7895044653324765E-2</c:v>
                  </c:pt>
                </c:numCache>
              </c:numRef>
            </c:plus>
            <c:minus>
              <c:numRef>
                <c:f>'R1'!$I$48:$L$48</c:f>
                <c:numCache>
                  <c:formatCode>General</c:formatCode>
                  <c:ptCount val="4"/>
                  <c:pt idx="0">
                    <c:v>0</c:v>
                  </c:pt>
                  <c:pt idx="1">
                    <c:v>0.14048133633251281</c:v>
                  </c:pt>
                  <c:pt idx="2">
                    <c:v>0.14097152190940387</c:v>
                  </c:pt>
                  <c:pt idx="3">
                    <c:v>1.7895044653324765E-2</c:v>
                  </c:pt>
                </c:numCache>
              </c:numRef>
            </c:minus>
          </c:errBars>
          <c:cat>
            <c:strRef>
              <c:f>'R1'!$B$52:$L$52</c:f>
              <c:strCache>
                <c:ptCount val="11"/>
                <c:pt idx="0">
                  <c:v>Témoin solvant</c:v>
                </c:pt>
                <c:pt idx="1">
                  <c:v>EE2-33,8ng/L</c:v>
                </c:pt>
                <c:pt idx="2">
                  <c:v>EE2-50,6ng/L</c:v>
                </c:pt>
                <c:pt idx="3">
                  <c:v>EE2-76ng/L</c:v>
                </c:pt>
                <c:pt idx="4">
                  <c:v>EE2-114ng/L</c:v>
                </c:pt>
                <c:pt idx="5">
                  <c:v>EE2-170,9ng/L</c:v>
                </c:pt>
                <c:pt idx="6">
                  <c:v>EE2-488ng/L</c:v>
                </c:pt>
                <c:pt idx="8">
                  <c:v>Testo -30µg/L</c:v>
                </c:pt>
                <c:pt idx="9">
                  <c:v>Testo 30µg/L + EE2 -64ng/L</c:v>
                </c:pt>
                <c:pt idx="10">
                  <c:v>Testo 30µg/L + FAD-10mg/L</c:v>
                </c:pt>
              </c:strCache>
            </c:strRef>
          </c:cat>
          <c:val>
            <c:numRef>
              <c:f>'R1'!$B$53:$L$53</c:f>
              <c:numCache>
                <c:formatCode>0.0000</c:formatCode>
                <c:ptCount val="11"/>
                <c:pt idx="0">
                  <c:v>3.9282859618501316E-2</c:v>
                </c:pt>
                <c:pt idx="1">
                  <c:v>0.13669500483614211</c:v>
                </c:pt>
                <c:pt idx="2">
                  <c:v>0.1136781259565534</c:v>
                </c:pt>
                <c:pt idx="3">
                  <c:v>0.16102369625669169</c:v>
                </c:pt>
                <c:pt idx="4">
                  <c:v>0.5137609352945296</c:v>
                </c:pt>
                <c:pt idx="5">
                  <c:v>0.96629173271582958</c:v>
                </c:pt>
                <c:pt idx="6">
                  <c:v>2.0644011723806392</c:v>
                </c:pt>
                <c:pt idx="8">
                  <c:v>1</c:v>
                </c:pt>
                <c:pt idx="9">
                  <c:v>2.1586663618489803</c:v>
                </c:pt>
                <c:pt idx="10">
                  <c:v>5.6184468595302219E-2</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'R2'!$B$54:$L$54</c:f>
                <c:numCache>
                  <c:formatCode>General</c:formatCode>
                  <c:ptCount val="11"/>
                  <c:pt idx="0">
                    <c:v>2.7582600385238791E-2</c:v>
                  </c:pt>
                  <c:pt idx="1">
                    <c:v>5.4973773236755986E-2</c:v>
                  </c:pt>
                  <c:pt idx="2">
                    <c:v>7.3691029633676644E-2</c:v>
                  </c:pt>
                  <c:pt idx="3">
                    <c:v>8.0138404552795681E-2</c:v>
                  </c:pt>
                  <c:pt idx="4">
                    <c:v>9.0099579082297945E-2</c:v>
                  </c:pt>
                  <c:pt idx="5">
                    <c:v>6.9739628800707693E-2</c:v>
                  </c:pt>
                  <c:pt idx="6">
                    <c:v>8.7949437528827196E-2</c:v>
                  </c:pt>
                  <c:pt idx="8">
                    <c:v>5.7209363245192359E-2</c:v>
                  </c:pt>
                  <c:pt idx="9">
                    <c:v>0.15012964404044229</c:v>
                  </c:pt>
                  <c:pt idx="10">
                    <c:v>0.16053193666793736</c:v>
                  </c:pt>
                </c:numCache>
              </c:numRef>
            </c:plus>
            <c:minus>
              <c:numRef>
                <c:f>'R1'!$I$48:$L$48</c:f>
                <c:numCache>
                  <c:formatCode>General</c:formatCode>
                  <c:ptCount val="4"/>
                  <c:pt idx="0">
                    <c:v>0</c:v>
                  </c:pt>
                  <c:pt idx="1">
                    <c:v>0.14048133633251281</c:v>
                  </c:pt>
                  <c:pt idx="2">
                    <c:v>0.14097152190940387</c:v>
                  </c:pt>
                  <c:pt idx="3">
                    <c:v>1.7895044653324765E-2</c:v>
                  </c:pt>
                </c:numCache>
              </c:numRef>
            </c:minus>
          </c:errBars>
          <c:cat>
            <c:strRef>
              <c:f>'R2'!$B$52:$L$52</c:f>
              <c:strCache>
                <c:ptCount val="11"/>
                <c:pt idx="0">
                  <c:v>Témoin solvant</c:v>
                </c:pt>
                <c:pt idx="1">
                  <c:v>EE2-33,8ng/L</c:v>
                </c:pt>
                <c:pt idx="2">
                  <c:v>EE2-50,6ng/L</c:v>
                </c:pt>
                <c:pt idx="3">
                  <c:v>EE2-76ng/L</c:v>
                </c:pt>
                <c:pt idx="4">
                  <c:v>EE2-114ng/L</c:v>
                </c:pt>
                <c:pt idx="5">
                  <c:v>EE2-170,9ng/L</c:v>
                </c:pt>
                <c:pt idx="6">
                  <c:v>EE2-488ng/L</c:v>
                </c:pt>
                <c:pt idx="8">
                  <c:v>Testo -30µg/L</c:v>
                </c:pt>
                <c:pt idx="9">
                  <c:v>Testo 30µg/L + EE2 -64ng/L</c:v>
                </c:pt>
                <c:pt idx="10">
                  <c:v>Testo 30µg/L + FAD-10mg/L</c:v>
                </c:pt>
              </c:strCache>
            </c:strRef>
          </c:cat>
          <c:val>
            <c:numRef>
              <c:f>'R2'!$B$53:$L$53</c:f>
              <c:numCache>
                <c:formatCode>0.0000</c:formatCode>
                <c:ptCount val="11"/>
                <c:pt idx="0">
                  <c:v>0.86507084215784757</c:v>
                </c:pt>
                <c:pt idx="1">
                  <c:v>0.80341337563922877</c:v>
                </c:pt>
                <c:pt idx="2">
                  <c:v>0.90525010192527355</c:v>
                </c:pt>
                <c:pt idx="3">
                  <c:v>0.92525907334639168</c:v>
                </c:pt>
                <c:pt idx="4">
                  <c:v>0.93029129832816693</c:v>
                </c:pt>
                <c:pt idx="5">
                  <c:v>1.0586352489271462</c:v>
                </c:pt>
                <c:pt idx="6">
                  <c:v>1.1449074020735113</c:v>
                </c:pt>
                <c:pt idx="8">
                  <c:v>0.99999999999999989</c:v>
                </c:pt>
                <c:pt idx="9">
                  <c:v>0.90507515725621912</c:v>
                </c:pt>
                <c:pt idx="10">
                  <c:v>0.70829439460408228</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'R3'!$B$54:$L$54</c:f>
                <c:numCache>
                  <c:formatCode>General</c:formatCode>
                  <c:ptCount val="11"/>
                  <c:pt idx="0">
                    <c:v>3.1152827438424142E-2</c:v>
                  </c:pt>
                  <c:pt idx="1">
                    <c:v>0.19568648947120151</c:v>
                  </c:pt>
                  <c:pt idx="2">
                    <c:v>3.2830549283703291E-2</c:v>
                  </c:pt>
                  <c:pt idx="3">
                    <c:v>0.19566312781744974</c:v>
                  </c:pt>
                  <c:pt idx="4">
                    <c:v>0.32720133974303378</c:v>
                  </c:pt>
                  <c:pt idx="5">
                    <c:v>0.26052321633214931</c:v>
                  </c:pt>
                  <c:pt idx="6">
                    <c:v>0.45833817412129579</c:v>
                  </c:pt>
                  <c:pt idx="8">
                    <c:v>0.2319018712590093</c:v>
                  </c:pt>
                  <c:pt idx="9">
                    <c:v>0.30820503132258298</c:v>
                  </c:pt>
                  <c:pt idx="10">
                    <c:v>2.7426467273662408E-2</c:v>
                  </c:pt>
                </c:numCache>
              </c:numRef>
            </c:plus>
            <c:minus>
              <c:numRef>
                <c:f>'R1'!$I$48:$L$48</c:f>
                <c:numCache>
                  <c:formatCode>General</c:formatCode>
                  <c:ptCount val="4"/>
                  <c:pt idx="0">
                    <c:v>0</c:v>
                  </c:pt>
                  <c:pt idx="1">
                    <c:v>0.14048133633251281</c:v>
                  </c:pt>
                  <c:pt idx="2">
                    <c:v>0.14097152190940387</c:v>
                  </c:pt>
                  <c:pt idx="3">
                    <c:v>1.7895044653324765E-2</c:v>
                  </c:pt>
                </c:numCache>
              </c:numRef>
            </c:minus>
          </c:errBars>
          <c:cat>
            <c:strRef>
              <c:f>'R3'!$B$52:$L$52</c:f>
              <c:strCache>
                <c:ptCount val="11"/>
                <c:pt idx="0">
                  <c:v>Témoin solvant</c:v>
                </c:pt>
                <c:pt idx="1">
                  <c:v>EE2-33,8ng/L</c:v>
                </c:pt>
                <c:pt idx="2">
                  <c:v>EE2-50,6ng/L</c:v>
                </c:pt>
                <c:pt idx="3">
                  <c:v>EE2-76ng/L</c:v>
                </c:pt>
                <c:pt idx="4">
                  <c:v>EE2-114ng/L</c:v>
                </c:pt>
                <c:pt idx="5">
                  <c:v>EE2-170,9ng/L</c:v>
                </c:pt>
                <c:pt idx="6">
                  <c:v>EE2-488ng/L</c:v>
                </c:pt>
                <c:pt idx="8">
                  <c:v>Testo -30µg/L</c:v>
                </c:pt>
                <c:pt idx="9">
                  <c:v>Testo 30µg/L + EE2 -64ng/L</c:v>
                </c:pt>
                <c:pt idx="10">
                  <c:v>Testo 30µg/L + FAD-10mg/L</c:v>
                </c:pt>
              </c:strCache>
            </c:strRef>
          </c:cat>
          <c:val>
            <c:numRef>
              <c:f>'R3'!$B$53:$L$53</c:f>
              <c:numCache>
                <c:formatCode>0.0000</c:formatCode>
                <c:ptCount val="11"/>
                <c:pt idx="0">
                  <c:v>8.8714822098127658E-2</c:v>
                </c:pt>
                <c:pt idx="1">
                  <c:v>0.25639280835771039</c:v>
                </c:pt>
                <c:pt idx="2">
                  <c:v>0.15268267363915111</c:v>
                </c:pt>
                <c:pt idx="3">
                  <c:v>0.53968268227231386</c:v>
                </c:pt>
                <c:pt idx="4">
                  <c:v>1.3669249426030794</c:v>
                </c:pt>
                <c:pt idx="5">
                  <c:v>2.2823930725441555</c:v>
                </c:pt>
                <c:pt idx="6">
                  <c:v>2.9687077213218203</c:v>
                </c:pt>
                <c:pt idx="8">
                  <c:v>1.0000000000000002</c:v>
                </c:pt>
                <c:pt idx="9">
                  <c:v>2.0186569937134249</c:v>
                </c:pt>
                <c:pt idx="10">
                  <c:v>4.6511650064161518E-2</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chemeClr val="accent2">
                  <a:lumMod val="40000"/>
                  <a:lumOff val="60000"/>
                </a:schemeClr>
              </a:solidFill>
            </c:spPr>
            <c:extLst>
              <c:ext xmlns:c16="http://schemas.microsoft.com/office/drawing/2014/chart" uri="{C3380CC4-5D6E-409C-BE32-E72D297353CC}">
                <c16:uniqueId val="{00000003-033C-4530-84A9-991A3866ABD4}"/>
              </c:ext>
            </c:extLst>
          </c:dPt>
          <c:dPt>
            <c:idx val="2"/>
            <c:invertIfNegative val="0"/>
            <c:bubble3D val="0"/>
            <c:spPr>
              <a:solidFill>
                <a:schemeClr val="accent2">
                  <a:lumMod val="40000"/>
                  <a:lumOff val="60000"/>
                </a:schemeClr>
              </a:solidFill>
            </c:spPr>
            <c:extLst>
              <c:ext xmlns:c16="http://schemas.microsoft.com/office/drawing/2014/chart" uri="{C3380CC4-5D6E-409C-BE32-E72D297353CC}">
                <c16:uniqueId val="{00000005-033C-4530-84A9-991A3866ABD4}"/>
              </c:ext>
            </c:extLst>
          </c:dPt>
          <c:dPt>
            <c:idx val="3"/>
            <c:invertIfNegative val="0"/>
            <c:bubble3D val="0"/>
            <c:spPr>
              <a:solidFill>
                <a:schemeClr val="accent2">
                  <a:lumMod val="40000"/>
                  <a:lumOff val="60000"/>
                </a:schemeClr>
              </a:solidFill>
            </c:spPr>
            <c:extLst>
              <c:ext xmlns:c16="http://schemas.microsoft.com/office/drawing/2014/chart" uri="{C3380CC4-5D6E-409C-BE32-E72D297353CC}">
                <c16:uniqueId val="{00000007-033C-4530-84A9-991A3866ABD4}"/>
              </c:ext>
            </c:extLst>
          </c:dPt>
          <c:dPt>
            <c:idx val="4"/>
            <c:invertIfNegative val="0"/>
            <c:bubble3D val="0"/>
            <c:spPr>
              <a:solidFill>
                <a:schemeClr val="accent2">
                  <a:lumMod val="40000"/>
                  <a:lumOff val="60000"/>
                </a:schemeClr>
              </a:solidFill>
            </c:spPr>
            <c:extLst>
              <c:ext xmlns:c16="http://schemas.microsoft.com/office/drawing/2014/chart" uri="{C3380CC4-5D6E-409C-BE32-E72D297353CC}">
                <c16:uniqueId val="{00000009-033C-4530-84A9-991A3866ABD4}"/>
              </c:ext>
            </c:extLst>
          </c:dPt>
          <c:dPt>
            <c:idx val="5"/>
            <c:invertIfNegative val="0"/>
            <c:bubble3D val="0"/>
            <c:spPr>
              <a:solidFill>
                <a:schemeClr val="accent2">
                  <a:lumMod val="40000"/>
                  <a:lumOff val="60000"/>
                </a:schemeClr>
              </a:solidFill>
            </c:spPr>
            <c:extLst>
              <c:ext xmlns:c16="http://schemas.microsoft.com/office/drawing/2014/chart" uri="{C3380CC4-5D6E-409C-BE32-E72D297353CC}">
                <c16:uniqueId val="{0000000B-033C-4530-84A9-991A3866ABD4}"/>
              </c:ext>
            </c:extLst>
          </c:dPt>
          <c:dPt>
            <c:idx val="6"/>
            <c:invertIfNegative val="0"/>
            <c:bubble3D val="0"/>
            <c:spPr>
              <a:solidFill>
                <a:schemeClr val="accent3"/>
              </a:solidFill>
            </c:spPr>
            <c:extLst>
              <c:ext xmlns:c16="http://schemas.microsoft.com/office/drawing/2014/chart" uri="{C3380CC4-5D6E-409C-BE32-E72D297353CC}">
                <c16:uniqueId val="{0000000F-033C-4530-84A9-991A3866ABD4}"/>
              </c:ext>
            </c:extLst>
          </c:dPt>
          <c:dPt>
            <c:idx val="7"/>
            <c:invertIfNegative val="0"/>
            <c:bubble3D val="0"/>
            <c:spPr>
              <a:solidFill>
                <a:schemeClr val="accent3">
                  <a:lumMod val="40000"/>
                  <a:lumOff val="60000"/>
                </a:schemeClr>
              </a:solidFill>
            </c:spPr>
            <c:extLst>
              <c:ext xmlns:c16="http://schemas.microsoft.com/office/drawing/2014/chart" uri="{C3380CC4-5D6E-409C-BE32-E72D297353CC}">
                <c16:uniqueId val="{00000011-033C-4530-84A9-991A3866ABD4}"/>
              </c:ext>
            </c:extLst>
          </c:dPt>
          <c:dPt>
            <c:idx val="8"/>
            <c:invertIfNegative val="0"/>
            <c:bubble3D val="0"/>
            <c:spPr>
              <a:solidFill>
                <a:schemeClr val="accent3">
                  <a:lumMod val="40000"/>
                  <a:lumOff val="60000"/>
                </a:schemeClr>
              </a:solidFill>
            </c:spPr>
            <c:extLst>
              <c:ext xmlns:c16="http://schemas.microsoft.com/office/drawing/2014/chart" uri="{C3380CC4-5D6E-409C-BE32-E72D297353CC}">
                <c16:uniqueId val="{00000013-033C-4530-84A9-991A3866ABD4}"/>
              </c:ext>
            </c:extLst>
          </c:dPt>
          <c:dLbls>
            <c:dLbl>
              <c:idx val="0"/>
              <c:tx>
                <c:rich>
                  <a:bodyPr/>
                  <a:lstStyle/>
                  <a:p>
                    <a:fld id="{F34244C7-BBAC-4E22-B98D-0B303E7CB09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layout>
                <c:manualLayout>
                  <c:x val="0"/>
                  <c:y val="-2.1004567418376583E-3"/>
                </c:manualLayout>
              </c:layout>
              <c:tx>
                <c:rich>
                  <a:bodyPr/>
                  <a:lstStyle/>
                  <a:p>
                    <a:fld id="{7A1B422A-B7D6-4322-85FB-29B242CF696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3C-4530-84A9-991A3866ABD4}"/>
                </c:ext>
              </c:extLst>
            </c:dLbl>
            <c:dLbl>
              <c:idx val="2"/>
              <c:layout>
                <c:manualLayout>
                  <c:x val="0"/>
                  <c:y val="-2.9406394385727293E-2"/>
                </c:manualLayout>
              </c:layout>
              <c:tx>
                <c:rich>
                  <a:bodyPr/>
                  <a:lstStyle/>
                  <a:p>
                    <a:fld id="{FCF8F627-A851-425D-BC8D-25275F3A2E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3C-4530-84A9-991A3866ABD4}"/>
                </c:ext>
              </c:extLst>
            </c:dLbl>
            <c:dLbl>
              <c:idx val="3"/>
              <c:layout>
                <c:manualLayout>
                  <c:x val="-5.01530551757193E-17"/>
                  <c:y val="-4.4109591578590825E-2"/>
                </c:manualLayout>
              </c:layout>
              <c:tx>
                <c:rich>
                  <a:bodyPr/>
                  <a:lstStyle/>
                  <a:p>
                    <a:fld id="{E265DD89-374D-4538-89E5-8CF060037D5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3C-4530-84A9-991A3866ABD4}"/>
                </c:ext>
              </c:extLst>
            </c:dLbl>
            <c:dLbl>
              <c:idx val="4"/>
              <c:layout>
                <c:manualLayout>
                  <c:x val="0"/>
                  <c:y val="-4.8310505062266175E-2"/>
                </c:manualLayout>
              </c:layout>
              <c:tx>
                <c:rich>
                  <a:bodyPr/>
                  <a:lstStyle/>
                  <a:p>
                    <a:fld id="{7D94B747-B184-4D17-B19E-48A6BB08753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33C-4530-84A9-991A3866ABD4}"/>
                </c:ext>
              </c:extLst>
            </c:dLbl>
            <c:dLbl>
              <c:idx val="5"/>
              <c:layout>
                <c:manualLayout>
                  <c:x val="0"/>
                  <c:y val="-6.0913245513292108E-2"/>
                </c:manualLayout>
              </c:layout>
              <c:tx>
                <c:rich>
                  <a:bodyPr/>
                  <a:lstStyle/>
                  <a:p>
                    <a:fld id="{2EADE6D3-9A2C-4DA0-A6F0-BB7CEE945BFE}"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33C-4530-84A9-991A3866ABD4}"/>
                </c:ext>
              </c:extLst>
            </c:dLbl>
            <c:dLbl>
              <c:idx val="6"/>
              <c:layout>
                <c:manualLayout>
                  <c:x val="0"/>
                  <c:y val="-2.5205480902051897E-2"/>
                </c:manualLayout>
              </c:layout>
              <c:tx>
                <c:rich>
                  <a:bodyPr/>
                  <a:lstStyle/>
                  <a:p>
                    <a:fld id="{D3005D27-7803-4C79-98B3-76FA68D41490}"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33C-4530-84A9-991A3866ABD4}"/>
                </c:ext>
              </c:extLst>
            </c:dLbl>
            <c:dLbl>
              <c:idx val="7"/>
              <c:layout>
                <c:manualLayout>
                  <c:x val="0"/>
                  <c:y val="-3.7808221353077848E-2"/>
                </c:manualLayout>
              </c:layout>
              <c:tx>
                <c:rich>
                  <a:bodyPr/>
                  <a:lstStyle/>
                  <a:p>
                    <a:fld id="{21074CAE-92A7-4164-ABF3-792314CDBD8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33C-4530-84A9-991A3866ABD4}"/>
                </c:ext>
              </c:extLst>
            </c:dLbl>
            <c:dLbl>
              <c:idx val="8"/>
              <c:tx>
                <c:rich>
                  <a:bodyPr/>
                  <a:lstStyle/>
                  <a:p>
                    <a:fld id="{9EFEA672-72ED-4613-B872-BD8ED6DF2D8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spPr>
              <a:noFill/>
              <a:ln>
                <a:noFill/>
              </a:ln>
              <a:effectLst/>
            </c:spPr>
            <c:txPr>
              <a:bodyPr wrap="square" lIns="38100" tIns="19050" rIns="38100" bIns="19050" anchor="ctr">
                <a:spAutoFit/>
              </a:bodyPr>
              <a:lstStyle/>
              <a:p>
                <a:pPr>
                  <a:defRPr sz="1100"/>
                </a:pPr>
                <a:endParaRPr lang="fr-FR"/>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extLst>
                  <c:ext xmlns:c15="http://schemas.microsoft.com/office/drawing/2012/chart" uri="{02D57815-91ED-43cb-92C2-25804820EDAC}">
                    <c15:fullRef>
                      <c15:sqref>'pooled normalised values'!$B$76:$L$76</c15:sqref>
                    </c15:fullRef>
                  </c:ext>
                </c:extLst>
                <c:f>('pooled normalised values'!$B$76,'pooled normalised values'!$D$76:$H$76,'pooled normalised values'!$J$76:$L$76)</c:f>
                <c:numCache>
                  <c:formatCode>General</c:formatCode>
                  <c:ptCount val="9"/>
                  <c:pt idx="0">
                    <c:v>1.7722400973283873E-2</c:v>
                  </c:pt>
                  <c:pt idx="1">
                    <c:v>2.7259968692918038E-2</c:v>
                  </c:pt>
                  <c:pt idx="2">
                    <c:v>0.10745068650342753</c:v>
                  </c:pt>
                  <c:pt idx="3">
                    <c:v>0.22679992924068651</c:v>
                  </c:pt>
                  <c:pt idx="4">
                    <c:v>0.23973460989441275</c:v>
                  </c:pt>
                  <c:pt idx="5">
                    <c:v>0.29523348803017191</c:v>
                  </c:pt>
                  <c:pt idx="6">
                    <c:v>0.13320898621680904</c:v>
                  </c:pt>
                  <c:pt idx="7">
                    <c:v>0.17220291160451792</c:v>
                  </c:pt>
                  <c:pt idx="8">
                    <c:v>1.691146784908661E-2</c:v>
                  </c:pt>
                </c:numCache>
              </c:numRef>
            </c:plus>
            <c:minus>
              <c:numRef>
                <c:extLst>
                  <c:ext xmlns:c15="http://schemas.microsoft.com/office/drawing/2012/chart" uri="{02D57815-91ED-43cb-92C2-25804820EDAC}">
                    <c15:fullRef>
                      <c15:sqref>'pooled normalised values'!$B$76:$L$76</c15:sqref>
                    </c15:fullRef>
                  </c:ext>
                </c:extLst>
                <c:f>('pooled normalised values'!$B$76,'pooled normalised values'!$D$76:$H$76,'pooled normalised values'!$J$76:$L$76)</c:f>
                <c:numCache>
                  <c:formatCode>General</c:formatCode>
                  <c:ptCount val="9"/>
                  <c:pt idx="0">
                    <c:v>1.7722400973283873E-2</c:v>
                  </c:pt>
                  <c:pt idx="1">
                    <c:v>2.7259968692918038E-2</c:v>
                  </c:pt>
                  <c:pt idx="2">
                    <c:v>0.10745068650342753</c:v>
                  </c:pt>
                  <c:pt idx="3">
                    <c:v>0.22679992924068651</c:v>
                  </c:pt>
                  <c:pt idx="4">
                    <c:v>0.23973460989441275</c:v>
                  </c:pt>
                  <c:pt idx="5">
                    <c:v>0.29523348803017191</c:v>
                  </c:pt>
                  <c:pt idx="6">
                    <c:v>0.13320898621680904</c:v>
                  </c:pt>
                  <c:pt idx="7">
                    <c:v>0.17220291160451792</c:v>
                  </c:pt>
                  <c:pt idx="8">
                    <c:v>1.691146784908661E-2</c:v>
                  </c:pt>
                </c:numCache>
              </c:numRef>
            </c:minus>
          </c:errBars>
          <c:cat>
            <c:strRef>
              <c:extLst>
                <c:ext xmlns:c15="http://schemas.microsoft.com/office/drawing/2012/chart" uri="{02D57815-91ED-43cb-92C2-25804820EDAC}">
                  <c15:fullRef>
                    <c15:sqref>'pooled normalised values'!$B$74:$L$74</c15:sqref>
                  </c15:fullRef>
                </c:ext>
              </c:extLst>
              <c:f>('pooled normalised values'!$B$74,'pooled normalised values'!$D$74:$H$74,'pooled normalised values'!$J$74:$L$74)</c:f>
              <c:strCache>
                <c:ptCount val="9"/>
                <c:pt idx="0">
                  <c:v>Témoin solvant</c:v>
                </c:pt>
                <c:pt idx="1">
                  <c:v>EE2-50,6ng/L</c:v>
                </c:pt>
                <c:pt idx="2">
                  <c:v>EE2-76ng/L</c:v>
                </c:pt>
                <c:pt idx="3">
                  <c:v>EE2-114ng/L</c:v>
                </c:pt>
                <c:pt idx="4">
                  <c:v>EE2-170,9ng/L</c:v>
                </c:pt>
                <c:pt idx="5">
                  <c:v>EE2-488ng/L</c:v>
                </c:pt>
                <c:pt idx="6">
                  <c:v>Testo -30µg/L</c:v>
                </c:pt>
                <c:pt idx="7">
                  <c:v>Testo 30µg/L + EE2 -64ng/L</c:v>
                </c:pt>
                <c:pt idx="8">
                  <c:v>Testo 30µg/L + FAD-10mg/L</c:v>
                </c:pt>
              </c:strCache>
            </c:strRef>
          </c:cat>
          <c:val>
            <c:numRef>
              <c:extLst>
                <c:ext xmlns:c15="http://schemas.microsoft.com/office/drawing/2012/chart" uri="{02D57815-91ED-43cb-92C2-25804820EDAC}">
                  <c15:fullRef>
                    <c15:sqref>'pooled normalised values'!$B$75:$L$75</c15:sqref>
                  </c15:fullRef>
                </c:ext>
              </c:extLst>
              <c:f>('pooled normalised values'!$B$75,'pooled normalised values'!$D$75:$H$75,'pooled normalised values'!$J$75:$L$75)</c:f>
              <c:numCache>
                <c:formatCode>0.0000</c:formatCode>
                <c:ptCount val="9"/>
                <c:pt idx="0">
                  <c:v>6.5646572940968706E-2</c:v>
                </c:pt>
                <c:pt idx="1">
                  <c:v>0.13318039979785226</c:v>
                </c:pt>
                <c:pt idx="2">
                  <c:v>0.33773122306398207</c:v>
                </c:pt>
                <c:pt idx="3">
                  <c:v>0.96878173919242272</c:v>
                </c:pt>
                <c:pt idx="4">
                  <c:v>1.6243424026299922</c:v>
                </c:pt>
                <c:pt idx="5">
                  <c:v>2.5466979984826024</c:v>
                </c:pt>
                <c:pt idx="6">
                  <c:v>1</c:v>
                </c:pt>
                <c:pt idx="7">
                  <c:v>2.0839946988433509</c:v>
                </c:pt>
                <c:pt idx="8">
                  <c:v>5.0657143720364679E-2</c:v>
                </c:pt>
              </c:numCache>
            </c:numRef>
          </c:val>
          <c:extLst>
            <c:ext xmlns:c15="http://schemas.microsoft.com/office/drawing/2012/chart" uri="{02D57815-91ED-43cb-92C2-25804820EDAC}">
              <c15:datalabelsRange>
                <c15:f>'pooled normalised values'!$B$83:$L$83</c15:f>
                <c15:dlblRangeCache>
                  <c:ptCount val="11"/>
                  <c:pt idx="1">
                    <c:v>NS</c:v>
                  </c:pt>
                  <c:pt idx="2">
                    <c:v>NS</c:v>
                  </c:pt>
                  <c:pt idx="3">
                    <c:v>NS</c:v>
                  </c:pt>
                  <c:pt idx="4">
                    <c:v>*</c:v>
                  </c:pt>
                  <c:pt idx="5">
                    <c:v>***</c:v>
                  </c:pt>
                  <c:pt idx="6">
                    <c:v>***</c:v>
                  </c:pt>
                  <c:pt idx="8">
                    <c:v>***</c:v>
                  </c:pt>
                  <c:pt idx="9">
                    <c:v>***</c:v>
                  </c:pt>
                  <c:pt idx="10">
                    <c:v>***</c:v>
                  </c:pt>
                </c15:dlblRangeCache>
              </c15:datalabelsRange>
            </c:ext>
            <c:ext xmlns:c15="http://schemas.microsoft.com/office/drawing/2012/chart" uri="{02D57815-91ED-43cb-92C2-25804820EDAC}">
              <c15:categoryFilterExceptions>
                <c15:categoryFilterException>
                  <c15:sqref>'pooled normalised values'!$I$75</c15:sqref>
                  <c15:spPr xmlns:c15="http://schemas.microsoft.com/office/drawing/2012/chart">
                    <a:solidFill>
                      <a:schemeClr val="tx2">
                        <a:lumMod val="40000"/>
                        <a:lumOff val="60000"/>
                      </a:schemeClr>
                    </a:solidFill>
                  </c15:spPr>
                  <c15:invertIfNegative val="0"/>
                  <c15:bubble3D val="0"/>
                  <c15:dLbl>
                    <c:idx val="5"/>
                    <c:tx>
                      <c:rich>
                        <a:bodyPr/>
                        <a:lstStyle/>
                        <a:p>
                          <a:endParaRPr lang="en-US"/>
                        </a:p>
                      </c:rich>
                    </c:tx>
                    <c:dLblPos val="outEnd"/>
                    <c:showLegendKey val="0"/>
                    <c:showVal val="0"/>
                    <c:showCatName val="0"/>
                    <c:showSerName val="0"/>
                    <c:showPercent val="0"/>
                    <c:showBubbleSize val="0"/>
                    <c:extLst>
                      <c:ext uri="{CE6537A1-D6FC-4f65-9D91-7224C49458BB}">
                        <c15:showDataLabelsRange val="0"/>
                      </c:ext>
                      <c:ext xmlns:c16="http://schemas.microsoft.com/office/drawing/2014/chart" uri="{C3380CC4-5D6E-409C-BE32-E72D297353CC}">
                        <c16:uniqueId val="{00000013-4A64-4111-9BCC-A987DECAD837}"/>
                      </c:ext>
                    </c:extLst>
                  </c15:dLbl>
                </c15:categoryFilterException>
              </c15:categoryFilterExceptions>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F4090254-950B-45BF-92D2-C5EF2571B57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775198C8-D570-44BE-81EB-1771AC3471D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AA4686CF-D421-41C3-905D-751725D8B9C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377C12E7-9D3B-4303-8189-326C720A3E5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7564BCC6-FC03-4B96-AC02-7A932806E94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49FC1A97-1A21-4DE5-B1A3-45ECE783C29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4898311E-DBA6-4649-B0FA-B67C07E126D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3722DE7C-07C2-42DC-B3EB-C91127108A1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155F2B45-2CC9-4D24-8BA0-C5BB96F0D36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819CD1B4-D7DB-4424-B98D-0296AA8AF6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B0CA0D4C-1CFD-45E8-95FE-2AB4A2DCC73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7EBAD7A5-31C1-41CD-8AF6-169D778E7A2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CD472594-BF24-4B27-BCDA-FB24FA42DFE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95D4DE52-7048-4206-9D5E-092DC87D5C1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minus>
          </c:errBars>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CHG'!$E$3:$T$3</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#REF!</c:v>
                  </c:pt>
                  <c:pt idx="2">
                    <c:v>#REF!</c:v>
                  </c:pt>
                  <c:pt idx="3">
                    <c:v>#REF!</c:v>
                  </c:pt>
                  <c:pt idx="4">
                    <c:v>#REF!</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6.5646572940968706E-2</c:v>
                </c:pt>
                <c:pt idx="1">
                  <c:v>6.5646572940968706E-2</c:v>
                </c:pt>
                <c:pt idx="2">
                  <c:v>6.5646572940968706E-2</c:v>
                </c:pt>
                <c:pt idx="3">
                  <c:v>6.5646572940968706E-2</c:v>
                </c:pt>
                <c:pt idx="4">
                  <c:v>6.5646572940968706E-2</c:v>
                </c:pt>
                <c:pt idx="5">
                  <c:v>6.5646572940968706E-2</c:v>
                </c:pt>
                <c:pt idx="6">
                  <c:v>6.5646572940968706E-2</c:v>
                </c:pt>
                <c:pt idx="7">
                  <c:v>6.5646572940968706E-2</c:v>
                </c:pt>
                <c:pt idx="8">
                  <c:v>6.5646572940968706E-2</c:v>
                </c:pt>
                <c:pt idx="9">
                  <c:v>6.5646572940968706E-2</c:v>
                </c:pt>
                <c:pt idx="10">
                  <c:v>6.5646572940968706E-2</c:v>
                </c:pt>
                <c:pt idx="11">
                  <c:v>6.5646572940968706E-2</c:v>
                </c:pt>
                <c:pt idx="12">
                  <c:v>6.5646572940968706E-2</c:v>
                </c:pt>
                <c:pt idx="13">
                  <c:v>6.5646572940968706E-2</c:v>
                </c:pt>
                <c:pt idx="14">
                  <c:v>6.5646572940968706E-2</c:v>
                </c:pt>
                <c:pt idx="15">
                  <c:v>6.5646572940968706E-2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CHG'!$U$8:$AJ$8</c:f>
              <c:numCache>
                <c:formatCode>General</c:formatCode>
                <c:ptCount val="16"/>
                <c:pt idx="0">
                  <c:v>5.0657143720364679E-2</c:v>
                </c:pt>
                <c:pt idx="1">
                  <c:v>5.0657143720364679E-2</c:v>
                </c:pt>
                <c:pt idx="2">
                  <c:v>5.0657143720364679E-2</c:v>
                </c:pt>
                <c:pt idx="3">
                  <c:v>5.0657143720364679E-2</c:v>
                </c:pt>
                <c:pt idx="4">
                  <c:v>5.0657143720364679E-2</c:v>
                </c:pt>
                <c:pt idx="5">
                  <c:v>5.0657143720364679E-2</c:v>
                </c:pt>
                <c:pt idx="6">
                  <c:v>5.0657143720364679E-2</c:v>
                </c:pt>
                <c:pt idx="7">
                  <c:v>5.0657143720364679E-2</c:v>
                </c:pt>
                <c:pt idx="8">
                  <c:v>5.0657143720364679E-2</c:v>
                </c:pt>
                <c:pt idx="9">
                  <c:v>5.0657143720364679E-2</c:v>
                </c:pt>
                <c:pt idx="10">
                  <c:v>5.0657143720364679E-2</c:v>
                </c:pt>
                <c:pt idx="11">
                  <c:v>5.0657143720364679E-2</c:v>
                </c:pt>
                <c:pt idx="12">
                  <c:v>5.0657143720364679E-2</c:v>
                </c:pt>
                <c:pt idx="13">
                  <c:v>5.0657143720364679E-2</c:v>
                </c:pt>
                <c:pt idx="14">
                  <c:v>5.0657143720364679E-2</c:v>
                </c:pt>
                <c:pt idx="15">
                  <c:v>5.0657143720364679E-2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CHG'!$U$9:$AJ$9</c:f>
              <c:numCache>
                <c:formatCode>General</c:formatCode>
                <c:ptCount val="16"/>
                <c:pt idx="0">
                  <c:v>2.0333375551229862</c:v>
                </c:pt>
                <c:pt idx="1">
                  <c:v>2.0333375551229862</c:v>
                </c:pt>
                <c:pt idx="2">
                  <c:v>2.0333375551229862</c:v>
                </c:pt>
                <c:pt idx="3">
                  <c:v>2.0333375551229862</c:v>
                </c:pt>
                <c:pt idx="4">
                  <c:v>2.0333375551229862</c:v>
                </c:pt>
                <c:pt idx="5">
                  <c:v>2.0333375551229862</c:v>
                </c:pt>
                <c:pt idx="6">
                  <c:v>2.0333375551229862</c:v>
                </c:pt>
                <c:pt idx="7">
                  <c:v>2.0333375551229862</c:v>
                </c:pt>
                <c:pt idx="8">
                  <c:v>2.0333375551229862</c:v>
                </c:pt>
                <c:pt idx="9">
                  <c:v>2.0333375551229862</c:v>
                </c:pt>
                <c:pt idx="10">
                  <c:v>2.0333375551229862</c:v>
                </c:pt>
                <c:pt idx="11">
                  <c:v>2.0333375551229862</c:v>
                </c:pt>
                <c:pt idx="12">
                  <c:v>2.0333375551229862</c:v>
                </c:pt>
                <c:pt idx="13">
                  <c:v>2.0333375551229862</c:v>
                </c:pt>
                <c:pt idx="14">
                  <c:v>2.0333375551229862</c:v>
                </c:pt>
                <c:pt idx="15">
                  <c:v>2.0333375551229862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CHG'!$U$10:$AJ$10</c:f>
              <c:numCache>
                <c:formatCode>General</c:formatCode>
                <c:ptCount val="16"/>
                <c:pt idx="0">
                  <c:v>0.4666624448770138</c:v>
                </c:pt>
                <c:pt idx="1">
                  <c:v>0.4666624448770138</c:v>
                </c:pt>
                <c:pt idx="2">
                  <c:v>0.4666624448770138</c:v>
                </c:pt>
                <c:pt idx="3">
                  <c:v>0.4666624448770138</c:v>
                </c:pt>
                <c:pt idx="4">
                  <c:v>0.4666624448770138</c:v>
                </c:pt>
                <c:pt idx="5">
                  <c:v>0.4666624448770138</c:v>
                </c:pt>
                <c:pt idx="6">
                  <c:v>0.4666624448770138</c:v>
                </c:pt>
                <c:pt idx="7">
                  <c:v>0.4666624448770138</c:v>
                </c:pt>
                <c:pt idx="8">
                  <c:v>0.4666624448770138</c:v>
                </c:pt>
                <c:pt idx="9">
                  <c:v>0.4666624448770138</c:v>
                </c:pt>
                <c:pt idx="10">
                  <c:v>0.4666624448770138</c:v>
                </c:pt>
                <c:pt idx="11">
                  <c:v>0.4666624448770138</c:v>
                </c:pt>
                <c:pt idx="12">
                  <c:v>0.4666624448770138</c:v>
                </c:pt>
                <c:pt idx="13">
                  <c:v>0.4666624448770138</c:v>
                </c:pt>
                <c:pt idx="14">
                  <c:v>0.4666624448770138</c:v>
                </c:pt>
                <c:pt idx="15">
                  <c:v>0.4666624448770138</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8E57CFA8-A88D-45F2-9C57-9223E09FB5C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1BB39CA4-5691-4747-9D0C-3C613CF99EF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0806EF38-F07E-43AC-8ADF-999C3A51B59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C4D193A9-141A-44B8-B18F-9B3E72CC394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486CCB58-7115-42D1-8A81-942DD0B8B0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4F5F6AE9-60D4-4348-AB20-DA883EE67A1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278B7988-425C-4DDF-9B95-27430835DEE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CEC315E9-2BCC-4D6A-90A2-94BD0894C46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19892D20-AC10-49A1-97B4-E9D22B053BE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29070E3C-E8BF-4DD0-84DB-3A3D740D79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D34B5974-97E5-4F60-A5FF-B533775FDA5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469FC1DB-FE32-46D8-9DA4-E0800CE12F0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8CCE5A6F-5AE8-48AC-A065-C6335A36318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5EE41DB7-6F9D-4E19-8D5B-6BCFEBC270F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minus>
          </c:errBars>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CHG'!$U$3:$AJ$3</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#REF!</c:v>
                  </c:pt>
                  <c:pt idx="2">
                    <c:v>#REF!</c:v>
                  </c:pt>
                  <c:pt idx="3">
                    <c:v>#REF!</c:v>
                  </c:pt>
                  <c:pt idx="4">
                    <c:v>#REF!</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BD8AB83F-8B07-4FDB-BE2D-DB24DCBDDD5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E91C7A82-E88A-4AD1-AE3A-66EA315BD1B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67F941FD-A09A-4840-A6C3-C3992DAF06E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96799E7F-4CD8-41BD-9A50-2F5EBC46F7C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E087806F-295C-4320-BCF2-92460771C76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1009D4FD-9ED6-4D49-82A6-35DA67F9E70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6792F5FF-D6F2-40C5-AB36-78D832BFDE6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D778F4ED-7070-4FCE-9D76-928CFD32E7E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06BAA95E-695A-4E44-9914-4CFCD1A27B7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4BE2F4E1-856E-4963-BCC9-CCF7CDF3E7C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EECDA9F6-07D7-4764-941E-691B04C99BD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175D18BA-8B2A-4FBA-A789-E365965FA94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430F877E-8EF6-4E54-966A-698B90FAF21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536D2749-C941-4869-8E72-D2CF347BFE4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minus>
          </c:errBars>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CHG'!$E$3:$T$3</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#REF!</c:v>
                  </c:pt>
                  <c:pt idx="2">
                    <c:v>#REF!</c:v>
                  </c:pt>
                  <c:pt idx="3">
                    <c:v>#REF!</c:v>
                  </c:pt>
                  <c:pt idx="4">
                    <c:v>#REF!</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6.5646572940968706E-2</c:v>
                </c:pt>
                <c:pt idx="1">
                  <c:v>6.5646572940968706E-2</c:v>
                </c:pt>
                <c:pt idx="2">
                  <c:v>6.5646572940968706E-2</c:v>
                </c:pt>
                <c:pt idx="3">
                  <c:v>6.5646572940968706E-2</c:v>
                </c:pt>
                <c:pt idx="4">
                  <c:v>6.5646572940968706E-2</c:v>
                </c:pt>
                <c:pt idx="5">
                  <c:v>6.5646572940968706E-2</c:v>
                </c:pt>
                <c:pt idx="6">
                  <c:v>6.5646572940968706E-2</c:v>
                </c:pt>
                <c:pt idx="7">
                  <c:v>6.5646572940968706E-2</c:v>
                </c:pt>
                <c:pt idx="8">
                  <c:v>6.5646572940968706E-2</c:v>
                </c:pt>
                <c:pt idx="9">
                  <c:v>6.5646572940968706E-2</c:v>
                </c:pt>
                <c:pt idx="10">
                  <c:v>6.5646572940968706E-2</c:v>
                </c:pt>
                <c:pt idx="11">
                  <c:v>6.5646572940968706E-2</c:v>
                </c:pt>
                <c:pt idx="12">
                  <c:v>6.5646572940968706E-2</c:v>
                </c:pt>
                <c:pt idx="13">
                  <c:v>6.5646572940968706E-2</c:v>
                </c:pt>
                <c:pt idx="14">
                  <c:v>6.5646572940968706E-2</c:v>
                </c:pt>
                <c:pt idx="15">
                  <c:v>6.5646572940968706E-2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CHG'!$U$8:$AJ$8</c:f>
              <c:numCache>
                <c:formatCode>General</c:formatCode>
                <c:ptCount val="16"/>
                <c:pt idx="0">
                  <c:v>5.0657143720364679E-2</c:v>
                </c:pt>
                <c:pt idx="1">
                  <c:v>5.0657143720364679E-2</c:v>
                </c:pt>
                <c:pt idx="2">
                  <c:v>5.0657143720364679E-2</c:v>
                </c:pt>
                <c:pt idx="3">
                  <c:v>5.0657143720364679E-2</c:v>
                </c:pt>
                <c:pt idx="4">
                  <c:v>5.0657143720364679E-2</c:v>
                </c:pt>
                <c:pt idx="5">
                  <c:v>5.0657143720364679E-2</c:v>
                </c:pt>
                <c:pt idx="6">
                  <c:v>5.0657143720364679E-2</c:v>
                </c:pt>
                <c:pt idx="7">
                  <c:v>5.0657143720364679E-2</c:v>
                </c:pt>
                <c:pt idx="8">
                  <c:v>5.0657143720364679E-2</c:v>
                </c:pt>
                <c:pt idx="9">
                  <c:v>5.0657143720364679E-2</c:v>
                </c:pt>
                <c:pt idx="10">
                  <c:v>5.0657143720364679E-2</c:v>
                </c:pt>
                <c:pt idx="11">
                  <c:v>5.0657143720364679E-2</c:v>
                </c:pt>
                <c:pt idx="12">
                  <c:v>5.0657143720364679E-2</c:v>
                </c:pt>
                <c:pt idx="13">
                  <c:v>5.0657143720364679E-2</c:v>
                </c:pt>
                <c:pt idx="14">
                  <c:v>5.0657143720364679E-2</c:v>
                </c:pt>
                <c:pt idx="15">
                  <c:v>5.0657143720364679E-2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CHG'!$U$9:$AJ$9</c:f>
              <c:numCache>
                <c:formatCode>General</c:formatCode>
                <c:ptCount val="16"/>
                <c:pt idx="0">
                  <c:v>2.0333375551229862</c:v>
                </c:pt>
                <c:pt idx="1">
                  <c:v>2.0333375551229862</c:v>
                </c:pt>
                <c:pt idx="2">
                  <c:v>2.0333375551229862</c:v>
                </c:pt>
                <c:pt idx="3">
                  <c:v>2.0333375551229862</c:v>
                </c:pt>
                <c:pt idx="4">
                  <c:v>2.0333375551229862</c:v>
                </c:pt>
                <c:pt idx="5">
                  <c:v>2.0333375551229862</c:v>
                </c:pt>
                <c:pt idx="6">
                  <c:v>2.0333375551229862</c:v>
                </c:pt>
                <c:pt idx="7">
                  <c:v>2.0333375551229862</c:v>
                </c:pt>
                <c:pt idx="8">
                  <c:v>2.0333375551229862</c:v>
                </c:pt>
                <c:pt idx="9">
                  <c:v>2.0333375551229862</c:v>
                </c:pt>
                <c:pt idx="10">
                  <c:v>2.0333375551229862</c:v>
                </c:pt>
                <c:pt idx="11">
                  <c:v>2.0333375551229862</c:v>
                </c:pt>
                <c:pt idx="12">
                  <c:v>2.0333375551229862</c:v>
                </c:pt>
                <c:pt idx="13">
                  <c:v>2.0333375551229862</c:v>
                </c:pt>
                <c:pt idx="14">
                  <c:v>2.0333375551229862</c:v>
                </c:pt>
                <c:pt idx="15">
                  <c:v>2.0333375551229862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CHG'!$U$10:$AJ$10</c:f>
              <c:numCache>
                <c:formatCode>General</c:formatCode>
                <c:ptCount val="16"/>
                <c:pt idx="0">
                  <c:v>0.4666624448770138</c:v>
                </c:pt>
                <c:pt idx="1">
                  <c:v>0.4666624448770138</c:v>
                </c:pt>
                <c:pt idx="2">
                  <c:v>0.4666624448770138</c:v>
                </c:pt>
                <c:pt idx="3">
                  <c:v>0.4666624448770138</c:v>
                </c:pt>
                <c:pt idx="4">
                  <c:v>0.4666624448770138</c:v>
                </c:pt>
                <c:pt idx="5">
                  <c:v>0.4666624448770138</c:v>
                </c:pt>
                <c:pt idx="6">
                  <c:v>0.4666624448770138</c:v>
                </c:pt>
                <c:pt idx="7">
                  <c:v>0.4666624448770138</c:v>
                </c:pt>
                <c:pt idx="8">
                  <c:v>0.4666624448770138</c:v>
                </c:pt>
                <c:pt idx="9">
                  <c:v>0.4666624448770138</c:v>
                </c:pt>
                <c:pt idx="10">
                  <c:v>0.4666624448770138</c:v>
                </c:pt>
                <c:pt idx="11">
                  <c:v>0.4666624448770138</c:v>
                </c:pt>
                <c:pt idx="12">
                  <c:v>0.4666624448770138</c:v>
                </c:pt>
                <c:pt idx="13">
                  <c:v>0.4666624448770138</c:v>
                </c:pt>
                <c:pt idx="14">
                  <c:v>0.4666624448770138</c:v>
                </c:pt>
                <c:pt idx="15">
                  <c:v>0.4666624448770138</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7CD68376-5A4C-40E2-97F2-42991CC6306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48F6035D-68FD-4C9A-8F42-F5B4C2DC764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75ECFC30-4538-4EE0-9824-833D11B0F65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68F34374-0660-4491-8DD9-D326ADB1970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AD91225B-AB9F-46B7-8C8C-CA487DE574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7815BDED-A2C7-4F10-B3F8-949569A6EE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4FECE852-9412-49BE-B48E-AEBAC4BC28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D0EB5E69-5463-4A3B-A38A-32256D90C0F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DDD4BCAD-FCC6-49D4-87FB-6B749B4BD62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72478616-6531-44E4-B0E8-4C7BB6B0184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F730512B-641F-4991-84D9-1A5CD1AD462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4B6456EE-0170-445C-B2A6-BD520D48718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0BD77DA3-CCA7-459A-8028-9358B157B0D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C036C4C3-3B05-46FB-9FB9-CF253B4279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minus>
          </c:errBars>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CHG'!$U$3:$AJ$3</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#REF!</c:v>
                  </c:pt>
                  <c:pt idx="2">
                    <c:v>#REF!</c:v>
                  </c:pt>
                  <c:pt idx="3">
                    <c:v>#REF!</c:v>
                  </c:pt>
                  <c:pt idx="4">
                    <c:v>#REF!</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numRef>
              <c:f>'Graph format rapport CHG 1éch'!$E$2:$G$2</c:f>
              <c:numCache>
                <c:formatCode>General</c:formatCode>
                <c:ptCount val="3"/>
                <c:pt idx="1">
                  <c:v>0</c:v>
                </c:pt>
              </c:numCache>
            </c:num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numRef>
              <c:f>'Graph format rapport CHG 1éch'!$E$2:$G$2</c:f>
              <c:numCache>
                <c:formatCode>General</c:formatCode>
                <c:ptCount val="3"/>
                <c:pt idx="1">
                  <c:v>0</c:v>
                </c:pt>
              </c:numCache>
            </c:num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numRef>
              <c:f>'Graph format rapport CHG 1éch'!$E$2:$G$2</c:f>
              <c:numCache>
                <c:formatCode>General</c:formatCode>
                <c:ptCount val="3"/>
                <c:pt idx="1">
                  <c:v>0</c:v>
                </c:pt>
              </c:numCache>
            </c:num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82A4F6B5-B912-4000-BE81-123C08DA55B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3CB91A20-FBBD-40A6-A289-D4099311473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0</c:v>
                  </c:pt>
                </c:numCache>
              </c:numRef>
            </c:plus>
            <c:minus>
              <c:numRef>
                <c:f>'Graph format rapport CHG 1éch'!$E$4:$G$4</c:f>
                <c:numCache>
                  <c:formatCode>General</c:formatCode>
                  <c:ptCount val="3"/>
                  <c:pt idx="1">
                    <c:v>0</c:v>
                  </c:pt>
                </c:numCache>
              </c:numRef>
            </c:minus>
          </c:errBars>
          <c:cat>
            <c:numRef>
              <c:f>'Graph format rapport CHG 1éch'!$E$2:$G$2</c:f>
              <c:numCache>
                <c:formatCode>General</c:formatCode>
                <c:ptCount val="3"/>
                <c:pt idx="1">
                  <c:v>0</c:v>
                </c:pt>
              </c:numCache>
            </c:numRef>
          </c:cat>
          <c:val>
            <c:numRef>
              <c:f>'Graph format rapport CHG 1éch'!$E$3:$G$3</c:f>
              <c:numCache>
                <c:formatCode>General</c:formatCode>
                <c:ptCount val="3"/>
                <c:pt idx="1">
                  <c:v>0</c:v>
                </c:pt>
              </c:numCache>
            </c:numRef>
          </c:val>
          <c:extLst>
            <c:ext xmlns:c15="http://schemas.microsoft.com/office/drawing/2012/chart" uri="{02D57815-91ED-43cb-92C2-25804820EDAC}">
              <c15:datalabelsRange>
                <c15:f>'Graph format rapport CHG 1éch'!$E$5:$G$5</c15:f>
                <c15:dlblRangeCache>
                  <c:ptCount val="3"/>
                  <c:pt idx="1">
                    <c:v>#REF!</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6.5646572940968706E-2</c:v>
                </c:pt>
                <c:pt idx="1">
                  <c:v>6.5646572940968706E-2</c:v>
                </c:pt>
                <c:pt idx="2">
                  <c:v>6.5646572940968706E-2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numRef>
              <c:f>'Graph format rapport CHG 1éch'!$H$2:$J$2</c:f>
              <c:numCache>
                <c:formatCode>General</c:formatCode>
                <c:ptCount val="3"/>
                <c:pt idx="1">
                  <c:v>0</c:v>
                </c:pt>
              </c:numCache>
            </c:numRef>
          </c:cat>
          <c:val>
            <c:numRef>
              <c:f>'Graph format rapport CHG 1éch'!$H$8:$J$8</c:f>
              <c:numCache>
                <c:formatCode>General</c:formatCode>
                <c:ptCount val="3"/>
                <c:pt idx="0">
                  <c:v>5.0657143720364679E-2</c:v>
                </c:pt>
                <c:pt idx="1">
                  <c:v>5.0657143720364679E-2</c:v>
                </c:pt>
                <c:pt idx="2">
                  <c:v>5.0657143720364679E-2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numRef>
              <c:f>'Graph format rapport CHG 1éch'!$H$2:$J$2</c:f>
              <c:numCache>
                <c:formatCode>General</c:formatCode>
                <c:ptCount val="3"/>
                <c:pt idx="1">
                  <c:v>0</c:v>
                </c:pt>
              </c:numCache>
            </c:numRef>
          </c:cat>
          <c:val>
            <c:numRef>
              <c:f>'Graph format rapport CHG 1éch'!$H$9:$J$9</c:f>
              <c:numCache>
                <c:formatCode>General</c:formatCode>
                <c:ptCount val="3"/>
                <c:pt idx="0">
                  <c:v>2.0333375551229862</c:v>
                </c:pt>
                <c:pt idx="1">
                  <c:v>2.0333375551229862</c:v>
                </c:pt>
                <c:pt idx="2">
                  <c:v>2.0333375551229862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numRef>
              <c:f>'Graph format rapport CHG 1éch'!$H$2:$J$2</c:f>
              <c:numCache>
                <c:formatCode>General</c:formatCode>
                <c:ptCount val="3"/>
                <c:pt idx="1">
                  <c:v>0</c:v>
                </c:pt>
              </c:numCache>
            </c:numRef>
          </c:cat>
          <c:val>
            <c:numRef>
              <c:f>'Graph format rapport CHG 1éch'!$H$10:$J$10</c:f>
              <c:numCache>
                <c:formatCode>General</c:formatCode>
                <c:ptCount val="3"/>
                <c:pt idx="0">
                  <c:v>0.4666624448770138</c:v>
                </c:pt>
                <c:pt idx="1">
                  <c:v>0.4666624448770138</c:v>
                </c:pt>
                <c:pt idx="2">
                  <c:v>0.4666624448770138</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B52922CA-B00F-45D7-8F58-FC09A943973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E9F4FAE9-FC28-4F52-8D5E-DCEF5A701D0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c:v>
                  </c:pt>
                </c:numCache>
              </c:numRef>
            </c:plus>
            <c:minus>
              <c:numRef>
                <c:f>'Graph format rapport CHG 1éch'!$H$4:$J$4</c:f>
                <c:numCache>
                  <c:formatCode>General</c:formatCode>
                  <c:ptCount val="3"/>
                  <c:pt idx="1">
                    <c:v>0</c:v>
                  </c:pt>
                </c:numCache>
              </c:numRef>
            </c:minus>
          </c:errBars>
          <c:cat>
            <c:numRef>
              <c:f>'Graph format rapport CHG 1éch'!$H$2:$J$2</c:f>
              <c:numCache>
                <c:formatCode>General</c:formatCode>
                <c:ptCount val="3"/>
                <c:pt idx="1">
                  <c:v>0</c:v>
                </c:pt>
              </c:numCache>
            </c:numRef>
          </c:cat>
          <c:val>
            <c:numRef>
              <c:f>'Graph format rapport CHG 1éch'!$H$3:$J$3</c:f>
              <c:numCache>
                <c:formatCode>General</c:formatCode>
                <c:ptCount val="3"/>
                <c:pt idx="1">
                  <c:v>0</c:v>
                </c:pt>
              </c:numCache>
            </c:numRef>
          </c:val>
          <c:extLst>
            <c:ext xmlns:c15="http://schemas.microsoft.com/office/drawing/2012/chart" uri="{02D57815-91ED-43cb-92C2-25804820EDAC}">
              <c15:datalabelsRange>
                <c15:f>'Graph format rapport CHG 1éch'!$H$5:$J$5</c15:f>
                <c15:dlblRangeCache>
                  <c:ptCount val="3"/>
                  <c:pt idx="1">
                    <c:v>#REF!</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numRef>
              <c:f>'Graph format rapport CHG 1éch'!$H$2:$J$2</c:f>
              <c:numCache>
                <c:formatCode>General</c:formatCode>
                <c:ptCount val="3"/>
                <c:pt idx="1">
                  <c:v>0</c:v>
                </c:pt>
              </c:numCache>
            </c:num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numRef>
              <c:f>'Graph format rapport CHG 1éch'!$E$2:$G$2</c:f>
              <c:numCache>
                <c:formatCode>General</c:formatCode>
                <c:ptCount val="3"/>
                <c:pt idx="1">
                  <c:v>0</c:v>
                </c:pt>
              </c:numCache>
            </c:num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numRef>
              <c:f>'Graph format rapport CHG 1éch'!$E$2:$G$2</c:f>
              <c:numCache>
                <c:formatCode>General</c:formatCode>
                <c:ptCount val="3"/>
                <c:pt idx="1">
                  <c:v>0</c:v>
                </c:pt>
              </c:numCache>
            </c:num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numRef>
              <c:f>'Graph format rapport CHG 1éch'!$E$2:$G$2</c:f>
              <c:numCache>
                <c:formatCode>General</c:formatCode>
                <c:ptCount val="3"/>
                <c:pt idx="1">
                  <c:v>0</c:v>
                </c:pt>
              </c:numCache>
            </c:num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7065D609-14AD-43D4-BE9C-4E359FAC2C2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9CC3E0A3-D313-4643-9570-E28946F6933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0</c:v>
                  </c:pt>
                </c:numCache>
              </c:numRef>
            </c:plus>
            <c:minus>
              <c:numRef>
                <c:f>'Graph format rapport CHG 1éch'!$E$4:$G$4</c:f>
                <c:numCache>
                  <c:formatCode>General</c:formatCode>
                  <c:ptCount val="3"/>
                  <c:pt idx="1">
                    <c:v>0</c:v>
                  </c:pt>
                </c:numCache>
              </c:numRef>
            </c:minus>
          </c:errBars>
          <c:cat>
            <c:numRef>
              <c:f>'Graph format rapport CHG 1éch'!$E$2:$G$2</c:f>
              <c:numCache>
                <c:formatCode>General</c:formatCode>
                <c:ptCount val="3"/>
                <c:pt idx="1">
                  <c:v>0</c:v>
                </c:pt>
              </c:numCache>
            </c:numRef>
          </c:cat>
          <c:val>
            <c:numRef>
              <c:f>'Graph format rapport CHG 1éch'!$E$3:$G$3</c:f>
              <c:numCache>
                <c:formatCode>General</c:formatCode>
                <c:ptCount val="3"/>
                <c:pt idx="1">
                  <c:v>0</c:v>
                </c:pt>
              </c:numCache>
            </c:numRef>
          </c:val>
          <c:extLst>
            <c:ext xmlns:c15="http://schemas.microsoft.com/office/drawing/2012/chart" uri="{02D57815-91ED-43cb-92C2-25804820EDAC}">
              <c15:datalabelsRange>
                <c15:f>'Graph format rapport CHG 1éch'!$E$5:$G$5</c15:f>
                <c15:dlblRangeCache>
                  <c:ptCount val="3"/>
                  <c:pt idx="1">
                    <c:v>#REF!</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6.5646572940968706E-2</c:v>
                </c:pt>
                <c:pt idx="1">
                  <c:v>6.5646572940968706E-2</c:v>
                </c:pt>
                <c:pt idx="2">
                  <c:v>6.5646572940968706E-2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numRef>
              <c:f>'Graph format rapport CHG 1éch'!$H$2:$J$2</c:f>
              <c:numCache>
                <c:formatCode>General</c:formatCode>
                <c:ptCount val="3"/>
                <c:pt idx="1">
                  <c:v>0</c:v>
                </c:pt>
              </c:numCache>
            </c:numRef>
          </c:cat>
          <c:val>
            <c:numRef>
              <c:f>'Graph format rapport CHG 1éch'!$H$8:$J$8</c:f>
              <c:numCache>
                <c:formatCode>General</c:formatCode>
                <c:ptCount val="3"/>
                <c:pt idx="0">
                  <c:v>5.0657143720364679E-2</c:v>
                </c:pt>
                <c:pt idx="1">
                  <c:v>5.0657143720364679E-2</c:v>
                </c:pt>
                <c:pt idx="2">
                  <c:v>5.0657143720364679E-2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numRef>
              <c:f>'Graph format rapport CHG 1éch'!$H$2:$J$2</c:f>
              <c:numCache>
                <c:formatCode>General</c:formatCode>
                <c:ptCount val="3"/>
                <c:pt idx="1">
                  <c:v>0</c:v>
                </c:pt>
              </c:numCache>
            </c:numRef>
          </c:cat>
          <c:val>
            <c:numRef>
              <c:f>'Graph format rapport CHG 1éch'!$H$9:$J$9</c:f>
              <c:numCache>
                <c:formatCode>General</c:formatCode>
                <c:ptCount val="3"/>
                <c:pt idx="0">
                  <c:v>2.0333375551229862</c:v>
                </c:pt>
                <c:pt idx="1">
                  <c:v>2.0333375551229862</c:v>
                </c:pt>
                <c:pt idx="2">
                  <c:v>2.0333375551229862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numRef>
              <c:f>'Graph format rapport CHG 1éch'!$H$2:$J$2</c:f>
              <c:numCache>
                <c:formatCode>General</c:formatCode>
                <c:ptCount val="3"/>
                <c:pt idx="1">
                  <c:v>0</c:v>
                </c:pt>
              </c:numCache>
            </c:numRef>
          </c:cat>
          <c:val>
            <c:numRef>
              <c:f>'Graph format rapport CHG 1éch'!$H$10:$J$10</c:f>
              <c:numCache>
                <c:formatCode>General</c:formatCode>
                <c:ptCount val="3"/>
                <c:pt idx="0">
                  <c:v>0.4666624448770138</c:v>
                </c:pt>
                <c:pt idx="1">
                  <c:v>0.4666624448770138</c:v>
                </c:pt>
                <c:pt idx="2">
                  <c:v>0.4666624448770138</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C2E2B1A5-EA66-4931-9345-258C27CA6FA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385BC957-F6BC-4DA0-8084-BDE5108759A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c:v>
                  </c:pt>
                </c:numCache>
              </c:numRef>
            </c:plus>
            <c:minus>
              <c:numRef>
                <c:f>'Graph format rapport CHG 1éch'!$H$4:$J$4</c:f>
                <c:numCache>
                  <c:formatCode>General</c:formatCode>
                  <c:ptCount val="3"/>
                  <c:pt idx="1">
                    <c:v>0</c:v>
                  </c:pt>
                </c:numCache>
              </c:numRef>
            </c:minus>
          </c:errBars>
          <c:cat>
            <c:numRef>
              <c:f>'Graph format rapport CHG 1éch'!$H$2:$J$2</c:f>
              <c:numCache>
                <c:formatCode>General</c:formatCode>
                <c:ptCount val="3"/>
                <c:pt idx="1">
                  <c:v>0</c:v>
                </c:pt>
              </c:numCache>
            </c:numRef>
          </c:cat>
          <c:val>
            <c:numRef>
              <c:f>'Graph format rapport CHG 1éch'!$H$3:$J$3</c:f>
              <c:numCache>
                <c:formatCode>General</c:formatCode>
                <c:ptCount val="3"/>
                <c:pt idx="1">
                  <c:v>0</c:v>
                </c:pt>
              </c:numCache>
            </c:numRef>
          </c:val>
          <c:extLst>
            <c:ext xmlns:c15="http://schemas.microsoft.com/office/drawing/2012/chart" uri="{02D57815-91ED-43cb-92C2-25804820EDAC}">
              <c15:datalabelsRange>
                <c15:f>'Graph format rapport CHG 1éch'!$H$5:$J$5</c15:f>
                <c15:dlblRangeCache>
                  <c:ptCount val="3"/>
                  <c:pt idx="1">
                    <c:v>#REF!</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numRef>
              <c:f>'Graph format rapport CHG 1éch'!$H$2:$J$2</c:f>
              <c:numCache>
                <c:formatCode>General</c:formatCode>
                <c:ptCount val="3"/>
                <c:pt idx="1">
                  <c:v>0</c:v>
                </c:pt>
              </c:numCache>
            </c:num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5"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84"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84"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tabSelected="1" zoomScale="98" workbookViewId="0"/>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4804" cy="6046304"/>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8214" cy="6055179"/>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8214" cy="6055179"/>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4804" cy="6046304"/>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4.599063194444" createdVersion="5" refreshedVersion="7" minRefreshableVersion="3" recordCount="1556" xr:uid="{00000000-000A-0000-FFFF-FFFF0C000000}">
  <cacheSource type="worksheet">
    <worksheetSource name="Tableau4"/>
  </cacheSource>
  <cacheFields count="10">
    <cacheField name="Nom groupe" numFmtId="0">
      <sharedItems containsBlank="1" count="13">
        <s v=""/>
        <s v="1"/>
        <s v="13"/>
        <s v="14"/>
        <s v="15"/>
        <s v="16"/>
        <s v="2"/>
        <s v="3"/>
        <s v="4"/>
        <s v="5"/>
        <s v="6"/>
        <s v="7"/>
        <m u="1"/>
      </sharedItems>
    </cacheField>
    <cacheField name="N° de valeur" numFmtId="0">
      <sharedItems count="3">
        <e v="#VALUE!"/>
        <s v="2"/>
        <s v=" "/>
      </sharedItems>
    </cacheField>
    <cacheField name="file name" numFmtId="0">
      <sharedItems containsBlank="1"/>
    </cacheField>
    <cacheField name=" total area " numFmtId="0">
      <sharedItems containsBlank="1" containsMixedTypes="1" containsNumber="1" containsInteger="1" minValue="0" maxValue="4264"/>
    </cacheField>
    <cacheField name=" mean intensity " numFmtId="0">
      <sharedItems containsBlank="1" containsMixedTypes="1" containsNumber="1" containsInteger="1" minValue="0" maxValue="37"/>
    </cacheField>
    <cacheField name=" " numFmtId="0">
      <sharedItems containsBlank="1" count="14">
        <s v=" "/>
        <m/>
        <s v=" SD mean fluo "/>
        <s v=" 8.2965 "/>
        <s v=" 5.3254 "/>
        <s v=" 2.8494 "/>
        <s v=" 6.9905 "/>
        <s v=" 15.5382 "/>
        <s v=" 4.9873 "/>
        <s v=" 18.5312 "/>
        <s v=" 3.6245 "/>
        <s v=" 13.4084 "/>
        <s v=" 8.0858 "/>
        <s v=" 8.9944 "/>
      </sharedItems>
    </cacheField>
    <cacheField name=" total fluorescence" numFmtId="0">
      <sharedItems containsBlank="1" containsMixedTypes="1" containsNumber="1" containsInteger="1" minValue="0" maxValue="224011"/>
    </cacheField>
    <cacheField name="         " numFmtId="0">
      <sharedItems containsBlank="1"/>
    </cacheField>
    <cacheField name="nbre de larves" numFmtId="0">
      <sharedItems containsBlank="1" containsMixedTypes="1" containsNumber="1" containsInteger="1" minValue="6" maxValue="8"/>
    </cacheField>
    <cacheField name="Colonne1" numFmtId="0">
      <sharedItems containsBlank="1" containsMixedTypes="1" containsNumber="1" containsInteger="1" minValue="8" maxValue="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4.599063425929" createdVersion="5" refreshedVersion="7" minRefreshableVersion="3" recordCount="1530" xr:uid="{00000000-000A-0000-FFFF-FFFF10000000}">
  <cacheSource type="worksheet">
    <worksheetSource name="Tableau46"/>
  </cacheSource>
  <cacheFields count="10">
    <cacheField name="Nom groupe" numFmtId="0">
      <sharedItems count="12">
        <s v="1"/>
        <s v=""/>
        <s v="13"/>
        <s v="14"/>
        <s v="15"/>
        <s v="16"/>
        <s v="2"/>
        <s v="3"/>
        <s v="4"/>
        <s v="5"/>
        <s v="6"/>
        <s v="7"/>
      </sharedItems>
    </cacheField>
    <cacheField name="N° de valeur" numFmtId="0">
      <sharedItems count="3">
        <s v="0"/>
        <e v="#VALUE!"/>
        <s v=" "/>
      </sharedItems>
    </cacheField>
    <cacheField name="file name" numFmtId="0">
      <sharedItems containsBlank="1"/>
    </cacheField>
    <cacheField name=" total area " numFmtId="0">
      <sharedItems containsBlank="1"/>
    </cacheField>
    <cacheField name=" mean intensity " numFmtId="0">
      <sharedItems containsBlank="1"/>
    </cacheField>
    <cacheField name=" " numFmtId="0">
      <sharedItems containsBlank="1" count="14">
        <s v=" "/>
        <m/>
        <s v=" SD mean fluo "/>
        <s v=" 2.0715 "/>
        <s v=" 6.6582 "/>
        <s v=" 4.5531 "/>
        <s v=" 8.2594 "/>
        <s v=" 4.6007 "/>
        <s v=" 2.6321 "/>
        <s v=" 2.964 "/>
        <s v=" 2.39 "/>
        <s v=" 2.3422 "/>
        <s v=" 3.6327 "/>
        <s v=" 3.3439 "/>
      </sharedItems>
    </cacheField>
    <cacheField name=" total fluorescence" numFmtId="0">
      <sharedItems containsBlank="1" containsMixedTypes="1" containsNumber="1" containsInteger="1" minValue="1135418" maxValue="29469412"/>
    </cacheField>
    <cacheField name="         " numFmtId="0">
      <sharedItems containsBlank="1"/>
    </cacheField>
    <cacheField name="nbre de larves" numFmtId="0">
      <sharedItems containsBlank="1" containsMixedTypes="1" containsNumber="1" containsInteger="1" minValue="5" maxValue="8"/>
    </cacheField>
    <cacheField name="Colonne1" numFmtId="0">
      <sharedItems containsBlank="1" containsMixedTypes="1" containsNumber="1" containsInteger="1" minValue="5" maxValue="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4.599063773145" createdVersion="5" refreshedVersion="7" minRefreshableVersion="3" recordCount="1710" xr:uid="{00000000-000A-0000-FFFF-FFFF14000000}">
  <cacheSource type="worksheet">
    <worksheetSource name="Tableau467"/>
  </cacheSource>
  <cacheFields count="9">
    <cacheField name="Nom groupe" numFmtId="0">
      <sharedItems count="12">
        <s v=""/>
        <s v="1"/>
        <s v="13"/>
        <s v="14"/>
        <s v="15"/>
        <s v="16"/>
        <s v="2"/>
        <s v="3"/>
        <s v="4"/>
        <s v="5"/>
        <s v="6"/>
        <s v="7"/>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4"/>
    </cacheField>
    <cacheField name=" " numFmtId="0">
      <sharedItems containsBlank="1" count="14">
        <s v=" "/>
        <m/>
        <s v=" SD mean fluo "/>
        <s v=" 15.0176 "/>
        <s v=" 4.0321 "/>
        <s v=" 14.1685 "/>
        <s v=" 4.5561 "/>
        <s v=" 12.9488 "/>
        <s v=" 10.271 "/>
        <s v=" 9.0385 "/>
        <s v=" 2.0922 "/>
        <s v=" 5.8829 "/>
        <s v=" 3.7806 "/>
        <s v=" 5.6993 "/>
      </sharedItems>
    </cacheField>
    <cacheField name=" total fluorescence" numFmtId="0">
      <sharedItems containsBlank="1" containsMixedTypes="1" containsNumber="1" containsInteger="1" minValue="0" maxValue="5976253"/>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4.599064004629" createdVersion="6" refreshedVersion="7" minRefreshableVersion="3" recordCount="52" xr:uid="{8DEF666A-6C7D-4C16-AD6D-82242760D5D9}">
  <cacheSource type="worksheet">
    <worksheetSource name="liste_groupe"/>
  </cacheSource>
  <cacheFields count="6">
    <cacheField name="Nom sur le graphique" numFmtId="0">
      <sharedItems count="13">
        <s v="Témoin solvant"/>
        <s v="EE2-22,5ng/L"/>
        <s v="EE2-33,8ng/L"/>
        <s v="EE2-50,6ng/L"/>
        <s v="EE2-76ng/L"/>
        <s v="EE2-114ng/L"/>
        <s v="EE2-170,9ng/L"/>
        <s v="EE2-488ng/L"/>
        <s v=" "/>
        <s v="Testo -30µg/L"/>
        <s v="Testo 30µg/L + EE2 -64ng/L"/>
        <s v="Testo 30µg/L + FAD-10mg/L"/>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le name "/>
    <s v=" total area "/>
    <s v=" mean intensity "/>
    <x v="0"/>
    <s v=" total fluorescence"/>
    <m/>
    <m/>
    <m/>
  </r>
  <r>
    <x v="1"/>
    <x v="1"/>
    <s v="C:\Users\cbarrier\Desktop\Calibration\20201110_Cefas_Test3_Run1/@1/20201110_Cefas_Test3_Run1/@1/A10- exclu.tif"/>
    <m/>
    <m/>
    <x v="1"/>
    <m/>
    <m/>
    <m/>
    <m/>
  </r>
  <r>
    <x v="1"/>
    <x v="1"/>
    <s v="C:\Users\cbarrier\Desktop\Calibration\20201110_Cefas_Test3_Run1/@1/20201110_Cefas_Test3_Run1/@1/B10.tif "/>
    <n v="116"/>
    <s v=" 36.2845 "/>
    <x v="0"/>
    <n v="4209"/>
    <m/>
    <m/>
    <m/>
  </r>
  <r>
    <x v="1"/>
    <x v="1"/>
    <s v="C:\Users\cbarrier\Desktop\Calibration\20201110_Cefas_Test3_Run1/@1/20201110_Cefas_Test3_Run1/@1/C10.tif "/>
    <n v="97"/>
    <s v=" 34.866 "/>
    <x v="0"/>
    <n v="3382"/>
    <m/>
    <m/>
    <m/>
  </r>
  <r>
    <x v="1"/>
    <x v="1"/>
    <s v="C:\Users\cbarrier\Desktop\Calibration\20201110_Cefas_Test3_Run1/@1/20201110_Cefas_Test3_Run1/@1/D10.tif "/>
    <n v="52"/>
    <s v=" 35.9808 "/>
    <x v="0"/>
    <n v="1871"/>
    <m/>
    <m/>
    <m/>
  </r>
  <r>
    <x v="1"/>
    <x v="1"/>
    <s v="C:\Users\cbarrier\Desktop\Calibration\20201110_Cefas_Test3_Run1/@1/20201110_Cefas_Test3_Run1/@1/E10.tif "/>
    <n v="10"/>
    <s v=" 31.1 "/>
    <x v="0"/>
    <n v="311"/>
    <m/>
    <m/>
    <m/>
  </r>
  <r>
    <x v="1"/>
    <x v="1"/>
    <s v="C:\Users\cbarrier\Desktop\Calibration\20201110_Cefas_Test3_Run1/@1/20201110_Cefas_Test3_Run1/@1/F10.tif "/>
    <n v="156"/>
    <s v=" 34.0192 "/>
    <x v="0"/>
    <n v="5307"/>
    <m/>
    <m/>
    <m/>
  </r>
  <r>
    <x v="1"/>
    <x v="1"/>
    <s v="C:\Users\cbarrier\Desktop\Calibration\20201110_Cefas_Test3_Run1/@1/20201110_Cefas_Test3_Run1/@1/G10.tif "/>
    <n v="102"/>
    <s v=" 34.8137 "/>
    <x v="0"/>
    <n v="3551"/>
    <m/>
    <m/>
    <m/>
  </r>
  <r>
    <x v="1"/>
    <x v="1"/>
    <s v="C:\Users\cbarrier\Desktop\Calibration\20201110_Cefas_Test3_Run1/@1/20201110_Cefas_Test3_Run1/@1/H10.tif "/>
    <n v="88"/>
    <s v=" 36.3977 "/>
    <x v="0"/>
    <n v="3203"/>
    <m/>
    <m/>
    <m/>
  </r>
  <r>
    <x v="0"/>
    <x v="0"/>
    <s v=" "/>
    <m/>
    <m/>
    <x v="1"/>
    <m/>
    <m/>
    <m/>
    <m/>
  </r>
  <r>
    <x v="0"/>
    <x v="0"/>
    <s v="group "/>
    <s v=" "/>
    <s v=" mean of mean fluo "/>
    <x v="2"/>
    <s v=" mean of total fluo "/>
    <s v=" SD total fluo "/>
    <s v=" n fluorescent "/>
    <s v=" n total"/>
  </r>
  <r>
    <x v="1"/>
    <x v="2"/>
    <s v="C:\Users\cbarrier\Desktop\Calibration\20201110_Cefas_Test3_Run1/@1/ "/>
    <s v=" "/>
    <s v=" 37.6506 "/>
    <x v="3"/>
    <n v="7558"/>
    <s v=" 12643.8806 "/>
    <n v="8"/>
    <n v="8"/>
  </r>
  <r>
    <x v="0"/>
    <x v="0"/>
    <s v=" "/>
    <m/>
    <m/>
    <x v="1"/>
    <m/>
    <m/>
    <m/>
    <m/>
  </r>
  <r>
    <x v="0"/>
    <x v="0"/>
    <s v=" "/>
    <m/>
    <m/>
    <x v="1"/>
    <m/>
    <m/>
    <m/>
    <m/>
  </r>
  <r>
    <x v="0"/>
    <x v="0"/>
    <s v=" "/>
    <m/>
    <m/>
    <x v="1"/>
    <m/>
    <m/>
    <m/>
    <m/>
  </r>
  <r>
    <x v="0"/>
    <x v="0"/>
    <s v=" "/>
    <m/>
    <m/>
    <x v="1"/>
    <m/>
    <m/>
    <m/>
    <m/>
  </r>
  <r>
    <x v="0"/>
    <x v="0"/>
    <s v=" "/>
    <m/>
    <m/>
    <x v="1"/>
    <m/>
    <m/>
    <m/>
    <m/>
  </r>
  <r>
    <x v="0"/>
    <x v="0"/>
    <s v="file name "/>
    <s v=" total area "/>
    <s v=" mean intensity "/>
    <x v="0"/>
    <s v=" total fluorescence"/>
    <m/>
    <m/>
    <m/>
  </r>
  <r>
    <x v="2"/>
    <x v="1"/>
    <s v="C:\Users\cbarrier\Desktop\Calibration\20201110_Cefas_Test3_Run1/@13/20201110_Cefas_Test3_Run1/@13/A8.tif "/>
    <n v="2254"/>
    <s v=" 40.7675 "/>
    <x v="0"/>
    <n v="91890"/>
    <m/>
    <m/>
    <m/>
  </r>
  <r>
    <x v="2"/>
    <x v="1"/>
    <s v="C:\Users\cbarrier\Desktop\Calibration\20201110_Cefas_Test3_Run1/@13/20201110_Cefas_Test3_Run1/@13/B8.tif "/>
    <n v="455"/>
    <s v=" 34.4396 "/>
    <x v="0"/>
    <n v="15670"/>
    <m/>
    <m/>
    <m/>
  </r>
  <r>
    <x v="2"/>
    <x v="1"/>
    <s v="C:\Users\cbarrier\Desktop\Calibration\20201110_Cefas_Test3_Run1/@13/20201110_Cefas_Test3_Run1/@13/C8.tif "/>
    <n v="1593"/>
    <s v=" 39.7307 "/>
    <x v="0"/>
    <n v="63291"/>
    <m/>
    <m/>
    <m/>
  </r>
  <r>
    <x v="2"/>
    <x v="1"/>
    <s v="C:\Users\cbarrier\Desktop\Calibration\20201110_Cefas_Test3_Run1/@13/20201110_Cefas_Test3_Run1/@13/D8.tif "/>
    <n v="2460"/>
    <s v=" 41.1683 "/>
    <x v="0"/>
    <n v="101274"/>
    <m/>
    <m/>
    <m/>
  </r>
  <r>
    <x v="2"/>
    <x v="1"/>
    <s v="C:\Users\cbarrier\Desktop\Calibration\20201110_Cefas_Test3_Run1/@13/20201110_Cefas_Test3_Run1/@13/E8.tif "/>
    <n v="2990"/>
    <s v=" 43.0151 "/>
    <x v="0"/>
    <n v="128615"/>
    <m/>
    <m/>
    <m/>
  </r>
  <r>
    <x v="2"/>
    <x v="1"/>
    <s v="C:\Users\cbarrier\Desktop\Calibration\20201110_Cefas_Test3_Run1/@13/20201110_Cefas_Test3_Run1/@13/F8.tif "/>
    <n v="370"/>
    <s v=" 34.6405 "/>
    <x v="0"/>
    <n v="12817"/>
    <m/>
    <m/>
    <m/>
  </r>
  <r>
    <x v="2"/>
    <x v="1"/>
    <s v="C:\Users\cbarrier\Desktop\Calibration\20201110_Cefas_Test3_Run1/@13/20201110_Cefas_Test3_Run1/@13/G8.tif "/>
    <n v="2713"/>
    <s v=" 50.4736 "/>
    <x v="0"/>
    <n v="136935"/>
    <m/>
    <m/>
    <m/>
  </r>
  <r>
    <x v="2"/>
    <x v="1"/>
    <s v="C:\Users\cbarrier\Desktop\Calibration\20201110_Cefas_Test3_Run1/@13/20201110_Cefas_Test3_Run1/@13/H8.tif "/>
    <n v="2968"/>
    <s v=" 45.4599 "/>
    <x v="0"/>
    <n v="134925"/>
    <m/>
    <m/>
    <m/>
  </r>
  <r>
    <x v="0"/>
    <x v="0"/>
    <s v=" "/>
    <m/>
    <m/>
    <x v="1"/>
    <m/>
    <m/>
    <m/>
    <m/>
  </r>
  <r>
    <x v="0"/>
    <x v="0"/>
    <s v="group "/>
    <s v=" "/>
    <s v=" mean of mean fluo "/>
    <x v="2"/>
    <s v=" mean of total fluo "/>
    <s v=" SD total fluo "/>
    <s v=" n fluorescent "/>
    <s v=" n total"/>
  </r>
  <r>
    <x v="2"/>
    <x v="2"/>
    <s v="C:\Users\cbarrier\Desktop\Calibration\20201110_Cefas_Test3_Run1/@13/ "/>
    <s v=" "/>
    <s v=" 41.2119 "/>
    <x v="4"/>
    <s v=" 85677.125 "/>
    <s v=" 50552.6322 "/>
    <n v="8"/>
    <n v="8"/>
  </r>
  <r>
    <x v="0"/>
    <x v="0"/>
    <s v=" "/>
    <m/>
    <m/>
    <x v="1"/>
    <m/>
    <m/>
    <m/>
    <m/>
  </r>
  <r>
    <x v="0"/>
    <x v="0"/>
    <s v=" "/>
    <m/>
    <m/>
    <x v="1"/>
    <m/>
    <m/>
    <m/>
    <m/>
  </r>
  <r>
    <x v="0"/>
    <x v="0"/>
    <s v=" "/>
    <m/>
    <m/>
    <x v="1"/>
    <m/>
    <m/>
    <m/>
    <m/>
  </r>
  <r>
    <x v="0"/>
    <x v="0"/>
    <s v=" "/>
    <m/>
    <m/>
    <x v="1"/>
    <m/>
    <m/>
    <m/>
    <m/>
  </r>
  <r>
    <x v="0"/>
    <x v="0"/>
    <s v=" "/>
    <m/>
    <m/>
    <x v="1"/>
    <m/>
    <m/>
    <m/>
    <m/>
  </r>
  <r>
    <x v="0"/>
    <x v="0"/>
    <s v="file name "/>
    <s v=" total area "/>
    <s v=" mean intensity "/>
    <x v="0"/>
    <s v=" total fluorescence"/>
    <m/>
    <m/>
    <m/>
  </r>
  <r>
    <x v="3"/>
    <x v="1"/>
    <s v="C:\Users\cbarrier\Desktop\Calibration\20201110_Cefas_Test3_Run1/@14/20201110_Cefas_Test3_Run1/@14/A9- exclu.tif"/>
    <m/>
    <m/>
    <x v="1"/>
    <m/>
    <m/>
    <m/>
    <m/>
  </r>
  <r>
    <x v="3"/>
    <x v="1"/>
    <s v="C:\Users\cbarrier\Desktop\Calibration\20201110_Cefas_Test3_Run1/@14/20201110_Cefas_Test3_Run1/@14/B9.tif "/>
    <n v="2444"/>
    <s v=" 37.4247 "/>
    <x v="0"/>
    <n v="91466"/>
    <m/>
    <m/>
    <m/>
  </r>
  <r>
    <x v="3"/>
    <x v="1"/>
    <s v="C:\Users\cbarrier\Desktop\Calibration\20201110_Cefas_Test3_Run1/@14/20201110_Cefas_Test3_Run1/@14/C9.tif "/>
    <n v="450"/>
    <s v=" 33.4644 "/>
    <x v="0"/>
    <n v="15059"/>
    <m/>
    <m/>
    <m/>
  </r>
  <r>
    <x v="3"/>
    <x v="1"/>
    <s v="C:\Users\cbarrier\Desktop\Calibration\20201110_Cefas_Test3_Run1/@14/20201110_Cefas_Test3_Run1/@14/D9.tif "/>
    <n v="2419"/>
    <s v=" 40.1654 "/>
    <x v="0"/>
    <n v="97160"/>
    <m/>
    <m/>
    <m/>
  </r>
  <r>
    <x v="3"/>
    <x v="1"/>
    <s v="C:\Users\cbarrier\Desktop\Calibration\20201110_Cefas_Test3_Run1/@14/20201110_Cefas_Test3_Run1/@14/E9.tif "/>
    <n v="859"/>
    <s v=" 36.3516 "/>
    <x v="0"/>
    <n v="31226"/>
    <m/>
    <m/>
    <m/>
  </r>
  <r>
    <x v="3"/>
    <x v="1"/>
    <s v="C:\Users\cbarrier\Desktop\Calibration\20201110_Cefas_Test3_Run1/@14/20201110_Cefas_Test3_Run1/@14/F9.tif "/>
    <n v="2617"/>
    <s v=" 42.0302 "/>
    <x v="0"/>
    <n v="109993"/>
    <m/>
    <m/>
    <m/>
  </r>
  <r>
    <x v="3"/>
    <x v="1"/>
    <s v="C:\Users\cbarrier\Desktop\Calibration\20201110_Cefas_Test3_Run1/@14/20201110_Cefas_Test3_Run1/@14/G9.tif "/>
    <n v="1884"/>
    <s v=" 39.6157 "/>
    <x v="0"/>
    <n v="74636"/>
    <m/>
    <m/>
    <m/>
  </r>
  <r>
    <x v="3"/>
    <x v="1"/>
    <s v="C:\Users\cbarrier\Desktop\Calibration\20201110_Cefas_Test3_Run1/@14/20201110_Cefas_Test3_Run1/@14/H9.tif "/>
    <n v="2274"/>
    <s v=" 37.8518 "/>
    <x v="0"/>
    <n v="86075"/>
    <m/>
    <m/>
    <m/>
  </r>
  <r>
    <x v="0"/>
    <x v="0"/>
    <s v=" "/>
    <m/>
    <m/>
    <x v="1"/>
    <m/>
    <m/>
    <m/>
    <m/>
  </r>
  <r>
    <x v="0"/>
    <x v="0"/>
    <s v="group "/>
    <s v=" "/>
    <s v=" mean of mean fluo "/>
    <x v="2"/>
    <s v=" mean of total fluo "/>
    <s v=" SD total fluo "/>
    <s v=" n fluorescent "/>
    <s v=" n total"/>
  </r>
  <r>
    <x v="3"/>
    <x v="2"/>
    <s v="C:\Users\cbarrier\Desktop\Calibration\20201110_Cefas_Test3_Run1/@14/ "/>
    <s v=" "/>
    <s v=" 38.5467 "/>
    <x v="5"/>
    <s v=" 67514.75 "/>
    <s v=" 35477.0645 "/>
    <n v="8"/>
    <n v="8"/>
  </r>
  <r>
    <x v="0"/>
    <x v="0"/>
    <s v=" "/>
    <m/>
    <m/>
    <x v="1"/>
    <m/>
    <m/>
    <m/>
    <m/>
  </r>
  <r>
    <x v="0"/>
    <x v="0"/>
    <s v=" "/>
    <m/>
    <m/>
    <x v="1"/>
    <m/>
    <m/>
    <m/>
    <m/>
  </r>
  <r>
    <x v="0"/>
    <x v="0"/>
    <s v=" "/>
    <m/>
    <m/>
    <x v="1"/>
    <m/>
    <m/>
    <m/>
    <m/>
  </r>
  <r>
    <x v="0"/>
    <x v="0"/>
    <s v=" "/>
    <m/>
    <m/>
    <x v="1"/>
    <m/>
    <m/>
    <m/>
    <m/>
  </r>
  <r>
    <x v="0"/>
    <x v="0"/>
    <s v=" "/>
    <m/>
    <m/>
    <x v="1"/>
    <m/>
    <m/>
    <m/>
    <m/>
  </r>
  <r>
    <x v="0"/>
    <x v="0"/>
    <s v="file name "/>
    <s v=" total area "/>
    <s v=" mean intensity "/>
    <x v="0"/>
    <s v=" total fluorescence"/>
    <m/>
    <m/>
    <m/>
  </r>
  <r>
    <x v="4"/>
    <x v="1"/>
    <s v="C:\Users\cbarrier\Desktop\Calibration\20201110_Cefas_Test3_Run1/@15/20201110_Cefas_Test3_Run1/@15/A11.tif "/>
    <n v="3480"/>
    <s v=" 48.5006 "/>
    <x v="0"/>
    <n v="168782"/>
    <m/>
    <m/>
    <m/>
  </r>
  <r>
    <x v="4"/>
    <x v="1"/>
    <s v="C:\Users\cbarrier\Desktop\Calibration\20201110_Cefas_Test3_Run1/@15/20201110_Cefas_Test3_Run1/@15/B11.tif "/>
    <n v="3173"/>
    <s v=" 53.6902 "/>
    <x v="0"/>
    <n v="170359"/>
    <m/>
    <m/>
    <m/>
  </r>
  <r>
    <x v="4"/>
    <x v="1"/>
    <s v="C:\Users\cbarrier\Desktop\Calibration\20201110_Cefas_Test3_Run1/@15/20201110_Cefas_Test3_Run1/@15/C11.tif "/>
    <n v="3405"/>
    <s v=" 50.859 "/>
    <x v="0"/>
    <n v="173175"/>
    <m/>
    <m/>
    <m/>
  </r>
  <r>
    <x v="4"/>
    <x v="1"/>
    <s v="C:\Users\cbarrier\Desktop\Calibration\20201110_Cefas_Test3_Run1/@15/20201110_Cefas_Test3_Run1/@15/D11.tif "/>
    <n v="4264"/>
    <s v=" 52.5354 "/>
    <x v="0"/>
    <n v="224011"/>
    <m/>
    <m/>
    <m/>
  </r>
  <r>
    <x v="4"/>
    <x v="1"/>
    <s v="C:\Users\cbarrier\Desktop\Calibration\20201110_Cefas_Test3_Run1/@15/20201110_Cefas_Test3_Run1/@15/E11.tif "/>
    <n v="2605"/>
    <s v=" 46.9044 "/>
    <x v="0"/>
    <n v="122186"/>
    <m/>
    <m/>
    <m/>
  </r>
  <r>
    <x v="4"/>
    <x v="1"/>
    <s v="C:\Users\cbarrier\Desktop\Calibration\20201110_Cefas_Test3_Run1/@15/20201110_Cefas_Test3_Run1/@15/F11- exclu.tif"/>
    <m/>
    <m/>
    <x v="1"/>
    <m/>
    <m/>
    <m/>
    <m/>
  </r>
  <r>
    <x v="4"/>
    <x v="1"/>
    <s v="C:\Users\cbarrier\Desktop\Calibration\20201110_Cefas_Test3_Run1/@15/20201110_Cefas_Test3_Run1/@15/G11.tif "/>
    <n v="3460"/>
    <s v=" 50.9069 "/>
    <x v="0"/>
    <n v="176138"/>
    <m/>
    <m/>
    <m/>
  </r>
  <r>
    <x v="4"/>
    <x v="1"/>
    <s v="C:\Users\cbarrier\Desktop\Calibration\20201110_Cefas_Test3_Run1/@15/20201110_Cefas_Test3_Run1/@15/H11.tif "/>
    <n v="3687"/>
    <s v=" 44.7974 "/>
    <x v="0"/>
    <n v="165168"/>
    <m/>
    <m/>
    <m/>
  </r>
  <r>
    <x v="0"/>
    <x v="0"/>
    <s v=" "/>
    <m/>
    <m/>
    <x v="1"/>
    <m/>
    <m/>
    <m/>
    <m/>
  </r>
  <r>
    <x v="0"/>
    <x v="0"/>
    <s v="group "/>
    <s v=" "/>
    <s v=" mean of mean fluo "/>
    <x v="2"/>
    <s v=" mean of total fluo "/>
    <s v=" SD total fluo "/>
    <s v=" n fluorescent "/>
    <s v=" n total"/>
  </r>
  <r>
    <x v="4"/>
    <x v="2"/>
    <s v="C:\Users\cbarrier\Desktop\Calibration\20201110_Cefas_Test3_Run1/@15/ "/>
    <s v=" "/>
    <s v=" 47.4978 "/>
    <x v="6"/>
    <s v=" 150466.125 "/>
    <s v=" 65257.0663 "/>
    <n v="8"/>
    <n v="8"/>
  </r>
  <r>
    <x v="0"/>
    <x v="0"/>
    <s v=" "/>
    <m/>
    <m/>
    <x v="1"/>
    <m/>
    <m/>
    <m/>
    <m/>
  </r>
  <r>
    <x v="0"/>
    <x v="0"/>
    <s v=" "/>
    <m/>
    <m/>
    <x v="1"/>
    <m/>
    <m/>
    <m/>
    <m/>
  </r>
  <r>
    <x v="0"/>
    <x v="0"/>
    <s v=" "/>
    <m/>
    <m/>
    <x v="1"/>
    <m/>
    <m/>
    <m/>
    <m/>
  </r>
  <r>
    <x v="0"/>
    <x v="0"/>
    <s v=" "/>
    <m/>
    <m/>
    <x v="1"/>
    <m/>
    <m/>
    <m/>
    <m/>
  </r>
  <r>
    <x v="0"/>
    <x v="0"/>
    <s v=" "/>
    <m/>
    <m/>
    <x v="1"/>
    <m/>
    <m/>
    <m/>
    <m/>
  </r>
  <r>
    <x v="0"/>
    <x v="0"/>
    <s v="file name "/>
    <s v=" total area "/>
    <s v=" mean intensity "/>
    <x v="0"/>
    <s v=" total fluorescence"/>
    <m/>
    <m/>
    <m/>
  </r>
  <r>
    <x v="5"/>
    <x v="1"/>
    <s v="C:\Users\cbarrier\Desktop\Calibration\20201110_Cefas_Test3_Run1/@16/20201110_Cefas_Test3_Run1/@16/A12.tif "/>
    <n v="114"/>
    <s v=" 32.8421 "/>
    <x v="0"/>
    <n v="3744"/>
    <m/>
    <m/>
    <m/>
  </r>
  <r>
    <x v="5"/>
    <x v="1"/>
    <s v="C:\Users\cbarrier\Desktop\Calibration\20201110_Cefas_Test3_Run1/@16/20201110_Cefas_Test3_Run1/@16/B12.tif "/>
    <n v="302"/>
    <s v=" 36.2417 "/>
    <x v="0"/>
    <n v="10945"/>
    <m/>
    <m/>
    <m/>
  </r>
  <r>
    <x v="5"/>
    <x v="1"/>
    <s v="C:\Users\cbarrier\Desktop\Calibration\20201110_Cefas_Test3_Run1/@16/20201110_Cefas_Test3_Run1/@16/C12- exclu.tif"/>
    <m/>
    <m/>
    <x v="1"/>
    <m/>
    <m/>
    <m/>
    <m/>
  </r>
  <r>
    <x v="5"/>
    <x v="1"/>
    <s v="C:\Users\cbarrier\Desktop\Calibration\20201110_Cefas_Test3_Run1/@16/20201110_Cefas_Test3_Run1/@16/D12- exclu.tif"/>
    <m/>
    <m/>
    <x v="1"/>
    <m/>
    <m/>
    <m/>
    <m/>
  </r>
  <r>
    <x v="5"/>
    <x v="1"/>
    <s v="C:\Users\cbarrier\Desktop\Calibration\20201110_Cefas_Test3_Run1/@16/20201110_Cefas_Test3_Run1/@16/E12.tif "/>
    <n v="132"/>
    <s v=" 36.1742 "/>
    <x v="0"/>
    <n v="4775"/>
    <m/>
    <m/>
    <m/>
  </r>
  <r>
    <x v="5"/>
    <x v="1"/>
    <s v="C:\Users\cbarrier\Desktop\Calibration\20201110_Cefas_Test3_Run1/@16/20201110_Cefas_Test3_Run1/@16/F12.tif "/>
    <n v="81"/>
    <s v=" 34.4074 "/>
    <x v="0"/>
    <n v="2787"/>
    <m/>
    <m/>
    <m/>
  </r>
  <r>
    <x v="5"/>
    <x v="1"/>
    <s v="C:\Users\cbarrier\Desktop\Calibration\20201110_Cefas_Test3_Run1/@16/20201110_Cefas_Test3_Run1/@16/G12.tif "/>
    <n v="19"/>
    <s v=" 32.3158 "/>
    <x v="0"/>
    <n v="614"/>
    <m/>
    <m/>
    <m/>
  </r>
  <r>
    <x v="5"/>
    <x v="1"/>
    <s v="C:\Users\cbarrier\Desktop\Calibration\20201110_Cefas_Test3_Run1/@16/20201110_Cefas_Test3_Run1/@16/H12.tif "/>
    <n v="110"/>
    <s v=" 35.4727 "/>
    <x v="0"/>
    <n v="3902"/>
    <m/>
    <m/>
    <m/>
  </r>
  <r>
    <x v="0"/>
    <x v="0"/>
    <s v=" "/>
    <m/>
    <m/>
    <x v="1"/>
    <m/>
    <m/>
    <m/>
    <m/>
  </r>
  <r>
    <x v="0"/>
    <x v="0"/>
    <s v="group "/>
    <s v=" "/>
    <s v=" mean of mean fluo "/>
    <x v="2"/>
    <s v=" mean of total fluo "/>
    <s v=" SD total fluo "/>
    <s v=" n fluorescent "/>
    <s v=" n total"/>
  </r>
  <r>
    <x v="5"/>
    <x v="2"/>
    <s v="C:\Users\cbarrier\Desktop\Calibration\20201110_Cefas_Test3_Run1/@16/ "/>
    <s v=" "/>
    <s v=" 33.0461 "/>
    <x v="7"/>
    <n v="7586"/>
    <s v=" 11149.8637 "/>
    <n v="7"/>
    <n v="8"/>
  </r>
  <r>
    <x v="0"/>
    <x v="0"/>
    <s v=" "/>
    <m/>
    <m/>
    <x v="1"/>
    <m/>
    <m/>
    <m/>
    <m/>
  </r>
  <r>
    <x v="0"/>
    <x v="0"/>
    <s v=" "/>
    <m/>
    <m/>
    <x v="1"/>
    <m/>
    <m/>
    <m/>
    <m/>
  </r>
  <r>
    <x v="0"/>
    <x v="0"/>
    <s v=" "/>
    <m/>
    <m/>
    <x v="1"/>
    <m/>
    <m/>
    <m/>
    <m/>
  </r>
  <r>
    <x v="0"/>
    <x v="0"/>
    <s v=" "/>
    <m/>
    <m/>
    <x v="1"/>
    <m/>
    <m/>
    <m/>
    <m/>
  </r>
  <r>
    <x v="0"/>
    <x v="0"/>
    <s v=" "/>
    <m/>
    <m/>
    <x v="1"/>
    <m/>
    <m/>
    <m/>
    <m/>
  </r>
  <r>
    <x v="0"/>
    <x v="0"/>
    <s v="file name "/>
    <s v=" total area "/>
    <s v=" mean intensity "/>
    <x v="0"/>
    <s v=" total fluorescence"/>
    <m/>
    <m/>
    <m/>
  </r>
  <r>
    <x v="6"/>
    <x v="1"/>
    <s v="C:\Users\cbarrier\Desktop\Calibration\20201110_Cefas_Test3_Run1/@2/20201110_Cefas_Test3_Run1/@2/A2.tif "/>
    <n v="422"/>
    <s v=" 40.2773 "/>
    <x v="0"/>
    <n v="16997"/>
    <m/>
    <m/>
    <m/>
  </r>
  <r>
    <x v="6"/>
    <x v="1"/>
    <s v="C:\Users\cbarrier\Desktop\Calibration\20201110_Cefas_Test3_Run1/@2/20201110_Cefas_Test3_Run1/@2/B2.tif "/>
    <n v="183"/>
    <s v=" 34.1202 "/>
    <x v="0"/>
    <n v="6244"/>
    <m/>
    <m/>
    <m/>
  </r>
  <r>
    <x v="6"/>
    <x v="1"/>
    <s v="C:\Users\cbarrier\Desktop\Calibration\20201110_Cefas_Test3_Run1/@2/20201110_Cefas_Test3_Run1/@2/C2.tif "/>
    <n v="479"/>
    <s v=" 42.4342 "/>
    <x v="0"/>
    <n v="20326"/>
    <m/>
    <m/>
    <m/>
  </r>
  <r>
    <x v="6"/>
    <x v="1"/>
    <s v="C:\Users\cbarrier\Desktop\Calibration\20201110_Cefas_Test3_Run1/@2/20201110_Cefas_Test3_Run1/@2/D2.tif "/>
    <n v="141"/>
    <n v="37"/>
    <x v="0"/>
    <n v="5217"/>
    <m/>
    <m/>
    <m/>
  </r>
  <r>
    <x v="6"/>
    <x v="1"/>
    <s v="C:\Users\cbarrier\Desktop\Calibration\20201110_Cefas_Test3_Run1/@2/20201110_Cefas_Test3_Run1/@2/E2.tif "/>
    <n v="124"/>
    <s v=" 37.2097 "/>
    <x v="0"/>
    <n v="4614"/>
    <m/>
    <m/>
    <m/>
  </r>
  <r>
    <x v="6"/>
    <x v="1"/>
    <s v="C:\Users\cbarrier\Desktop\Calibration\20201110_Cefas_Test3_Run1/@2/20201110_Cefas_Test3_Run1/@2/F2.tif "/>
    <n v="324"/>
    <s v=" 46.5494 "/>
    <x v="0"/>
    <n v="15082"/>
    <m/>
    <m/>
    <m/>
  </r>
  <r>
    <x v="6"/>
    <x v="1"/>
    <s v="C:\Users\cbarrier\Desktop\Calibration\20201110_Cefas_Test3_Run1/@2/20201110_Cefas_Test3_Run1/@2/G2.tif "/>
    <n v="13"/>
    <s v=" 30.7692 "/>
    <x v="0"/>
    <n v="400"/>
    <m/>
    <m/>
    <m/>
  </r>
  <r>
    <x v="6"/>
    <x v="1"/>
    <s v="C:\Users\cbarrier\Desktop\Calibration\20201110_Cefas_Test3_Run1/@2/20201110_Cefas_Test3_Run1/@2/H2.tif "/>
    <n v="434"/>
    <s v=" 41.3618 "/>
    <x v="0"/>
    <n v="17951"/>
    <m/>
    <m/>
    <m/>
  </r>
  <r>
    <x v="0"/>
    <x v="0"/>
    <s v=" "/>
    <m/>
    <m/>
    <x v="1"/>
    <m/>
    <m/>
    <m/>
    <m/>
  </r>
  <r>
    <x v="0"/>
    <x v="0"/>
    <s v="group "/>
    <s v=" "/>
    <s v=" mean of mean fluo "/>
    <x v="2"/>
    <s v=" mean of total fluo "/>
    <s v=" SD total fluo "/>
    <s v=" n fluorescent "/>
    <s v=" n total"/>
  </r>
  <r>
    <x v="6"/>
    <x v="2"/>
    <s v="C:\Users\cbarrier\Desktop\Calibration\20201110_Cefas_Test3_Run1/@2/ "/>
    <s v=" "/>
    <s v=" 38.7152 "/>
    <x v="8"/>
    <s v=" 10853.875 "/>
    <s v=" 7530.4165 "/>
    <n v="8"/>
    <n v="8"/>
  </r>
  <r>
    <x v="0"/>
    <x v="0"/>
    <s v=" "/>
    <m/>
    <m/>
    <x v="1"/>
    <m/>
    <m/>
    <m/>
    <m/>
  </r>
  <r>
    <x v="0"/>
    <x v="0"/>
    <s v=" "/>
    <m/>
    <m/>
    <x v="1"/>
    <m/>
    <m/>
    <m/>
    <m/>
  </r>
  <r>
    <x v="0"/>
    <x v="0"/>
    <s v=" "/>
    <m/>
    <m/>
    <x v="1"/>
    <m/>
    <m/>
    <m/>
    <m/>
  </r>
  <r>
    <x v="0"/>
    <x v="0"/>
    <s v=" "/>
    <m/>
    <m/>
    <x v="1"/>
    <m/>
    <m/>
    <m/>
    <m/>
  </r>
  <r>
    <x v="0"/>
    <x v="0"/>
    <s v=" "/>
    <m/>
    <m/>
    <x v="1"/>
    <m/>
    <m/>
    <m/>
    <m/>
  </r>
  <r>
    <x v="0"/>
    <x v="0"/>
    <s v="file name "/>
    <s v=" total area "/>
    <s v=" mean intensity "/>
    <x v="0"/>
    <s v=" total fluorescence"/>
    <m/>
    <m/>
    <m/>
  </r>
  <r>
    <x v="7"/>
    <x v="1"/>
    <s v="C:\Users\cbarrier\Desktop\Calibration\20201110_Cefas_Test3_Run1/@3/20201110_Cefas_Test3_Run1/@3/A3.tif "/>
    <n v="211"/>
    <s v=" 36.6114 "/>
    <x v="0"/>
    <n v="7725"/>
    <m/>
    <m/>
    <m/>
  </r>
  <r>
    <x v="7"/>
    <x v="1"/>
    <s v="C:\Users\cbarrier\Desktop\Calibration\20201110_Cefas_Test3_Run1/@3/20201110_Cefas_Test3_Run1/@3/B3.tif "/>
    <n v="251"/>
    <s v=" 38.243 "/>
    <x v="0"/>
    <n v="9599"/>
    <m/>
    <m/>
    <m/>
  </r>
  <r>
    <x v="7"/>
    <x v="1"/>
    <s v="C:\Users\cbarrier\Desktop\Calibration\20201110_Cefas_Test3_Run1/@3/20201110_Cefas_Test3_Run1/@3/C3.tif "/>
    <n v="526"/>
    <s v=" 48.1749 "/>
    <x v="0"/>
    <n v="25340"/>
    <m/>
    <m/>
    <m/>
  </r>
  <r>
    <x v="7"/>
    <x v="1"/>
    <s v="C:\Users\cbarrier\Desktop\Calibration\20201110_Cefas_Test3_Run1/@3/20201110_Cefas_Test3_Run1/@3/D3.tif "/>
    <n v="420"/>
    <s v=" 41.5405 "/>
    <x v="0"/>
    <n v="17447"/>
    <m/>
    <m/>
    <m/>
  </r>
  <r>
    <x v="7"/>
    <x v="1"/>
    <s v="C:\Users\cbarrier\Desktop\Calibration\20201110_Cefas_Test3_Run1/@3/20201110_Cefas_Test3_Run1/@3/E3.tif "/>
    <n v="62"/>
    <s v=" 35.9839 "/>
    <x v="0"/>
    <n v="2231"/>
    <m/>
    <m/>
    <m/>
  </r>
  <r>
    <x v="7"/>
    <x v="1"/>
    <s v="C:\Users\cbarrier\Desktop\Calibration\20201110_Cefas_Test3_Run1/@3/20201110_Cefas_Test3_Run1/@3/F3- exclu.tif"/>
    <m/>
    <m/>
    <x v="1"/>
    <m/>
    <m/>
    <m/>
    <m/>
  </r>
  <r>
    <x v="7"/>
    <x v="1"/>
    <s v="C:\Users\cbarrier\Desktop\Calibration\20201110_Cefas_Test3_Run1/@3/20201110_Cefas_Test3_Run1/@3/G3.tif "/>
    <n v="0"/>
    <n v="0"/>
    <x v="0"/>
    <n v="0"/>
    <m/>
    <m/>
    <m/>
  </r>
  <r>
    <x v="7"/>
    <x v="1"/>
    <s v="C:\Users\cbarrier\Desktop\Calibration\20201110_Cefas_Test3_Run1/@3/20201110_Cefas_Test3_Run1/@3/H3.tif "/>
    <n v="27"/>
    <s v=" 31.1852 "/>
    <x v="0"/>
    <n v="842"/>
    <m/>
    <m/>
    <m/>
  </r>
  <r>
    <x v="0"/>
    <x v="0"/>
    <s v=" "/>
    <m/>
    <m/>
    <x v="1"/>
    <m/>
    <m/>
    <m/>
    <m/>
  </r>
  <r>
    <x v="0"/>
    <x v="0"/>
    <s v="group "/>
    <s v=" "/>
    <s v=" mean of mean fluo "/>
    <x v="2"/>
    <s v=" mean of total fluo "/>
    <s v=" SD total fluo "/>
    <s v=" n fluorescent "/>
    <s v=" n total"/>
  </r>
  <r>
    <x v="7"/>
    <x v="2"/>
    <s v="C:\Users\cbarrier\Desktop\Calibration\20201110_Cefas_Test3_Run1/@3/ "/>
    <s v=" "/>
    <s v=" 28.9674 "/>
    <x v="9"/>
    <n v="7898"/>
    <s v=" 9296.6117 "/>
    <n v="6"/>
    <n v="8"/>
  </r>
  <r>
    <x v="0"/>
    <x v="0"/>
    <s v=" "/>
    <m/>
    <m/>
    <x v="1"/>
    <m/>
    <m/>
    <m/>
    <m/>
  </r>
  <r>
    <x v="0"/>
    <x v="0"/>
    <s v=" "/>
    <m/>
    <m/>
    <x v="1"/>
    <m/>
    <m/>
    <m/>
    <m/>
  </r>
  <r>
    <x v="0"/>
    <x v="0"/>
    <s v=" "/>
    <m/>
    <m/>
    <x v="1"/>
    <m/>
    <m/>
    <m/>
    <m/>
  </r>
  <r>
    <x v="0"/>
    <x v="0"/>
    <s v=" "/>
    <m/>
    <m/>
    <x v="1"/>
    <m/>
    <m/>
    <m/>
    <m/>
  </r>
  <r>
    <x v="0"/>
    <x v="0"/>
    <s v=" "/>
    <m/>
    <m/>
    <x v="1"/>
    <m/>
    <m/>
    <m/>
    <m/>
  </r>
  <r>
    <x v="0"/>
    <x v="0"/>
    <s v="file name "/>
    <s v=" total area "/>
    <s v=" mean intensity "/>
    <x v="0"/>
    <s v=" total fluorescence"/>
    <m/>
    <m/>
    <m/>
  </r>
  <r>
    <x v="8"/>
    <x v="1"/>
    <s v="C:\Users\cbarrier\Desktop\Calibration\20201110_Cefas_Test3_Run1/@4/20201110_Cefas_Test3_Run1/@4/A4.tif "/>
    <n v="119"/>
    <s v=" 35.5126 "/>
    <x v="0"/>
    <n v="4226"/>
    <m/>
    <m/>
    <m/>
  </r>
  <r>
    <x v="8"/>
    <x v="1"/>
    <s v="C:\Users\cbarrier\Desktop\Calibration\20201110_Cefas_Test3_Run1/@4/20201110_Cefas_Test3_Run1/@4/B4.tif "/>
    <n v="525"/>
    <s v=" 42.8324 "/>
    <x v="0"/>
    <n v="22487"/>
    <m/>
    <m/>
    <m/>
  </r>
  <r>
    <x v="8"/>
    <x v="1"/>
    <s v="C:\Users\cbarrier\Desktop\Calibration\20201110_Cefas_Test3_Run1/@4/20201110_Cefas_Test3_Run1/@4/C4.tif "/>
    <n v="460"/>
    <s v=" 33.7261 "/>
    <x v="0"/>
    <n v="15514"/>
    <m/>
    <m/>
    <m/>
  </r>
  <r>
    <x v="8"/>
    <x v="1"/>
    <s v="C:\Users\cbarrier\Desktop\Calibration\20201110_Cefas_Test3_Run1/@4/20201110_Cefas_Test3_Run1/@4/D4.tif "/>
    <n v="87"/>
    <s v=" 34.0115 "/>
    <x v="0"/>
    <n v="2959"/>
    <m/>
    <m/>
    <m/>
  </r>
  <r>
    <x v="8"/>
    <x v="1"/>
    <s v="C:\Users\cbarrier\Desktop\Calibration\20201110_Cefas_Test3_Run1/@4/20201110_Cefas_Test3_Run1/@4/E4.tif "/>
    <n v="158"/>
    <s v=" 33.019 "/>
    <x v="0"/>
    <n v="5217"/>
    <m/>
    <m/>
    <m/>
  </r>
  <r>
    <x v="8"/>
    <x v="1"/>
    <s v="C:\Users\cbarrier\Desktop\Calibration\20201110_Cefas_Test3_Run1/@4/20201110_Cefas_Test3_Run1/@4/F4.tif "/>
    <n v="1257"/>
    <s v=" 37.9021 "/>
    <x v="0"/>
    <n v="47643"/>
    <m/>
    <m/>
    <m/>
  </r>
  <r>
    <x v="8"/>
    <x v="1"/>
    <s v="C:\Users\cbarrier\Desktop\Calibration\20201110_Cefas_Test3_Run1/@4/20201110_Cefas_Test3_Run1/@4/G4.tif "/>
    <n v="31"/>
    <s v=" 31.2258 "/>
    <x v="0"/>
    <n v="968"/>
    <m/>
    <m/>
    <m/>
  </r>
  <r>
    <x v="8"/>
    <x v="1"/>
    <s v="C:\Users\cbarrier\Desktop\Calibration\20201110_Cefas_Test3_Run1/@4/20201110_Cefas_Test3_Run1/@4/H4.tif "/>
    <n v="97"/>
    <s v=" 33.7216 "/>
    <x v="0"/>
    <n v="3271"/>
    <m/>
    <m/>
    <m/>
  </r>
  <r>
    <x v="0"/>
    <x v="0"/>
    <s v=" "/>
    <m/>
    <m/>
    <x v="1"/>
    <m/>
    <m/>
    <m/>
    <m/>
  </r>
  <r>
    <x v="0"/>
    <x v="0"/>
    <s v="group "/>
    <s v=" "/>
    <s v=" mean of mean fluo "/>
    <x v="2"/>
    <s v=" mean of total fluo "/>
    <s v=" SD total fluo "/>
    <s v=" n fluorescent "/>
    <s v=" n total"/>
  </r>
  <r>
    <x v="8"/>
    <x v="2"/>
    <s v="C:\Users\cbarrier\Desktop\Calibration\20201110_Cefas_Test3_Run1/@4/ "/>
    <s v=" "/>
    <s v=" 35.2439 "/>
    <x v="10"/>
    <s v=" 12785.625 "/>
    <s v=" 15918.971 "/>
    <n v="8"/>
    <n v="8"/>
  </r>
  <r>
    <x v="0"/>
    <x v="0"/>
    <s v=" "/>
    <m/>
    <m/>
    <x v="1"/>
    <m/>
    <m/>
    <m/>
    <m/>
  </r>
  <r>
    <x v="0"/>
    <x v="0"/>
    <s v=" "/>
    <m/>
    <m/>
    <x v="1"/>
    <m/>
    <m/>
    <m/>
    <m/>
  </r>
  <r>
    <x v="0"/>
    <x v="0"/>
    <s v=" "/>
    <m/>
    <m/>
    <x v="1"/>
    <m/>
    <m/>
    <m/>
    <m/>
  </r>
  <r>
    <x v="0"/>
    <x v="0"/>
    <s v=" "/>
    <m/>
    <m/>
    <x v="1"/>
    <m/>
    <m/>
    <m/>
    <m/>
  </r>
  <r>
    <x v="0"/>
    <x v="0"/>
    <s v=" "/>
    <m/>
    <m/>
    <x v="1"/>
    <m/>
    <m/>
    <m/>
    <m/>
  </r>
  <r>
    <x v="0"/>
    <x v="0"/>
    <s v="file name "/>
    <s v=" total area "/>
    <s v=" mean intensity "/>
    <x v="0"/>
    <s v=" total fluorescence"/>
    <m/>
    <m/>
    <m/>
  </r>
  <r>
    <x v="9"/>
    <x v="1"/>
    <s v="C:\Users\cbarrier\Desktop\Calibration\20201110_Cefas_Test3_Run1/@5/20201110_Cefas_Test3_Run1/@5/A5- exclu.tif"/>
    <m/>
    <m/>
    <x v="1"/>
    <m/>
    <m/>
    <m/>
    <m/>
  </r>
  <r>
    <x v="9"/>
    <x v="1"/>
    <s v="C:\Users\cbarrier\Desktop\Calibration\20201110_Cefas_Test3_Run1/@5/20201110_Cefas_Test3_Run1/@5/B5.tif "/>
    <n v="622"/>
    <s v=" 36.6576 "/>
    <x v="0"/>
    <n v="22801"/>
    <m/>
    <m/>
    <m/>
  </r>
  <r>
    <x v="9"/>
    <x v="1"/>
    <s v="C:\Users\cbarrier\Desktop\Calibration\20201110_Cefas_Test3_Run1/@5/20201110_Cefas_Test3_Run1/@5/C5.tif "/>
    <n v="0"/>
    <n v="0"/>
    <x v="0"/>
    <n v="0"/>
    <m/>
    <m/>
    <m/>
  </r>
  <r>
    <x v="9"/>
    <x v="1"/>
    <s v="C:\Users\cbarrier\Desktop\Calibration\20201110_Cefas_Test3_Run1/@5/20201110_Cefas_Test3_Run1/@5/D5.tif "/>
    <n v="1741"/>
    <s v=" 41.0994 "/>
    <x v="0"/>
    <n v="71554"/>
    <m/>
    <m/>
    <m/>
  </r>
  <r>
    <x v="9"/>
    <x v="1"/>
    <s v="C:\Users\cbarrier\Desktop\Calibration\20201110_Cefas_Test3_Run1/@5/20201110_Cefas_Test3_Run1/@5/E5.tif "/>
    <n v="257"/>
    <s v=" 33.1946 "/>
    <x v="0"/>
    <n v="8531"/>
    <m/>
    <m/>
    <m/>
  </r>
  <r>
    <x v="9"/>
    <x v="1"/>
    <s v="C:\Users\cbarrier\Desktop\Calibration\20201110_Cefas_Test3_Run1/@5/20201110_Cefas_Test3_Run1/@5/F5.tif "/>
    <n v="152"/>
    <s v=" 33.3618 "/>
    <x v="0"/>
    <n v="5071"/>
    <m/>
    <m/>
    <m/>
  </r>
  <r>
    <x v="9"/>
    <x v="1"/>
    <s v="C:\Users\cbarrier\Desktop\Calibration\20201110_Cefas_Test3_Run1/@5/20201110_Cefas_Test3_Run1/@5/G5.tif "/>
    <n v="3025"/>
    <s v=" 42.8066 "/>
    <x v="0"/>
    <n v="129490"/>
    <m/>
    <m/>
    <m/>
  </r>
  <r>
    <x v="9"/>
    <x v="1"/>
    <s v="C:\Users\cbarrier\Desktop\Calibration\20201110_Cefas_Test3_Run1/@5/20201110_Cefas_Test3_Run1/@5/H5.tif "/>
    <n v="1367"/>
    <s v=" 35.1931 "/>
    <x v="0"/>
    <n v="48109"/>
    <m/>
    <m/>
    <m/>
  </r>
  <r>
    <x v="0"/>
    <x v="0"/>
    <s v=" "/>
    <m/>
    <m/>
    <x v="1"/>
    <m/>
    <m/>
    <m/>
    <m/>
  </r>
  <r>
    <x v="0"/>
    <x v="0"/>
    <s v="group "/>
    <s v=" "/>
    <s v=" mean of mean fluo "/>
    <x v="2"/>
    <s v=" mean of total fluo "/>
    <s v=" SD total fluo "/>
    <s v=" n fluorescent "/>
    <s v=" n total"/>
  </r>
  <r>
    <x v="9"/>
    <x v="2"/>
    <s v="C:\Users\cbarrier\Desktop\Calibration\20201110_Cefas_Test3_Run1/@5/ "/>
    <s v=" "/>
    <s v=" 31.7058 "/>
    <x v="11"/>
    <s v=" 35706.25 "/>
    <s v=" 45702.4664 "/>
    <n v="7"/>
    <n v="8"/>
  </r>
  <r>
    <x v="0"/>
    <x v="0"/>
    <s v=" "/>
    <m/>
    <m/>
    <x v="1"/>
    <m/>
    <m/>
    <m/>
    <m/>
  </r>
  <r>
    <x v="0"/>
    <x v="0"/>
    <s v=" "/>
    <m/>
    <m/>
    <x v="1"/>
    <m/>
    <m/>
    <m/>
    <m/>
  </r>
  <r>
    <x v="0"/>
    <x v="0"/>
    <s v=" "/>
    <m/>
    <m/>
    <x v="1"/>
    <m/>
    <m/>
    <m/>
    <m/>
  </r>
  <r>
    <x v="0"/>
    <x v="0"/>
    <s v=" "/>
    <m/>
    <m/>
    <x v="1"/>
    <m/>
    <m/>
    <m/>
    <m/>
  </r>
  <r>
    <x v="0"/>
    <x v="0"/>
    <s v=" "/>
    <m/>
    <m/>
    <x v="1"/>
    <m/>
    <m/>
    <m/>
    <m/>
  </r>
  <r>
    <x v="0"/>
    <x v="0"/>
    <s v="file name "/>
    <s v=" total area "/>
    <s v=" mean intensity "/>
    <x v="0"/>
    <s v=" total fluorescence"/>
    <m/>
    <m/>
    <m/>
  </r>
  <r>
    <x v="10"/>
    <x v="1"/>
    <s v="C:\Users\cbarrier\Desktop\Calibration\20201110_Cefas_Test3_Run1/@6/20201110_Cefas_Test3_Run1/@6/A6.tif "/>
    <n v="1764"/>
    <s v=" 40.8889 "/>
    <x v="0"/>
    <n v="72128"/>
    <m/>
    <m/>
    <m/>
  </r>
  <r>
    <x v="10"/>
    <x v="1"/>
    <s v="C:\Users\cbarrier\Desktop\Calibration\20201110_Cefas_Test3_Run1/@6/20201110_Cefas_Test3_Run1/@6/B6.tif "/>
    <n v="2021"/>
    <s v=" 54.0529 "/>
    <x v="0"/>
    <n v="109241"/>
    <m/>
    <m/>
    <m/>
  </r>
  <r>
    <x v="10"/>
    <x v="1"/>
    <s v="C:\Users\cbarrier\Desktop\Calibration\20201110_Cefas_Test3_Run1/@6/20201110_Cefas_Test3_Run1/@6/C6.tif "/>
    <n v="2177"/>
    <s v=" 37.2811 "/>
    <x v="0"/>
    <n v="81161"/>
    <m/>
    <m/>
    <m/>
  </r>
  <r>
    <x v="10"/>
    <x v="1"/>
    <s v="C:\Users\cbarrier\Desktop\Calibration\20201110_Cefas_Test3_Run1/@6/20201110_Cefas_Test3_Run1/@6/D6.tif "/>
    <n v="951"/>
    <s v=" 36.0694 "/>
    <x v="0"/>
    <n v="34302"/>
    <m/>
    <m/>
    <m/>
  </r>
  <r>
    <x v="10"/>
    <x v="1"/>
    <s v="C:\Users\cbarrier\Desktop\Calibration\20201110_Cefas_Test3_Run1/@6/20201110_Cefas_Test3_Run1/@6/E6.tif "/>
    <n v="442"/>
    <s v=" 34.3982 "/>
    <x v="0"/>
    <n v="15204"/>
    <m/>
    <m/>
    <m/>
  </r>
  <r>
    <x v="10"/>
    <x v="1"/>
    <s v="C:\Users\cbarrier\Desktop\Calibration\20201110_Cefas_Test3_Run1/@6/20201110_Cefas_Test3_Run1/@6/F6.tif "/>
    <n v="3072"/>
    <s v=" 56.2331 "/>
    <x v="0"/>
    <n v="172748"/>
    <m/>
    <m/>
    <m/>
  </r>
  <r>
    <x v="10"/>
    <x v="1"/>
    <s v="C:\Users\cbarrier\Desktop\Calibration\20201110_Cefas_Test3_Run1/@6/20201110_Cefas_Test3_Run1/@6/G6.tif "/>
    <n v="2343"/>
    <s v=" 44.382 "/>
    <x v="0"/>
    <n v="103987"/>
    <m/>
    <m/>
    <m/>
  </r>
  <r>
    <x v="10"/>
    <x v="1"/>
    <s v="C:\Users\cbarrier\Desktop\Calibration\20201110_Cefas_Test3_Run1/@6/20201110_Cefas_Test3_Run1/@6/H6.tif "/>
    <n v="575"/>
    <s v=" 43.5374 "/>
    <x v="0"/>
    <n v="25034"/>
    <m/>
    <m/>
    <m/>
  </r>
  <r>
    <x v="0"/>
    <x v="0"/>
    <s v=" "/>
    <m/>
    <m/>
    <x v="1"/>
    <m/>
    <m/>
    <m/>
    <m/>
  </r>
  <r>
    <x v="0"/>
    <x v="0"/>
    <s v="group "/>
    <s v=" "/>
    <s v=" mean of mean fluo "/>
    <x v="2"/>
    <s v=" mean of total fluo "/>
    <s v=" SD total fluo "/>
    <s v=" n fluorescent "/>
    <s v=" n total"/>
  </r>
  <r>
    <x v="10"/>
    <x v="2"/>
    <s v="C:\Users\cbarrier\Desktop\Calibration\20201110_Cefas_Test3_Run1/@6/ "/>
    <s v=" "/>
    <s v=" 43.3554 "/>
    <x v="12"/>
    <s v=" 76725.625 "/>
    <s v=" 52533.3061 "/>
    <n v="8"/>
    <n v="8"/>
  </r>
  <r>
    <x v="0"/>
    <x v="0"/>
    <s v=" "/>
    <m/>
    <m/>
    <x v="1"/>
    <m/>
    <m/>
    <m/>
    <m/>
  </r>
  <r>
    <x v="0"/>
    <x v="0"/>
    <s v=" "/>
    <m/>
    <m/>
    <x v="1"/>
    <m/>
    <m/>
    <m/>
    <m/>
  </r>
  <r>
    <x v="0"/>
    <x v="0"/>
    <s v=" "/>
    <m/>
    <m/>
    <x v="1"/>
    <m/>
    <m/>
    <m/>
    <m/>
  </r>
  <r>
    <x v="0"/>
    <x v="0"/>
    <s v=" "/>
    <m/>
    <m/>
    <x v="1"/>
    <m/>
    <m/>
    <m/>
    <m/>
  </r>
  <r>
    <x v="0"/>
    <x v="0"/>
    <s v=" "/>
    <m/>
    <m/>
    <x v="1"/>
    <m/>
    <m/>
    <m/>
    <m/>
  </r>
  <r>
    <x v="0"/>
    <x v="0"/>
    <s v="file name "/>
    <s v=" total area "/>
    <s v=" mean intensity "/>
    <x v="0"/>
    <s v=" total fluorescence"/>
    <m/>
    <m/>
    <m/>
  </r>
  <r>
    <x v="11"/>
    <x v="1"/>
    <s v="C:\Users\cbarrier\Desktop\Calibration\20201110_Cefas_Test3_Run1/@7/20201110_Cefas_Test3_Run1/@7/A7- exclu.tif"/>
    <m/>
    <m/>
    <x v="1"/>
    <m/>
    <m/>
    <m/>
    <m/>
  </r>
  <r>
    <x v="11"/>
    <x v="1"/>
    <s v="C:\Users\cbarrier\Desktop\Calibration\20201110_Cefas_Test3_Run1/@7/20201110_Cefas_Test3_Run1/@7/B7.tif "/>
    <n v="3604"/>
    <s v=" 58.8782 "/>
    <x v="0"/>
    <n v="212197"/>
    <m/>
    <m/>
    <m/>
  </r>
  <r>
    <x v="11"/>
    <x v="1"/>
    <s v="C:\Users\cbarrier\Desktop\Calibration\20201110_Cefas_Test3_Run1/@7/20201110_Cefas_Test3_Run1/@7/C7.tif "/>
    <n v="3009"/>
    <s v=" 59.896 "/>
    <x v="0"/>
    <n v="180227"/>
    <m/>
    <m/>
    <m/>
  </r>
  <r>
    <x v="11"/>
    <x v="1"/>
    <s v="C:\Users\cbarrier\Desktop\Calibration\20201110_Cefas_Test3_Run1/@7/20201110_Cefas_Test3_Run1/@7/D7.tif "/>
    <n v="2921"/>
    <s v=" 50.3653 "/>
    <x v="0"/>
    <n v="147117"/>
    <m/>
    <m/>
    <m/>
  </r>
  <r>
    <x v="11"/>
    <x v="1"/>
    <s v="C:\Users\cbarrier\Desktop\Calibration\20201110_Cefas_Test3_Run1/@7/20201110_Cefas_Test3_Run1/@7/E7.tif "/>
    <n v="3427"/>
    <s v=" 49.9501 "/>
    <x v="0"/>
    <n v="171179"/>
    <m/>
    <m/>
    <m/>
  </r>
  <r>
    <x v="11"/>
    <x v="1"/>
    <s v="C:\Users\cbarrier\Desktop\Calibration\20201110_Cefas_Test3_Run1/@7/20201110_Cefas_Test3_Run1/@7/F7.tif "/>
    <n v="3438"/>
    <s v=" 54.1053 "/>
    <x v="0"/>
    <n v="186014"/>
    <m/>
    <m/>
    <m/>
  </r>
  <r>
    <x v="11"/>
    <x v="1"/>
    <s v="C:\Users\cbarrier\Desktop\Calibration\20201110_Cefas_Test3_Run1/@7/20201110_Cefas_Test3_Run1/@7/G7.tif "/>
    <n v="955"/>
    <s v=" 38.8052 "/>
    <x v="0"/>
    <n v="37059"/>
    <m/>
    <m/>
    <m/>
  </r>
  <r>
    <x v="11"/>
    <x v="1"/>
    <s v="C:\Users\cbarrier\Desktop\Calibration\20201110_Cefas_Test3_Run1/@7/20201110_Cefas_Test3_Run1/@7/H7.tif "/>
    <n v="3778"/>
    <s v=" 56.5463 "/>
    <x v="0"/>
    <n v="213632"/>
    <m/>
    <m/>
    <m/>
  </r>
  <r>
    <x v="0"/>
    <x v="0"/>
    <s v=" "/>
    <m/>
    <m/>
    <x v="1"/>
    <m/>
    <m/>
    <m/>
    <m/>
  </r>
  <r>
    <x v="0"/>
    <x v="0"/>
    <s v="group "/>
    <s v=" "/>
    <s v=" mean of mean fluo "/>
    <x v="2"/>
    <s v=" mean of total fluo "/>
    <s v=" SD total fluo "/>
    <s v=" n fluorescent "/>
    <s v=" n total"/>
  </r>
  <r>
    <x v="11"/>
    <x v="2"/>
    <s v="C:\Users\cbarrier\Desktop\Calibration\20201110_Cefas_Test3_Run1/@7/ "/>
    <s v=" "/>
    <s v=" 50.5218 "/>
    <x v="13"/>
    <s v=" 143775.5 "/>
    <s v=" 79914.9341 "/>
    <n v="8"/>
    <n v="8"/>
  </r>
  <r>
    <x v="0"/>
    <x v="0"/>
    <s v=" "/>
    <m/>
    <m/>
    <x v="1"/>
    <m/>
    <m/>
    <m/>
    <m/>
  </r>
  <r>
    <x v="0"/>
    <x v="0"/>
    <s v=" "/>
    <m/>
    <m/>
    <x v="1"/>
    <m/>
    <m/>
    <m/>
    <m/>
  </r>
  <r>
    <x v="0"/>
    <x v="0"/>
    <s v=" "/>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r>
    <x v="0"/>
    <x v="0"/>
    <m/>
    <m/>
    <m/>
    <x v="1"/>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C:\Users\cbarrier\Desktop\Calibration\20201111_Cefas_Test4_Run2\@1/01_A10_A10-1_20201111_14011001.tif "/>
    <s v=" 379583.021 "/>
    <s v=" 44.6723 "/>
    <x v="0"/>
    <n v="16956864"/>
    <m/>
    <m/>
    <m/>
  </r>
  <r>
    <x v="0"/>
    <x v="0"/>
    <s v="C:\Users\cbarrier\Desktop\Calibration\20201111_Cefas_Test4_Run2\@1/01_B10_B10-1_20201111_14011401.tif "/>
    <s v=" 399396.004 "/>
    <s v=" 41.8538 "/>
    <x v="0"/>
    <n v="16716231"/>
    <m/>
    <m/>
    <m/>
  </r>
  <r>
    <x v="0"/>
    <x v="0"/>
    <s v="C:\Users\cbarrier\Desktop\Calibration\20201111_Cefas_Test4_Run2\@1/01_C10_C10-1_20201111_14011601.tif "/>
    <s v=" 350945.04 "/>
    <s v=" 46.6568 "/>
    <x v="0"/>
    <n v="16373960"/>
    <m/>
    <m/>
    <m/>
  </r>
  <r>
    <x v="0"/>
    <x v="0"/>
    <s v="C:\Users\cbarrier\Desktop\Calibration\20201111_Cefas_Test4_Run2\@1/01_D10_D10-1_20201111_14011901.tif "/>
    <s v=" 371969.298 "/>
    <s v=" 47.0464 "/>
    <x v="0"/>
    <n v="17499818"/>
    <m/>
    <m/>
    <m/>
  </r>
  <r>
    <x v="0"/>
    <x v="0"/>
    <s v="C:\Users\cbarrier\Desktop\Calibration\20201111_Cefas_Test4_Run2\@1/01_E10_E10-1_20201111_14012401.tif "/>
    <s v=" 403721.983 "/>
    <s v=" 45.7725 "/>
    <x v="0"/>
    <n v="18479371"/>
    <m/>
    <m/>
    <m/>
  </r>
  <r>
    <x v="0"/>
    <x v="0"/>
    <s v="C:\Users\cbarrier\Desktop\Calibration\20201111_Cefas_Test4_Run2\@1/01_F10_F10-1_20201111_14012801.tif "/>
    <s v=" 371060.842 "/>
    <s v=" 42.1316 "/>
    <x v="0"/>
    <n v="15633374"/>
    <m/>
    <m/>
    <m/>
  </r>
  <r>
    <x v="0"/>
    <x v="0"/>
    <s v="C:\Users\cbarrier\Desktop\Calibration\20201111_Cefas_Test4_Run2\@1/01_G10_G10-1_20201111_14013001.tif "/>
    <s v=" 298990.033 "/>
    <s v=" 46.5927 "/>
    <x v="0"/>
    <n v="13930755"/>
    <m/>
    <m/>
    <m/>
  </r>
  <r>
    <x v="0"/>
    <x v="0"/>
    <s v="C:\Users\cbarrier\Desktop\Calibration\20201111_Cefas_Test4_Run2\@1/01_H10_H10-1_20201111_14013401.tif "/>
    <s v=" 339740.755 "/>
    <s v=" 43.5473 "/>
    <x v="0"/>
    <n v="14794783"/>
    <m/>
    <m/>
    <m/>
  </r>
  <r>
    <x v="1"/>
    <x v="1"/>
    <s v=" "/>
    <m/>
    <m/>
    <x v="1"/>
    <m/>
    <m/>
    <m/>
    <m/>
  </r>
  <r>
    <x v="1"/>
    <x v="1"/>
    <s v="group "/>
    <s v=" "/>
    <s v=" mean of mean fluo "/>
    <x v="2"/>
    <s v=" mean of total fluo "/>
    <s v=" SD total fluo "/>
    <s v=" n fluorescent "/>
    <s v=" n total"/>
  </r>
  <r>
    <x v="0"/>
    <x v="2"/>
    <s v="C:\Users\cbarrier\Desktop\Calibration\20201111_Cefas_Test4_Run2\@1/ "/>
    <s v=" "/>
    <s v=" 44.7842 "/>
    <x v="3"/>
    <s v=" 16298144.5 "/>
    <s v=" 1469828.59 "/>
    <n v="8"/>
    <n v="8"/>
  </r>
  <r>
    <x v="1"/>
    <x v="1"/>
    <s v=" "/>
    <m/>
    <m/>
    <x v="1"/>
    <m/>
    <m/>
    <m/>
    <m/>
  </r>
  <r>
    <x v="1"/>
    <x v="1"/>
    <s v=" "/>
    <m/>
    <m/>
    <x v="1"/>
    <m/>
    <m/>
    <m/>
    <m/>
  </r>
  <r>
    <x v="1"/>
    <x v="1"/>
    <s v=" "/>
    <m/>
    <m/>
    <x v="1"/>
    <m/>
    <m/>
    <m/>
    <m/>
  </r>
  <r>
    <x v="1"/>
    <x v="1"/>
    <s v=" "/>
    <m/>
    <m/>
    <x v="1"/>
    <m/>
    <m/>
    <m/>
    <m/>
  </r>
  <r>
    <x v="1"/>
    <x v="1"/>
    <s v=" "/>
    <m/>
    <m/>
    <x v="1"/>
    <m/>
    <m/>
    <m/>
    <m/>
  </r>
  <r>
    <x v="1"/>
    <x v="1"/>
    <s v="file name "/>
    <s v=" total area "/>
    <s v=" mean intensity "/>
    <x v="0"/>
    <s v=" total fluorescence"/>
    <m/>
    <m/>
    <m/>
  </r>
  <r>
    <x v="2"/>
    <x v="0"/>
    <s v="C:\Users\cbarrier\Desktop\Calibration\20201111_Cefas_Test4_Run2\@13/01_A8_A8-1_20201111_14002501.tif "/>
    <s v=" 390419.598 "/>
    <s v=" 45.854 "/>
    <x v="0"/>
    <n v="17902307"/>
    <m/>
    <m/>
    <m/>
  </r>
  <r>
    <x v="2"/>
    <x v="0"/>
    <s v="C:\Users\cbarrier\Desktop\Calibration\20201111_Cefas_Test4_Run2\@13/01_B8_B8-1_20201111_14003101.tif "/>
    <s v=" 368335.476 "/>
    <s v=" 57.5562 "/>
    <x v="0"/>
    <n v="21199979"/>
    <m/>
    <m/>
    <m/>
  </r>
  <r>
    <x v="2"/>
    <x v="0"/>
    <s v="C:\Users\cbarrier\Desktop\Calibration\20201111_Cefas_Test4_Run2\@13/01_C8_C8-1_20201111_14003301.tif "/>
    <s v=" 442028.527 "/>
    <s v=" 45.0104 "/>
    <x v="0"/>
    <n v="19895869"/>
    <m/>
    <m/>
    <m/>
  </r>
  <r>
    <x v="2"/>
    <x v="0"/>
    <s v="C:\Users\cbarrier\Desktop\Calibration\20201111_Cefas_Test4_Run2\@13/01_D8_D8-1_20201111_14003501.tif "/>
    <s v=" 354146.265 "/>
    <s v=" 46.2608 "/>
    <x v="0"/>
    <n v="16383088"/>
    <m/>
    <m/>
    <m/>
  </r>
  <r>
    <x v="2"/>
    <x v="0"/>
    <s v="C:\Users\cbarrier\Desktop\Calibration\20201111_Cefas_Test4_Run2\@13/01_E8_E8-1_20201111_14003901.tif "/>
    <s v=" 383627.811 "/>
    <s v=" 56.8512 "/>
    <x v="0"/>
    <n v="21809682"/>
    <m/>
    <m/>
    <m/>
  </r>
  <r>
    <x v="2"/>
    <x v="0"/>
    <s v="C:\Users\cbarrier\Desktop\Calibration\20201111_Cefas_Test4_Run2\@13/01_F8_F8-1_20201111_14004101.tif "/>
    <s v=" 203731.978 "/>
    <s v=" 39.4173 "/>
    <x v="0"/>
    <n v="8030574"/>
    <m/>
    <m/>
    <m/>
  </r>
  <r>
    <x v="2"/>
    <x v="0"/>
    <s v="C:\Users\cbarrier\Desktop\Calibration\20201111_Cefas_Test4_Run2\@13/01_G8_G8-1_20201111_14004401.tif "/>
    <s v=" 476117.241 "/>
    <s v=" 48.9264 "/>
    <x v="0"/>
    <n v="23294683"/>
    <m/>
    <m/>
    <m/>
  </r>
  <r>
    <x v="2"/>
    <x v="0"/>
    <s v="C:\Users\cbarrier\Desktop\Calibration\20201111_Cefas_Test4_Run2\@13/01_H8_H8-1_20201111_14004601.tif "/>
    <s v=" 430305.124 "/>
    <s v=" 56.2417 "/>
    <x v="0"/>
    <n v="24201083"/>
    <m/>
    <m/>
    <m/>
  </r>
  <r>
    <x v="1"/>
    <x v="1"/>
    <s v=" "/>
    <m/>
    <m/>
    <x v="1"/>
    <m/>
    <m/>
    <m/>
    <m/>
  </r>
  <r>
    <x v="1"/>
    <x v="1"/>
    <s v="group "/>
    <s v=" "/>
    <s v=" mean of mean fluo "/>
    <x v="2"/>
    <s v=" mean of total fluo "/>
    <s v=" SD total fluo "/>
    <s v=" n fluorescent "/>
    <s v=" n total"/>
  </r>
  <r>
    <x v="2"/>
    <x v="2"/>
    <s v="C:\Users\cbarrier\Desktop\Calibration\20201111_Cefas_Test4_Run2\@13/ "/>
    <s v=" "/>
    <s v=" 49.5147 "/>
    <x v="4"/>
    <s v=" 19089658.1 "/>
    <s v=" 5173414.52 "/>
    <n v="8"/>
    <n v="8"/>
  </r>
  <r>
    <x v="1"/>
    <x v="1"/>
    <s v=" "/>
    <m/>
    <m/>
    <x v="1"/>
    <m/>
    <m/>
    <m/>
    <m/>
  </r>
  <r>
    <x v="1"/>
    <x v="1"/>
    <s v=" "/>
    <m/>
    <m/>
    <x v="1"/>
    <m/>
    <m/>
    <m/>
    <m/>
  </r>
  <r>
    <x v="1"/>
    <x v="1"/>
    <s v=" "/>
    <m/>
    <m/>
    <x v="1"/>
    <m/>
    <m/>
    <m/>
    <m/>
  </r>
  <r>
    <x v="1"/>
    <x v="1"/>
    <s v=" "/>
    <m/>
    <m/>
    <x v="1"/>
    <m/>
    <m/>
    <m/>
    <m/>
  </r>
  <r>
    <x v="1"/>
    <x v="1"/>
    <s v=" "/>
    <m/>
    <m/>
    <x v="1"/>
    <m/>
    <m/>
    <m/>
    <m/>
  </r>
  <r>
    <x v="1"/>
    <x v="1"/>
    <s v="file name "/>
    <s v=" total area "/>
    <s v=" mean intensity "/>
    <x v="0"/>
    <s v=" total fluorescence"/>
    <m/>
    <m/>
    <m/>
  </r>
  <r>
    <x v="3"/>
    <x v="0"/>
    <s v="C:\Users\cbarrier\Desktop\Calibration\20201111_Cefas_Test4_Run2\@14/01_A9_A9-1_20201111_14004701.tif "/>
    <s v=" 338334.812 "/>
    <s v=" 43.0602 "/>
    <x v="0"/>
    <n v="14568751"/>
    <m/>
    <m/>
    <m/>
  </r>
  <r>
    <x v="3"/>
    <x v="0"/>
    <s v="C:\Users\cbarrier\Desktop\Calibration\20201111_Cefas_Test4_Run2\@14/01_B9_B9-1_20201111_14005001.tif "/>
    <s v=" 393123.335 "/>
    <s v=" 47.6015 "/>
    <x v="0"/>
    <n v="18713255"/>
    <m/>
    <m/>
    <m/>
  </r>
  <r>
    <x v="3"/>
    <x v="0"/>
    <s v="C:\Users\cbarrier\Desktop\Calibration\20201111_Cefas_Test4_Run2\@14/01_C9_C9-1_20201111_14005101.tif "/>
    <s v=" 361500.429 "/>
    <s v=" 54.2569 "/>
    <x v="0"/>
    <n v="19613902"/>
    <m/>
    <m/>
    <m/>
  </r>
  <r>
    <x v="3"/>
    <x v="0"/>
    <s v="C:\Users\cbarrier\Desktop\Calibration\20201111_Cefas_Test4_Run2\@14/01_D9_D9-1_20201111_14005301.tif "/>
    <s v=" 343547.616 "/>
    <s v=" 51.2622 "/>
    <x v="0"/>
    <n v="17611017"/>
    <m/>
    <m/>
    <m/>
  </r>
  <r>
    <x v="3"/>
    <x v="0"/>
    <s v="C:\Users\cbarrier\Desktop\Calibration\20201111_Cefas_Test4_Run2\@14/01_E9_E9-1_20201111_14005601.tif "/>
    <s v=" 398444.289 "/>
    <s v=" 52.4888 "/>
    <x v="0"/>
    <n v="20913859"/>
    <m/>
    <m/>
    <m/>
  </r>
  <r>
    <x v="3"/>
    <x v="0"/>
    <s v="C:\Users\cbarrier\Desktop\Calibration\20201111_Cefas_Test4_Run2\@14/01_F9_F9-1_20201111_14010001.tif "/>
    <s v=" 391717.392 "/>
    <s v=" 41.0919 "/>
    <x v="0"/>
    <n v="16096405"/>
    <m/>
    <m/>
    <m/>
  </r>
  <r>
    <x v="3"/>
    <x v="0"/>
    <s v="C:\Users\cbarrier\Desktop\Calibration\20201111_Cefas_Test4_Run2\@14/01_G9_G9-1_20201111_14010401.tif "/>
    <s v=" 538627.636 "/>
    <s v=" 47.7701 "/>
    <x v="0"/>
    <n v="25730274"/>
    <m/>
    <m/>
    <m/>
  </r>
  <r>
    <x v="3"/>
    <x v="0"/>
    <s v="C:\Users\cbarrier\Desktop\Calibration\20201111_Cefas_Test4_Run2\@14/01_H9_H9-1_20201111_14010801.tif "/>
    <s v=" 334225.132 "/>
    <s v=" 46.3136 "/>
    <x v="0"/>
    <n v="15479153"/>
    <m/>
    <m/>
    <m/>
  </r>
  <r>
    <x v="1"/>
    <x v="1"/>
    <s v=" "/>
    <m/>
    <m/>
    <x v="1"/>
    <m/>
    <m/>
    <m/>
    <m/>
  </r>
  <r>
    <x v="1"/>
    <x v="1"/>
    <s v="group "/>
    <s v=" "/>
    <s v=" mean of mean fluo "/>
    <x v="2"/>
    <s v=" mean of total fluo "/>
    <s v=" SD total fluo "/>
    <s v=" n fluorescent "/>
    <s v=" n total"/>
  </r>
  <r>
    <x v="3"/>
    <x v="2"/>
    <s v="C:\Users\cbarrier\Desktop\Calibration\20201111_Cefas_Test4_Run2\@14/ "/>
    <s v=" "/>
    <s v=" 47.9806 "/>
    <x v="5"/>
    <n v="18590827"/>
    <s v=" 3595068.67 "/>
    <n v="8"/>
    <n v="8"/>
  </r>
  <r>
    <x v="1"/>
    <x v="1"/>
    <s v=" "/>
    <m/>
    <m/>
    <x v="1"/>
    <m/>
    <m/>
    <m/>
    <m/>
  </r>
  <r>
    <x v="1"/>
    <x v="1"/>
    <s v=" "/>
    <m/>
    <m/>
    <x v="1"/>
    <m/>
    <m/>
    <m/>
    <m/>
  </r>
  <r>
    <x v="1"/>
    <x v="1"/>
    <s v=" "/>
    <m/>
    <m/>
    <x v="1"/>
    <m/>
    <m/>
    <m/>
    <m/>
  </r>
  <r>
    <x v="1"/>
    <x v="1"/>
    <s v=" "/>
    <m/>
    <m/>
    <x v="1"/>
    <m/>
    <m/>
    <m/>
    <m/>
  </r>
  <r>
    <x v="1"/>
    <x v="1"/>
    <s v=" "/>
    <m/>
    <m/>
    <x v="1"/>
    <m/>
    <m/>
    <m/>
    <m/>
  </r>
  <r>
    <x v="1"/>
    <x v="1"/>
    <s v="file name "/>
    <s v=" total area "/>
    <s v=" mean intensity "/>
    <x v="0"/>
    <s v=" total fluorescence"/>
    <m/>
    <m/>
    <m/>
  </r>
  <r>
    <x v="4"/>
    <x v="0"/>
    <s v="C:\Users\cbarrier\Desktop\Calibration\20201111_Cefas_Test4_Run2\@15/01_A11_A11-1_20201111_14013901.tif "/>
    <s v=" 32790.9203 "/>
    <s v=" 34.626 "/>
    <x v="0"/>
    <n v="1135418"/>
    <m/>
    <m/>
    <m/>
  </r>
  <r>
    <x v="4"/>
    <x v="0"/>
    <s v="C:\Users\cbarrier\Desktop\Calibration\20201111_Cefas_Test4_Run2\@15/01_B11_B11-1_20201111_14014101.tif "/>
    <s v=" 390181.669 "/>
    <s v=" 50.901 "/>
    <x v="0"/>
    <n v="19860634"/>
    <m/>
    <m/>
    <m/>
  </r>
  <r>
    <x v="4"/>
    <x v="0"/>
    <s v="C:\Users\cbarrier\Desktop\Calibration\20201111_Cefas_Test4_Run2\@15/01_C11_C11-1_20201111_14014301.tif "/>
    <s v=" 247597.404 "/>
    <s v=" 52.4751 "/>
    <x v="0"/>
    <n v="12992688"/>
    <m/>
    <m/>
    <m/>
  </r>
  <r>
    <x v="4"/>
    <x v="0"/>
    <s v="C:\Users\cbarrier\Desktop\Calibration\20201111_Cefas_Test4_Run2\@15/01_D11_D11-1_20201111_14014501.tif "/>
    <s v=" 336474.641 "/>
    <s v=" 58.6563 "/>
    <x v="0"/>
    <n v="19736349"/>
    <m/>
    <m/>
    <m/>
  </r>
  <r>
    <x v="4"/>
    <x v="0"/>
    <s v="C:\Users\cbarrier\Desktop\Calibration\20201111_Cefas_Test4_Run2\@15/01_E11_E11-1_20201111_14014601.tif "/>
    <s v=" 380924.074 "/>
    <s v=" 45.8331 "/>
    <x v="0"/>
    <n v="17458937"/>
    <m/>
    <m/>
    <m/>
  </r>
  <r>
    <x v="4"/>
    <x v="0"/>
    <s v="C:\Users\cbarrier\Desktop\Calibration\20201111_Cefas_Test4_Run2\@15/01_F11_F11-1_20201111_14014801.tif "/>
    <s v=" 287764.118 "/>
    <s v=" 55.4629 "/>
    <x v="0"/>
    <n v="15960245"/>
    <m/>
    <m/>
    <m/>
  </r>
  <r>
    <x v="4"/>
    <x v="0"/>
    <s v="C:\Users\cbarrier\Desktop\Calibration\20201111_Cefas_Test4_Run2\@15/01_G11_G11-1_20201111_14014901.tif "/>
    <s v=" 324275.38 "/>
    <s v=" 61.0623 "/>
    <x v="0"/>
    <n v="19801001"/>
    <m/>
    <m/>
    <m/>
  </r>
  <r>
    <x v="4"/>
    <x v="0"/>
    <s v="C:\Users\cbarrier\Desktop\Calibration\20201111_Cefas_Test4_Run2\@15/01_H11_H11-1_20201111_14014901.tif "/>
    <s v=" 561101.097 "/>
    <s v=" 52.5207 "/>
    <x v="0"/>
    <n v="29469412"/>
    <m/>
    <m/>
    <m/>
  </r>
  <r>
    <x v="1"/>
    <x v="1"/>
    <s v=" "/>
    <m/>
    <m/>
    <x v="1"/>
    <m/>
    <m/>
    <m/>
    <m/>
  </r>
  <r>
    <x v="1"/>
    <x v="1"/>
    <s v="group "/>
    <s v=" "/>
    <s v=" mean of mean fluo "/>
    <x v="2"/>
    <s v=" mean of total fluo "/>
    <s v=" SD total fluo "/>
    <s v=" n fluorescent "/>
    <s v=" n total"/>
  </r>
  <r>
    <x v="4"/>
    <x v="2"/>
    <s v="C:\Users\cbarrier\Desktop\Calibration\20201111_Cefas_Test4_Run2\@15/ "/>
    <s v=" "/>
    <s v=" 51.4422 "/>
    <x v="6"/>
    <s v=" 17051835.5 "/>
    <s v=" 8000146.47 "/>
    <n v="8"/>
    <n v="8"/>
  </r>
  <r>
    <x v="1"/>
    <x v="1"/>
    <s v=" "/>
    <m/>
    <m/>
    <x v="1"/>
    <m/>
    <m/>
    <m/>
    <m/>
  </r>
  <r>
    <x v="1"/>
    <x v="1"/>
    <s v=" "/>
    <m/>
    <m/>
    <x v="1"/>
    <m/>
    <m/>
    <m/>
    <m/>
  </r>
  <r>
    <x v="1"/>
    <x v="1"/>
    <s v=" "/>
    <m/>
    <m/>
    <x v="1"/>
    <m/>
    <m/>
    <m/>
    <m/>
  </r>
  <r>
    <x v="1"/>
    <x v="1"/>
    <s v=" "/>
    <m/>
    <m/>
    <x v="1"/>
    <m/>
    <m/>
    <m/>
    <m/>
  </r>
  <r>
    <x v="1"/>
    <x v="1"/>
    <s v=" "/>
    <m/>
    <m/>
    <x v="1"/>
    <m/>
    <m/>
    <m/>
    <m/>
  </r>
  <r>
    <x v="1"/>
    <x v="1"/>
    <s v="file name "/>
    <s v=" total area "/>
    <s v=" mean intensity "/>
    <x v="0"/>
    <s v=" total fluorescence"/>
    <m/>
    <m/>
    <m/>
  </r>
  <r>
    <x v="5"/>
    <x v="0"/>
    <s v="C:\Users\cbarrier\Desktop\Calibration\20201111_Cefas_Test4_Run2\@16/01_A12_A12-1_20201111_14014901.tif "/>
    <s v=" 233905.681 "/>
    <s v=" 41.2122 "/>
    <x v="0"/>
    <n v="9639774"/>
    <m/>
    <m/>
    <m/>
  </r>
  <r>
    <x v="5"/>
    <x v="0"/>
    <s v="C:\Users\cbarrier\Desktop\Calibration\20201111_Cefas_Test4_Run2\@16/01_C12_C12-1_20201111_14015001.tif "/>
    <s v=" 125604.798 "/>
    <s v=" 37.3954 "/>
    <x v="0"/>
    <n v="4697040"/>
    <m/>
    <m/>
    <m/>
  </r>
  <r>
    <x v="5"/>
    <x v="0"/>
    <s v="C:\Users\cbarrier\Desktop\Calibration\20201111_Cefas_Test4_Run2\@16/01_D12_D12-1_20201111_14015001.tif "/>
    <s v=" 468200.699 "/>
    <s v=" 48.7433 "/>
    <x v="0"/>
    <n v="22821659"/>
    <m/>
    <m/>
    <m/>
  </r>
  <r>
    <x v="5"/>
    <x v="0"/>
    <s v="C:\Users\cbarrier\Desktop\Calibration\20201111_Cefas_Test4_Run2\@16/01_E12_E12-1_20201111_14015001.tif "/>
    <s v=" 321312.085 "/>
    <s v=" 44.4561 "/>
    <x v="0"/>
    <n v="14284296"/>
    <m/>
    <m/>
    <m/>
  </r>
  <r>
    <x v="5"/>
    <x v="0"/>
    <s v="C:\Users\cbarrier\Desktop\Calibration\20201111_Cefas_Test4_Run2\@16/01_G12_G12-1_20201111_14015001.tif "/>
    <s v=" 323193.886 "/>
    <s v=" 47.2763 "/>
    <x v="0"/>
    <n v="15279422"/>
    <m/>
    <m/>
    <m/>
  </r>
  <r>
    <x v="1"/>
    <x v="1"/>
    <s v=" "/>
    <m/>
    <m/>
    <x v="1"/>
    <m/>
    <m/>
    <m/>
    <m/>
  </r>
  <r>
    <x v="1"/>
    <x v="1"/>
    <s v="group "/>
    <s v=" "/>
    <s v=" mean of mean fluo "/>
    <x v="2"/>
    <s v=" mean of total fluo "/>
    <s v=" SD total fluo "/>
    <s v=" n fluorescent "/>
    <s v=" n total"/>
  </r>
  <r>
    <x v="5"/>
    <x v="2"/>
    <s v="C:\Users\cbarrier\Desktop\Calibration\20201111_Cefas_Test4_Run2\@16/ "/>
    <s v=" "/>
    <s v=" 43.8167 "/>
    <x v="7"/>
    <s v=" 13344438.2 "/>
    <s v=" 6762899.55 "/>
    <n v="5"/>
    <n v="5"/>
  </r>
  <r>
    <x v="1"/>
    <x v="1"/>
    <s v=" "/>
    <m/>
    <m/>
    <x v="1"/>
    <m/>
    <m/>
    <m/>
    <m/>
  </r>
  <r>
    <x v="1"/>
    <x v="1"/>
    <s v=" "/>
    <m/>
    <m/>
    <x v="1"/>
    <m/>
    <m/>
    <m/>
    <m/>
  </r>
  <r>
    <x v="1"/>
    <x v="1"/>
    <s v=" "/>
    <m/>
    <m/>
    <x v="1"/>
    <m/>
    <m/>
    <m/>
    <m/>
  </r>
  <r>
    <x v="1"/>
    <x v="1"/>
    <s v=" "/>
    <m/>
    <m/>
    <x v="1"/>
    <m/>
    <m/>
    <m/>
    <m/>
  </r>
  <r>
    <x v="1"/>
    <x v="1"/>
    <s v=" "/>
    <m/>
    <m/>
    <x v="1"/>
    <m/>
    <m/>
    <m/>
    <m/>
  </r>
  <r>
    <x v="1"/>
    <x v="1"/>
    <s v="file name "/>
    <s v=" total area "/>
    <s v=" mean intensity "/>
    <x v="0"/>
    <s v=" total fluorescence"/>
    <m/>
    <m/>
    <m/>
  </r>
  <r>
    <x v="6"/>
    <x v="0"/>
    <s v="C:\Users\cbarrier\Desktop\Calibration\20201111_Cefas_Test4_Run2\@2/01_A2_A2-1_20201111_13583701.tif "/>
    <s v=" 307555.472 "/>
    <s v=" 47.5244 "/>
    <x v="0"/>
    <n v="14616380"/>
    <m/>
    <m/>
    <m/>
  </r>
  <r>
    <x v="6"/>
    <x v="0"/>
    <s v="C:\Users\cbarrier\Desktop\Calibration\20201111_Cefas_Test4_Run2\@2/01_B2_B2-1_20201111_13583801.tif "/>
    <s v=" 292890.403 "/>
    <s v=" 44.7613 "/>
    <x v="0"/>
    <n v="13110160"/>
    <m/>
    <m/>
    <m/>
  </r>
  <r>
    <x v="6"/>
    <x v="0"/>
    <s v="C:\Users\cbarrier\Desktop\Calibration\20201111_Cefas_Test4_Run2\@2/01_C2_C2-1_20201111_13583901.tif "/>
    <s v=" 357087.93 "/>
    <s v=" 41.4594 "/>
    <x v="0"/>
    <n v="14804646"/>
    <m/>
    <m/>
    <m/>
  </r>
  <r>
    <x v="6"/>
    <x v="0"/>
    <s v="C:\Users\cbarrier\Desktop\Calibration\20201111_Cefas_Test4_Run2\@2/01_D2_D2-1_20201111_13584101.tif "/>
    <s v=" 501489.107 "/>
    <s v=" 39.6262 "/>
    <x v="0"/>
    <n v="19872120"/>
    <m/>
    <m/>
    <m/>
  </r>
  <r>
    <x v="6"/>
    <x v="0"/>
    <s v="C:\Users\cbarrier\Desktop\Calibration\20201111_Cefas_Test4_Run2\@2/01_E2_E2-1_20201111_13584201.tif "/>
    <s v=" 337253.317 "/>
    <s v=" 45.4103 "/>
    <x v="0"/>
    <n v="15314787"/>
    <m/>
    <m/>
    <m/>
  </r>
  <r>
    <x v="6"/>
    <x v="0"/>
    <s v="C:\Users\cbarrier\Desktop\Calibration\20201111_Cefas_Test4_Run2\@2/01_F2_F2-1_20201111_13584401.tif "/>
    <s v=" 399720.453 "/>
    <s v=" 42.9635 "/>
    <x v="0"/>
    <n v="17173379"/>
    <m/>
    <m/>
    <m/>
  </r>
  <r>
    <x v="6"/>
    <x v="0"/>
    <s v="C:\Users\cbarrier\Desktop\Calibration\20201111_Cefas_Test4_Run2\@2/01_G2_G2-1_20201111_13584601.tif "/>
    <s v=" 223955.929 "/>
    <s v=" 44.1346 "/>
    <x v="0"/>
    <n v="9884213"/>
    <m/>
    <m/>
    <m/>
  </r>
  <r>
    <x v="6"/>
    <x v="0"/>
    <s v="C:\Users\cbarrier\Desktop\Calibration\20201111_Cefas_Test4_Run2\@2/02_H2_H2-1_20201111_13584802.tif "/>
    <s v=" 400153.051 "/>
    <s v=" 40.7752 "/>
    <x v="0"/>
    <n v="16316338"/>
    <m/>
    <m/>
    <m/>
  </r>
  <r>
    <x v="1"/>
    <x v="1"/>
    <s v=" "/>
    <m/>
    <m/>
    <x v="1"/>
    <m/>
    <m/>
    <m/>
    <m/>
  </r>
  <r>
    <x v="1"/>
    <x v="1"/>
    <s v="group "/>
    <s v=" "/>
    <s v=" mean of mean fluo "/>
    <x v="2"/>
    <s v=" mean of total fluo "/>
    <s v=" SD total fluo "/>
    <s v=" n fluorescent "/>
    <s v=" n total"/>
  </r>
  <r>
    <x v="6"/>
    <x v="2"/>
    <s v="C:\Users\cbarrier\Desktop\Calibration\20201111_Cefas_Test4_Run2\@2/ "/>
    <s v=" "/>
    <s v=" 43.3319 "/>
    <x v="8"/>
    <s v=" 15136502.9 "/>
    <s v=" 2929456.34 "/>
    <n v="8"/>
    <n v="8"/>
  </r>
  <r>
    <x v="1"/>
    <x v="1"/>
    <s v=" "/>
    <m/>
    <m/>
    <x v="1"/>
    <m/>
    <m/>
    <m/>
    <m/>
  </r>
  <r>
    <x v="1"/>
    <x v="1"/>
    <s v=" "/>
    <m/>
    <m/>
    <x v="1"/>
    <m/>
    <m/>
    <m/>
    <m/>
  </r>
  <r>
    <x v="1"/>
    <x v="1"/>
    <s v=" "/>
    <m/>
    <m/>
    <x v="1"/>
    <m/>
    <m/>
    <m/>
    <m/>
  </r>
  <r>
    <x v="1"/>
    <x v="1"/>
    <s v=" "/>
    <m/>
    <m/>
    <x v="1"/>
    <m/>
    <m/>
    <m/>
    <m/>
  </r>
  <r>
    <x v="1"/>
    <x v="1"/>
    <s v=" "/>
    <m/>
    <m/>
    <x v="1"/>
    <m/>
    <m/>
    <m/>
    <m/>
  </r>
  <r>
    <x v="1"/>
    <x v="1"/>
    <s v="file name "/>
    <s v=" total area "/>
    <s v=" mean intensity "/>
    <x v="0"/>
    <s v=" total fluorescence"/>
    <m/>
    <m/>
    <m/>
  </r>
  <r>
    <x v="7"/>
    <x v="0"/>
    <s v="C:\Users\cbarrier\Desktop\Calibration\20201111_Cefas_Test4_Run2\@3/01_A3_A3-1_20201111_13584901.tif "/>
    <s v=" 395740.552 "/>
    <s v=" 40.5285 "/>
    <x v="0"/>
    <n v="16038783"/>
    <m/>
    <m/>
    <m/>
  </r>
  <r>
    <x v="7"/>
    <x v="0"/>
    <s v="C:\Users\cbarrier\Desktop\Calibration\20201111_Cefas_Test4_Run2\@3/01_B3_B3-1_20201111_13585001.tif "/>
    <s v=" 509405.648 "/>
    <s v=" 46.5538 "/>
    <x v="0"/>
    <n v="23714757"/>
    <m/>
    <m/>
    <m/>
  </r>
  <r>
    <x v="7"/>
    <x v="0"/>
    <s v="C:\Users\cbarrier\Desktop\Calibration\20201111_Cefas_Test4_Run2\@3/01_C3_C3-1_20201111_13585301.tif "/>
    <s v=" 269638.266 "/>
    <s v=" 43.4365 "/>
    <x v="0"/>
    <n v="11712134"/>
    <m/>
    <m/>
    <m/>
  </r>
  <r>
    <x v="7"/>
    <x v="0"/>
    <s v="C:\Users\cbarrier\Desktop\Calibration\20201111_Cefas_Test4_Run2\@3/01_D3_D3-1_20201111_13585401.tif "/>
    <s v=" 368681.554 "/>
    <s v=" 44.8753 "/>
    <x v="0"/>
    <n v="16544685"/>
    <m/>
    <m/>
    <m/>
  </r>
  <r>
    <x v="7"/>
    <x v="0"/>
    <s v="C:\Users\cbarrier\Desktop\Calibration\20201111_Cefas_Test4_Run2\@3/01_E3_E3-1_20201111_13585601.tif "/>
    <s v=" 376035.718 "/>
    <s v=" 47.4495 "/>
    <x v="0"/>
    <n v="17842695"/>
    <m/>
    <m/>
    <m/>
  </r>
  <r>
    <x v="7"/>
    <x v="0"/>
    <s v="C:\Users\cbarrier\Desktop\Calibration\20201111_Cefas_Test4_Run2\@3/01_F3_F3-1_20201111_13585701.tif "/>
    <s v=" 349906.805 "/>
    <s v=" 42.9286 "/>
    <x v="0"/>
    <n v="15021010"/>
    <m/>
    <m/>
    <m/>
  </r>
  <r>
    <x v="7"/>
    <x v="0"/>
    <s v="C:\Users\cbarrier\Desktop\Calibration\20201111_Cefas_Test4_Run2\@3/01_G3_G3-1_20201111_13585901.tif "/>
    <s v=" 553444.114 "/>
    <s v=" 38.8848 "/>
    <x v="0"/>
    <n v="21520556"/>
    <m/>
    <m/>
    <m/>
  </r>
  <r>
    <x v="7"/>
    <x v="0"/>
    <s v="C:\Users\cbarrier\Desktop\Calibration\20201111_Cefas_Test4_Run2\@3/01_H3_H3-1_20201111_13590001.tif "/>
    <s v=" 307231.023 "/>
    <s v=" 45.7194 "/>
    <x v="0"/>
    <n v="14046432"/>
    <m/>
    <m/>
    <m/>
  </r>
  <r>
    <x v="1"/>
    <x v="1"/>
    <s v=" "/>
    <m/>
    <m/>
    <x v="1"/>
    <m/>
    <m/>
    <m/>
    <m/>
  </r>
  <r>
    <x v="1"/>
    <x v="1"/>
    <s v="group "/>
    <s v=" "/>
    <s v=" mean of mean fluo "/>
    <x v="2"/>
    <s v=" mean of total fluo "/>
    <s v=" SD total fluo "/>
    <s v=" n fluorescent "/>
    <s v=" n total"/>
  </r>
  <r>
    <x v="7"/>
    <x v="2"/>
    <s v="C:\Users\cbarrier\Desktop\Calibration\20201111_Cefas_Test4_Run2\@3/ "/>
    <s v=" "/>
    <s v=" 43.797 "/>
    <x v="9"/>
    <s v=" 17055131.5 "/>
    <s v=" 3926866.24 "/>
    <n v="8"/>
    <n v="8"/>
  </r>
  <r>
    <x v="1"/>
    <x v="1"/>
    <s v=" "/>
    <m/>
    <m/>
    <x v="1"/>
    <m/>
    <m/>
    <m/>
    <m/>
  </r>
  <r>
    <x v="1"/>
    <x v="1"/>
    <s v=" "/>
    <m/>
    <m/>
    <x v="1"/>
    <m/>
    <m/>
    <m/>
    <m/>
  </r>
  <r>
    <x v="1"/>
    <x v="1"/>
    <s v=" "/>
    <m/>
    <m/>
    <x v="1"/>
    <m/>
    <m/>
    <m/>
    <m/>
  </r>
  <r>
    <x v="1"/>
    <x v="1"/>
    <s v=" "/>
    <m/>
    <m/>
    <x v="1"/>
    <m/>
    <m/>
    <m/>
    <m/>
  </r>
  <r>
    <x v="1"/>
    <x v="1"/>
    <s v=" "/>
    <m/>
    <m/>
    <x v="1"/>
    <m/>
    <m/>
    <m/>
    <m/>
  </r>
  <r>
    <x v="1"/>
    <x v="1"/>
    <s v="file name "/>
    <s v=" total area "/>
    <s v=" mean intensity "/>
    <x v="0"/>
    <s v=" total fluorescence"/>
    <m/>
    <m/>
    <m/>
  </r>
  <r>
    <x v="8"/>
    <x v="0"/>
    <s v="C:\Users\cbarrier\Desktop\Calibration\20201111_Cefas_Test4_Run2\@4/01_A4_A4-1_20201111_13590201.tif "/>
    <s v=" 377268.622 "/>
    <s v=" 50.0584 "/>
    <x v="0"/>
    <n v="18885472"/>
    <m/>
    <m/>
    <m/>
  </r>
  <r>
    <x v="8"/>
    <x v="0"/>
    <s v="C:\Users\cbarrier\Desktop\Calibration\20201111_Cefas_Test4_Run2\@4/01_B4_B4-1_20201111_14015101.tif "/>
    <s v=" 272774.601 "/>
    <s v=" 47.5008 "/>
    <x v="0"/>
    <n v="12957021"/>
    <m/>
    <m/>
    <m/>
  </r>
  <r>
    <x v="8"/>
    <x v="0"/>
    <s v="C:\Users\cbarrier\Desktop\Calibration\20201111_Cefas_Test4_Run2\@4/01_C4_C4-1_20201111_13590401.tif "/>
    <s v=" 449772.029 "/>
    <s v=" 43.5215 "/>
    <x v="0"/>
    <n v="19574752"/>
    <m/>
    <m/>
    <m/>
  </r>
  <r>
    <x v="8"/>
    <x v="0"/>
    <s v="C:\Users\cbarrier\Desktop\Calibration\20201111_Cefas_Test4_Run2\@4/01_E4_E4-1_20201111_13590601.tif "/>
    <s v=" 225989.139 "/>
    <s v=" 44.4247 "/>
    <x v="0"/>
    <n v="10039494"/>
    <m/>
    <m/>
    <m/>
  </r>
  <r>
    <x v="8"/>
    <x v="0"/>
    <s v="C:\Users\cbarrier\Desktop\Calibration\20201111_Cefas_Test4_Run2\@4/01_F4_F4-1_20201111_13590901.tif "/>
    <s v=" 497271.278 "/>
    <s v=" 46.2073 "/>
    <x v="0"/>
    <n v="22977545"/>
    <m/>
    <m/>
    <m/>
  </r>
  <r>
    <x v="8"/>
    <x v="0"/>
    <s v="C:\Users\cbarrier\Desktop\Calibration\20201111_Cefas_Test4_Run2\@4/01_G4_G4-1_20201111_13591101.tif "/>
    <s v=" 404327.62 "/>
    <s v=" 44.3712 "/>
    <x v="0"/>
    <n v="17940484"/>
    <m/>
    <m/>
    <m/>
  </r>
  <r>
    <x v="8"/>
    <x v="0"/>
    <s v="C:\Users\cbarrier\Desktop\Calibration\20201111_Cefas_Test4_Run2\@4/01_H4_H4-1_20201111_13591201.tif "/>
    <s v=" 375343.561 "/>
    <s v=" 42.6559 "/>
    <x v="0"/>
    <n v="16010599"/>
    <m/>
    <m/>
    <m/>
  </r>
  <r>
    <x v="8"/>
    <x v="0"/>
    <s v="C:\Users\cbarrier\Desktop\Calibration\20201111_Cefas_Test4_Run2\@4/02_D4_D4-1_20201111_13590502.tif "/>
    <s v=" 468525.148 "/>
    <s v=" 44.9741 "/>
    <x v="0"/>
    <n v="21071476"/>
    <m/>
    <m/>
    <m/>
  </r>
  <r>
    <x v="1"/>
    <x v="1"/>
    <s v=" "/>
    <m/>
    <m/>
    <x v="1"/>
    <m/>
    <m/>
    <m/>
    <m/>
  </r>
  <r>
    <x v="1"/>
    <x v="1"/>
    <s v="group "/>
    <s v=" "/>
    <s v=" mean of mean fluo "/>
    <x v="2"/>
    <s v=" mean of total fluo "/>
    <s v=" SD total fluo "/>
    <s v=" n fluorescent "/>
    <s v=" n total"/>
  </r>
  <r>
    <x v="8"/>
    <x v="2"/>
    <s v="C:\Users\cbarrier\Desktop\Calibration\20201111_Cefas_Test4_Run2\@4/ "/>
    <s v=" "/>
    <s v=" 45.4642 "/>
    <x v="10"/>
    <s v=" 17432105.4 "/>
    <s v=" 4270435.58 "/>
    <n v="8"/>
    <n v="8"/>
  </r>
  <r>
    <x v="1"/>
    <x v="1"/>
    <s v=" "/>
    <m/>
    <m/>
    <x v="1"/>
    <m/>
    <m/>
    <m/>
    <m/>
  </r>
  <r>
    <x v="1"/>
    <x v="1"/>
    <s v=" "/>
    <m/>
    <m/>
    <x v="1"/>
    <m/>
    <m/>
    <m/>
    <m/>
  </r>
  <r>
    <x v="1"/>
    <x v="1"/>
    <s v=" "/>
    <m/>
    <m/>
    <x v="1"/>
    <m/>
    <m/>
    <m/>
    <m/>
  </r>
  <r>
    <x v="1"/>
    <x v="1"/>
    <s v=" "/>
    <m/>
    <m/>
    <x v="1"/>
    <m/>
    <m/>
    <m/>
    <m/>
  </r>
  <r>
    <x v="1"/>
    <x v="1"/>
    <s v=" "/>
    <m/>
    <m/>
    <x v="1"/>
    <m/>
    <m/>
    <m/>
    <m/>
  </r>
  <r>
    <x v="1"/>
    <x v="1"/>
    <s v="file name "/>
    <s v=" total area "/>
    <s v=" mean intensity "/>
    <x v="0"/>
    <s v=" total fluorescence"/>
    <m/>
    <m/>
    <m/>
  </r>
  <r>
    <x v="9"/>
    <x v="0"/>
    <s v="C:\Users\cbarrier\Desktop\Calibration\20201111_Cefas_Test4_Run2\@5/01_A5_A5-1_20201111_13591401.tif "/>
    <s v=" 264295.682 "/>
    <s v=" 48.2414 "/>
    <x v="0"/>
    <n v="12750001"/>
    <m/>
    <m/>
    <m/>
  </r>
  <r>
    <x v="9"/>
    <x v="0"/>
    <s v="C:\Users\cbarrier\Desktop\Calibration\20201111_Cefas_Test4_Run2\@5/01_B5_B5-1_20201111_13591501.tif "/>
    <s v=" 432597.893 "/>
    <s v=" 51.9963 "/>
    <x v="0"/>
    <n v="22493468"/>
    <m/>
    <m/>
    <m/>
  </r>
  <r>
    <x v="9"/>
    <x v="0"/>
    <s v="C:\Users\cbarrier\Desktop\Calibration\20201111_Cefas_Test4_Run2\@5/01_E5_E5-1_20201111_13592701.tif "/>
    <s v=" 435734.227 "/>
    <s v=" 46.2128 "/>
    <x v="0"/>
    <n v="20136480"/>
    <m/>
    <m/>
    <m/>
  </r>
  <r>
    <x v="9"/>
    <x v="0"/>
    <s v="C:\Users\cbarrier\Desktop\Calibration\20201111_Cefas_Test4_Run2\@5/01_F5_F5-1_20201111_13592901.tif "/>
    <s v=" 445554.199 "/>
    <s v=" 45.8632 "/>
    <x v="0"/>
    <n v="20434540"/>
    <m/>
    <m/>
    <m/>
  </r>
  <r>
    <x v="9"/>
    <x v="0"/>
    <s v="C:\Users\cbarrier\Desktop\Calibration\20201111_Cefas_Test4_Run2\@5/01_G5_G5-1_20201111_13593501.tif "/>
    <s v=" 327801.053 "/>
    <s v=" 47.2993 "/>
    <x v="0"/>
    <n v="15504763"/>
    <m/>
    <m/>
    <m/>
  </r>
  <r>
    <x v="9"/>
    <x v="0"/>
    <s v="C:\Users\cbarrier\Desktop\Calibration\20201111_Cefas_Test4_Run2\@5/01_H5_H5-1_20201111_13593701.tif "/>
    <s v=" 419382.027 "/>
    <s v=" 49.0069 "/>
    <x v="0"/>
    <n v="20552618"/>
    <m/>
    <m/>
    <m/>
  </r>
  <r>
    <x v="9"/>
    <x v="0"/>
    <s v="C:\Users\cbarrier\Desktop\Calibration\20201111_Cefas_Test4_Run2\@5/02_D5_D5-1_20201111_13592402.tif "/>
    <s v=" 239789.012 "/>
    <s v=" 45.1085 "/>
    <x v="0"/>
    <n v="10816526"/>
    <m/>
    <m/>
    <m/>
  </r>
  <r>
    <x v="1"/>
    <x v="1"/>
    <s v=" "/>
    <m/>
    <m/>
    <x v="1"/>
    <m/>
    <m/>
    <m/>
    <m/>
  </r>
  <r>
    <x v="1"/>
    <x v="1"/>
    <s v="group "/>
    <s v=" "/>
    <s v=" mean of mean fluo "/>
    <x v="2"/>
    <s v=" mean of total fluo "/>
    <s v=" SD total fluo "/>
    <s v=" n fluorescent "/>
    <s v=" n total"/>
  </r>
  <r>
    <x v="9"/>
    <x v="2"/>
    <s v="C:\Users\cbarrier\Desktop\Calibration\20201111_Cefas_Test4_Run2\@5/ "/>
    <s v=" "/>
    <s v=" 47.6755 "/>
    <x v="11"/>
    <s v=" 17526913.7 "/>
    <s v=" 4491157.36 "/>
    <n v="7"/>
    <n v="7"/>
  </r>
  <r>
    <x v="1"/>
    <x v="1"/>
    <s v=" "/>
    <m/>
    <m/>
    <x v="1"/>
    <m/>
    <m/>
    <m/>
    <m/>
  </r>
  <r>
    <x v="1"/>
    <x v="1"/>
    <s v=" "/>
    <m/>
    <m/>
    <x v="1"/>
    <m/>
    <m/>
    <m/>
    <m/>
  </r>
  <r>
    <x v="1"/>
    <x v="1"/>
    <s v=" "/>
    <m/>
    <m/>
    <x v="1"/>
    <m/>
    <m/>
    <m/>
    <m/>
  </r>
  <r>
    <x v="1"/>
    <x v="1"/>
    <s v=" "/>
    <m/>
    <m/>
    <x v="1"/>
    <m/>
    <m/>
    <m/>
    <m/>
  </r>
  <r>
    <x v="1"/>
    <x v="1"/>
    <s v=" "/>
    <m/>
    <m/>
    <x v="1"/>
    <m/>
    <m/>
    <m/>
    <m/>
  </r>
  <r>
    <x v="1"/>
    <x v="1"/>
    <s v="file name "/>
    <s v=" total area "/>
    <s v=" mean intensity "/>
    <x v="0"/>
    <s v=" total fluorescence"/>
    <m/>
    <m/>
    <m/>
  </r>
  <r>
    <x v="10"/>
    <x v="0"/>
    <s v="C:\Users\cbarrier\Desktop\Calibration\20201111_Cefas_Test4_Run2\@6/01_A6_A6-1_20201111_13594101.tif "/>
    <s v=" 464242.428 "/>
    <s v=" 43.8362 "/>
    <x v="0"/>
    <n v="20350616"/>
    <m/>
    <m/>
    <m/>
  </r>
  <r>
    <x v="10"/>
    <x v="0"/>
    <s v="C:\Users\cbarrier\Desktop\Calibration\20201111_Cefas_Test4_Run2\@6/01_C6_C6-1_20201111_13595001.tif "/>
    <s v=" 502873.42 "/>
    <s v=" 54.5106 "/>
    <x v="0"/>
    <n v="27411912"/>
    <m/>
    <m/>
    <m/>
  </r>
  <r>
    <x v="10"/>
    <x v="0"/>
    <s v="C:\Users\cbarrier\Desktop\Calibration\20201111_Cefas_Test4_Run2\@6/01_D6_D6-1_20201111_13595201.tif "/>
    <s v=" 345926.905 "/>
    <s v=" 49.9914 "/>
    <x v="0"/>
    <n v="17293360"/>
    <m/>
    <m/>
    <m/>
  </r>
  <r>
    <x v="10"/>
    <x v="0"/>
    <s v="C:\Users\cbarrier\Desktop\Calibration\20201111_Cefas_Test4_Run2\@6/01_E6_E6-1_20201111_13595501.tif "/>
    <s v=" 331910.733 "/>
    <s v=" 47.5333 "/>
    <x v="0"/>
    <n v="15776824"/>
    <m/>
    <m/>
    <m/>
  </r>
  <r>
    <x v="10"/>
    <x v="0"/>
    <s v="C:\Users\cbarrier\Desktop\Calibration\20201111_Cefas_Test4_Run2\@6/01_F6_F6-1_20201111_13595901.tif "/>
    <s v=" 328860.918 "/>
    <s v=" 53.4261 "/>
    <x v="0"/>
    <n v="17569769"/>
    <m/>
    <m/>
    <m/>
  </r>
  <r>
    <x v="10"/>
    <x v="0"/>
    <s v="C:\Users\cbarrier\Desktop\Calibration\20201111_Cefas_Test4_Run2\@6/01_G6_G6-1_20201111_14000201.tif "/>
    <s v=" 381248.523 "/>
    <s v=" 54.1324 "/>
    <x v="0"/>
    <n v="20637883"/>
    <m/>
    <m/>
    <m/>
  </r>
  <r>
    <x v="10"/>
    <x v="0"/>
    <s v="C:\Users\cbarrier\Desktop\Calibration\20201111_Cefas_Test4_Run2\@6/01_H6_H6-1_20201111_14000701.tif "/>
    <s v=" 447003.402 "/>
    <s v=" 50.3336 "/>
    <x v="0"/>
    <n v="22499287"/>
    <m/>
    <m/>
    <m/>
  </r>
  <r>
    <x v="10"/>
    <x v="0"/>
    <s v="C:\Users\cbarrier\Desktop\Calibration\20201111_Cefas_Test4_Run2\@6/02_B6_B6-1_20201111_13594602.tif "/>
    <s v=" 364463.724 "/>
    <s v=" 49.4423 "/>
    <x v="0"/>
    <n v="18019908"/>
    <m/>
    <m/>
    <m/>
  </r>
  <r>
    <x v="1"/>
    <x v="1"/>
    <s v=" "/>
    <m/>
    <m/>
    <x v="1"/>
    <m/>
    <m/>
    <m/>
    <m/>
  </r>
  <r>
    <x v="1"/>
    <x v="1"/>
    <s v="group "/>
    <s v=" "/>
    <s v=" mean of mean fluo "/>
    <x v="2"/>
    <s v=" mean of total fluo "/>
    <s v=" SD total fluo "/>
    <s v=" n fluorescent "/>
    <s v=" n total"/>
  </r>
  <r>
    <x v="10"/>
    <x v="2"/>
    <s v="C:\Users\cbarrier\Desktop\Calibration\20201111_Cefas_Test4_Run2\@6/ "/>
    <s v=" "/>
    <s v=" 50.4007 "/>
    <x v="12"/>
    <s v=" 19944944.9 "/>
    <s v=" 3716302.99 "/>
    <n v="8"/>
    <n v="8"/>
  </r>
  <r>
    <x v="1"/>
    <x v="1"/>
    <s v=" "/>
    <m/>
    <m/>
    <x v="1"/>
    <m/>
    <m/>
    <m/>
    <m/>
  </r>
  <r>
    <x v="1"/>
    <x v="1"/>
    <s v=" "/>
    <m/>
    <m/>
    <x v="1"/>
    <m/>
    <m/>
    <m/>
    <m/>
  </r>
  <r>
    <x v="1"/>
    <x v="1"/>
    <s v=" "/>
    <m/>
    <m/>
    <x v="1"/>
    <m/>
    <m/>
    <m/>
    <m/>
  </r>
  <r>
    <x v="1"/>
    <x v="1"/>
    <s v=" "/>
    <m/>
    <m/>
    <x v="1"/>
    <m/>
    <m/>
    <m/>
    <m/>
  </r>
  <r>
    <x v="1"/>
    <x v="1"/>
    <s v=" "/>
    <m/>
    <m/>
    <x v="1"/>
    <m/>
    <m/>
    <m/>
    <m/>
  </r>
  <r>
    <x v="1"/>
    <x v="1"/>
    <s v="file name "/>
    <s v=" total area "/>
    <s v=" mean intensity "/>
    <x v="0"/>
    <s v=" total fluorescence"/>
    <m/>
    <m/>
    <m/>
  </r>
  <r>
    <x v="11"/>
    <x v="0"/>
    <s v="C:\Users\cbarrier\Desktop\Calibration\20201111_Cefas_Test4_Run2\@7/01_B7_B7-1_20201111_14001001.tif "/>
    <s v=" 357866.607 "/>
    <s v=" 60.8169 "/>
    <x v="0"/>
    <n v="21764324"/>
    <m/>
    <m/>
    <m/>
  </r>
  <r>
    <x v="11"/>
    <x v="0"/>
    <s v="C:\Users\cbarrier\Desktop\Calibration\20201111_Cefas_Test4_Run2\@7/01_E7_E7-1_20201111_14001801.tif "/>
    <s v=" 413130.987 "/>
    <s v=" 57.7986 "/>
    <x v="0"/>
    <n v="23878409"/>
    <m/>
    <m/>
    <m/>
  </r>
  <r>
    <x v="11"/>
    <x v="0"/>
    <s v="C:\Users\cbarrier\Desktop\Calibration\20201111_Cefas_Test4_Run2\@7/01_F7_F7-1_20201111_14002101.tif "/>
    <s v=" 272709.711 "/>
    <s v=" 53.4276 "/>
    <x v="0"/>
    <n v="14570221"/>
    <m/>
    <m/>
    <m/>
  </r>
  <r>
    <x v="11"/>
    <x v="0"/>
    <s v="C:\Users\cbarrier\Desktop\Calibration\20201111_Cefas_Test4_Run2\@7/01_G7_G7-1_20201111_14002201.tif "/>
    <s v=" 453687.04 "/>
    <s v=" 59.1445 "/>
    <x v="0"/>
    <n v="26833074"/>
    <m/>
    <m/>
    <m/>
  </r>
  <r>
    <x v="11"/>
    <x v="0"/>
    <s v="C:\Users\cbarrier\Desktop\Calibration\20201111_Cefas_Test4_Run2\@7/01_H7_H7-1_20201111_14002401.tif "/>
    <s v=" 383065.434 "/>
    <s v=" 55.1003 "/>
    <x v="0"/>
    <n v="21107014"/>
    <m/>
    <m/>
    <m/>
  </r>
  <r>
    <x v="11"/>
    <x v="0"/>
    <s v="C:\Users\cbarrier\Desktop\Calibration\20201111_Cefas_Test4_Run2\@7/02_D7_D7-1_20201111_14001602.tif "/>
    <s v=" 342141.673 "/>
    <s v=" 62.1642 "/>
    <x v="0"/>
    <n v="21268957"/>
    <m/>
    <m/>
    <m/>
  </r>
  <r>
    <x v="1"/>
    <x v="1"/>
    <s v=" "/>
    <m/>
    <m/>
    <x v="1"/>
    <m/>
    <m/>
    <m/>
    <m/>
  </r>
  <r>
    <x v="1"/>
    <x v="1"/>
    <s v="group "/>
    <s v=" "/>
    <s v=" mean of mean fluo "/>
    <x v="2"/>
    <s v=" mean of total fluo "/>
    <s v=" SD total fluo "/>
    <s v=" n fluorescent "/>
    <s v=" n total"/>
  </r>
  <r>
    <x v="11"/>
    <x v="2"/>
    <s v="C:\Users\cbarrier\Desktop\Calibration\20201111_Cefas_Test4_Run2\@7/ "/>
    <s v=" "/>
    <s v=" 58.0753 "/>
    <x v="13"/>
    <s v=" 21570333.2 "/>
    <s v=" 4058776.91 "/>
    <n v="6"/>
    <n v="6"/>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r>
    <x v="1"/>
    <x v="1"/>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le name "/>
    <s v=" total area "/>
    <s v=" mean intensity "/>
    <x v="0"/>
    <s v=" total fluorescence"/>
    <m/>
    <m/>
  </r>
  <r>
    <x v="1"/>
    <x v="1"/>
    <s v="C:\Users\cbarrier\Desktop\Calibration\20201112_Cefas_Test5_Run3/@1/A10_01.tif "/>
    <s v=" 8781.7372 "/>
    <s v=" 33.6773 "/>
    <x v="0"/>
    <n v="295746"/>
    <m/>
    <m/>
  </r>
  <r>
    <x v="1"/>
    <x v="1"/>
    <s v="C:\Users\cbarrier\Desktop\Calibration\20201112_Cefas_Test5_Run3/@1/A10_02.tif "/>
    <s v=" 4953.2459 "/>
    <s v=" 33.3668 "/>
    <x v="0"/>
    <n v="165274"/>
    <m/>
    <m/>
  </r>
  <r>
    <x v="1"/>
    <x v="1"/>
    <s v="C:\Users\cbarrier\Desktop\Calibration\20201112_Cefas_Test5_Run3/@1/A10_03.tif "/>
    <s v=" 5472.3633 "/>
    <s v=" 33.2095 "/>
    <x v="0"/>
    <n v="181734"/>
    <m/>
    <m/>
  </r>
  <r>
    <x v="1"/>
    <x v="2"/>
    <s v="C:\Users\cbarrier\Desktop\Calibration\20201112_Cefas_Test5_Run3/@1/B10_01.tif "/>
    <s v=" 9062.9258 "/>
    <s v=" 38.494 "/>
    <x v="0"/>
    <n v="348869"/>
    <m/>
    <m/>
  </r>
  <r>
    <x v="1"/>
    <x v="2"/>
    <s v="C:\Users\cbarrier\Desktop\Calibration\20201112_Cefas_Test5_Run3/@1/B10_02.tif "/>
    <n v="0"/>
    <n v="0"/>
    <x v="0"/>
    <n v="0"/>
    <m/>
    <m/>
  </r>
  <r>
    <x v="1"/>
    <x v="2"/>
    <s v="C:\Users\cbarrier\Desktop\Calibration\20201112_Cefas_Test5_Run3/@1/B10_03.tif "/>
    <s v=" 9993.0113 "/>
    <s v=" 36.0758 "/>
    <x v="0"/>
    <n v="360505"/>
    <m/>
    <m/>
  </r>
  <r>
    <x v="1"/>
    <x v="3"/>
    <s v="C:\Users\cbarrier\Desktop\Calibration\20201112_Cefas_Test5_Run3/@1/C10_01.tif "/>
    <s v=" 7094.6054 "/>
    <s v=" 35.125 "/>
    <x v="0"/>
    <n v="249198"/>
    <m/>
    <m/>
  </r>
  <r>
    <x v="1"/>
    <x v="3"/>
    <s v="C:\Users\cbarrier\Desktop\Calibration\20201112_Cefas_Test5_Run3/@1/C10_02- exclu.tif"/>
    <m/>
    <m/>
    <x v="1"/>
    <m/>
    <m/>
    <m/>
  </r>
  <r>
    <x v="1"/>
    <x v="3"/>
    <s v="C:\Users\cbarrier\Desktop\Calibration\20201112_Cefas_Test5_Run3/@1/C10_03- exclu.tif"/>
    <m/>
    <m/>
    <x v="1"/>
    <m/>
    <m/>
    <m/>
  </r>
  <r>
    <x v="1"/>
    <x v="4"/>
    <s v="C:\Users\cbarrier\Desktop\Calibration\20201112_Cefas_Test5_Run3/@1/D10_01.tif "/>
    <n v="0"/>
    <n v="0"/>
    <x v="0"/>
    <n v="0"/>
    <m/>
    <m/>
  </r>
  <r>
    <x v="1"/>
    <x v="4"/>
    <s v="C:\Users\cbarrier\Desktop\Calibration\20201112_Cefas_Test5_Run3/@1/D10_02.tif "/>
    <n v="0"/>
    <n v="0"/>
    <x v="0"/>
    <n v="0"/>
    <m/>
    <m/>
  </r>
  <r>
    <x v="1"/>
    <x v="4"/>
    <s v="C:\Users\cbarrier\Desktop\Calibration\20201112_Cefas_Test5_Run3/@1/D10_03.tif "/>
    <s v=" 21.6299 "/>
    <n v="34"/>
    <x v="0"/>
    <n v="735"/>
    <m/>
    <m/>
  </r>
  <r>
    <x v="1"/>
    <x v="5"/>
    <s v="C:\Users\cbarrier\Desktop\Calibration\20201112_Cefas_Test5_Run3/@1/E10_01.tif "/>
    <s v=" 1622.2421 "/>
    <s v=" 33.28 "/>
    <x v="0"/>
    <n v="53988"/>
    <m/>
    <m/>
  </r>
  <r>
    <x v="1"/>
    <x v="5"/>
    <s v="C:\Users\cbarrier\Desktop\Calibration\20201112_Cefas_Test5_Run3/@1/E10_02.tif "/>
    <s v=" 194.6691 "/>
    <s v=" 30.2222 "/>
    <x v="0"/>
    <n v="5883"/>
    <m/>
    <m/>
  </r>
  <r>
    <x v="1"/>
    <x v="5"/>
    <s v="C:\Users\cbarrier\Desktop\Calibration\20201112_Cefas_Test5_Run3/@1/E10_03.tif "/>
    <s v=" 302.8185 "/>
    <s v=" 31.2857 "/>
    <x v="0"/>
    <n v="9474"/>
    <m/>
    <m/>
  </r>
  <r>
    <x v="1"/>
    <x v="6"/>
    <s v="C:\Users\cbarrier\Desktop\Calibration\20201112_Cefas_Test5_Run3/@1/F10_01.tif "/>
    <s v=" 519.1175 "/>
    <s v=" 31.375 "/>
    <x v="0"/>
    <n v="16287"/>
    <m/>
    <m/>
  </r>
  <r>
    <x v="1"/>
    <x v="6"/>
    <s v="C:\Users\cbarrier\Desktop\Calibration\20201112_Cefas_Test5_Run3/@1/F10_02.tif "/>
    <s v=" 281.1886 "/>
    <s v=" 31.8462 "/>
    <x v="0"/>
    <n v="8955"/>
    <m/>
    <m/>
  </r>
  <r>
    <x v="1"/>
    <x v="6"/>
    <s v="C:\Users\cbarrier\Desktop\Calibration\20201112_Cefas_Test5_Run3/@1/F10_03.tif "/>
    <s v=" 735.4164 "/>
    <s v=" 34.4706 "/>
    <x v="0"/>
    <n v="25350"/>
    <m/>
    <m/>
  </r>
  <r>
    <x v="1"/>
    <x v="7"/>
    <s v="C:\Users\cbarrier\Desktop\Calibration\20201112_Cefas_Test5_Run3/@1/G10_01.tif "/>
    <s v=" 3309.3739 "/>
    <s v=" 35.9935 "/>
    <x v="0"/>
    <n v="119116"/>
    <m/>
    <m/>
  </r>
  <r>
    <x v="1"/>
    <x v="7"/>
    <s v="C:\Users\cbarrier\Desktop\Calibration\20201112_Cefas_Test5_Run3/@1/G10_02.tif "/>
    <s v=" 3806.8615 "/>
    <s v=" 34.8864 "/>
    <x v="0"/>
    <n v="132808"/>
    <m/>
    <m/>
  </r>
  <r>
    <x v="1"/>
    <x v="7"/>
    <s v="C:\Users\cbarrier\Desktop\Calibration\20201112_Cefas_Test5_Run3/@1/G10_03.tif "/>
    <s v=" 1665.5019 "/>
    <s v=" 32.8961 "/>
    <x v="0"/>
    <n v="54789"/>
    <m/>
    <m/>
  </r>
  <r>
    <x v="1"/>
    <x v="8"/>
    <s v="C:\Users\cbarrier\Desktop\Calibration\20201112_Cefas_Test5_Run3/@1/H10_01.tif "/>
    <s v=" 713.7865 "/>
    <s v=" 31.9697 "/>
    <x v="0"/>
    <n v="22820"/>
    <m/>
    <m/>
  </r>
  <r>
    <x v="1"/>
    <x v="8"/>
    <s v="C:\Users\cbarrier\Desktop\Calibration\20201112_Cefas_Test5_Run3/@1/H10_02.tif "/>
    <s v=" 1752.0215 "/>
    <s v=" 32.679 "/>
    <x v="0"/>
    <n v="57254"/>
    <m/>
    <m/>
  </r>
  <r>
    <x v="1"/>
    <x v="8"/>
    <s v="C:\Users\cbarrier\Desktop\Calibration\20201112_Cefas_Test5_Run3/@1/H10_03.tif "/>
    <n v="0"/>
    <n v="0"/>
    <x v="0"/>
    <n v="0"/>
    <m/>
    <m/>
  </r>
  <r>
    <x v="0"/>
    <x v="0"/>
    <s v=" "/>
    <m/>
    <m/>
    <x v="1"/>
    <m/>
    <m/>
    <m/>
  </r>
  <r>
    <x v="0"/>
    <x v="0"/>
    <s v="group "/>
    <s v=" "/>
    <s v=" mean of mean fluo "/>
    <x v="2"/>
    <s v=" mean of total fluo "/>
    <m/>
    <m/>
  </r>
  <r>
    <x v="1"/>
    <x v="9"/>
    <s v="C:\Users\cbarrier\Desktop\Calibration\20201112_Cefas_Test5_Run3/@1/ "/>
    <s v=" "/>
    <s v=" 29.8126 "/>
    <x v="3"/>
    <s v=" 169003.375 "/>
    <m/>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cbarrier\Desktop\Calibration\20201112_Cefas_Test5_Run3/@13/A8_01- exclu.tif"/>
    <m/>
    <m/>
    <x v="1"/>
    <m/>
    <m/>
    <m/>
  </r>
  <r>
    <x v="2"/>
    <x v="1"/>
    <s v="C:\Users\cbarrier\Desktop\Calibration\20201112_Cefas_Test5_Run3/@13/A8_02.tif "/>
    <s v=" 11571.9936 "/>
    <s v=" 36.3009 "/>
    <x v="0"/>
    <n v="420074"/>
    <m/>
    <m/>
  </r>
  <r>
    <x v="2"/>
    <x v="1"/>
    <s v="C:\Users\cbarrier\Desktop\Calibration\20201112_Cefas_Test5_Run3/@13/A8_03.tif "/>
    <s v=" 389.3381 "/>
    <s v=" 33.2778 "/>
    <x v="0"/>
    <n v="12956"/>
    <m/>
    <m/>
  </r>
  <r>
    <x v="2"/>
    <x v="2"/>
    <s v="C:\Users\cbarrier\Desktop\Calibration\20201112_Cefas_Test5_Run3/@13/B8_01.tif "/>
    <s v=" 2141.3596 "/>
    <s v=" 33.3636 "/>
    <x v="0"/>
    <n v="71444"/>
    <m/>
    <m/>
  </r>
  <r>
    <x v="2"/>
    <x v="2"/>
    <s v="C:\Users\cbarrier\Desktop\Calibration\20201112_Cefas_Test5_Run3/@13/B8_02- exclu.tif"/>
    <m/>
    <m/>
    <x v="1"/>
    <m/>
    <m/>
    <m/>
  </r>
  <r>
    <x v="2"/>
    <x v="2"/>
    <s v="C:\Users\cbarrier\Desktop\Calibration\20201112_Cefas_Test5_Run3/@13/B8_03.tif "/>
    <s v=" 3395.8935 "/>
    <s v=" 34.6433 "/>
    <x v="0"/>
    <n v="117645"/>
    <m/>
    <m/>
  </r>
  <r>
    <x v="2"/>
    <x v="3"/>
    <s v="C:\Users\cbarrier\Desktop\Calibration\20201112_Cefas_Test5_Run3/@13/C8_01.tif "/>
    <s v=" 9409.0042 "/>
    <s v=" 34.0023 "/>
    <x v="0"/>
    <n v="319928"/>
    <m/>
    <m/>
  </r>
  <r>
    <x v="2"/>
    <x v="3"/>
    <s v="C:\Users\cbarrier\Desktop\Calibration\20201112_Cefas_Test5_Run3/@13/C8_02.tif "/>
    <s v=" 6921.5663 "/>
    <s v=" 33.8563 "/>
    <x v="0"/>
    <n v="234338"/>
    <m/>
    <m/>
  </r>
  <r>
    <x v="2"/>
    <x v="3"/>
    <s v="C:\Users\cbarrier\Desktop\Calibration\20201112_Cefas_Test5_Run3/@13/C8_03.tif "/>
    <s v=" 6207.7798 "/>
    <s v=" 34.4216 "/>
    <x v="0"/>
    <n v="213682"/>
    <m/>
    <m/>
  </r>
  <r>
    <x v="2"/>
    <x v="4"/>
    <s v="C:\Users\cbarrier\Desktop\Calibration\20201112_Cefas_Test5_Run3/@13/D8_01.tif "/>
    <s v=" 64046.118 "/>
    <s v=" 42.2215 "/>
    <x v="0"/>
    <n v="2704126"/>
    <m/>
    <m/>
  </r>
  <r>
    <x v="2"/>
    <x v="4"/>
    <s v="C:\Users\cbarrier\Desktop\Calibration\20201112_Cefas_Test5_Run3/@13/D8_02.tif "/>
    <s v=" 72092.4388 "/>
    <s v=" 41.5836 "/>
    <x v="0"/>
    <n v="2997860"/>
    <m/>
    <m/>
  </r>
  <r>
    <x v="2"/>
    <x v="4"/>
    <s v="C:\Users\cbarrier\Desktop\Calibration\20201112_Cefas_Test5_Run3/@13/D8_03.tif "/>
    <s v=" 61407.2709 "/>
    <s v=" 40.0169 "/>
    <x v="0"/>
    <n v="2457329"/>
    <m/>
    <m/>
  </r>
  <r>
    <x v="2"/>
    <x v="5"/>
    <s v="C:\Users\cbarrier\Desktop\Calibration\20201112_Cefas_Test5_Run3/@13/E8_01.tif "/>
    <s v=" 69907.8194 "/>
    <s v=" 40.0637 "/>
    <x v="0"/>
    <n v="2800769"/>
    <m/>
    <m/>
  </r>
  <r>
    <x v="2"/>
    <x v="5"/>
    <s v="C:\Users\cbarrier\Desktop\Calibration\20201112_Cefas_Test5_Run3/@13/E8_02.tif "/>
    <s v=" 67182.4527 "/>
    <s v=" 40.2579 "/>
    <x v="0"/>
    <n v="2704624"/>
    <m/>
    <m/>
  </r>
  <r>
    <x v="2"/>
    <x v="5"/>
    <s v="C:\Users\cbarrier\Desktop\Calibration\20201112_Cefas_Test5_Run3/@13/E8_03.tif "/>
    <s v=" 70599.9761 "/>
    <s v=" 42.7874 "/>
    <x v="0"/>
    <n v="3020788"/>
    <m/>
    <m/>
  </r>
  <r>
    <x v="2"/>
    <x v="6"/>
    <s v="C:\Users\cbarrier\Desktop\Calibration\20201112_Cefas_Test5_Run3/@13/F8_01.tif "/>
    <s v=" 4801.8366 "/>
    <s v=" 31.3829 "/>
    <x v="0"/>
    <n v="150695"/>
    <m/>
    <m/>
  </r>
  <r>
    <x v="2"/>
    <x v="6"/>
    <s v="C:\Users\cbarrier\Desktop\Calibration\20201112_Cefas_Test5_Run3/@13/F8_02.tif "/>
    <s v=" 1622.2421 "/>
    <s v=" 31.0267 "/>
    <x v="0"/>
    <n v="50333"/>
    <m/>
    <m/>
  </r>
  <r>
    <x v="2"/>
    <x v="6"/>
    <s v="C:\Users\cbarrier\Desktop\Calibration\20201112_Cefas_Test5_Run3/@13/F8_03- exclu.tif"/>
    <m/>
    <m/>
    <x v="1"/>
    <m/>
    <m/>
    <m/>
  </r>
  <r>
    <x v="2"/>
    <x v="7"/>
    <s v="C:\Users\cbarrier\Desktop\Calibration\20201112_Cefas_Test5_Run3/@13/G8_01.tif "/>
    <s v=" 30736.0803 "/>
    <s v=" 37.3871 "/>
    <x v="0"/>
    <n v="1149131"/>
    <m/>
    <m/>
  </r>
  <r>
    <x v="2"/>
    <x v="7"/>
    <s v="C:\Users\cbarrier\Desktop\Calibration\20201112_Cefas_Test5_Run3/@13/G8_02.tif "/>
    <s v=" 42546.0027 "/>
    <s v=" 37.847 "/>
    <x v="0"/>
    <n v="1610238"/>
    <m/>
    <m/>
  </r>
  <r>
    <x v="2"/>
    <x v="7"/>
    <s v="C:\Users\cbarrier\Desktop\Calibration\20201112_Cefas_Test5_Run3/@13/G8_03- exclu.tif"/>
    <m/>
    <m/>
    <x v="1"/>
    <m/>
    <m/>
    <m/>
  </r>
  <r>
    <x v="2"/>
    <x v="8"/>
    <s v="C:\Users\cbarrier\Desktop\Calibration\20201112_Cefas_Test5_Run3/@13/H8_01.tif "/>
    <s v=" 32012.2441 "/>
    <s v=" 35.1561 "/>
    <x v="0"/>
    <n v="1125425"/>
    <m/>
    <m/>
  </r>
  <r>
    <x v="2"/>
    <x v="8"/>
    <s v="C:\Users\cbarrier\Desktop\Calibration\20201112_Cefas_Test5_Run3/@13/H8_02.tif "/>
    <s v=" 31860.8348 "/>
    <s v=" 36.1629 "/>
    <x v="0"/>
    <n v="1152181"/>
    <m/>
    <m/>
  </r>
  <r>
    <x v="2"/>
    <x v="8"/>
    <s v="C:\Users\cbarrier\Desktop\Calibration\20201112_Cefas_Test5_Run3/@13/H8_03.tif "/>
    <s v=" 39431.2979 "/>
    <s v=" 37.8486 "/>
    <x v="0"/>
    <n v="1492419"/>
    <m/>
    <m/>
  </r>
  <r>
    <x v="0"/>
    <x v="0"/>
    <s v=" "/>
    <m/>
    <m/>
    <x v="1"/>
    <m/>
    <m/>
    <m/>
  </r>
  <r>
    <x v="0"/>
    <x v="0"/>
    <s v="group "/>
    <s v=" "/>
    <s v=" mean of mean fluo "/>
    <x v="2"/>
    <s v=" mean of total fluo "/>
    <m/>
    <m/>
  </r>
  <r>
    <x v="2"/>
    <x v="9"/>
    <s v="C:\Users\cbarrier\Desktop\Calibration\20201112_Cefas_Test5_Run3/@13/ "/>
    <s v=" "/>
    <s v=" 37.1063 "/>
    <x v="4"/>
    <s v=" 1145808.5 "/>
    <m/>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cbarrier\Desktop\Calibration\20201112_Cefas_Test5_Run3/@14/A9_01- exclu.tif"/>
    <m/>
    <m/>
    <x v="1"/>
    <m/>
    <m/>
    <m/>
  </r>
  <r>
    <x v="3"/>
    <x v="1"/>
    <s v="C:\Users\cbarrier\Desktop\Calibration\20201112_Cefas_Test5_Run3/@14/A9_02- exclu.tif"/>
    <m/>
    <m/>
    <x v="1"/>
    <m/>
    <m/>
    <m/>
  </r>
  <r>
    <x v="3"/>
    <x v="1"/>
    <s v="C:\Users\cbarrier\Desktop\Calibration\20201112_Cefas_Test5_Run3/@14/A9_03- exclu.tif"/>
    <m/>
    <m/>
    <x v="1"/>
    <m/>
    <m/>
    <m/>
  </r>
  <r>
    <x v="3"/>
    <x v="2"/>
    <s v="C:\Users\cbarrier\Desktop\Calibration\20201112_Cefas_Test5_Run3/@14/B9_01.tif "/>
    <s v=" 68199.0578 "/>
    <s v=" 42.4066 "/>
    <x v="0"/>
    <n v="2892090"/>
    <m/>
    <m/>
  </r>
  <r>
    <x v="3"/>
    <x v="2"/>
    <s v="C:\Users\cbarrier\Desktop\Calibration\20201112_Cefas_Test5_Run3/@14/B9_02.tif "/>
    <s v=" 57297.5909 "/>
    <s v=" 42.3337 "/>
    <x v="0"/>
    <n v="2425620"/>
    <m/>
    <m/>
  </r>
  <r>
    <x v="3"/>
    <x v="2"/>
    <s v="C:\Users\cbarrier\Desktop\Calibration\20201112_Cefas_Test5_Run3/@14/B9_03.tif "/>
    <s v=" 61493.7904 "/>
    <s v=" 45.9884 "/>
    <x v="0"/>
    <n v="2828001"/>
    <m/>
    <m/>
  </r>
  <r>
    <x v="3"/>
    <x v="3"/>
    <s v="C:\Users\cbarrier\Desktop\Calibration\20201112_Cefas_Test5_Run3/@14/C9_01.tif "/>
    <s v=" 61991.278 "/>
    <s v=" 48.0084 "/>
    <x v="0"/>
    <n v="2976100"/>
    <m/>
    <m/>
  </r>
  <r>
    <x v="3"/>
    <x v="3"/>
    <s v="C:\Users\cbarrier\Desktop\Calibration\20201112_Cefas_Test5_Run3/@14/C9_02.tif "/>
    <s v=" 61558.6801 "/>
    <s v=" 49.3851 "/>
    <x v="0"/>
    <n v="3040082"/>
    <m/>
    <m/>
  </r>
  <r>
    <x v="3"/>
    <x v="3"/>
    <s v="C:\Users\cbarrier\Desktop\Calibration\20201112_Cefas_Test5_Run3/@14/C9_03.tif "/>
    <s v=" 62445.5058 "/>
    <s v=" 49.4908 "/>
    <x v="0"/>
    <n v="3090479"/>
    <m/>
    <m/>
  </r>
  <r>
    <x v="3"/>
    <x v="4"/>
    <s v="C:\Users\cbarrier\Desktop\Calibration\20201112_Cefas_Test5_Run3/@14/D9_01.tif "/>
    <s v=" 28097.2331 "/>
    <s v=" 32.7275 "/>
    <x v="0"/>
    <n v="919552"/>
    <m/>
    <m/>
  </r>
  <r>
    <x v="3"/>
    <x v="4"/>
    <s v="C:\Users\cbarrier\Desktop\Calibration\20201112_Cefas_Test5_Run3/@14/D9_02.tif "/>
    <s v=" 21629.8946 "/>
    <s v=" 33.294 "/>
    <x v="0"/>
    <n v="720146"/>
    <m/>
    <m/>
  </r>
  <r>
    <x v="3"/>
    <x v="4"/>
    <s v="C:\Users\cbarrier\Desktop\Calibration\20201112_Cefas_Test5_Run3/@14/D9_03.tif "/>
    <s v=" 21413.5957 "/>
    <s v=" 32.4535 "/>
    <x v="0"/>
    <n v="694947"/>
    <m/>
    <m/>
  </r>
  <r>
    <x v="3"/>
    <x v="5"/>
    <s v="C:\Users\cbarrier\Desktop\Calibration\20201112_Cefas_Test5_Run3/@14/E9_01.tif "/>
    <s v=" 36597.7817 "/>
    <s v=" 39.7411 "/>
    <x v="0"/>
    <n v="1454437"/>
    <m/>
    <m/>
  </r>
  <r>
    <x v="3"/>
    <x v="5"/>
    <s v="C:\Users\cbarrier\Desktop\Calibration\20201112_Cefas_Test5_Run3/@14/E9_02.tif "/>
    <s v=" 43562.6078 "/>
    <s v=" 43.7925 "/>
    <x v="0"/>
    <n v="1907713"/>
    <m/>
    <m/>
  </r>
  <r>
    <x v="3"/>
    <x v="5"/>
    <s v="C:\Users\cbarrier\Desktop\Calibration\20201112_Cefas_Test5_Run3/@14/E9_03.tif "/>
    <s v=" 29568.066 "/>
    <s v=" 39.5779 "/>
    <x v="0"/>
    <n v="1170242"/>
    <m/>
    <m/>
  </r>
  <r>
    <x v="3"/>
    <x v="6"/>
    <s v="C:\Users\cbarrier\Desktop\Calibration\20201112_Cefas_Test5_Run3/@14/F9_01.tif "/>
    <s v=" 6532.2282 "/>
    <s v=" 32.1457 "/>
    <x v="0"/>
    <n v="209983"/>
    <m/>
    <m/>
  </r>
  <r>
    <x v="3"/>
    <x v="6"/>
    <s v="C:\Users\cbarrier\Desktop\Calibration\20201112_Cefas_Test5_Run3/@14/F9_02.tif "/>
    <s v=" 15487.0046 "/>
    <s v=" 34.0084 "/>
    <x v="0"/>
    <n v="526688"/>
    <m/>
    <m/>
  </r>
  <r>
    <x v="3"/>
    <x v="6"/>
    <s v="C:\Users\cbarrier\Desktop\Calibration\20201112_Cefas_Test5_Run3/@14/F9_03.tif "/>
    <s v=" 10014.6412 "/>
    <s v=" 32.838 "/>
    <x v="0"/>
    <n v="328861"/>
    <m/>
    <m/>
  </r>
  <r>
    <x v="3"/>
    <x v="7"/>
    <s v="C:\Users\cbarrier\Desktop\Calibration\20201112_Cefas_Test5_Run3/@14/G9_01.tif "/>
    <s v=" 17649.994 "/>
    <s v=" 32.25 "/>
    <x v="0"/>
    <n v="569212"/>
    <m/>
    <m/>
  </r>
  <r>
    <x v="3"/>
    <x v="7"/>
    <s v="C:\Users\cbarrier\Desktop\Calibration\20201112_Cefas_Test5_Run3/@14/G9_02.tif "/>
    <s v=" 24636.45 "/>
    <s v=" 34.1229 "/>
    <x v="0"/>
    <n v="840667"/>
    <m/>
    <m/>
  </r>
  <r>
    <x v="3"/>
    <x v="7"/>
    <s v="C:\Users\cbarrier\Desktop\Calibration\20201112_Cefas_Test5_Run3/@14/G9_03.tif "/>
    <s v=" 29351.767 "/>
    <s v=" 33.843 "/>
    <x v="0"/>
    <n v="993353"/>
    <m/>
    <m/>
  </r>
  <r>
    <x v="3"/>
    <x v="8"/>
    <s v="C:\Users\cbarrier\Desktop\Calibration\20201112_Cefas_Test5_Run3/@14/H9_01.tif "/>
    <s v=" 10706.7978 "/>
    <s v=" 33.8101 "/>
    <x v="0"/>
    <n v="361998"/>
    <m/>
    <m/>
  </r>
  <r>
    <x v="3"/>
    <x v="8"/>
    <s v="C:\Users\cbarrier\Desktop\Calibration\20201112_Cefas_Test5_Run3/@14/H9_02.tif "/>
    <s v=" 7440.6838 "/>
    <s v=" 35.2849 "/>
    <x v="0"/>
    <n v="262544"/>
    <m/>
    <m/>
  </r>
  <r>
    <x v="3"/>
    <x v="8"/>
    <s v="C:\Users\cbarrier\Desktop\Calibration\20201112_Cefas_Test5_Run3/@14/H9_03.tif "/>
    <s v=" 7570.4631 "/>
    <s v=" 38.7257 "/>
    <x v="0"/>
    <n v="293172"/>
    <m/>
    <m/>
  </r>
  <r>
    <x v="0"/>
    <x v="0"/>
    <s v=" "/>
    <m/>
    <m/>
    <x v="1"/>
    <m/>
    <m/>
    <m/>
  </r>
  <r>
    <x v="0"/>
    <x v="0"/>
    <s v="group "/>
    <s v=" "/>
    <s v=" mean of mean fluo "/>
    <x v="2"/>
    <s v=" mean of total fluo "/>
    <m/>
    <m/>
  </r>
  <r>
    <x v="3"/>
    <x v="9"/>
    <s v="C:\Users\cbarrier\Desktop\Calibration\20201112_Cefas_Test5_Run3/@14/ "/>
    <s v=" "/>
    <s v=" 33.5928 "/>
    <x v="5"/>
    <s v=" 1187745.29 "/>
    <m/>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cbarrier\Desktop\Calibration\20201112_Cefas_Test5_Run3/@15/A11_01.tif "/>
    <s v=" 76548.1971 "/>
    <s v=" 45.9797 "/>
    <x v="0"/>
    <n v="3519660"/>
    <m/>
    <m/>
  </r>
  <r>
    <x v="4"/>
    <x v="1"/>
    <s v="C:\Users\cbarrier\Desktop\Calibration\20201112_Cefas_Test5_Run3/@15/A11_02.tif "/>
    <s v=" 71919.3996 "/>
    <s v=" 43.1239 "/>
    <x v="0"/>
    <n v="3101446"/>
    <m/>
    <m/>
  </r>
  <r>
    <x v="4"/>
    <x v="1"/>
    <s v="C:\Users\cbarrier\Desktop\Calibration\20201112_Cefas_Test5_Run3/@15/A11_03.tif "/>
    <s v=" 75423.4426 "/>
    <s v=" 47.0493 "/>
    <x v="0"/>
    <n v="3548622"/>
    <m/>
    <m/>
  </r>
  <r>
    <x v="4"/>
    <x v="2"/>
    <s v="C:\Users\cbarrier\Desktop\Calibration\20201112_Cefas_Test5_Run3/@15/B11_01.tif "/>
    <s v=" 66079.3281 "/>
    <s v=" 48.0399 "/>
    <x v="0"/>
    <n v="3174447"/>
    <m/>
    <m/>
  </r>
  <r>
    <x v="4"/>
    <x v="2"/>
    <s v="C:\Users\cbarrier\Desktop\Calibration\20201112_Cefas_Test5_Run3/@15/B11_02.tif "/>
    <s v=" 69042.6237 "/>
    <s v=" 48.5736 "/>
    <x v="0"/>
    <n v="3353650"/>
    <m/>
    <m/>
  </r>
  <r>
    <x v="4"/>
    <x v="2"/>
    <s v="C:\Users\cbarrier\Desktop\Calibration\20201112_Cefas_Test5_Run3/@15/B11_03.tif "/>
    <s v=" 61558.6801 "/>
    <s v=" 46.5453 "/>
    <x v="0"/>
    <n v="2865269"/>
    <m/>
    <m/>
  </r>
  <r>
    <x v="4"/>
    <x v="3"/>
    <s v="C:\Users\cbarrier\Desktop\Calibration\20201112_Cefas_Test5_Run3/@15/C11_01.tif "/>
    <s v=" 29935.7742 "/>
    <s v=" 43.0419 "/>
    <x v="0"/>
    <n v="1288493"/>
    <m/>
    <m/>
  </r>
  <r>
    <x v="4"/>
    <x v="3"/>
    <s v="C:\Users\cbarrier\Desktop\Calibration\20201112_Cefas_Test5_Run3/@15/C11_02.tif "/>
    <s v=" 24117.3325 "/>
    <s v=" 41.5408 "/>
    <x v="0"/>
    <n v="1001853"/>
    <m/>
    <m/>
  </r>
  <r>
    <x v="4"/>
    <x v="3"/>
    <s v="C:\Users\cbarrier\Desktop\Calibration\20201112_Cefas_Test5_Run3/@15/C11_03.tif "/>
    <s v=" 22927.6883 "/>
    <s v=" 45.1217 "/>
    <x v="0"/>
    <n v="1034536"/>
    <m/>
    <m/>
  </r>
  <r>
    <x v="4"/>
    <x v="4"/>
    <s v="C:\Users\cbarrier\Desktop\Calibration\20201112_Cefas_Test5_Run3/@15/D11_01.tif "/>
    <s v=" 54204.5159 "/>
    <s v=" 41.3296 "/>
    <x v="0"/>
    <n v="2240251"/>
    <m/>
    <m/>
  </r>
  <r>
    <x v="4"/>
    <x v="4"/>
    <s v="C:\Users\cbarrier\Desktop\Calibration\20201112_Cefas_Test5_Run3/@15/D11_02- exclu.tif"/>
    <m/>
    <m/>
    <x v="1"/>
    <m/>
    <m/>
    <m/>
  </r>
  <r>
    <x v="4"/>
    <x v="4"/>
    <s v="C:\Users\cbarrier\Desktop\Calibration\20201112_Cefas_Test5_Run3/@15/D11_03- exclu.tif"/>
    <m/>
    <m/>
    <x v="1"/>
    <m/>
    <m/>
    <m/>
  </r>
  <r>
    <x v="4"/>
    <x v="5"/>
    <s v="C:\Users\cbarrier\Desktop\Calibration\20201112_Cefas_Test5_Run3/@15/E11_01.tif "/>
    <s v=" 61234.2317 "/>
    <s v=" 48.6047 "/>
    <x v="0"/>
    <n v="2976274"/>
    <m/>
    <m/>
  </r>
  <r>
    <x v="4"/>
    <x v="5"/>
    <s v="C:\Users\cbarrier\Desktop\Calibration\20201112_Cefas_Test5_Run3/@15/E11_02.tif "/>
    <s v=" 60866.5235 "/>
    <s v=" 49.5437 "/>
    <x v="0"/>
    <n v="3015553"/>
    <m/>
    <m/>
  </r>
  <r>
    <x v="4"/>
    <x v="5"/>
    <s v="C:\Users\cbarrier\Desktop\Calibration\20201112_Cefas_Test5_Run3/@15/E11_03.tif "/>
    <s v=" 57600.4094 "/>
    <s v=" 49.0759 "/>
    <x v="0"/>
    <n v="2826789"/>
    <m/>
    <m/>
  </r>
  <r>
    <x v="4"/>
    <x v="6"/>
    <s v="C:\Users\cbarrier\Desktop\Calibration\20201112_Cefas_Test5_Run3/@15/F11_01.tif "/>
    <s v=" 60888.1534 "/>
    <s v=" 43.4863 "/>
    <x v="0"/>
    <n v="2647802"/>
    <m/>
    <m/>
  </r>
  <r>
    <x v="4"/>
    <x v="6"/>
    <s v="C:\Users\cbarrier\Desktop\Calibration\20201112_Cefas_Test5_Run3/@15/F11_02.tif "/>
    <s v=" 59611.9896 "/>
    <s v=" 46.7188 "/>
    <x v="0"/>
    <n v="2785000"/>
    <m/>
    <m/>
  </r>
  <r>
    <x v="4"/>
    <x v="6"/>
    <s v="C:\Users\cbarrier\Desktop\Calibration\20201112_Cefas_Test5_Run3/@15/F11_03- exclu.tif"/>
    <m/>
    <m/>
    <x v="1"/>
    <m/>
    <m/>
    <m/>
  </r>
  <r>
    <x v="4"/>
    <x v="7"/>
    <s v="C:\Users\cbarrier\Desktop\Calibration\20201112_Cefas_Test5_Run3/@15/G11_01.tif "/>
    <s v=" 68523.5062 "/>
    <s v=" 49.6847 "/>
    <x v="0"/>
    <n v="3404567"/>
    <m/>
    <m/>
  </r>
  <r>
    <x v="4"/>
    <x v="7"/>
    <s v="C:\Users\cbarrier\Desktop\Calibration\20201112_Cefas_Test5_Run3/@15/G11_02.tif "/>
    <s v=" 65214.1323 "/>
    <s v=" 51.3519 "/>
    <x v="0"/>
    <n v="3348870"/>
    <m/>
    <m/>
  </r>
  <r>
    <x v="4"/>
    <x v="7"/>
    <s v="C:\Users\cbarrier\Desktop\Calibration\20201112_Cefas_Test5_Run3/@15/G11_03.tif "/>
    <s v=" 71551.6914 "/>
    <s v=" 55.9365 "/>
    <x v="0"/>
    <n v="4002352"/>
    <m/>
    <m/>
  </r>
  <r>
    <x v="4"/>
    <x v="8"/>
    <s v="C:\Users\cbarrier\Desktop\Calibration\20201112_Cefas_Test5_Run3/@15/H11_01.tif "/>
    <s v=" 17931.1826 "/>
    <s v=" 37.2027 "/>
    <x v="0"/>
    <n v="667088"/>
    <m/>
    <m/>
  </r>
  <r>
    <x v="4"/>
    <x v="8"/>
    <s v="C:\Users\cbarrier\Desktop\Calibration\20201112_Cefas_Test5_Run3/@15/H11_02.tif "/>
    <s v=" 16481.9797 "/>
    <s v=" 37.6535 "/>
    <x v="0"/>
    <n v="620605"/>
    <m/>
    <m/>
  </r>
  <r>
    <x v="4"/>
    <x v="8"/>
    <s v="C:\Users\cbarrier\Desktop\Calibration\20201112_Cefas_Test5_Run3/@15/H11_03.tif "/>
    <s v=" 18753.1186 "/>
    <s v=" 37.5905 "/>
    <x v="0"/>
    <n v="704940"/>
    <m/>
    <m/>
  </r>
  <r>
    <x v="0"/>
    <x v="0"/>
    <s v=" "/>
    <m/>
    <m/>
    <x v="1"/>
    <m/>
    <m/>
    <m/>
  </r>
  <r>
    <x v="0"/>
    <x v="0"/>
    <s v="group "/>
    <s v=" "/>
    <s v=" mean of mean fluo "/>
    <x v="2"/>
    <s v=" mean of total fluo "/>
    <m/>
    <m/>
  </r>
  <r>
    <x v="4"/>
    <x v="9"/>
    <s v="C:\Users\cbarrier\Desktop\Calibration\20201112_Cefas_Test5_Run3/@15/ "/>
    <s v=" "/>
    <s v=" 45.8348 "/>
    <x v="6"/>
    <s v=" 2396898.71 "/>
    <m/>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cbarrier\Desktop\Calibration\20201112_Cefas_Test5_Run3/@16/A12_01.tif "/>
    <s v=" 1643.872 "/>
    <s v=" 34.1842 "/>
    <x v="0"/>
    <n v="56194"/>
    <m/>
    <m/>
  </r>
  <r>
    <x v="5"/>
    <x v="1"/>
    <s v="C:\Users\cbarrier\Desktop\Calibration\20201112_Cefas_Test5_Run3/@16/A12_02.tif "/>
    <s v=" 43.2598 "/>
    <s v=" 32.5 "/>
    <x v="0"/>
    <n v="1406"/>
    <m/>
    <m/>
  </r>
  <r>
    <x v="5"/>
    <x v="1"/>
    <s v="C:\Users\cbarrier\Desktop\Calibration\20201112_Cefas_Test5_Run3/@16/A12_03.tif "/>
    <s v=" 1168.0143 "/>
    <s v=" 33.7778 "/>
    <x v="0"/>
    <n v="39453"/>
    <m/>
    <m/>
  </r>
  <r>
    <x v="5"/>
    <x v="2"/>
    <s v="C:\Users\cbarrier\Desktop\Calibration\20201112_Cefas_Test5_Run3/@16/B12_01.tif "/>
    <s v=" 21.6299 "/>
    <n v="30"/>
    <x v="0"/>
    <n v="649"/>
    <m/>
    <m/>
  </r>
  <r>
    <x v="5"/>
    <x v="2"/>
    <s v="C:\Users\cbarrier\Desktop\Calibration\20201112_Cefas_Test5_Run3/@16/B12_02.tif "/>
    <s v=" 1297.7937 "/>
    <s v=" 31.05 "/>
    <x v="0"/>
    <n v="40296"/>
    <m/>
    <m/>
  </r>
  <r>
    <x v="5"/>
    <x v="2"/>
    <s v="C:\Users\cbarrier\Desktop\Calibration\20201112_Cefas_Test5_Run3/@16/B12_03.tif "/>
    <s v=" 2098.0998 "/>
    <s v=" 32.2165 "/>
    <x v="0"/>
    <n v="67593"/>
    <m/>
    <m/>
  </r>
  <r>
    <x v="5"/>
    <x v="3"/>
    <s v="C:\Users\cbarrier\Desktop\Calibration\20201112_Cefas_Test5_Run3/@16/C12_01.tif "/>
    <s v=" 454.2278 "/>
    <s v=" 36.619 "/>
    <x v="0"/>
    <n v="16633"/>
    <m/>
    <m/>
  </r>
  <r>
    <x v="5"/>
    <x v="3"/>
    <s v="C:\Users\cbarrier\Desktop\Calibration\20201112_Cefas_Test5_Run3/@16/C12_02.tif "/>
    <s v=" 21.6299 "/>
    <n v="31"/>
    <x v="0"/>
    <n v="671"/>
    <m/>
    <m/>
  </r>
  <r>
    <x v="5"/>
    <x v="3"/>
    <s v="C:\Users\cbarrier\Desktop\Calibration\20201112_Cefas_Test5_Run3/@16/C12_03.tif "/>
    <s v=" 2422.5482 "/>
    <s v=" 33.5446 "/>
    <x v="0"/>
    <n v="81264"/>
    <m/>
    <m/>
  </r>
  <r>
    <x v="5"/>
    <x v="4"/>
    <s v="C:\Users\cbarrier\Desktop\Calibration\20201112_Cefas_Test5_Run3/@16/D12_01.tif "/>
    <s v=" 5104.6551 "/>
    <s v=" 34.2754 "/>
    <x v="0"/>
    <n v="174964"/>
    <m/>
    <m/>
  </r>
  <r>
    <x v="5"/>
    <x v="4"/>
    <s v="C:\Users\cbarrier\Desktop\Calibration\20201112_Cefas_Test5_Run3/@16/D12_02.tif "/>
    <s v=" 7375.7941 "/>
    <s v=" 37.346 "/>
    <x v="0"/>
    <n v="275457"/>
    <m/>
    <m/>
  </r>
  <r>
    <x v="5"/>
    <x v="4"/>
    <s v="C:\Users\cbarrier\Desktop\Calibration\20201112_Cefas_Test5_Run3/@16/D12_03.tif "/>
    <s v=" 9776.7124 "/>
    <s v=" 42.8296 "/>
    <x v="0"/>
    <n v="418733"/>
    <m/>
    <m/>
  </r>
  <r>
    <x v="5"/>
    <x v="5"/>
    <s v="C:\Users\cbarrier\Desktop\Calibration\20201112_Cefas_Test5_Run3/@16/E12_01.tif "/>
    <s v=" 2465.808 "/>
    <s v=" 33.8158 "/>
    <x v="0"/>
    <n v="83383"/>
    <m/>
    <m/>
  </r>
  <r>
    <x v="5"/>
    <x v="5"/>
    <s v="C:\Users\cbarrier\Desktop\Calibration\20201112_Cefas_Test5_Run3/@16/E12_02.tif "/>
    <s v=" 605.637 "/>
    <s v=" 32.4286 "/>
    <x v="0"/>
    <n v="19640"/>
    <m/>
    <m/>
  </r>
  <r>
    <x v="5"/>
    <x v="5"/>
    <s v="C:\Users\cbarrier\Desktop\Calibration\20201112_Cefas_Test5_Run3/@16/E12_03.tif "/>
    <s v=" 237.9288 "/>
    <s v=" 30.7273 "/>
    <x v="0"/>
    <n v="7311"/>
    <m/>
    <m/>
  </r>
  <r>
    <x v="5"/>
    <x v="6"/>
    <s v="C:\Users\cbarrier\Desktop\Calibration\20201112_Cefas_Test5_Run3/@16/F12_01.tif "/>
    <n v="0"/>
    <n v="0"/>
    <x v="0"/>
    <n v="0"/>
    <m/>
    <m/>
  </r>
  <r>
    <x v="5"/>
    <x v="6"/>
    <s v="C:\Users\cbarrier\Desktop\Calibration\20201112_Cefas_Test5_Run3/@16/F12_02.tif "/>
    <n v="0"/>
    <n v="0"/>
    <x v="0"/>
    <n v="0"/>
    <m/>
    <m/>
  </r>
  <r>
    <x v="5"/>
    <x v="6"/>
    <s v="C:\Users\cbarrier\Desktop\Calibration\20201112_Cefas_Test5_Run3/@16/F12_03.tif "/>
    <n v="0"/>
    <n v="0"/>
    <x v="0"/>
    <n v="0"/>
    <m/>
    <m/>
  </r>
  <r>
    <x v="5"/>
    <x v="7"/>
    <s v="C:\Users\cbarrier\Desktop\Calibration\20201112_Cefas_Test5_Run3/@16/G12_01.tif "/>
    <s v=" 670.5267 "/>
    <s v=" 33.5161 "/>
    <x v="0"/>
    <n v="22473"/>
    <m/>
    <m/>
  </r>
  <r>
    <x v="5"/>
    <x v="7"/>
    <s v="C:\Users\cbarrier\Desktop\Calibration\20201112_Cefas_Test5_Run3/@16/G12_02.tif "/>
    <s v=" 497.4876 "/>
    <s v=" 31.2609 "/>
    <x v="0"/>
    <n v="15552"/>
    <m/>
    <m/>
  </r>
  <r>
    <x v="5"/>
    <x v="7"/>
    <s v="C:\Users\cbarrier\Desktop\Calibration\20201112_Cefas_Test5_Run3/@16/G12_03.tif "/>
    <n v="0"/>
    <n v="0"/>
    <x v="0"/>
    <n v="0"/>
    <m/>
    <m/>
  </r>
  <r>
    <x v="5"/>
    <x v="8"/>
    <s v="C:\Users\cbarrier\Desktop\Calibration\20201112_Cefas_Test5_Run3/@16/H12_01.tif "/>
    <s v=" 21.6299 "/>
    <n v="31"/>
    <x v="0"/>
    <n v="671"/>
    <m/>
    <m/>
  </r>
  <r>
    <x v="5"/>
    <x v="8"/>
    <s v="C:\Users\cbarrier\Desktop\Calibration\20201112_Cefas_Test5_Run3/@16/H12_02.tif "/>
    <s v=" 713.7865 "/>
    <s v=" 31.3333 "/>
    <x v="0"/>
    <n v="22365"/>
    <m/>
    <m/>
  </r>
  <r>
    <x v="5"/>
    <x v="8"/>
    <s v="C:\Users\cbarrier\Desktop\Calibration\20201112_Cefas_Test5_Run3/@16/H12_03.tif "/>
    <s v=" 692.1566 "/>
    <s v=" 32.0625 "/>
    <x v="0"/>
    <n v="22192"/>
    <m/>
    <m/>
  </r>
  <r>
    <x v="0"/>
    <x v="0"/>
    <s v=" "/>
    <m/>
    <m/>
    <x v="1"/>
    <m/>
    <m/>
    <m/>
  </r>
  <r>
    <x v="0"/>
    <x v="0"/>
    <s v="group "/>
    <s v=" "/>
    <s v=" mean of mean fluo "/>
    <x v="2"/>
    <s v=" mean of total fluo "/>
    <m/>
    <m/>
  </r>
  <r>
    <x v="5"/>
    <x v="9"/>
    <s v="C:\Users\cbarrier\Desktop\Calibration\20201112_Cefas_Test5_Run3/@16/ "/>
    <s v=" "/>
    <s v=" 27.7287 "/>
    <x v="7"/>
    <s v=" 56954.1667 "/>
    <m/>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cbarrier\Desktop\Calibration\20201112_Cefas_Test5_Run3/@2/A2_01.tif "/>
    <s v=" 4866.7263 "/>
    <s v=" 36.52 "/>
    <x v="0"/>
    <n v="177733"/>
    <m/>
    <m/>
  </r>
  <r>
    <x v="6"/>
    <x v="1"/>
    <s v="C:\Users\cbarrier\Desktop\Calibration\20201112_Cefas_Test5_Run3/@2/A2_02.tif "/>
    <s v=" 4390.8686 "/>
    <s v=" 36.33 "/>
    <x v="0"/>
    <n v="159520"/>
    <m/>
    <m/>
  </r>
  <r>
    <x v="6"/>
    <x v="1"/>
    <s v="C:\Users\cbarrier\Desktop\Calibration\20201112_Cefas_Test5_Run3/@2/A2_03.tif "/>
    <s v=" 648.8968 "/>
    <s v=" 35.6333 "/>
    <x v="0"/>
    <n v="23122"/>
    <m/>
    <m/>
  </r>
  <r>
    <x v="6"/>
    <x v="2"/>
    <s v="C:\Users\cbarrier\Desktop\Calibration\20201112_Cefas_Test5_Run3/@2/B2_01.tif "/>
    <s v=" 2400.9183 "/>
    <s v=" 35.0811 "/>
    <x v="0"/>
    <n v="84227"/>
    <m/>
    <m/>
  </r>
  <r>
    <x v="6"/>
    <x v="2"/>
    <s v="C:\Users\cbarrier\Desktop\Calibration\20201112_Cefas_Test5_Run3/@2/B2_02.tif "/>
    <s v=" 5926.5911 "/>
    <s v=" 35.8102 "/>
    <x v="0"/>
    <n v="212233"/>
    <m/>
    <m/>
  </r>
  <r>
    <x v="6"/>
    <x v="2"/>
    <s v="C:\Users\cbarrier\Desktop\Calibration\20201112_Cefas_Test5_Run3/@2/B2_03.tif "/>
    <s v=" 7246.0147 "/>
    <s v=" 40.7821 "/>
    <x v="0"/>
    <n v="295508"/>
    <m/>
    <m/>
  </r>
  <r>
    <x v="6"/>
    <x v="3"/>
    <s v="C:\Users\cbarrier\Desktop\Calibration\20201112_Cefas_Test5_Run3/@2/C2_01.tif "/>
    <s v=" 151.4093 "/>
    <n v="31"/>
    <x v="0"/>
    <n v="4694"/>
    <m/>
    <m/>
  </r>
  <r>
    <x v="6"/>
    <x v="3"/>
    <s v="C:\Users\cbarrier\Desktop\Calibration\20201112_Cefas_Test5_Run3/@2/C2_02.tif "/>
    <s v=" 43.2598 "/>
    <n v="33"/>
    <x v="0"/>
    <n v="1428"/>
    <m/>
    <m/>
  </r>
  <r>
    <x v="6"/>
    <x v="3"/>
    <s v="C:\Users\cbarrier\Desktop\Calibration\20201112_Cefas_Test5_Run3/@2/C2_03- exclu.tif"/>
    <m/>
    <m/>
    <x v="1"/>
    <m/>
    <m/>
    <m/>
  </r>
  <r>
    <x v="6"/>
    <x v="4"/>
    <s v="C:\Users\cbarrier\Desktop\Calibration\20201112_Cefas_Test5_Run3/@2/D2_01.tif "/>
    <s v=" 108.1495 "/>
    <s v=" 30.2 "/>
    <x v="0"/>
    <n v="3266"/>
    <m/>
    <m/>
  </r>
  <r>
    <x v="6"/>
    <x v="4"/>
    <s v="C:\Users\cbarrier\Desktop\Calibration\20201112_Cefas_Test5_Run3/@2/D2_02.tif "/>
    <n v="0"/>
    <n v="0"/>
    <x v="0"/>
    <n v="0"/>
    <m/>
    <m/>
  </r>
  <r>
    <x v="6"/>
    <x v="4"/>
    <s v="C:\Users\cbarrier\Desktop\Calibration\20201112_Cefas_Test5_Run3/@2/D2_03.tif "/>
    <s v=" 173.0392 "/>
    <s v=" 31.375 "/>
    <x v="0"/>
    <n v="5429"/>
    <m/>
    <m/>
  </r>
  <r>
    <x v="6"/>
    <x v="5"/>
    <s v="C:\Users\cbarrier\Desktop\Calibration\20201112_Cefas_Test5_Run3/@2/E2_01.tif "/>
    <s v=" 52041.5265 "/>
    <s v=" 36.9663 "/>
    <x v="0"/>
    <n v="1923784"/>
    <m/>
    <m/>
  </r>
  <r>
    <x v="6"/>
    <x v="5"/>
    <s v="C:\Users\cbarrier\Desktop\Calibration\20201112_Cefas_Test5_Run3/@2/E2_02.tif "/>
    <s v=" 55264.3808 "/>
    <s v=" 37.6454 "/>
    <x v="0"/>
    <n v="2080450"/>
    <m/>
    <m/>
  </r>
  <r>
    <x v="6"/>
    <x v="5"/>
    <s v="C:\Users\cbarrier\Desktop\Calibration\20201112_Cefas_Test5_Run3/@2/E2_03.tif "/>
    <s v=" 51176.3307 "/>
    <s v=" 37.7823 "/>
    <x v="0"/>
    <n v="1933561"/>
    <m/>
    <m/>
  </r>
  <r>
    <x v="6"/>
    <x v="6"/>
    <s v="C:\Users\cbarrier\Desktop\Calibration\20201112_Cefas_Test5_Run3/@2/F2_01.tif "/>
    <s v=" 389.3381 "/>
    <s v=" 32.1111 "/>
    <x v="0"/>
    <n v="12502"/>
    <m/>
    <m/>
  </r>
  <r>
    <x v="6"/>
    <x v="6"/>
    <s v="C:\Users\cbarrier\Desktop\Calibration\20201112_Cefas_Test5_Run3/@2/F2_02.tif "/>
    <s v=" 108.1495 "/>
    <n v="32"/>
    <x v="0"/>
    <n v="3461"/>
    <m/>
    <m/>
  </r>
  <r>
    <x v="6"/>
    <x v="6"/>
    <s v="C:\Users\cbarrier\Desktop\Calibration\20201112_Cefas_Test5_Run3/@2/F2_03.tif "/>
    <s v=" 1600.6122 "/>
    <s v=" 35.3378 "/>
    <x v="0"/>
    <n v="56562"/>
    <m/>
    <m/>
  </r>
  <r>
    <x v="6"/>
    <x v="7"/>
    <s v="C:\Users\cbarrier\Desktop\Calibration\20201112_Cefas_Test5_Run3/@2/G2_01.tif "/>
    <s v=" 1838.541 "/>
    <s v=" 32.9529 "/>
    <x v="0"/>
    <n v="60585"/>
    <m/>
    <m/>
  </r>
  <r>
    <x v="6"/>
    <x v="7"/>
    <s v="C:\Users\cbarrier\Desktop\Calibration\20201112_Cefas_Test5_Run3/@2/G2_02.tif "/>
    <s v=" 6726.8972 "/>
    <s v=" 39.8039 "/>
    <x v="0"/>
    <n v="267756"/>
    <m/>
    <m/>
  </r>
  <r>
    <x v="6"/>
    <x v="7"/>
    <s v="C:\Users\cbarrier\Desktop\Calibration\20201112_Cefas_Test5_Run3/@2/G2_03.tif "/>
    <s v=" 5407.4737 "/>
    <s v=" 39.276 "/>
    <x v="0"/>
    <n v="212384"/>
    <m/>
    <m/>
  </r>
  <r>
    <x v="6"/>
    <x v="8"/>
    <s v="C:\Users\cbarrier\Desktop\Calibration\20201112_Cefas_Test5_Run3/@2/H2_01.tif "/>
    <s v=" 21.6299 "/>
    <n v="30"/>
    <x v="0"/>
    <n v="649"/>
    <m/>
    <m/>
  </r>
  <r>
    <x v="6"/>
    <x v="8"/>
    <s v="C:\Users\cbarrier\Desktop\Calibration\20201112_Cefas_Test5_Run3/@2/H2_02.tif "/>
    <n v="0"/>
    <n v="0"/>
    <x v="0"/>
    <n v="0"/>
    <m/>
    <m/>
  </r>
  <r>
    <x v="6"/>
    <x v="8"/>
    <s v="C:\Users\cbarrier\Desktop\Calibration\20201112_Cefas_Test5_Run3/@2/H2_03.tif "/>
    <s v=" 410.968 "/>
    <s v=" 31.7368 "/>
    <x v="0"/>
    <n v="13043"/>
    <m/>
    <m/>
  </r>
  <r>
    <x v="0"/>
    <x v="0"/>
    <s v=" "/>
    <m/>
    <m/>
    <x v="1"/>
    <m/>
    <m/>
    <m/>
  </r>
  <r>
    <x v="0"/>
    <x v="0"/>
    <s v="group "/>
    <s v=" "/>
    <s v=" mean of mean fluo "/>
    <x v="2"/>
    <s v=" mean of total fluo "/>
    <m/>
    <m/>
  </r>
  <r>
    <x v="6"/>
    <x v="9"/>
    <s v="C:\Users\cbarrier\Desktop\Calibration\20201112_Cefas_Test5_Run3/@2/ "/>
    <s v=" "/>
    <s v=" 31.7776 "/>
    <x v="8"/>
    <s v=" 317300.625 "/>
    <m/>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cbarrier\Desktop\Calibration\20201112_Cefas_Test5_Run3/@3/A3_01.tif "/>
    <s v=" 4585.5377 "/>
    <s v=" 34.783 "/>
    <x v="0"/>
    <n v="159499"/>
    <m/>
    <m/>
  </r>
  <r>
    <x v="7"/>
    <x v="1"/>
    <s v="C:\Users\cbarrier\Desktop\Calibration\20201112_Cefas_Test5_Run3/@3/A3_02.tif "/>
    <s v=" 2336.0286 "/>
    <s v=" 34.4537 "/>
    <x v="0"/>
    <n v="80485"/>
    <m/>
    <m/>
  </r>
  <r>
    <x v="7"/>
    <x v="1"/>
    <s v="C:\Users\cbarrier\Desktop\Calibration\20201112_Cefas_Test5_Run3/@3/A3_03.tif "/>
    <s v=" 2119.7297 "/>
    <s v=" 33.5306 "/>
    <x v="0"/>
    <n v="71076"/>
    <m/>
    <m/>
  </r>
  <r>
    <x v="7"/>
    <x v="2"/>
    <s v="C:\Users\cbarrier\Desktop\Calibration\20201112_Cefas_Test5_Run3/@3/B3_01.tif "/>
    <s v=" 1557.3524 "/>
    <s v=" 33.5 "/>
    <x v="0"/>
    <n v="52171"/>
    <m/>
    <m/>
  </r>
  <r>
    <x v="7"/>
    <x v="2"/>
    <s v="C:\Users\cbarrier\Desktop\Calibration\20201112_Cefas_Test5_Run3/@3/B3_02.tif "/>
    <s v=" 3179.5945 "/>
    <s v=" 32.5918 "/>
    <x v="0"/>
    <n v="103629"/>
    <m/>
    <m/>
  </r>
  <r>
    <x v="7"/>
    <x v="2"/>
    <s v="C:\Users\cbarrier\Desktop\Calibration\20201112_Cefas_Test5_Run3/@3/B3_03.tif "/>
    <s v=" 2746.9966 "/>
    <s v=" 32.4803 "/>
    <x v="0"/>
    <n v="89223"/>
    <m/>
    <m/>
  </r>
  <r>
    <x v="7"/>
    <x v="3"/>
    <s v="C:\Users\cbarrier\Desktop\Calibration\20201112_Cefas_Test5_Run3/@3/C3_01.tif "/>
    <s v=" 6943.1962 "/>
    <s v=" 39.5016 "/>
    <x v="0"/>
    <n v="274267"/>
    <m/>
    <m/>
  </r>
  <r>
    <x v="7"/>
    <x v="3"/>
    <s v="C:\Users\cbarrier\Desktop\Calibration\20201112_Cefas_Test5_Run3/@3/C3_02.tif "/>
    <s v=" 64.8897 "/>
    <s v=" 31.3333 "/>
    <x v="0"/>
    <n v="2033"/>
    <m/>
    <m/>
  </r>
  <r>
    <x v="7"/>
    <x v="3"/>
    <s v="C:\Users\cbarrier\Desktop\Calibration\20201112_Cefas_Test5_Run3/@3/C3_03.tif "/>
    <s v=" 8738.4774 "/>
    <s v=" 42.255 "/>
    <x v="0"/>
    <n v="369244"/>
    <m/>
    <m/>
  </r>
  <r>
    <x v="7"/>
    <x v="4"/>
    <s v="C:\Users\cbarrier\Desktop\Calibration\20201112_Cefas_Test5_Run3/@3/D3_01.tif "/>
    <s v=" 10577.0185 "/>
    <s v=" 34.4703 "/>
    <x v="0"/>
    <n v="364594"/>
    <m/>
    <m/>
  </r>
  <r>
    <x v="7"/>
    <x v="4"/>
    <s v="C:\Users\cbarrier\Desktop\Calibration\20201112_Cefas_Test5_Run3/@3/D3_02- exclu.tif"/>
    <m/>
    <m/>
    <x v="1"/>
    <m/>
    <m/>
    <m/>
  </r>
  <r>
    <x v="7"/>
    <x v="4"/>
    <s v="C:\Users\cbarrier\Desktop\Calibration\20201112_Cefas_Test5_Run3/@3/D3_03.tif "/>
    <s v=" 13064.4564 "/>
    <s v=" 33.2384 "/>
    <x v="0"/>
    <n v="434242"/>
    <m/>
    <m/>
  </r>
  <r>
    <x v="7"/>
    <x v="5"/>
    <s v="C:\Users\cbarrier\Desktop\Calibration\20201112_Cefas_Test5_Run3/@3/E3_01.tif "/>
    <s v=" 2379.2884 "/>
    <s v=" 33.1 "/>
    <x v="0"/>
    <n v="78754"/>
    <m/>
    <m/>
  </r>
  <r>
    <x v="7"/>
    <x v="5"/>
    <s v="C:\Users\cbarrier\Desktop\Calibration\20201112_Cefas_Test5_Run3/@3/E3_02.tif "/>
    <s v=" 5623.7726 "/>
    <s v=" 37.2923 "/>
    <x v="0"/>
    <n v="209723"/>
    <m/>
    <m/>
  </r>
  <r>
    <x v="7"/>
    <x v="5"/>
    <s v="C:\Users\cbarrier\Desktop\Calibration\20201112_Cefas_Test5_Run3/@3/E3_03- exclu.tif"/>
    <m/>
    <m/>
    <x v="1"/>
    <m/>
    <m/>
    <m/>
  </r>
  <r>
    <x v="7"/>
    <x v="6"/>
    <s v="C:\Users\cbarrier\Desktop\Calibration\20201112_Cefas_Test5_Run3/@3/F3_01- exclu.tif"/>
    <m/>
    <m/>
    <x v="1"/>
    <m/>
    <m/>
    <m/>
  </r>
  <r>
    <x v="7"/>
    <x v="6"/>
    <s v="C:\Users\cbarrier\Desktop\Calibration\20201112_Cefas_Test5_Run3/@3/F3_02- exclu.tif"/>
    <m/>
    <m/>
    <x v="1"/>
    <m/>
    <m/>
    <m/>
  </r>
  <r>
    <x v="7"/>
    <x v="6"/>
    <s v="C:\Users\cbarrier\Desktop\Calibration\20201112_Cefas_Test5_Run3/@3/F3_03- exclu.tif"/>
    <m/>
    <m/>
    <x v="1"/>
    <m/>
    <m/>
    <m/>
  </r>
  <r>
    <x v="7"/>
    <x v="7"/>
    <s v="C:\Users\cbarrier\Desktop\Calibration\20201112_Cefas_Test5_Run3/@3/G3_01.tif "/>
    <s v=" 6553.8581 "/>
    <s v=" 31.6007 "/>
    <x v="0"/>
    <n v="207106"/>
    <m/>
    <m/>
  </r>
  <r>
    <x v="7"/>
    <x v="7"/>
    <s v="C:\Users\cbarrier\Desktop\Calibration\20201112_Cefas_Test5_Run3/@3/G3_02.tif "/>
    <s v=" 3958.2707 "/>
    <s v=" 31.5464 "/>
    <x v="0"/>
    <n v="124869"/>
    <m/>
    <m/>
  </r>
  <r>
    <x v="7"/>
    <x v="7"/>
    <s v="C:\Users\cbarrier\Desktop\Calibration\20201112_Cefas_Test5_Run3/@3/G3_03.tif "/>
    <s v=" 9603.6732 "/>
    <s v=" 32.3829 "/>
    <x v="0"/>
    <n v="310995"/>
    <m/>
    <m/>
  </r>
  <r>
    <x v="7"/>
    <x v="8"/>
    <s v="C:\Users\cbarrier\Desktop\Calibration\20201112_Cefas_Test5_Run3/@3/H3_01.tif "/>
    <s v=" 2833.5162 "/>
    <s v=" 32.855 "/>
    <x v="0"/>
    <n v="93095"/>
    <m/>
    <m/>
  </r>
  <r>
    <x v="7"/>
    <x v="8"/>
    <s v="C:\Users\cbarrier\Desktop\Calibration\20201112_Cefas_Test5_Run3/@3/H3_02.tif "/>
    <s v=" 4152.9398 "/>
    <s v=" 33.6146 "/>
    <x v="0"/>
    <n v="139599"/>
    <m/>
    <m/>
  </r>
  <r>
    <x v="7"/>
    <x v="8"/>
    <s v="C:\Users\cbarrier\Desktop\Calibration\20201112_Cefas_Test5_Run3/@3/H3_03.tif "/>
    <s v=" 6142.8901 "/>
    <s v=" 35.4789 "/>
    <x v="0"/>
    <n v="217943"/>
    <m/>
    <m/>
  </r>
  <r>
    <x v="0"/>
    <x v="0"/>
    <s v=" "/>
    <m/>
    <m/>
    <x v="1"/>
    <m/>
    <m/>
    <m/>
  </r>
  <r>
    <x v="0"/>
    <x v="0"/>
    <s v="group "/>
    <s v=" "/>
    <s v=" mean of mean fluo "/>
    <x v="2"/>
    <s v=" mean of total fluo "/>
    <m/>
    <m/>
  </r>
  <r>
    <x v="7"/>
    <x v="9"/>
    <s v="C:\Users\cbarrier\Desktop\Calibration\20201112_Cefas_Test5_Run3/@3/ "/>
    <s v=" "/>
    <s v=" 33.8432 "/>
    <x v="9"/>
    <s v=" 207149.458 "/>
    <m/>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cbarrier\Desktop\Calibration\20201112_Cefas_Test5_Run3/@4/A4_01.tif "/>
    <s v=" 55221.121 "/>
    <s v=" 37.479 "/>
    <x v="0"/>
    <n v="2069635"/>
    <m/>
    <m/>
  </r>
  <r>
    <x v="8"/>
    <x v="1"/>
    <s v="C:\Users\cbarrier\Desktop\Calibration\20201112_Cefas_Test5_Run3/@4/A4_02.tif "/>
    <s v=" 51630.5585 "/>
    <s v=" 37.1077 "/>
    <x v="0"/>
    <n v="1915890"/>
    <m/>
    <m/>
  </r>
  <r>
    <x v="8"/>
    <x v="1"/>
    <s v="C:\Users\cbarrier\Desktop\Calibration\20201112_Cefas_Test5_Run3/@4/A4_03.tif "/>
    <s v=" 48991.7113 "/>
    <s v=" 35.4543 "/>
    <x v="0"/>
    <n v="1736967"/>
    <m/>
    <m/>
  </r>
  <r>
    <x v="8"/>
    <x v="2"/>
    <s v="C:\Users\cbarrier\Desktop\Calibration\20201112_Cefas_Test5_Run3/@4/B4_01.tif "/>
    <s v=" 5104.6551 "/>
    <s v=" 32.1695 "/>
    <x v="0"/>
    <n v="164214"/>
    <m/>
    <m/>
  </r>
  <r>
    <x v="8"/>
    <x v="2"/>
    <s v="C:\Users\cbarrier\Desktop\Calibration\20201112_Cefas_Test5_Run3/@4/B4_02.tif "/>
    <s v=" 7397.424 "/>
    <s v=" 32.6082 "/>
    <x v="0"/>
    <n v="241217"/>
    <m/>
    <m/>
  </r>
  <r>
    <x v="8"/>
    <x v="2"/>
    <s v="C:\Users\cbarrier\Desktop\Calibration\20201112_Cefas_Test5_Run3/@4/B4_03.tif "/>
    <s v=" 16806.4281 "/>
    <s v=" 33.4157 "/>
    <x v="0"/>
    <n v="561599"/>
    <m/>
    <m/>
  </r>
  <r>
    <x v="8"/>
    <x v="3"/>
    <s v="C:\Users\cbarrier\Desktop\Calibration\20201112_Cefas_Test5_Run3/@4/C4_01- exclu.tif"/>
    <m/>
    <m/>
    <x v="1"/>
    <m/>
    <m/>
    <m/>
  </r>
  <r>
    <x v="8"/>
    <x v="3"/>
    <s v="C:\Users\cbarrier\Desktop\Calibration\20201112_Cefas_Test5_Run3/@4/C4_02.tif "/>
    <s v=" 4758.5768 "/>
    <s v=" 31.8682 "/>
    <x v="0"/>
    <n v="151647"/>
    <m/>
    <m/>
  </r>
  <r>
    <x v="8"/>
    <x v="3"/>
    <s v="C:\Users\cbarrier\Desktop\Calibration\20201112_Cefas_Test5_Run3/@4/C4_03- exclu.tif"/>
    <m/>
    <m/>
    <x v="1"/>
    <m/>
    <m/>
    <m/>
  </r>
  <r>
    <x v="8"/>
    <x v="4"/>
    <s v="C:\Users\cbarrier\Desktop\Calibration\20201112_Cefas_Test5_Run3/@4/D4_01.tif "/>
    <s v=" 994.9752 "/>
    <n v="34"/>
    <x v="0"/>
    <n v="33829"/>
    <m/>
    <m/>
  </r>
  <r>
    <x v="8"/>
    <x v="4"/>
    <s v="C:\Users\cbarrier\Desktop\Calibration\20201112_Cefas_Test5_Run3/@4/D4_02.tif "/>
    <s v=" 2660.477 "/>
    <s v=" 34.187 "/>
    <x v="0"/>
    <n v="90954"/>
    <m/>
    <m/>
  </r>
  <r>
    <x v="8"/>
    <x v="4"/>
    <s v="C:\Users\cbarrier\Desktop\Calibration\20201112_Cefas_Test5_Run3/@4/D4_03.tif "/>
    <s v=" 3006.5554 "/>
    <s v=" 33.8993 "/>
    <x v="0"/>
    <n v="101920"/>
    <m/>
    <m/>
  </r>
  <r>
    <x v="8"/>
    <x v="5"/>
    <s v="C:\Users\cbarrier\Desktop\Calibration\20201112_Cefas_Test5_Run3/@4/E4_01.tif "/>
    <s v=" 9690.1928 "/>
    <s v=" 32.0603 "/>
    <x v="0"/>
    <n v="310670"/>
    <m/>
    <m/>
  </r>
  <r>
    <x v="8"/>
    <x v="5"/>
    <s v="C:\Users\cbarrier\Desktop\Calibration\20201112_Cefas_Test5_Run3/@4/E4_02.tif "/>
    <s v=" 11680.1431 "/>
    <s v=" 31.9796 "/>
    <x v="0"/>
    <n v="373527"/>
    <m/>
    <m/>
  </r>
  <r>
    <x v="8"/>
    <x v="5"/>
    <s v="C:\Users\cbarrier\Desktop\Calibration\20201112_Cefas_Test5_Run3/@4/E4_03.tif "/>
    <s v=" 19358.7557 "/>
    <s v=" 33.3765 "/>
    <x v="0"/>
    <n v="646128"/>
    <m/>
    <m/>
  </r>
  <r>
    <x v="8"/>
    <x v="6"/>
    <s v="C:\Users\cbarrier\Desktop\Calibration\20201112_Cefas_Test5_Run3/@4/F4_01.tif "/>
    <s v=" 24030.8129 "/>
    <s v=" 36.1764 "/>
    <x v="0"/>
    <n v="869349"/>
    <m/>
    <m/>
  </r>
  <r>
    <x v="8"/>
    <x v="6"/>
    <s v="C:\Users\cbarrier\Desktop\Calibration\20201112_Cefas_Test5_Run3/@4/F4_02.tif "/>
    <s v=" 23879.4037 "/>
    <s v=" 36.5299 "/>
    <x v="0"/>
    <n v="872312"/>
    <m/>
    <m/>
  </r>
  <r>
    <x v="8"/>
    <x v="6"/>
    <s v="C:\Users\cbarrier\Desktop\Calibration\20201112_Cefas_Test5_Run3/@4/F4_03.tif "/>
    <s v=" 30130.4432 "/>
    <s v=" 35.6956 "/>
    <x v="0"/>
    <n v="1075525"/>
    <m/>
    <m/>
  </r>
  <r>
    <x v="8"/>
    <x v="7"/>
    <s v="C:\Users\cbarrier\Desktop\Calibration\20201112_Cefas_Test5_Run3/@4/G4_01- exclu.tif"/>
    <m/>
    <m/>
    <x v="1"/>
    <m/>
    <m/>
    <m/>
  </r>
  <r>
    <x v="8"/>
    <x v="7"/>
    <s v="C:\Users\cbarrier\Desktop\Calibration\20201112_Cefas_Test5_Run3/@4/G4_02- exclu.tif"/>
    <m/>
    <m/>
    <x v="1"/>
    <m/>
    <m/>
    <m/>
  </r>
  <r>
    <x v="8"/>
    <x v="7"/>
    <s v="C:\Users\cbarrier\Desktop\Calibration\20201112_Cefas_Test5_Run3/@4/G4_03- exclu.tif"/>
    <m/>
    <m/>
    <x v="1"/>
    <m/>
    <m/>
    <m/>
  </r>
  <r>
    <x v="8"/>
    <x v="8"/>
    <s v="C:\Users\cbarrier\Desktop\Calibration\20201112_Cefas_Test5_Run3/@4/H4_01.tif "/>
    <s v=" 18255.6311 "/>
    <s v=" 33.2891 "/>
    <x v="0"/>
    <n v="607714"/>
    <m/>
    <m/>
  </r>
  <r>
    <x v="8"/>
    <x v="8"/>
    <s v="C:\Users\cbarrier\Desktop\Calibration\20201112_Cefas_Test5_Run3/@4/H4_02.tif "/>
    <s v=" 31471.4967 "/>
    <s v=" 33.4206 "/>
    <x v="0"/>
    <n v="1051797"/>
    <m/>
    <m/>
  </r>
  <r>
    <x v="8"/>
    <x v="8"/>
    <s v="C:\Users\cbarrier\Desktop\Calibration\20201112_Cefas_Test5_Run3/@4/H4_03.tif "/>
    <s v=" 20829.5885 "/>
    <s v=" 33.5888 "/>
    <x v="0"/>
    <n v="699641"/>
    <m/>
    <m/>
  </r>
  <r>
    <x v="0"/>
    <x v="0"/>
    <s v=" "/>
    <m/>
    <m/>
    <x v="1"/>
    <m/>
    <m/>
    <m/>
  </r>
  <r>
    <x v="0"/>
    <x v="0"/>
    <s v="group "/>
    <s v=" "/>
    <s v=" mean of mean fluo "/>
    <x v="2"/>
    <s v=" mean of total fluo "/>
    <m/>
    <m/>
  </r>
  <r>
    <x v="8"/>
    <x v="9"/>
    <s v="C:\Users\cbarrier\Desktop\Calibration\20201112_Cefas_Test5_Run3/@4/ "/>
    <s v=" "/>
    <s v=" 34.1881 "/>
    <x v="10"/>
    <s v=" 602109.667 "/>
    <m/>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cbarrier\Desktop\Calibration\20201112_Cefas_Test5_Run3/@5/A5_01.tif "/>
    <s v=" 5861.7014 "/>
    <s v=" 31.0886 "/>
    <x v="0"/>
    <n v="182232"/>
    <m/>
    <m/>
  </r>
  <r>
    <x v="9"/>
    <x v="1"/>
    <s v="C:\Users\cbarrier\Desktop\Calibration\20201112_Cefas_Test5_Run3/@5/A5_02.tif "/>
    <s v=" 12545.3389 "/>
    <s v=" 32.2138 "/>
    <x v="0"/>
    <n v="404133"/>
    <m/>
    <m/>
  </r>
  <r>
    <x v="9"/>
    <x v="1"/>
    <s v="C:\Users\cbarrier\Desktop\Calibration\20201112_Cefas_Test5_Run3/@5/A5_03.tif "/>
    <s v=" 10858.2071 "/>
    <s v=" 32.2689 "/>
    <x v="0"/>
    <n v="350383"/>
    <m/>
    <m/>
  </r>
  <r>
    <x v="9"/>
    <x v="2"/>
    <s v="C:\Users\cbarrier\Desktop\Calibration\20201112_Cefas_Test5_Run3/@5/B5_01.tif "/>
    <s v=" 18731.4887 "/>
    <s v=" 36.0439 "/>
    <x v="0"/>
    <n v="675156"/>
    <m/>
    <m/>
  </r>
  <r>
    <x v="9"/>
    <x v="2"/>
    <s v="C:\Users\cbarrier\Desktop\Calibration\20201112_Cefas_Test5_Run3/@5/B5_02.tif "/>
    <s v=" 22408.5708 "/>
    <s v=" 35.4701 "/>
    <x v="0"/>
    <n v="794834"/>
    <m/>
    <m/>
  </r>
  <r>
    <x v="9"/>
    <x v="2"/>
    <s v="C:\Users\cbarrier\Desktop\Calibration\20201112_Cefas_Test5_Run3/@5/B5_03.tif "/>
    <s v=" 9560.4134 "/>
    <s v=" 37.9186 "/>
    <x v="0"/>
    <n v="362517"/>
    <m/>
    <m/>
  </r>
  <r>
    <x v="9"/>
    <x v="3"/>
    <s v="C:\Users\cbarrier\Desktop\Calibration\20201112_Cefas_Test5_Run3/@5/C5_01.tif "/>
    <s v=" 75207.1436 "/>
    <s v=" 39.5861 "/>
    <x v="0"/>
    <n v="2977160"/>
    <m/>
    <m/>
  </r>
  <r>
    <x v="9"/>
    <x v="3"/>
    <s v="C:\Users\cbarrier\Desktop\Calibration\20201112_Cefas_Test5_Run3/@5/C5_02.tif "/>
    <s v=" 63224.182 "/>
    <s v=" 38.1057 "/>
    <x v="0"/>
    <n v="2409203"/>
    <m/>
    <m/>
  </r>
  <r>
    <x v="9"/>
    <x v="3"/>
    <s v="C:\Users\cbarrier\Desktop\Calibration\20201112_Cefas_Test5_Run3/@5/C5_03.tif "/>
    <s v=" 62445.5058 "/>
    <s v=" 37.796 "/>
    <x v="0"/>
    <n v="2360189"/>
    <m/>
    <m/>
  </r>
  <r>
    <x v="9"/>
    <x v="4"/>
    <s v="C:\Users\cbarrier\Desktop\Calibration\20201112_Cefas_Test5_Run3/@5/D5_01.tif "/>
    <s v=" 68026.0186 "/>
    <s v=" 38.5275 "/>
    <x v="0"/>
    <n v="2620873"/>
    <m/>
    <m/>
  </r>
  <r>
    <x v="9"/>
    <x v="4"/>
    <s v="C:\Users\cbarrier\Desktop\Calibration\20201112_Cefas_Test5_Run3/@5/D5_02- exclu.tif"/>
    <m/>
    <m/>
    <x v="1"/>
    <m/>
    <m/>
    <m/>
  </r>
  <r>
    <x v="9"/>
    <x v="4"/>
    <s v="C:\Users\cbarrier\Desktop\Calibration\20201112_Cefas_Test5_Run3/@5/D5_03.tif "/>
    <s v=" 76613.0868 "/>
    <s v=" 41.832 "/>
    <x v="0"/>
    <n v="3204880"/>
    <m/>
    <m/>
  </r>
  <r>
    <x v="9"/>
    <x v="5"/>
    <s v="C:\Users\cbarrier\Desktop\Calibration\20201112_Cefas_Test5_Run3/@5/E5_01.tif "/>
    <s v=" 48429.3341 "/>
    <s v=" 35.0071 "/>
    <x v="0"/>
    <n v="1695373"/>
    <m/>
    <m/>
  </r>
  <r>
    <x v="9"/>
    <x v="5"/>
    <s v="C:\Users\cbarrier\Desktop\Calibration\20201112_Cefas_Test5_Run3/@5/E5_02.tif "/>
    <s v=" 36727.5611 "/>
    <s v=" 35.0948 "/>
    <x v="0"/>
    <n v="1288947"/>
    <m/>
    <m/>
  </r>
  <r>
    <x v="9"/>
    <x v="5"/>
    <s v="C:\Users\cbarrier\Desktop\Calibration\20201112_Cefas_Test5_Run3/@5/E5_03.tif "/>
    <s v=" 50051.5762 "/>
    <s v=" 37.6863 "/>
    <x v="0"/>
    <n v="1886257"/>
    <m/>
    <m/>
  </r>
  <r>
    <x v="9"/>
    <x v="6"/>
    <s v="C:\Users\cbarrier\Desktop\Calibration\20201112_Cefas_Test5_Run3/@5/F5_01.tif "/>
    <s v=" 10166.0505 "/>
    <s v=" 31.2064 "/>
    <x v="0"/>
    <n v="317246"/>
    <m/>
    <m/>
  </r>
  <r>
    <x v="9"/>
    <x v="6"/>
    <s v="C:\Users\cbarrier\Desktop\Calibration\20201112_Cefas_Test5_Run3/@5/F5_02.tif "/>
    <s v=" 26215.4323 "/>
    <s v=" 31.9373 "/>
    <x v="0"/>
    <n v="837250"/>
    <m/>
    <m/>
  </r>
  <r>
    <x v="9"/>
    <x v="6"/>
    <s v="C:\Users\cbarrier\Desktop\Calibration\20201112_Cefas_Test5_Run3/@5/F5_03.tif "/>
    <s v=" 17390.4353 "/>
    <s v=" 31.7649 "/>
    <x v="0"/>
    <n v="552406"/>
    <m/>
    <m/>
  </r>
  <r>
    <x v="9"/>
    <x v="7"/>
    <s v="C:\Users\cbarrier\Desktop\Calibration\20201112_Cefas_Test5_Run3/@5/G5_01.tif "/>
    <s v=" 33050.479 "/>
    <s v=" 49.7539 "/>
    <x v="0"/>
    <n v="1644391"/>
    <m/>
    <m/>
  </r>
  <r>
    <x v="9"/>
    <x v="7"/>
    <s v="C:\Users\cbarrier\Desktop\Calibration\20201112_Cefas_Test5_Run3/@5/G5_02.tif "/>
    <s v=" 33894.0449 "/>
    <s v=" 49.656 "/>
    <x v="0"/>
    <n v="1683044"/>
    <m/>
    <m/>
  </r>
  <r>
    <x v="9"/>
    <x v="7"/>
    <s v="C:\Users\cbarrier\Desktop\Calibration\20201112_Cefas_Test5_Run3/@5/G5_03.tif "/>
    <s v=" 25544.9056 "/>
    <s v=" 52.2811 "/>
    <x v="0"/>
    <n v="1335516"/>
    <m/>
    <m/>
  </r>
  <r>
    <x v="9"/>
    <x v="8"/>
    <s v="C:\Users\cbarrier\Desktop\Calibration\20201112_Cefas_Test5_Run3/@5/H5_01.tif "/>
    <s v=" 78970.7453 "/>
    <s v=" 40.3996 "/>
    <x v="0"/>
    <n v="3190388"/>
    <m/>
    <m/>
  </r>
  <r>
    <x v="9"/>
    <x v="8"/>
    <s v="C:\Users\cbarrier\Desktop\Calibration\20201112_Cefas_Test5_Run3/@5/H5_02.tif "/>
    <s v=" 75791.1508 "/>
    <s v=" 43.1147 "/>
    <x v="0"/>
    <n v="3267715"/>
    <m/>
    <m/>
  </r>
  <r>
    <x v="9"/>
    <x v="8"/>
    <s v="C:\Users\cbarrier\Desktop\Calibration\20201112_Cefas_Test5_Run3/@5/H5_03.tif "/>
    <s v=" 79792.6813 "/>
    <s v=" 40.338 "/>
    <x v="0"/>
    <n v="3218680"/>
    <m/>
    <m/>
  </r>
  <r>
    <x v="0"/>
    <x v="0"/>
    <s v=" "/>
    <m/>
    <m/>
    <x v="1"/>
    <m/>
    <m/>
    <m/>
  </r>
  <r>
    <x v="0"/>
    <x v="0"/>
    <s v="group "/>
    <s v=" "/>
    <s v=" mean of mean fluo "/>
    <x v="2"/>
    <s v=" mean of total fluo "/>
    <m/>
    <m/>
  </r>
  <r>
    <x v="9"/>
    <x v="9"/>
    <s v="C:\Users\cbarrier\Desktop\Calibration\20201112_Cefas_Test5_Run3/@5/ "/>
    <s v=" "/>
    <s v=" 38.2553 "/>
    <x v="11"/>
    <s v=" 1661652.79 "/>
    <m/>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cbarrier\Desktop\Calibration\20201112_Cefas_Test5_Run3/@6/A6_01.tif "/>
    <s v=" 57859.9681 "/>
    <s v=" 48.5402 "/>
    <x v="0"/>
    <n v="2808534"/>
    <m/>
    <m/>
  </r>
  <r>
    <x v="10"/>
    <x v="1"/>
    <s v="C:\Users\cbarrier\Desktop\Calibration\20201112_Cefas_Test5_Run3/@6/A6_02- exclu.tif"/>
    <m/>
    <m/>
    <x v="1"/>
    <m/>
    <m/>
    <m/>
  </r>
  <r>
    <x v="10"/>
    <x v="1"/>
    <s v="C:\Users\cbarrier\Desktop\Calibration\20201112_Cefas_Test5_Run3/@6/A6_03- exclu.tif"/>
    <m/>
    <m/>
    <x v="1"/>
    <m/>
    <m/>
    <m/>
  </r>
  <r>
    <x v="10"/>
    <x v="2"/>
    <s v="C:\Users\cbarrier\Desktop\Calibration\20201112_Cefas_Test5_Run3/@6/B6_01.tif "/>
    <s v=" 77716.2114 "/>
    <s v=" 43.0392 "/>
    <x v="0"/>
    <n v="3344847"/>
    <m/>
    <m/>
  </r>
  <r>
    <x v="10"/>
    <x v="2"/>
    <s v="C:\Users\cbarrier\Desktop\Calibration\20201112_Cefas_Test5_Run3/@6/B6_02.tif "/>
    <s v=" 75142.2539 "/>
    <s v=" 46.5276 "/>
    <x v="0"/>
    <n v="3496191"/>
    <m/>
    <m/>
  </r>
  <r>
    <x v="10"/>
    <x v="2"/>
    <s v="C:\Users\cbarrier\Desktop\Calibration\20201112_Cefas_Test5_Run3/@6/B6_03.tif "/>
    <s v=" 75618.1116 "/>
    <s v=" 46.1773 "/>
    <x v="0"/>
    <n v="3491844"/>
    <m/>
    <m/>
  </r>
  <r>
    <x v="10"/>
    <x v="3"/>
    <s v="C:\Users\cbarrier\Desktop\Calibration\20201112_Cefas_Test5_Run3/@6/C6_01.tif "/>
    <s v=" 80484.8379 "/>
    <s v=" 46.258 "/>
    <x v="0"/>
    <n v="3723067"/>
    <m/>
    <m/>
  </r>
  <r>
    <x v="10"/>
    <x v="3"/>
    <s v="C:\Users\cbarrier\Desktop\Calibration\20201112_Cefas_Test5_Run3/@6/C6_02.tif "/>
    <s v=" 69648.2607 "/>
    <s v=" 46.5851 "/>
    <x v="0"/>
    <n v="3244571"/>
    <m/>
    <m/>
  </r>
  <r>
    <x v="10"/>
    <x v="3"/>
    <s v="C:\Users\cbarrier\Desktop\Calibration\20201112_Cefas_Test5_Run3/@6/C6_03.tif "/>
    <s v=" 66187.4776 "/>
    <s v=" 44.2631 "/>
    <x v="0"/>
    <n v="2929661"/>
    <m/>
    <m/>
  </r>
  <r>
    <x v="10"/>
    <x v="4"/>
    <s v="C:\Users\cbarrier\Desktop\Calibration\20201112_Cefas_Test5_Run3/@6/D6_01.tif "/>
    <s v=" 51197.9606 "/>
    <s v=" 41.703 "/>
    <x v="0"/>
    <n v="2135109"/>
    <m/>
    <m/>
  </r>
  <r>
    <x v="10"/>
    <x v="4"/>
    <s v="C:\Users\cbarrier\Desktop\Calibration\20201112_Cefas_Test5_Run3/@6/D6_02.tif "/>
    <s v=" 60542.0751 "/>
    <s v=" 43.766 "/>
    <x v="0"/>
    <n v="2649684"/>
    <m/>
    <m/>
  </r>
  <r>
    <x v="10"/>
    <x v="4"/>
    <s v="C:\Users\cbarrier\Desktop\Calibration\20201112_Cefas_Test5_Run3/@6/D6_03- exclu.tif"/>
    <m/>
    <m/>
    <x v="1"/>
    <m/>
    <m/>
    <m/>
  </r>
  <r>
    <x v="10"/>
    <x v="5"/>
    <s v="C:\Users\cbarrier\Desktop\Calibration\20201112_Cefas_Test5_Run3/@6/E6_01.tif "/>
    <s v=" 35429.7674 "/>
    <s v=" 40.0592 "/>
    <x v="0"/>
    <n v="1419289"/>
    <m/>
    <m/>
  </r>
  <r>
    <x v="10"/>
    <x v="5"/>
    <s v="C:\Users\cbarrier\Desktop\Calibration\20201112_Cefas_Test5_Run3/@6/E6_02.tif "/>
    <s v=" 35862.3653 "/>
    <s v=" 42.4276 "/>
    <x v="0"/>
    <n v="1521555"/>
    <m/>
    <m/>
  </r>
  <r>
    <x v="10"/>
    <x v="5"/>
    <s v="C:\Users\cbarrier\Desktop\Calibration\20201112_Cefas_Test5_Run3/@6/E6_03- exclu.tif"/>
    <m/>
    <m/>
    <x v="1"/>
    <m/>
    <m/>
    <m/>
  </r>
  <r>
    <x v="10"/>
    <x v="6"/>
    <s v="C:\Users\cbarrier\Desktop\Calibration\20201112_Cefas_Test5_Run3/@6/F6_01.tif "/>
    <s v=" 61883.1285 "/>
    <s v=" 50.59 "/>
    <x v="0"/>
    <n v="3130668"/>
    <m/>
    <m/>
  </r>
  <r>
    <x v="10"/>
    <x v="6"/>
    <s v="C:\Users\cbarrier\Desktop\Calibration\20201112_Cefas_Test5_Run3/@6/F6_02.tif "/>
    <s v=" 58379.0856 "/>
    <s v=" 52.7873 "/>
    <x v="0"/>
    <n v="3081676"/>
    <m/>
    <m/>
  </r>
  <r>
    <x v="10"/>
    <x v="6"/>
    <s v="C:\Users\cbarrier\Desktop\Calibration\20201112_Cefas_Test5_Run3/@6/F6_03.tif "/>
    <s v=" 53252.8006 "/>
    <s v=" 49.708 "/>
    <x v="0"/>
    <n v="2647088"/>
    <m/>
    <m/>
  </r>
  <r>
    <x v="10"/>
    <x v="7"/>
    <s v="C:\Users\cbarrier\Desktop\Calibration\20201112_Cefas_Test5_Run3/@6/G6_01.tif "/>
    <s v=" 46547.5332 "/>
    <s v=" 41.4721 "/>
    <x v="0"/>
    <n v="1930425"/>
    <m/>
    <m/>
  </r>
  <r>
    <x v="10"/>
    <x v="7"/>
    <s v="C:\Users\cbarrier\Desktop\Calibration\20201112_Cefas_Test5_Run3/@6/G6_02.tif "/>
    <s v=" 37765.796 "/>
    <s v=" 41.9519 "/>
    <x v="0"/>
    <n v="1584347"/>
    <m/>
    <m/>
  </r>
  <r>
    <x v="10"/>
    <x v="7"/>
    <s v="C:\Users\cbarrier\Desktop\Calibration\20201112_Cefas_Test5_Run3/@6/G6_03.tif "/>
    <s v=" 40383.0133 "/>
    <s v=" 44.4788 "/>
    <x v="0"/>
    <n v="1796190"/>
    <m/>
    <m/>
  </r>
  <r>
    <x v="10"/>
    <x v="8"/>
    <s v="C:\Users\cbarrier\Desktop\Calibration\20201112_Cefas_Test5_Run3/@6/H6_01.tif "/>
    <s v=" 92078.4614 "/>
    <s v=" 47.8062 "/>
    <x v="0"/>
    <n v="4401921"/>
    <m/>
    <m/>
  </r>
  <r>
    <x v="10"/>
    <x v="8"/>
    <s v="C:\Users\cbarrier\Desktop\Calibration\20201112_Cefas_Test5_Run3/@6/H6_02.tif "/>
    <s v=" 84875.7065 "/>
    <s v=" 53.1746 "/>
    <x v="0"/>
    <n v="4513229"/>
    <m/>
    <m/>
  </r>
  <r>
    <x v="10"/>
    <x v="8"/>
    <s v="C:\Users\cbarrier\Desktop\Calibration\20201112_Cefas_Test5_Run3/@6/H6_03.tif "/>
    <s v=" 81847.5213 "/>
    <s v=" 45.7674 "/>
    <x v="0"/>
    <n v="3745952"/>
    <m/>
    <m/>
  </r>
  <r>
    <x v="0"/>
    <x v="0"/>
    <s v=" "/>
    <m/>
    <m/>
    <x v="1"/>
    <m/>
    <m/>
    <m/>
  </r>
  <r>
    <x v="0"/>
    <x v="0"/>
    <s v="group "/>
    <s v=" "/>
    <s v=" mean of mean fluo "/>
    <x v="2"/>
    <s v=" mean of total fluo "/>
    <m/>
    <m/>
  </r>
  <r>
    <x v="10"/>
    <x v="9"/>
    <s v="C:\Users\cbarrier\Desktop\Calibration\20201112_Cefas_Test5_Run3/@6/ "/>
    <s v=" "/>
    <s v=" 45.5358 "/>
    <x v="12"/>
    <s v=" 2650270.54 "/>
    <m/>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cbarrier\Desktop\Calibration\20201112_Cefas_Test5_Run3/@7/A7_01.tif "/>
    <s v=" 86238.3899 "/>
    <s v=" 57.5079 "/>
    <x v="0"/>
    <n v="4959389"/>
    <m/>
    <m/>
  </r>
  <r>
    <x v="11"/>
    <x v="1"/>
    <s v="C:\Users\cbarrier\Desktop\Calibration\20201112_Cefas_Test5_Run3/@7/A7_02.tif "/>
    <s v=" 83275.0943 "/>
    <s v=" 55.8631 "/>
    <x v="0"/>
    <n v="4652006"/>
    <m/>
    <m/>
  </r>
  <r>
    <x v="11"/>
    <x v="1"/>
    <s v="C:\Users\cbarrier\Desktop\Calibration\20201112_Cefas_Test5_Run3/@7/A7_03.tif "/>
    <s v=" 81458.1832 "/>
    <s v=" 52.3603 "/>
    <x v="0"/>
    <n v="4265177"/>
    <m/>
    <m/>
  </r>
  <r>
    <x v="11"/>
    <x v="2"/>
    <s v="C:\Users\cbarrier\Desktop\Calibration\20201112_Cefas_Test5_Run3/@7/B7_01.tif "/>
    <s v=" 68307.2072 "/>
    <s v=" 40.2008 "/>
    <x v="0"/>
    <n v="2746002"/>
    <m/>
    <m/>
  </r>
  <r>
    <x v="11"/>
    <x v="2"/>
    <s v="C:\Users\cbarrier\Desktop\Calibration\20201112_Cefas_Test5_Run3/@7/B7_02.tif "/>
    <s v=" 85265.0446 "/>
    <s v=" 44.1149 "/>
    <x v="0"/>
    <n v="3761460"/>
    <m/>
    <m/>
  </r>
  <r>
    <x v="11"/>
    <x v="2"/>
    <s v="C:\Users\cbarrier\Desktop\Calibration\20201112_Cefas_Test5_Run3/@7/B7_03.tif "/>
    <s v=" 87341.5145 "/>
    <s v=" 43.9886 "/>
    <x v="0"/>
    <n v="3842032"/>
    <m/>
    <m/>
  </r>
  <r>
    <x v="11"/>
    <x v="3"/>
    <s v="C:\Users\cbarrier\Desktop\Calibration\20201112_Cefas_Test5_Run3/@7/C7_01.tif "/>
    <s v=" 105294.327 "/>
    <s v=" 56.1845 "/>
    <x v="0"/>
    <n v="5915906"/>
    <m/>
    <m/>
  </r>
  <r>
    <x v="11"/>
    <x v="3"/>
    <s v="C:\Users\cbarrier\Desktop\Calibration\20201112_Cefas_Test5_Run3/@7/C7_02.tif "/>
    <s v=" 101314.426 "/>
    <s v=" 58.9872 "/>
    <x v="0"/>
    <n v="5976253"/>
    <m/>
    <m/>
  </r>
  <r>
    <x v="11"/>
    <x v="3"/>
    <s v="C:\Users\cbarrier\Desktop\Calibration\20201112_Cefas_Test5_Run3/@7/C7_03.tif "/>
    <s v=" 96534.2197 "/>
    <s v=" 58.659 "/>
    <x v="0"/>
    <n v="5662598"/>
    <m/>
    <m/>
  </r>
  <r>
    <x v="11"/>
    <x v="4"/>
    <s v="C:\Users\cbarrier\Desktop\Calibration\20201112_Cefas_Test5_Run3/@7/D7_01.tif "/>
    <s v=" 85200.1549 "/>
    <s v=" 52.1315 "/>
    <x v="0"/>
    <n v="4441612"/>
    <m/>
    <m/>
  </r>
  <r>
    <x v="11"/>
    <x v="4"/>
    <s v="C:\Users\cbarrier\Desktop\Calibration\20201112_Cefas_Test5_Run3/@7/D7_02.tif "/>
    <s v=" 81241.8842 "/>
    <s v=" 55.5783 "/>
    <x v="0"/>
    <n v="4515284"/>
    <m/>
    <m/>
  </r>
  <r>
    <x v="11"/>
    <x v="4"/>
    <s v="C:\Users\cbarrier\Desktop\Calibration\20201112_Cefas_Test5_Run3/@7/D7_03.tif "/>
    <s v=" 90218.2905 "/>
    <s v=" 58.3601 "/>
    <x v="0"/>
    <n v="5265149"/>
    <m/>
    <m/>
  </r>
  <r>
    <x v="11"/>
    <x v="5"/>
    <s v="C:\Users\cbarrier\Desktop\Calibration\20201112_Cefas_Test5_Run3/@7/E7_01- exclu.tif"/>
    <m/>
    <m/>
    <x v="1"/>
    <m/>
    <m/>
    <m/>
  </r>
  <r>
    <x v="11"/>
    <x v="5"/>
    <s v="C:\Users\cbarrier\Desktop\Calibration\20201112_Cefas_Test5_Run3/@7/E7_02.tif "/>
    <s v=" 58746.7938 "/>
    <s v=" 58.7474 "/>
    <x v="0"/>
    <n v="3451223"/>
    <m/>
    <m/>
  </r>
  <r>
    <x v="11"/>
    <x v="5"/>
    <s v="C:\Users\cbarrier\Desktop\Calibration\20201112_Cefas_Test5_Run3/@7/E7_03.tif "/>
    <s v=" 55156.2313 "/>
    <s v=" 57.5345 "/>
    <x v="0"/>
    <n v="3173387"/>
    <m/>
    <m/>
  </r>
  <r>
    <x v="11"/>
    <x v="6"/>
    <s v="C:\Users\cbarrier\Desktop\Calibration\20201112_Cefas_Test5_Run3/@7/F7_01.tif "/>
    <s v=" 80117.1297 "/>
    <s v=" 51.3094 "/>
    <x v="0"/>
    <n v="4110761"/>
    <m/>
    <m/>
  </r>
  <r>
    <x v="11"/>
    <x v="6"/>
    <s v="C:\Users\cbarrier\Desktop\Calibration\20201112_Cefas_Test5_Run3/@7/F7_02.tif "/>
    <s v=" 79273.5638 "/>
    <s v=" 56.9266 "/>
    <x v="0"/>
    <n v="4512775"/>
    <m/>
    <m/>
  </r>
  <r>
    <x v="11"/>
    <x v="6"/>
    <s v="C:\Users\cbarrier\Desktop\Calibration\20201112_Cefas_Test5_Run3/@7/F7_03.tif "/>
    <s v=" 75034.1045 "/>
    <s v=" 54.8345 "/>
    <x v="0"/>
    <n v="4114460"/>
    <m/>
    <m/>
  </r>
  <r>
    <x v="11"/>
    <x v="7"/>
    <s v="C:\Users\cbarrier\Desktop\Calibration\20201112_Cefas_Test5_Run3/@7/G7_01.tif "/>
    <s v=" 35083.6891 "/>
    <s v=" 48.9531 "/>
    <x v="0"/>
    <n v="1717457"/>
    <m/>
    <m/>
  </r>
  <r>
    <x v="11"/>
    <x v="7"/>
    <s v="C:\Users\cbarrier\Desktop\Calibration\20201112_Cefas_Test5_Run3/@7/G7_02.tif "/>
    <s v=" 32747.6605 "/>
    <s v=" 57.7576 "/>
    <x v="0"/>
    <n v="1891426"/>
    <m/>
    <m/>
  </r>
  <r>
    <x v="11"/>
    <x v="7"/>
    <s v="C:\Users\cbarrier\Desktop\Calibration\20201112_Cefas_Test5_Run3/@7/G7_03.tif "/>
    <s v=" 31428.2369 "/>
    <s v=" 56.457 "/>
    <x v="0"/>
    <n v="1774344"/>
    <m/>
    <m/>
  </r>
  <r>
    <x v="11"/>
    <x v="8"/>
    <s v="C:\Users\cbarrier\Desktop\Calibration\20201112_Cefas_Test5_Run3/@7/H7_01.tif "/>
    <s v=" 24744.5995 "/>
    <s v=" 43.5227 "/>
    <x v="0"/>
    <n v="1076952"/>
    <m/>
    <m/>
  </r>
  <r>
    <x v="11"/>
    <x v="8"/>
    <s v="C:\Users\cbarrier\Desktop\Calibration\20201112_Cefas_Test5_Run3/@7/H7_02.tif "/>
    <s v=" 23035.8378 "/>
    <s v=" 47.7812 "/>
    <x v="0"/>
    <n v="1100680"/>
    <m/>
    <m/>
  </r>
  <r>
    <x v="11"/>
    <x v="8"/>
    <s v="C:\Users\cbarrier\Desktop\Calibration\20201112_Cefas_Test5_Run3/@7/H7_03.tif "/>
    <s v=" 20050.9123 "/>
    <s v=" 50.2093 "/>
    <x v="0"/>
    <n v="1006742"/>
    <m/>
    <m/>
  </r>
  <r>
    <x v="0"/>
    <x v="0"/>
    <s v=" "/>
    <m/>
    <m/>
    <x v="1"/>
    <m/>
    <m/>
    <m/>
  </r>
  <r>
    <x v="0"/>
    <x v="0"/>
    <s v="group "/>
    <s v=" "/>
    <s v=" mean of mean fluo "/>
    <x v="2"/>
    <s v=" mean of total fluo "/>
    <m/>
    <m/>
  </r>
  <r>
    <x v="11"/>
    <x v="9"/>
    <s v="C:\Users\cbarrier\Desktop\Calibration\20201112_Cefas_Test5_Run3/@7/ "/>
    <s v=" "/>
    <s v=" 52.7258 "/>
    <x v="13"/>
    <s v=" 3595610.38 "/>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m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W7" firstHeaderRow="1" firstDataRow="2" firstDataCol="1" rowPageCount="1" colPageCount="1"/>
  <pivotFields count="10">
    <pivotField axis="axisCol" subtotalTop="0" showAll="0">
      <items count="14">
        <item m="1" x="12"/>
        <item x="0"/>
        <item x="1"/>
        <item x="2"/>
        <item x="3"/>
        <item x="4"/>
        <item x="5"/>
        <item x="6"/>
        <item x="7"/>
        <item x="8"/>
        <item x="9"/>
        <item x="10"/>
        <item x="11"/>
        <item t="default"/>
      </items>
    </pivotField>
    <pivotField axis="axisRow" subtotalTop="0" showAll="0" sortType="ascending">
      <items count="4">
        <item x="2"/>
        <item x="1"/>
        <item x="0"/>
        <item t="default"/>
      </items>
    </pivotField>
    <pivotField subtotalTop="0" showAll="0"/>
    <pivotField subtotalTop="0" showAll="0"/>
    <pivotField subtotalTop="0" showAll="0"/>
    <pivotField axis="axisPage" subtotalTop="0" showAll="0">
      <items count="15">
        <item x="1"/>
        <item x="0"/>
        <item x="2"/>
        <item x="3"/>
        <item x="4"/>
        <item x="5"/>
        <item x="6"/>
        <item x="7"/>
        <item x="8"/>
        <item x="9"/>
        <item x="10"/>
        <item x="11"/>
        <item x="12"/>
        <item x="13"/>
        <item t="default"/>
      </items>
    </pivotField>
    <pivotField dataField="1" subtotalTop="0" showAll="0"/>
    <pivotField subtotalTop="0" showAll="0"/>
    <pivotField subtotalTop="0" showAll="0"/>
    <pivotField showAll="0"/>
  </pivotFields>
  <rowFields count="1">
    <field x="1"/>
  </rowFields>
  <rowItems count="3">
    <i>
      <x/>
    </i>
    <i>
      <x v="1"/>
    </i>
    <i>
      <x v="2"/>
    </i>
  </rowItems>
  <colFields count="1">
    <field x="0"/>
  </colFields>
  <colItems count="12">
    <i>
      <x v="1"/>
    </i>
    <i>
      <x v="2"/>
    </i>
    <i>
      <x v="3"/>
    </i>
    <i>
      <x v="4"/>
    </i>
    <i>
      <x v="5"/>
    </i>
    <i>
      <x v="6"/>
    </i>
    <i>
      <x v="7"/>
    </i>
    <i>
      <x v="8"/>
    </i>
    <i>
      <x v="9"/>
    </i>
    <i>
      <x v="10"/>
    </i>
    <i>
      <x v="11"/>
    </i>
    <i>
      <x v="1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W7" firstHeaderRow="1" firstDataRow="2" firstDataCol="1" rowPageCount="1" colPageCount="1"/>
  <pivotFields count="10">
    <pivotField axis="axisCol" subtotalTop="0" showAll="0">
      <items count="13">
        <item x="1"/>
        <item x="0"/>
        <item x="2"/>
        <item x="3"/>
        <item x="4"/>
        <item x="5"/>
        <item x="6"/>
        <item x="7"/>
        <item x="8"/>
        <item x="9"/>
        <item x="10"/>
        <item x="11"/>
        <item t="default"/>
      </items>
    </pivotField>
    <pivotField axis="axisRow" subtotalTop="0" showAll="0">
      <items count="4">
        <item x="1"/>
        <item x="0"/>
        <item x="2"/>
        <item t="default"/>
      </items>
    </pivotField>
    <pivotField subtotalTop="0" showAll="0"/>
    <pivotField subtotalTop="0" showAll="0"/>
    <pivotField subtotalTop="0" showAll="0"/>
    <pivotField axis="axisPage" subtotalTop="0" showAll="0">
      <items count="15">
        <item x="1"/>
        <item x="0"/>
        <item x="2"/>
        <item x="3"/>
        <item x="4"/>
        <item x="5"/>
        <item x="6"/>
        <item x="7"/>
        <item x="8"/>
        <item x="9"/>
        <item x="10"/>
        <item x="11"/>
        <item x="12"/>
        <item x="13"/>
        <item t="default"/>
      </items>
    </pivotField>
    <pivotField dataField="1" subtotalTop="0" showAll="0"/>
    <pivotField subtotalTop="0" showAll="0"/>
    <pivotField subtotalTop="0" showAll="0"/>
    <pivotField showAll="0"/>
  </pivotFields>
  <rowFields count="1">
    <field x="1"/>
  </rowFields>
  <rowItems count="3">
    <i>
      <x/>
    </i>
    <i>
      <x v="1"/>
    </i>
    <i>
      <x v="2"/>
    </i>
  </rowItems>
  <colFields count="1">
    <field x="0"/>
  </colFields>
  <colItems count="12">
    <i>
      <x/>
    </i>
    <i>
      <x v="1"/>
    </i>
    <i>
      <x v="2"/>
    </i>
    <i>
      <x v="3"/>
    </i>
    <i>
      <x v="4"/>
    </i>
    <i>
      <x v="5"/>
    </i>
    <i>
      <x v="6"/>
    </i>
    <i>
      <x v="7"/>
    </i>
    <i>
      <x v="8"/>
    </i>
    <i>
      <x v="9"/>
    </i>
    <i>
      <x v="10"/>
    </i>
    <i>
      <x v="1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V12" firstHeaderRow="1" firstDataRow="2" firstDataCol="1" rowPageCount="1" colPageCount="1"/>
  <pivotFields count="9">
    <pivotField axis="axisCol" subtotalTop="0" showAll="0">
      <items count="13">
        <item h="1" x="0"/>
        <item x="1"/>
        <item x="2"/>
        <item x="3"/>
        <item x="4"/>
        <item x="5"/>
        <item x="6"/>
        <item x="7"/>
        <item x="8"/>
        <item x="9"/>
        <item x="10"/>
        <item x="11"/>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15">
        <item x="1"/>
        <item x="0"/>
        <item x="2"/>
        <item x="3"/>
        <item x="4"/>
        <item x="5"/>
        <item x="6"/>
        <item x="7"/>
        <item x="8"/>
        <item x="9"/>
        <item x="10"/>
        <item x="11"/>
        <item x="12"/>
        <item x="1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11">
    <i>
      <x v="1"/>
    </i>
    <i>
      <x v="2"/>
    </i>
    <i>
      <x v="3"/>
    </i>
    <i>
      <x v="4"/>
    </i>
    <i>
      <x v="5"/>
    </i>
    <i>
      <x v="6"/>
    </i>
    <i>
      <x v="7"/>
    </i>
    <i>
      <x v="8"/>
    </i>
    <i>
      <x v="9"/>
    </i>
    <i>
      <x v="10"/>
    </i>
    <i>
      <x v="11"/>
    </i>
  </colItems>
  <pageFields count="1">
    <pageField fld="5" hier="-1"/>
  </pageFields>
  <dataFields count="1">
    <dataField name="Moyenne de  total fluorescence" fld="6" subtotal="average" baseField="1" baseItem="0"/>
  </dataFields>
  <formats count="1">
    <format dxfId="23">
      <pivotArea dataOnly="0" labelOnly="1" fieldPosition="0">
        <references count="1">
          <reference field="0" count="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52" dataDxfId="51" tableBorderDxfId="50">
  <autoFilter ref="A6:F58" xr:uid="{00000000-0009-0000-0100-000001000000}"/>
  <tableColumns count="6">
    <tableColumn id="4" xr3:uid="{00000000-0010-0000-0000-000004000000}" name="Nom sur le graphique" dataDxfId="49">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48">
      <calculatedColumnFormula>A2</calculatedColumnFormula>
    </tableColumn>
    <tableColumn id="2" xr3:uid="{00000000-0010-0000-0000-000002000000}" name="Concentration" dataDxfId="47">
      <calculatedColumnFormula>B2</calculatedColumnFormula>
    </tableColumn>
    <tableColumn id="10" xr3:uid="{00000000-0010-0000-0000-00000A000000}" name="Unité" dataDxfId="46"/>
    <tableColumn id="3" xr3:uid="{00000000-0010-0000-0000-000003000000}" name="Nom de l'échantillon donné par le client" dataDxfId="45">
      <calculatedColumnFormula>C2</calculatedColumnFormula>
    </tableColumn>
    <tableColumn id="9" xr3:uid="{00000000-0010-0000-0000-000009000000}" name="Dopage (+Testostérone / + EE2, ….)" dataDxfId="44"/>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73A4D89-DCA5-4172-A6C5-E05D1735A266}" name="Tableau8" displayName="Tableau8" ref="A1:I1557" totalsRowShown="0">
  <autoFilter ref="A1:I1557" xr:uid="{E73A4D89-DCA5-4172-A6C5-E05D1735A266}"/>
  <tableColumns count="9">
    <tableColumn id="1" xr3:uid="{F0681735-86FE-48FA-AC84-9A84D3017AC9}" name="Nom groupe"/>
    <tableColumn id="2" xr3:uid="{D847CC3F-D8BF-4445-A938-EB91AD544BDF}" name="N° de valeur"/>
    <tableColumn id="3" xr3:uid="{34770CD7-3F54-44B0-B8CA-3EF960E9DD96}" name="file name"/>
    <tableColumn id="4" xr3:uid="{DC3BD195-F415-4DAD-ACFB-0797E6965DD7}" name=" total area "/>
    <tableColumn id="5" xr3:uid="{C295994E-9135-42BC-8397-BC2101B1CC1E}" name=" mean intensity "/>
    <tableColumn id="6" xr3:uid="{E91CC1F2-938D-4F1A-86B0-83B8B4E91C94}" name=" "/>
    <tableColumn id="7" xr3:uid="{4D537622-BC04-4C70-A6B2-1341CCBD8ED6}" name=" total fluorescence"/>
    <tableColumn id="8" xr3:uid="{63D974C9-979F-4938-9CA0-B96A1F2C282B}" name="         "/>
    <tableColumn id="9" xr3:uid="{57FE9DFC-4C46-4DC9-B75B-F7F28C9C4B33}" name="nbre de larv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41">
      <calculatedColumnFormula>IFERROR(LEFT(RIGHT(C2,LEN(C2)-SEARCH("@",C2)),SEARCH("/",RIGHT(C2,LEN(C2)-SEARCH("@",C2)-1))),"")</calculatedColumnFormula>
    </tableColumn>
    <tableColumn id="2" xr3:uid="{00000000-0010-0000-0200-000002000000}" name="N° de valeur" dataDxfId="40">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70D8B975-E21D-4D46-8376-10F95AF8A5D6}"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37">
      <calculatedColumnFormula>IFERROR(LEFT(RIGHT(C2,LEN(C2)-SEARCH("@",C2)),SEARCH("/",RIGHT(C2,LEN(C2)-SEARCH("@",C2)-1))),"")</calculatedColumnFormula>
    </tableColumn>
    <tableColumn id="2" xr3:uid="{00000000-0010-0000-0300-000002000000}" name="N° de valeur" dataDxfId="36">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FCB65181-207D-473A-ADA3-D8B07E5BEE13}"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values'!$B$74:$L$83,4,FALSE)</calculatedColumnFormula>
    </tableColumn>
    <tableColumn id="6" xr3:uid="{00000000-0010-0000-0600-000006000000}" name="CHG-test ND" dataDxfId="6">
      <calculatedColumnFormula>HLOOKUP(Tableau3[[#This Row],[Nom ND]],'pooled normalised values'!$B$74:$L$83,8,FALSE)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values'!$B$74:$L$83,4,FALSE)</calculatedColumnFormula>
    </tableColumn>
    <tableColumn id="11" xr3:uid="{00000000-0010-0000-0600-00000B000000}" name="CHG-test D" dataDxfId="2">
      <calculatedColumnFormula>HLOOKUP(Tableau3[[#This Row],[Nom D]],'pooled normalised values'!$B$74:$L$83,8,FALSE)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zoomScale="55" zoomScaleNormal="55" workbookViewId="0">
      <selection activeCell="D16" sqref="D16"/>
    </sheetView>
  </sheetViews>
  <sheetFormatPr baseColWidth="10" defaultRowHeight="39" customHeight="1" x14ac:dyDescent="0.25"/>
  <cols>
    <col min="1" max="1" width="42" bestFit="1" customWidth="1"/>
    <col min="2" max="2" width="33.85546875" style="43" bestFit="1" customWidth="1"/>
    <col min="3" max="3" width="21.28515625" customWidth="1"/>
    <col min="4" max="4" width="30.42578125" customWidth="1"/>
    <col min="5" max="5" width="62.28515625" style="158"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208" t="s">
        <v>36</v>
      </c>
      <c r="B1" s="209"/>
      <c r="C1" s="209"/>
      <c r="D1" s="209"/>
      <c r="E1" s="209"/>
      <c r="F1" s="209"/>
      <c r="G1" s="209"/>
      <c r="H1" s="209"/>
      <c r="I1" s="210"/>
    </row>
    <row r="2" spans="1:9" ht="21" x14ac:dyDescent="0.35">
      <c r="A2" s="187" t="s">
        <v>17</v>
      </c>
      <c r="B2" s="41" t="s">
        <v>115</v>
      </c>
      <c r="C2" s="211"/>
      <c r="D2" s="212"/>
      <c r="E2" s="41" t="s">
        <v>21</v>
      </c>
      <c r="F2" s="223"/>
      <c r="G2" s="224"/>
      <c r="H2" s="224"/>
      <c r="I2" s="225"/>
    </row>
    <row r="3" spans="1:9" ht="21" x14ac:dyDescent="0.35">
      <c r="A3" s="188" t="s">
        <v>18</v>
      </c>
      <c r="B3" s="42" t="s">
        <v>115</v>
      </c>
      <c r="C3" s="213"/>
      <c r="D3" s="214"/>
      <c r="E3" s="42" t="s">
        <v>21</v>
      </c>
      <c r="F3" s="220"/>
      <c r="G3" s="221"/>
      <c r="H3" s="221"/>
      <c r="I3" s="222"/>
    </row>
    <row r="4" spans="1:9" ht="21.75" thickBot="1" x14ac:dyDescent="0.4">
      <c r="A4" s="189" t="s">
        <v>22</v>
      </c>
      <c r="B4" s="177" t="s">
        <v>115</v>
      </c>
      <c r="C4" s="215"/>
      <c r="D4" s="216"/>
      <c r="E4" s="177" t="s">
        <v>21</v>
      </c>
      <c r="F4" s="217"/>
      <c r="G4" s="218"/>
      <c r="H4" s="218"/>
      <c r="I4" s="219"/>
    </row>
    <row r="5" spans="1:9" s="1" customFormat="1" ht="65.25" customHeight="1" thickBot="1" x14ac:dyDescent="0.3">
      <c r="A5" s="208" t="s">
        <v>37</v>
      </c>
      <c r="B5" s="209"/>
      <c r="C5" s="209"/>
      <c r="D5" s="209"/>
      <c r="E5" s="209"/>
      <c r="F5" s="209"/>
      <c r="G5" s="209"/>
      <c r="H5" s="209"/>
      <c r="I5" s="210"/>
    </row>
    <row r="6" spans="1:9" s="107" customFormat="1" ht="39" customHeight="1" x14ac:dyDescent="0.35">
      <c r="A6" s="73" t="s">
        <v>35</v>
      </c>
      <c r="B6" s="98" t="s">
        <v>7</v>
      </c>
      <c r="C6" s="62" t="s">
        <v>19</v>
      </c>
      <c r="D6" s="62" t="s">
        <v>75</v>
      </c>
      <c r="E6" s="155" t="s">
        <v>51</v>
      </c>
      <c r="F6" s="106" t="s">
        <v>78</v>
      </c>
    </row>
    <row r="7" spans="1:9" s="164" customFormat="1" ht="39" customHeight="1" x14ac:dyDescent="0.35">
      <c r="A7" s="15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0" t="s">
        <v>123</v>
      </c>
      <c r="C7" s="161"/>
      <c r="D7" s="162"/>
      <c r="E7" s="163" t="s">
        <v>125</v>
      </c>
      <c r="F7" s="108"/>
    </row>
    <row r="8" spans="1:9" s="164" customFormat="1" ht="39" customHeight="1" x14ac:dyDescent="0.35">
      <c r="A8" s="15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0" t="s">
        <v>123</v>
      </c>
      <c r="C8" s="161">
        <v>22.5</v>
      </c>
      <c r="D8" s="162" t="s">
        <v>124</v>
      </c>
      <c r="E8" s="163" t="s">
        <v>126</v>
      </c>
      <c r="F8" s="108"/>
    </row>
    <row r="9" spans="1:9" s="164" customFormat="1" ht="39" customHeight="1" x14ac:dyDescent="0.35">
      <c r="A9" s="15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0" t="s">
        <v>123</v>
      </c>
      <c r="C9" s="161">
        <v>33.799999999999997</v>
      </c>
      <c r="D9" s="162" t="s">
        <v>124</v>
      </c>
      <c r="E9" s="163" t="s">
        <v>126</v>
      </c>
      <c r="F9" s="108"/>
    </row>
    <row r="10" spans="1:9" s="164" customFormat="1" ht="39" customHeight="1" x14ac:dyDescent="0.35">
      <c r="A10" s="15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0" t="s">
        <v>123</v>
      </c>
      <c r="C10" s="161">
        <v>50.6</v>
      </c>
      <c r="D10" s="162" t="s">
        <v>124</v>
      </c>
      <c r="E10" s="163" t="s">
        <v>126</v>
      </c>
      <c r="F10" s="108"/>
    </row>
    <row r="11" spans="1:9" s="164" customFormat="1" ht="39" customHeight="1" x14ac:dyDescent="0.35">
      <c r="A11" s="15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0" t="s">
        <v>123</v>
      </c>
      <c r="C11" s="161">
        <v>76</v>
      </c>
      <c r="D11" s="162" t="s">
        <v>124</v>
      </c>
      <c r="E11" s="163" t="s">
        <v>126</v>
      </c>
      <c r="F11" s="108"/>
    </row>
    <row r="12" spans="1:9" s="164" customFormat="1" ht="39" customHeight="1" x14ac:dyDescent="0.35">
      <c r="A12" s="15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0" t="s">
        <v>123</v>
      </c>
      <c r="C12" s="161">
        <v>114</v>
      </c>
      <c r="D12" s="162" t="s">
        <v>124</v>
      </c>
      <c r="E12" s="163" t="s">
        <v>126</v>
      </c>
      <c r="F12" s="108"/>
    </row>
    <row r="13" spans="1:9" s="164" customFormat="1" ht="39" customHeight="1" x14ac:dyDescent="0.35">
      <c r="A13" s="15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0" t="s">
        <v>123</v>
      </c>
      <c r="C13" s="161">
        <v>170.9</v>
      </c>
      <c r="D13" s="162" t="s">
        <v>124</v>
      </c>
      <c r="E13" s="163" t="s">
        <v>126</v>
      </c>
      <c r="F13" s="108"/>
    </row>
    <row r="14" spans="1:9" s="164" customFormat="1" ht="39" customHeight="1" x14ac:dyDescent="0.35">
      <c r="A14" s="15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0" t="s">
        <v>123</v>
      </c>
      <c r="C14" s="161">
        <v>488</v>
      </c>
      <c r="D14" s="162" t="s">
        <v>124</v>
      </c>
      <c r="E14" s="163" t="s">
        <v>126</v>
      </c>
      <c r="F14" s="108"/>
    </row>
    <row r="15" spans="1:9" s="164" customFormat="1" ht="39" customHeight="1" x14ac:dyDescent="0.35">
      <c r="A15" s="15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5" s="160"/>
      <c r="C15" s="161"/>
      <c r="D15" s="162"/>
      <c r="E15" s="163"/>
      <c r="F15" s="108"/>
    </row>
    <row r="16" spans="1:9" s="109" customFormat="1" ht="39" customHeight="1" x14ac:dyDescent="0.25">
      <c r="A16"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6" s="39"/>
      <c r="C16" s="103"/>
      <c r="D16" s="103"/>
      <c r="E16" s="39"/>
      <c r="F16" s="108"/>
    </row>
    <row r="17" spans="1:6" s="109" customFormat="1" ht="39" customHeight="1" x14ac:dyDescent="0.25">
      <c r="A17"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7" s="99"/>
      <c r="C17" s="103"/>
      <c r="D17" s="103"/>
      <c r="E17" s="99"/>
      <c r="F17" s="108"/>
    </row>
    <row r="18" spans="1:6" s="109" customFormat="1" ht="39" customHeight="1" x14ac:dyDescent="0.25">
      <c r="A18"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8" s="39"/>
      <c r="C18" s="103"/>
      <c r="D18" s="103"/>
      <c r="E18" s="39"/>
      <c r="F18" s="108"/>
    </row>
    <row r="19" spans="1:6" s="109" customFormat="1" ht="39" customHeight="1" x14ac:dyDescent="0.25">
      <c r="A19"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9" s="99"/>
      <c r="C19" s="103"/>
      <c r="D19" s="103"/>
      <c r="E19" s="99"/>
      <c r="F19" s="108"/>
    </row>
    <row r="20" spans="1:6" s="109" customFormat="1" ht="39" customHeight="1" x14ac:dyDescent="0.25">
      <c r="A20"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39"/>
      <c r="C20" s="103"/>
      <c r="D20" s="103"/>
      <c r="E20" s="39"/>
      <c r="F20" s="108"/>
    </row>
    <row r="21" spans="1:6" s="109" customFormat="1" ht="39" customHeight="1" x14ac:dyDescent="0.25">
      <c r="A21"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99"/>
      <c r="C21" s="103"/>
      <c r="D21" s="103"/>
      <c r="E21" s="99"/>
      <c r="F21" s="108"/>
    </row>
    <row r="22" spans="1:6" s="109" customFormat="1" ht="39" customHeight="1" x14ac:dyDescent="0.25">
      <c r="A22"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39"/>
      <c r="C22" s="103"/>
      <c r="D22" s="103"/>
      <c r="E22" s="39"/>
      <c r="F22" s="108"/>
    </row>
    <row r="23" spans="1:6" s="109" customFormat="1" ht="39" customHeight="1" x14ac:dyDescent="0.25">
      <c r="A23"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99"/>
      <c r="C23" s="103"/>
      <c r="D23" s="103"/>
      <c r="E23" s="99"/>
      <c r="F23" s="108"/>
    </row>
    <row r="24" spans="1:6" s="109" customFormat="1" ht="39" customHeight="1" x14ac:dyDescent="0.25">
      <c r="A24"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39"/>
      <c r="C24" s="103"/>
      <c r="D24" s="103"/>
      <c r="E24" s="39"/>
      <c r="F24" s="108"/>
    </row>
    <row r="25" spans="1:6" s="109" customFormat="1" ht="39" customHeight="1" x14ac:dyDescent="0.25">
      <c r="A25"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99"/>
      <c r="C25" s="103"/>
      <c r="D25" s="103"/>
      <c r="E25" s="99"/>
      <c r="F25" s="108"/>
    </row>
    <row r="26" spans="1:6" s="109" customFormat="1" ht="39" customHeight="1" x14ac:dyDescent="0.25">
      <c r="A26"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39"/>
      <c r="C26" s="103"/>
      <c r="D26" s="103"/>
      <c r="E26" s="39"/>
      <c r="F26" s="108"/>
    </row>
    <row r="27" spans="1:6" s="109" customFormat="1" ht="39" customHeight="1" x14ac:dyDescent="0.25">
      <c r="A27"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99"/>
      <c r="C27" s="103"/>
      <c r="D27" s="103"/>
      <c r="E27" s="99"/>
      <c r="F27" s="108"/>
    </row>
    <row r="28" spans="1:6" s="109" customFormat="1" ht="39" customHeight="1" x14ac:dyDescent="0.25">
      <c r="A28"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39"/>
      <c r="C28" s="103"/>
      <c r="D28" s="103"/>
      <c r="E28" s="39"/>
      <c r="F28" s="108"/>
    </row>
    <row r="29" spans="1:6" s="109" customFormat="1" ht="39" customHeight="1" x14ac:dyDescent="0.25">
      <c r="A29"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99"/>
      <c r="C29" s="103"/>
      <c r="D29" s="103"/>
      <c r="E29" s="99"/>
      <c r="F29" s="108"/>
    </row>
    <row r="30" spans="1:6" s="109" customFormat="1" ht="39" customHeight="1" x14ac:dyDescent="0.25">
      <c r="A30"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39"/>
      <c r="C30" s="103"/>
      <c r="D30" s="112"/>
      <c r="E30" s="39"/>
      <c r="F30" s="108"/>
    </row>
    <row r="31" spans="1:6" s="109" customFormat="1" ht="39" customHeight="1" x14ac:dyDescent="0.25">
      <c r="A31"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99"/>
      <c r="C31" s="103"/>
      <c r="D31" s="112"/>
      <c r="E31" s="99"/>
      <c r="F31" s="108"/>
    </row>
    <row r="32" spans="1:6" s="109" customFormat="1" ht="39" customHeight="1" x14ac:dyDescent="0.25">
      <c r="A32"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39"/>
      <c r="C32" s="103"/>
      <c r="D32" s="112"/>
      <c r="E32" s="39"/>
      <c r="F32" s="108"/>
    </row>
    <row r="33" spans="1:6" s="109" customFormat="1" ht="39" customHeight="1" x14ac:dyDescent="0.25">
      <c r="A33"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99"/>
      <c r="C33" s="103"/>
      <c r="D33" s="112"/>
      <c r="E33" s="99"/>
      <c r="F33" s="108"/>
    </row>
    <row r="34" spans="1:6" s="109" customFormat="1" ht="39" customHeight="1" x14ac:dyDescent="0.25">
      <c r="A34" s="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39"/>
      <c r="C34" s="103"/>
      <c r="D34" s="112"/>
      <c r="E34" s="39"/>
      <c r="F34" s="108"/>
    </row>
    <row r="35" spans="1:6" s="109" customFormat="1" ht="39" customHeight="1" thickBot="1" x14ac:dyDescent="0.3">
      <c r="A35" s="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5"/>
      <c r="C35" s="166"/>
      <c r="D35" s="113"/>
      <c r="E35" s="165"/>
      <c r="F35" s="108"/>
    </row>
    <row r="36" spans="1:6" s="109" customFormat="1" ht="39" customHeight="1" x14ac:dyDescent="0.25">
      <c r="A36" s="16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0" t="s">
        <v>123</v>
      </c>
      <c r="C36" s="104">
        <v>30</v>
      </c>
      <c r="D36" s="114" t="s">
        <v>127</v>
      </c>
      <c r="E36" s="156" t="s">
        <v>20</v>
      </c>
      <c r="F36" s="168"/>
    </row>
    <row r="37" spans="1:6" s="109" customFormat="1" ht="39" customHeight="1" x14ac:dyDescent="0.25">
      <c r="A37"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1" t="s">
        <v>123</v>
      </c>
      <c r="C37" s="105">
        <v>64</v>
      </c>
      <c r="D37" s="115" t="s">
        <v>124</v>
      </c>
      <c r="E37" s="157" t="s">
        <v>128</v>
      </c>
      <c r="F37" s="170"/>
    </row>
    <row r="38" spans="1:6" s="109" customFormat="1" ht="39" customHeight="1" thickBot="1" x14ac:dyDescent="0.3">
      <c r="A38"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2" t="s">
        <v>123</v>
      </c>
      <c r="C38" s="173">
        <v>10</v>
      </c>
      <c r="D38" s="174" t="s">
        <v>129</v>
      </c>
      <c r="E38" s="175" t="s">
        <v>130</v>
      </c>
      <c r="F38" s="176"/>
    </row>
    <row r="39" spans="1:6" s="109" customFormat="1" ht="39" customHeight="1" x14ac:dyDescent="0.25">
      <c r="A39"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39" s="190">
        <f>B15</f>
        <v>0</v>
      </c>
      <c r="C39" s="190">
        <f t="shared" ref="C39:E39" si="0">C15</f>
        <v>0</v>
      </c>
      <c r="D39" s="190">
        <f t="shared" si="0"/>
        <v>0</v>
      </c>
      <c r="E39" s="190">
        <f t="shared" si="0"/>
        <v>0</v>
      </c>
      <c r="F39" s="110" t="s">
        <v>50</v>
      </c>
    </row>
    <row r="40" spans="1:6" s="109" customFormat="1" ht="39" customHeight="1" x14ac:dyDescent="0.25">
      <c r="A40"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0" s="192">
        <f t="shared" ref="B40:E40" si="1">B16</f>
        <v>0</v>
      </c>
      <c r="C40" s="192">
        <f t="shared" si="1"/>
        <v>0</v>
      </c>
      <c r="D40" s="192">
        <f t="shared" si="1"/>
        <v>0</v>
      </c>
      <c r="E40" s="192">
        <f t="shared" si="1"/>
        <v>0</v>
      </c>
      <c r="F40" s="111" t="s">
        <v>50</v>
      </c>
    </row>
    <row r="41" spans="1:6" s="109" customFormat="1" ht="39" customHeight="1" x14ac:dyDescent="0.25">
      <c r="A41"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1" s="192">
        <f t="shared" ref="B41:E41" si="2">B17</f>
        <v>0</v>
      </c>
      <c r="C41" s="192">
        <f t="shared" si="2"/>
        <v>0</v>
      </c>
      <c r="D41" s="192">
        <f t="shared" si="2"/>
        <v>0</v>
      </c>
      <c r="E41" s="192">
        <f t="shared" si="2"/>
        <v>0</v>
      </c>
      <c r="F41" s="111" t="s">
        <v>50</v>
      </c>
    </row>
    <row r="42" spans="1:6" s="109" customFormat="1" ht="39" customHeight="1" x14ac:dyDescent="0.25">
      <c r="A42"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2" s="192">
        <f t="shared" ref="B42:E42" si="3">B18</f>
        <v>0</v>
      </c>
      <c r="C42" s="192">
        <f t="shared" si="3"/>
        <v>0</v>
      </c>
      <c r="D42" s="192">
        <f t="shared" si="3"/>
        <v>0</v>
      </c>
      <c r="E42" s="192">
        <f t="shared" si="3"/>
        <v>0</v>
      </c>
      <c r="F42" s="111" t="s">
        <v>50</v>
      </c>
    </row>
    <row r="43" spans="1:6" s="109" customFormat="1" ht="39" customHeight="1" x14ac:dyDescent="0.25">
      <c r="A43"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3" s="192">
        <f t="shared" ref="B43:E43" si="4">B19</f>
        <v>0</v>
      </c>
      <c r="C43" s="192">
        <f t="shared" si="4"/>
        <v>0</v>
      </c>
      <c r="D43" s="192">
        <f t="shared" si="4"/>
        <v>0</v>
      </c>
      <c r="E43" s="192">
        <f t="shared" si="4"/>
        <v>0</v>
      </c>
      <c r="F43" s="111" t="s">
        <v>50</v>
      </c>
    </row>
    <row r="44" spans="1:6" s="109" customFormat="1" ht="39" customHeight="1" x14ac:dyDescent="0.25">
      <c r="A44"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2">
        <f t="shared" ref="B44:E44" si="5">B20</f>
        <v>0</v>
      </c>
      <c r="C44" s="192">
        <f t="shared" si="5"/>
        <v>0</v>
      </c>
      <c r="D44" s="192">
        <f t="shared" si="5"/>
        <v>0</v>
      </c>
      <c r="E44" s="192">
        <f t="shared" si="5"/>
        <v>0</v>
      </c>
      <c r="F44" s="111" t="s">
        <v>50</v>
      </c>
    </row>
    <row r="45" spans="1:6" s="109" customFormat="1" ht="39" customHeight="1" x14ac:dyDescent="0.25">
      <c r="A45"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2">
        <f t="shared" ref="B45:E45" si="6">B21</f>
        <v>0</v>
      </c>
      <c r="C45" s="192">
        <f t="shared" si="6"/>
        <v>0</v>
      </c>
      <c r="D45" s="192">
        <f t="shared" si="6"/>
        <v>0</v>
      </c>
      <c r="E45" s="192">
        <f t="shared" si="6"/>
        <v>0</v>
      </c>
      <c r="F45" s="111" t="s">
        <v>50</v>
      </c>
    </row>
    <row r="46" spans="1:6" s="109" customFormat="1" ht="39" customHeight="1" x14ac:dyDescent="0.25">
      <c r="A46"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2">
        <f t="shared" ref="B46:E46" si="7">B22</f>
        <v>0</v>
      </c>
      <c r="C46" s="192">
        <f t="shared" si="7"/>
        <v>0</v>
      </c>
      <c r="D46" s="192">
        <f t="shared" si="7"/>
        <v>0</v>
      </c>
      <c r="E46" s="192">
        <f t="shared" si="7"/>
        <v>0</v>
      </c>
      <c r="F46" s="111" t="s">
        <v>50</v>
      </c>
    </row>
    <row r="47" spans="1:6" s="109" customFormat="1" ht="39" customHeight="1" x14ac:dyDescent="0.25">
      <c r="A47"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2">
        <f t="shared" ref="B47:E47" si="8">B23</f>
        <v>0</v>
      </c>
      <c r="C47" s="192">
        <f t="shared" si="8"/>
        <v>0</v>
      </c>
      <c r="D47" s="192">
        <f t="shared" si="8"/>
        <v>0</v>
      </c>
      <c r="E47" s="192">
        <f t="shared" si="8"/>
        <v>0</v>
      </c>
      <c r="F47" s="111" t="s">
        <v>50</v>
      </c>
    </row>
    <row r="48" spans="1:6" s="109" customFormat="1" ht="39" customHeight="1" x14ac:dyDescent="0.25">
      <c r="A48"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2">
        <f t="shared" ref="B48:E48" si="9">B24</f>
        <v>0</v>
      </c>
      <c r="C48" s="192">
        <f t="shared" si="9"/>
        <v>0</v>
      </c>
      <c r="D48" s="192">
        <f t="shared" si="9"/>
        <v>0</v>
      </c>
      <c r="E48" s="192">
        <f t="shared" si="9"/>
        <v>0</v>
      </c>
      <c r="F48" s="111" t="s">
        <v>50</v>
      </c>
    </row>
    <row r="49" spans="1:6" s="109" customFormat="1" ht="39" customHeight="1" x14ac:dyDescent="0.25">
      <c r="A49"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2">
        <f t="shared" ref="B49:E49" si="10">B25</f>
        <v>0</v>
      </c>
      <c r="C49" s="192">
        <f t="shared" si="10"/>
        <v>0</v>
      </c>
      <c r="D49" s="192">
        <f t="shared" si="10"/>
        <v>0</v>
      </c>
      <c r="E49" s="192">
        <f t="shared" si="10"/>
        <v>0</v>
      </c>
      <c r="F49" s="111" t="s">
        <v>50</v>
      </c>
    </row>
    <row r="50" spans="1:6" s="109" customFormat="1" ht="39" customHeight="1" x14ac:dyDescent="0.25">
      <c r="A50"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2">
        <f t="shared" ref="B50:E50" si="11">B26</f>
        <v>0</v>
      </c>
      <c r="C50" s="192">
        <f t="shared" si="11"/>
        <v>0</v>
      </c>
      <c r="D50" s="192">
        <f t="shared" si="11"/>
        <v>0</v>
      </c>
      <c r="E50" s="192">
        <f t="shared" si="11"/>
        <v>0</v>
      </c>
      <c r="F50" s="111" t="s">
        <v>50</v>
      </c>
    </row>
    <row r="51" spans="1:6" s="109" customFormat="1" ht="39" customHeight="1" x14ac:dyDescent="0.25">
      <c r="A51"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2">
        <f t="shared" ref="B51:E51" si="12">B27</f>
        <v>0</v>
      </c>
      <c r="C51" s="192">
        <f t="shared" si="12"/>
        <v>0</v>
      </c>
      <c r="D51" s="192">
        <f t="shared" si="12"/>
        <v>0</v>
      </c>
      <c r="E51" s="192">
        <f t="shared" si="12"/>
        <v>0</v>
      </c>
      <c r="F51" s="111" t="s">
        <v>50</v>
      </c>
    </row>
    <row r="52" spans="1:6" s="109" customFormat="1" ht="39" customHeight="1" x14ac:dyDescent="0.25">
      <c r="A52"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2">
        <f t="shared" ref="B52:E52" si="13">B28</f>
        <v>0</v>
      </c>
      <c r="C52" s="192">
        <f t="shared" si="13"/>
        <v>0</v>
      </c>
      <c r="D52" s="192">
        <f t="shared" si="13"/>
        <v>0</v>
      </c>
      <c r="E52" s="192">
        <f t="shared" si="13"/>
        <v>0</v>
      </c>
      <c r="F52" s="111" t="s">
        <v>50</v>
      </c>
    </row>
    <row r="53" spans="1:6" s="109" customFormat="1" ht="39" customHeight="1" x14ac:dyDescent="0.25">
      <c r="A53"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2">
        <f t="shared" ref="B53:E53" si="14">B29</f>
        <v>0</v>
      </c>
      <c r="C53" s="192">
        <f t="shared" si="14"/>
        <v>0</v>
      </c>
      <c r="D53" s="192">
        <f t="shared" si="14"/>
        <v>0</v>
      </c>
      <c r="E53" s="192">
        <f t="shared" si="14"/>
        <v>0</v>
      </c>
      <c r="F53" s="111" t="s">
        <v>50</v>
      </c>
    </row>
    <row r="54" spans="1:6" s="109" customFormat="1" ht="39" customHeight="1" x14ac:dyDescent="0.25">
      <c r="A54"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2">
        <f t="shared" ref="B54:E54" si="15">B30</f>
        <v>0</v>
      </c>
      <c r="C54" s="192">
        <f t="shared" si="15"/>
        <v>0</v>
      </c>
      <c r="D54" s="192">
        <f t="shared" si="15"/>
        <v>0</v>
      </c>
      <c r="E54" s="192">
        <f t="shared" si="15"/>
        <v>0</v>
      </c>
      <c r="F54" s="111" t="s">
        <v>50</v>
      </c>
    </row>
    <row r="55" spans="1:6" s="109" customFormat="1" ht="39" customHeight="1" x14ac:dyDescent="0.25">
      <c r="A55"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2">
        <f t="shared" ref="B55:E55" si="16">B31</f>
        <v>0</v>
      </c>
      <c r="C55" s="192">
        <f t="shared" si="16"/>
        <v>0</v>
      </c>
      <c r="D55" s="192">
        <f t="shared" si="16"/>
        <v>0</v>
      </c>
      <c r="E55" s="192">
        <f t="shared" si="16"/>
        <v>0</v>
      </c>
      <c r="F55" s="111" t="s">
        <v>50</v>
      </c>
    </row>
    <row r="56" spans="1:6" s="109" customFormat="1" ht="39" customHeight="1" x14ac:dyDescent="0.25">
      <c r="A56"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2">
        <f t="shared" ref="B56:E56" si="17">B32</f>
        <v>0</v>
      </c>
      <c r="C56" s="192">
        <f t="shared" si="17"/>
        <v>0</v>
      </c>
      <c r="D56" s="192">
        <f t="shared" si="17"/>
        <v>0</v>
      </c>
      <c r="E56" s="192">
        <f t="shared" si="17"/>
        <v>0</v>
      </c>
      <c r="F56" s="111" t="s">
        <v>50</v>
      </c>
    </row>
    <row r="57" spans="1:6" s="109" customFormat="1" ht="39" customHeight="1" x14ac:dyDescent="0.25">
      <c r="A57"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2">
        <f t="shared" ref="B57:E57" si="18">B33</f>
        <v>0</v>
      </c>
      <c r="C57" s="192">
        <f t="shared" si="18"/>
        <v>0</v>
      </c>
      <c r="D57" s="192">
        <f t="shared" si="18"/>
        <v>0</v>
      </c>
      <c r="E57" s="192">
        <f t="shared" si="18"/>
        <v>0</v>
      </c>
      <c r="F57" s="111" t="s">
        <v>50</v>
      </c>
    </row>
    <row r="58" spans="1:6" s="109" customFormat="1" ht="39" customHeight="1" x14ac:dyDescent="0.25">
      <c r="A58" s="10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1">
        <f t="shared" ref="B58:E58" si="19">B34</f>
        <v>0</v>
      </c>
      <c r="C58" s="191">
        <f t="shared" si="19"/>
        <v>0</v>
      </c>
      <c r="D58" s="191">
        <f t="shared" si="19"/>
        <v>0</v>
      </c>
      <c r="E58" s="191">
        <f t="shared" si="19"/>
        <v>0</v>
      </c>
      <c r="F58" s="111" t="s">
        <v>50</v>
      </c>
    </row>
  </sheetData>
  <protectedRanges>
    <protectedRange sqref="C16:D38 A16:A52"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153</v>
      </c>
      <c r="B2" t="s">
        <v>164</v>
      </c>
      <c r="C2" t="s">
        <v>144</v>
      </c>
      <c r="D2" t="s">
        <v>147</v>
      </c>
      <c r="E2" t="s">
        <v>148</v>
      </c>
      <c r="F2" t="s">
        <v>112</v>
      </c>
      <c r="G2">
        <v>360268</v>
      </c>
    </row>
    <row r="3" spans="1:9" x14ac:dyDescent="0.25">
      <c r="A3" t="s">
        <v>153</v>
      </c>
      <c r="B3" t="s">
        <v>164</v>
      </c>
      <c r="C3" t="s">
        <v>145</v>
      </c>
      <c r="D3" t="s">
        <v>149</v>
      </c>
      <c r="E3" t="s">
        <v>150</v>
      </c>
      <c r="F3" t="s">
        <v>112</v>
      </c>
      <c r="G3">
        <v>372315</v>
      </c>
    </row>
    <row r="4" spans="1:9" x14ac:dyDescent="0.25">
      <c r="A4" t="s">
        <v>153</v>
      </c>
      <c r="B4" t="s">
        <v>164</v>
      </c>
      <c r="C4" t="s">
        <v>146</v>
      </c>
      <c r="D4" t="s">
        <v>151</v>
      </c>
      <c r="E4" t="s">
        <v>152</v>
      </c>
      <c r="F4" t="s">
        <v>112</v>
      </c>
      <c r="G4">
        <v>237626</v>
      </c>
    </row>
    <row r="5" spans="1:9" x14ac:dyDescent="0.25">
      <c r="A5" t="s">
        <v>153</v>
      </c>
      <c r="B5" t="s">
        <v>164</v>
      </c>
      <c r="C5" t="s">
        <v>161</v>
      </c>
      <c r="D5" t="s">
        <v>162</v>
      </c>
      <c r="E5" t="s">
        <v>163</v>
      </c>
      <c r="F5" t="s">
        <v>112</v>
      </c>
      <c r="G5">
        <v>1439015</v>
      </c>
    </row>
    <row r="6" spans="1:9" x14ac:dyDescent="0.25">
      <c r="A6" t="s">
        <v>153</v>
      </c>
      <c r="B6" t="s">
        <v>164</v>
      </c>
      <c r="C6" t="s">
        <v>158</v>
      </c>
      <c r="D6" t="s">
        <v>159</v>
      </c>
      <c r="E6" t="s">
        <v>160</v>
      </c>
      <c r="F6" t="s">
        <v>112</v>
      </c>
      <c r="G6">
        <v>1433586</v>
      </c>
    </row>
    <row r="7" spans="1:9" x14ac:dyDescent="0.2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CA3B5-F9CF-4232-8C0F-96ABE4E9BF85}">
  <dimension ref="A1:I1557"/>
  <sheetViews>
    <sheetView workbookViewId="0">
      <selection sqref="A1:I1557"/>
    </sheetView>
  </sheetViews>
  <sheetFormatPr baseColWidth="10"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404</v>
      </c>
      <c r="B2" t="e">
        <v>#VALUE!</v>
      </c>
    </row>
    <row r="3" spans="1:9" x14ac:dyDescent="0.25">
      <c r="A3" t="s">
        <v>404</v>
      </c>
      <c r="B3" t="e">
        <v>#VALUE!</v>
      </c>
    </row>
    <row r="4" spans="1:9" x14ac:dyDescent="0.25">
      <c r="A4" t="s">
        <v>404</v>
      </c>
      <c r="B4" t="e">
        <v>#VALUE!</v>
      </c>
    </row>
    <row r="5" spans="1:9" x14ac:dyDescent="0.25">
      <c r="A5" t="s">
        <v>404</v>
      </c>
      <c r="B5" t="e">
        <v>#VALUE!</v>
      </c>
    </row>
    <row r="6" spans="1:9" x14ac:dyDescent="0.25">
      <c r="A6" t="s">
        <v>404</v>
      </c>
      <c r="B6" t="e">
        <v>#VALUE!</v>
      </c>
    </row>
    <row r="7" spans="1:9" x14ac:dyDescent="0.25">
      <c r="A7" t="s">
        <v>404</v>
      </c>
      <c r="B7" t="e">
        <v>#VALUE!</v>
      </c>
    </row>
    <row r="8" spans="1:9" x14ac:dyDescent="0.25">
      <c r="A8" t="s">
        <v>404</v>
      </c>
      <c r="B8" t="e">
        <v>#VALUE!</v>
      </c>
    </row>
    <row r="9" spans="1:9" x14ac:dyDescent="0.25">
      <c r="A9" t="s">
        <v>404</v>
      </c>
      <c r="B9" t="e">
        <v>#VALUE!</v>
      </c>
    </row>
    <row r="10" spans="1:9" x14ac:dyDescent="0.25">
      <c r="A10" t="s">
        <v>404</v>
      </c>
      <c r="B10" t="e">
        <v>#VALUE!</v>
      </c>
    </row>
    <row r="11" spans="1:9" x14ac:dyDescent="0.25">
      <c r="A11" t="s">
        <v>404</v>
      </c>
      <c r="B11" t="e">
        <v>#VALUE!</v>
      </c>
    </row>
    <row r="12" spans="1:9" x14ac:dyDescent="0.25">
      <c r="A12" t="s">
        <v>404</v>
      </c>
      <c r="B12" t="e">
        <v>#VALUE!</v>
      </c>
    </row>
    <row r="13" spans="1:9" x14ac:dyDescent="0.25">
      <c r="A13" t="s">
        <v>404</v>
      </c>
      <c r="B13" t="e">
        <v>#VALUE!</v>
      </c>
    </row>
    <row r="14" spans="1:9" x14ac:dyDescent="0.25">
      <c r="A14" t="s">
        <v>404</v>
      </c>
      <c r="B14" t="e">
        <v>#VALUE!</v>
      </c>
    </row>
    <row r="15" spans="1:9" x14ac:dyDescent="0.25">
      <c r="A15" t="s">
        <v>404</v>
      </c>
      <c r="B15" t="e">
        <v>#VALUE!</v>
      </c>
    </row>
    <row r="16" spans="1:9" x14ac:dyDescent="0.25">
      <c r="A16" t="s">
        <v>404</v>
      </c>
      <c r="B16" t="e">
        <v>#VALUE!</v>
      </c>
    </row>
    <row r="17" spans="1:2" x14ac:dyDescent="0.25">
      <c r="A17" t="s">
        <v>404</v>
      </c>
      <c r="B17" t="e">
        <v>#VALUE!</v>
      </c>
    </row>
    <row r="18" spans="1:2" x14ac:dyDescent="0.25">
      <c r="A18" t="s">
        <v>404</v>
      </c>
      <c r="B18" t="e">
        <v>#VALUE!</v>
      </c>
    </row>
    <row r="19" spans="1:2" x14ac:dyDescent="0.25">
      <c r="A19" t="s">
        <v>404</v>
      </c>
      <c r="B19" t="e">
        <v>#VALUE!</v>
      </c>
    </row>
    <row r="20" spans="1:2" x14ac:dyDescent="0.25">
      <c r="A20" t="s">
        <v>404</v>
      </c>
      <c r="B20" t="e">
        <v>#VALUE!</v>
      </c>
    </row>
    <row r="21" spans="1:2" x14ac:dyDescent="0.25">
      <c r="A21" t="s">
        <v>404</v>
      </c>
      <c r="B21" t="e">
        <v>#VALUE!</v>
      </c>
    </row>
    <row r="22" spans="1:2" x14ac:dyDescent="0.25">
      <c r="A22" t="s">
        <v>404</v>
      </c>
      <c r="B22" t="e">
        <v>#VALUE!</v>
      </c>
    </row>
    <row r="23" spans="1:2" x14ac:dyDescent="0.25">
      <c r="A23" t="s">
        <v>404</v>
      </c>
      <c r="B23" t="e">
        <v>#VALUE!</v>
      </c>
    </row>
    <row r="24" spans="1:2" x14ac:dyDescent="0.25">
      <c r="A24" t="s">
        <v>404</v>
      </c>
      <c r="B24" t="e">
        <v>#VALUE!</v>
      </c>
    </row>
    <row r="25" spans="1:2" x14ac:dyDescent="0.25">
      <c r="A25" t="s">
        <v>404</v>
      </c>
      <c r="B25" t="e">
        <v>#VALUE!</v>
      </c>
    </row>
    <row r="26" spans="1:2" x14ac:dyDescent="0.25">
      <c r="A26" t="s">
        <v>404</v>
      </c>
      <c r="B26" t="e">
        <v>#VALUE!</v>
      </c>
    </row>
    <row r="27" spans="1:2" x14ac:dyDescent="0.25">
      <c r="A27" t="s">
        <v>404</v>
      </c>
      <c r="B27" t="e">
        <v>#VALUE!</v>
      </c>
    </row>
    <row r="28" spans="1:2" x14ac:dyDescent="0.25">
      <c r="A28" t="s">
        <v>404</v>
      </c>
      <c r="B28" t="e">
        <v>#VALUE!</v>
      </c>
    </row>
    <row r="29" spans="1:2" x14ac:dyDescent="0.25">
      <c r="A29" t="s">
        <v>404</v>
      </c>
      <c r="B29" t="e">
        <v>#VALUE!</v>
      </c>
    </row>
    <row r="30" spans="1:2" x14ac:dyDescent="0.25">
      <c r="A30" t="s">
        <v>404</v>
      </c>
      <c r="B30" t="e">
        <v>#VALUE!</v>
      </c>
    </row>
    <row r="31" spans="1:2" x14ac:dyDescent="0.25">
      <c r="A31" t="s">
        <v>404</v>
      </c>
      <c r="B31" t="e">
        <v>#VALUE!</v>
      </c>
    </row>
    <row r="32" spans="1:2" x14ac:dyDescent="0.25">
      <c r="A32" t="s">
        <v>404</v>
      </c>
      <c r="B32" t="e">
        <v>#VALUE!</v>
      </c>
    </row>
    <row r="33" spans="1:2" x14ac:dyDescent="0.25">
      <c r="A33" t="s">
        <v>404</v>
      </c>
      <c r="B33" t="e">
        <v>#VALUE!</v>
      </c>
    </row>
    <row r="34" spans="1:2" x14ac:dyDescent="0.25">
      <c r="A34" t="s">
        <v>404</v>
      </c>
      <c r="B34" t="e">
        <v>#VALUE!</v>
      </c>
    </row>
    <row r="35" spans="1:2" x14ac:dyDescent="0.25">
      <c r="A35" t="s">
        <v>404</v>
      </c>
      <c r="B35" t="e">
        <v>#VALUE!</v>
      </c>
    </row>
    <row r="36" spans="1:2" x14ac:dyDescent="0.25">
      <c r="A36" t="s">
        <v>404</v>
      </c>
      <c r="B36" t="e">
        <v>#VALUE!</v>
      </c>
    </row>
    <row r="37" spans="1:2" x14ac:dyDescent="0.25">
      <c r="A37" t="s">
        <v>404</v>
      </c>
      <c r="B37" t="e">
        <v>#VALUE!</v>
      </c>
    </row>
    <row r="38" spans="1:2" x14ac:dyDescent="0.25">
      <c r="A38" t="s">
        <v>404</v>
      </c>
      <c r="B38" t="e">
        <v>#VALUE!</v>
      </c>
    </row>
    <row r="39" spans="1:2" x14ac:dyDescent="0.25">
      <c r="A39" t="s">
        <v>404</v>
      </c>
      <c r="B39" t="e">
        <v>#VALUE!</v>
      </c>
    </row>
    <row r="40" spans="1:2" x14ac:dyDescent="0.25">
      <c r="A40" t="s">
        <v>404</v>
      </c>
      <c r="B40" t="e">
        <v>#VALUE!</v>
      </c>
    </row>
    <row r="41" spans="1:2" x14ac:dyDescent="0.25">
      <c r="A41" t="s">
        <v>404</v>
      </c>
      <c r="B41" t="e">
        <v>#VALUE!</v>
      </c>
    </row>
    <row r="42" spans="1:2" x14ac:dyDescent="0.25">
      <c r="A42" t="s">
        <v>404</v>
      </c>
      <c r="B42" t="e">
        <v>#VALUE!</v>
      </c>
    </row>
    <row r="43" spans="1:2" x14ac:dyDescent="0.25">
      <c r="A43" t="s">
        <v>404</v>
      </c>
      <c r="B43" t="e">
        <v>#VALUE!</v>
      </c>
    </row>
    <row r="44" spans="1:2" x14ac:dyDescent="0.25">
      <c r="A44" t="s">
        <v>404</v>
      </c>
      <c r="B44" t="e">
        <v>#VALUE!</v>
      </c>
    </row>
    <row r="45" spans="1:2" x14ac:dyDescent="0.25">
      <c r="A45" t="s">
        <v>404</v>
      </c>
      <c r="B45" t="e">
        <v>#VALUE!</v>
      </c>
    </row>
    <row r="46" spans="1:2" x14ac:dyDescent="0.25">
      <c r="A46" t="s">
        <v>404</v>
      </c>
      <c r="B46" t="e">
        <v>#VALUE!</v>
      </c>
    </row>
    <row r="47" spans="1:2" x14ac:dyDescent="0.25">
      <c r="A47" t="s">
        <v>404</v>
      </c>
      <c r="B47" t="e">
        <v>#VALUE!</v>
      </c>
    </row>
    <row r="48" spans="1:2" x14ac:dyDescent="0.25">
      <c r="A48" t="s">
        <v>404</v>
      </c>
      <c r="B48" t="e">
        <v>#VALUE!</v>
      </c>
    </row>
    <row r="49" spans="1:2" x14ac:dyDescent="0.25">
      <c r="A49" t="s">
        <v>404</v>
      </c>
      <c r="B49" t="e">
        <v>#VALUE!</v>
      </c>
    </row>
    <row r="50" spans="1:2" x14ac:dyDescent="0.25">
      <c r="A50" t="s">
        <v>404</v>
      </c>
      <c r="B50" t="e">
        <v>#VALUE!</v>
      </c>
    </row>
    <row r="51" spans="1:2" x14ac:dyDescent="0.25">
      <c r="A51" t="s">
        <v>404</v>
      </c>
      <c r="B51" t="e">
        <v>#VALUE!</v>
      </c>
    </row>
    <row r="52" spans="1:2" x14ac:dyDescent="0.25">
      <c r="A52" t="s">
        <v>404</v>
      </c>
      <c r="B52" t="e">
        <v>#VALUE!</v>
      </c>
    </row>
    <row r="53" spans="1:2" x14ac:dyDescent="0.25">
      <c r="A53" t="s">
        <v>404</v>
      </c>
      <c r="B53" t="e">
        <v>#VALUE!</v>
      </c>
    </row>
    <row r="54" spans="1:2" x14ac:dyDescent="0.25">
      <c r="A54" t="s">
        <v>404</v>
      </c>
      <c r="B54" t="e">
        <v>#VALUE!</v>
      </c>
    </row>
    <row r="55" spans="1:2" x14ac:dyDescent="0.25">
      <c r="A55" t="s">
        <v>404</v>
      </c>
      <c r="B55" t="e">
        <v>#VALUE!</v>
      </c>
    </row>
    <row r="56" spans="1:2" x14ac:dyDescent="0.25">
      <c r="A56" t="s">
        <v>404</v>
      </c>
      <c r="B56" t="e">
        <v>#VALUE!</v>
      </c>
    </row>
    <row r="57" spans="1:2" x14ac:dyDescent="0.25">
      <c r="A57" t="s">
        <v>404</v>
      </c>
      <c r="B57" t="e">
        <v>#VALUE!</v>
      </c>
    </row>
    <row r="58" spans="1:2" x14ac:dyDescent="0.25">
      <c r="A58" t="s">
        <v>404</v>
      </c>
      <c r="B58" t="e">
        <v>#VALUE!</v>
      </c>
    </row>
    <row r="59" spans="1:2" x14ac:dyDescent="0.25">
      <c r="A59" t="s">
        <v>404</v>
      </c>
      <c r="B59" t="e">
        <v>#VALUE!</v>
      </c>
    </row>
    <row r="60" spans="1:2" x14ac:dyDescent="0.25">
      <c r="A60" t="s">
        <v>404</v>
      </c>
      <c r="B60" t="e">
        <v>#VALUE!</v>
      </c>
    </row>
    <row r="61" spans="1:2" x14ac:dyDescent="0.25">
      <c r="A61" t="s">
        <v>404</v>
      </c>
      <c r="B61" t="e">
        <v>#VALUE!</v>
      </c>
    </row>
    <row r="62" spans="1:2" x14ac:dyDescent="0.25">
      <c r="A62" t="s">
        <v>404</v>
      </c>
      <c r="B62" t="e">
        <v>#VALUE!</v>
      </c>
    </row>
    <row r="63" spans="1:2" x14ac:dyDescent="0.25">
      <c r="A63" t="s">
        <v>404</v>
      </c>
      <c r="B63" t="e">
        <v>#VALUE!</v>
      </c>
    </row>
    <row r="64" spans="1:2" x14ac:dyDescent="0.25">
      <c r="A64" t="s">
        <v>404</v>
      </c>
      <c r="B64" t="e">
        <v>#VALUE!</v>
      </c>
    </row>
    <row r="65" spans="1:2" x14ac:dyDescent="0.25">
      <c r="A65" t="s">
        <v>404</v>
      </c>
      <c r="B65" t="e">
        <v>#VALUE!</v>
      </c>
    </row>
    <row r="66" spans="1:2" x14ac:dyDescent="0.25">
      <c r="A66" t="s">
        <v>404</v>
      </c>
      <c r="B66" t="e">
        <v>#VALUE!</v>
      </c>
    </row>
    <row r="67" spans="1:2" x14ac:dyDescent="0.25">
      <c r="A67" t="s">
        <v>404</v>
      </c>
      <c r="B67" t="e">
        <v>#VALUE!</v>
      </c>
    </row>
    <row r="68" spans="1:2" x14ac:dyDescent="0.25">
      <c r="A68" t="s">
        <v>404</v>
      </c>
      <c r="B68" t="e">
        <v>#VALUE!</v>
      </c>
    </row>
    <row r="69" spans="1:2" x14ac:dyDescent="0.25">
      <c r="A69" t="s">
        <v>404</v>
      </c>
      <c r="B69" t="e">
        <v>#VALUE!</v>
      </c>
    </row>
    <row r="70" spans="1:2" x14ac:dyDescent="0.25">
      <c r="A70" t="s">
        <v>404</v>
      </c>
      <c r="B70" t="e">
        <v>#VALUE!</v>
      </c>
    </row>
    <row r="71" spans="1:2" x14ac:dyDescent="0.25">
      <c r="A71" t="s">
        <v>404</v>
      </c>
      <c r="B71" t="e">
        <v>#VALUE!</v>
      </c>
    </row>
    <row r="72" spans="1:2" x14ac:dyDescent="0.25">
      <c r="A72" t="s">
        <v>404</v>
      </c>
      <c r="B72" t="e">
        <v>#VALUE!</v>
      </c>
    </row>
    <row r="73" spans="1:2" x14ac:dyDescent="0.25">
      <c r="A73" t="s">
        <v>404</v>
      </c>
      <c r="B73" t="e">
        <v>#VALUE!</v>
      </c>
    </row>
    <row r="74" spans="1:2" x14ac:dyDescent="0.25">
      <c r="A74" t="s">
        <v>404</v>
      </c>
      <c r="B74" t="e">
        <v>#VALUE!</v>
      </c>
    </row>
    <row r="75" spans="1:2" x14ac:dyDescent="0.25">
      <c r="A75" t="s">
        <v>404</v>
      </c>
      <c r="B75" t="e">
        <v>#VALUE!</v>
      </c>
    </row>
    <row r="76" spans="1:2" x14ac:dyDescent="0.25">
      <c r="A76" t="s">
        <v>404</v>
      </c>
      <c r="B76" t="e">
        <v>#VALUE!</v>
      </c>
    </row>
    <row r="77" spans="1:2" x14ac:dyDescent="0.25">
      <c r="A77" t="s">
        <v>404</v>
      </c>
      <c r="B77" t="e">
        <v>#VALUE!</v>
      </c>
    </row>
    <row r="78" spans="1:2" x14ac:dyDescent="0.25">
      <c r="A78" t="s">
        <v>404</v>
      </c>
      <c r="B78" t="e">
        <v>#VALUE!</v>
      </c>
    </row>
    <row r="79" spans="1:2" x14ac:dyDescent="0.25">
      <c r="A79" t="s">
        <v>404</v>
      </c>
      <c r="B79" t="e">
        <v>#VALUE!</v>
      </c>
    </row>
    <row r="80" spans="1:2" x14ac:dyDescent="0.25">
      <c r="A80" t="s">
        <v>404</v>
      </c>
      <c r="B80" t="e">
        <v>#VALUE!</v>
      </c>
    </row>
    <row r="81" spans="1:2" x14ac:dyDescent="0.25">
      <c r="A81" t="s">
        <v>404</v>
      </c>
      <c r="B81" t="e">
        <v>#VALUE!</v>
      </c>
    </row>
    <row r="82" spans="1:2" x14ac:dyDescent="0.25">
      <c r="A82" t="s">
        <v>404</v>
      </c>
      <c r="B82" t="e">
        <v>#VALUE!</v>
      </c>
    </row>
    <row r="83" spans="1:2" x14ac:dyDescent="0.25">
      <c r="A83" t="s">
        <v>404</v>
      </c>
      <c r="B83" t="e">
        <v>#VALUE!</v>
      </c>
    </row>
    <row r="84" spans="1:2" x14ac:dyDescent="0.25">
      <c r="A84" t="s">
        <v>404</v>
      </c>
      <c r="B84" t="e">
        <v>#VALUE!</v>
      </c>
    </row>
    <row r="85" spans="1:2" x14ac:dyDescent="0.25">
      <c r="A85" t="s">
        <v>404</v>
      </c>
      <c r="B85" t="e">
        <v>#VALUE!</v>
      </c>
    </row>
    <row r="86" spans="1:2" x14ac:dyDescent="0.25">
      <c r="A86" t="s">
        <v>404</v>
      </c>
      <c r="B86" t="e">
        <v>#VALUE!</v>
      </c>
    </row>
    <row r="87" spans="1:2" x14ac:dyDescent="0.25">
      <c r="A87" t="s">
        <v>404</v>
      </c>
      <c r="B87" t="e">
        <v>#VALUE!</v>
      </c>
    </row>
    <row r="88" spans="1:2" x14ac:dyDescent="0.25">
      <c r="A88" t="s">
        <v>404</v>
      </c>
      <c r="B88" t="e">
        <v>#VALUE!</v>
      </c>
    </row>
    <row r="89" spans="1:2" x14ac:dyDescent="0.25">
      <c r="A89" t="s">
        <v>404</v>
      </c>
      <c r="B89" t="e">
        <v>#VALUE!</v>
      </c>
    </row>
    <row r="90" spans="1:2" x14ac:dyDescent="0.25">
      <c r="A90" t="s">
        <v>404</v>
      </c>
      <c r="B90" t="e">
        <v>#VALUE!</v>
      </c>
    </row>
    <row r="91" spans="1:2" x14ac:dyDescent="0.25">
      <c r="A91" t="s">
        <v>404</v>
      </c>
      <c r="B91" t="e">
        <v>#VALUE!</v>
      </c>
    </row>
    <row r="92" spans="1:2" x14ac:dyDescent="0.25">
      <c r="A92" t="s">
        <v>404</v>
      </c>
      <c r="B92" t="e">
        <v>#VALUE!</v>
      </c>
    </row>
    <row r="93" spans="1:2" x14ac:dyDescent="0.25">
      <c r="A93" t="s">
        <v>404</v>
      </c>
      <c r="B93" t="e">
        <v>#VALUE!</v>
      </c>
    </row>
    <row r="94" spans="1:2" x14ac:dyDescent="0.25">
      <c r="A94" t="s">
        <v>404</v>
      </c>
      <c r="B94" t="e">
        <v>#VALUE!</v>
      </c>
    </row>
    <row r="95" spans="1:2" x14ac:dyDescent="0.25">
      <c r="A95" t="s">
        <v>404</v>
      </c>
      <c r="B95" t="e">
        <v>#VALUE!</v>
      </c>
    </row>
    <row r="96" spans="1:2" x14ac:dyDescent="0.25">
      <c r="A96" t="s">
        <v>404</v>
      </c>
      <c r="B96" t="e">
        <v>#VALUE!</v>
      </c>
    </row>
    <row r="97" spans="1:2" x14ac:dyDescent="0.25">
      <c r="A97" t="s">
        <v>404</v>
      </c>
      <c r="B97" t="e">
        <v>#VALUE!</v>
      </c>
    </row>
    <row r="98" spans="1:2" x14ac:dyDescent="0.25">
      <c r="A98" t="s">
        <v>404</v>
      </c>
      <c r="B98" t="e">
        <v>#VALUE!</v>
      </c>
    </row>
    <row r="99" spans="1:2" x14ac:dyDescent="0.25">
      <c r="A99" t="s">
        <v>404</v>
      </c>
      <c r="B99" t="e">
        <v>#VALUE!</v>
      </c>
    </row>
    <row r="100" spans="1:2" x14ac:dyDescent="0.25">
      <c r="A100" t="s">
        <v>404</v>
      </c>
      <c r="B100" t="e">
        <v>#VALUE!</v>
      </c>
    </row>
    <row r="101" spans="1:2" x14ac:dyDescent="0.25">
      <c r="A101" t="s">
        <v>404</v>
      </c>
      <c r="B101" t="e">
        <v>#VALUE!</v>
      </c>
    </row>
    <row r="102" spans="1:2" x14ac:dyDescent="0.25">
      <c r="A102" t="s">
        <v>404</v>
      </c>
      <c r="B102" t="e">
        <v>#VALUE!</v>
      </c>
    </row>
    <row r="103" spans="1:2" x14ac:dyDescent="0.25">
      <c r="A103" t="s">
        <v>404</v>
      </c>
      <c r="B103" t="e">
        <v>#VALUE!</v>
      </c>
    </row>
    <row r="104" spans="1:2" x14ac:dyDescent="0.25">
      <c r="A104" t="s">
        <v>404</v>
      </c>
      <c r="B104" t="e">
        <v>#VALUE!</v>
      </c>
    </row>
    <row r="105" spans="1:2" x14ac:dyDescent="0.25">
      <c r="A105" t="s">
        <v>404</v>
      </c>
      <c r="B105" t="e">
        <v>#VALUE!</v>
      </c>
    </row>
    <row r="106" spans="1:2" x14ac:dyDescent="0.25">
      <c r="A106" t="s">
        <v>404</v>
      </c>
      <c r="B106" t="e">
        <v>#VALUE!</v>
      </c>
    </row>
    <row r="107" spans="1:2" x14ac:dyDescent="0.25">
      <c r="A107" t="s">
        <v>404</v>
      </c>
      <c r="B107" t="e">
        <v>#VALUE!</v>
      </c>
    </row>
    <row r="108" spans="1:2" x14ac:dyDescent="0.25">
      <c r="A108" t="s">
        <v>404</v>
      </c>
      <c r="B108" t="e">
        <v>#VALUE!</v>
      </c>
    </row>
    <row r="109" spans="1:2" x14ac:dyDescent="0.25">
      <c r="A109" t="s">
        <v>404</v>
      </c>
      <c r="B109" t="e">
        <v>#VALUE!</v>
      </c>
    </row>
    <row r="110" spans="1:2" x14ac:dyDescent="0.25">
      <c r="A110" t="s">
        <v>404</v>
      </c>
      <c r="B110" t="e">
        <v>#VALUE!</v>
      </c>
    </row>
    <row r="111" spans="1:2" x14ac:dyDescent="0.25">
      <c r="A111" t="s">
        <v>404</v>
      </c>
      <c r="B111" t="e">
        <v>#VALUE!</v>
      </c>
    </row>
    <row r="112" spans="1:2" x14ac:dyDescent="0.25">
      <c r="A112" t="s">
        <v>404</v>
      </c>
      <c r="B112" t="e">
        <v>#VALUE!</v>
      </c>
    </row>
    <row r="113" spans="1:2" x14ac:dyDescent="0.25">
      <c r="A113" t="s">
        <v>404</v>
      </c>
      <c r="B113" t="e">
        <v>#VALUE!</v>
      </c>
    </row>
    <row r="114" spans="1:2" x14ac:dyDescent="0.25">
      <c r="A114" t="s">
        <v>404</v>
      </c>
      <c r="B114" t="e">
        <v>#VALUE!</v>
      </c>
    </row>
    <row r="115" spans="1:2" x14ac:dyDescent="0.25">
      <c r="A115" t="s">
        <v>404</v>
      </c>
      <c r="B115" t="e">
        <v>#VALUE!</v>
      </c>
    </row>
    <row r="116" spans="1:2" x14ac:dyDescent="0.25">
      <c r="A116" t="s">
        <v>404</v>
      </c>
      <c r="B116" t="e">
        <v>#VALUE!</v>
      </c>
    </row>
    <row r="117" spans="1:2" x14ac:dyDescent="0.25">
      <c r="A117" t="s">
        <v>404</v>
      </c>
      <c r="B117" t="e">
        <v>#VALUE!</v>
      </c>
    </row>
    <row r="118" spans="1:2" x14ac:dyDescent="0.25">
      <c r="A118" t="s">
        <v>404</v>
      </c>
      <c r="B118" t="e">
        <v>#VALUE!</v>
      </c>
    </row>
    <row r="119" spans="1:2" x14ac:dyDescent="0.25">
      <c r="A119" t="s">
        <v>404</v>
      </c>
      <c r="B119" t="e">
        <v>#VALUE!</v>
      </c>
    </row>
    <row r="120" spans="1:2" x14ac:dyDescent="0.25">
      <c r="A120" t="s">
        <v>404</v>
      </c>
      <c r="B120" t="e">
        <v>#VALUE!</v>
      </c>
    </row>
    <row r="121" spans="1:2" x14ac:dyDescent="0.25">
      <c r="A121" t="s">
        <v>404</v>
      </c>
      <c r="B121" t="e">
        <v>#VALUE!</v>
      </c>
    </row>
    <row r="122" spans="1:2" x14ac:dyDescent="0.25">
      <c r="A122" t="s">
        <v>404</v>
      </c>
      <c r="B122" t="e">
        <v>#VALUE!</v>
      </c>
    </row>
    <row r="123" spans="1:2" x14ac:dyDescent="0.25">
      <c r="A123" t="s">
        <v>404</v>
      </c>
      <c r="B123" t="e">
        <v>#VALUE!</v>
      </c>
    </row>
    <row r="124" spans="1:2" x14ac:dyDescent="0.25">
      <c r="A124" t="s">
        <v>404</v>
      </c>
      <c r="B124" t="e">
        <v>#VALUE!</v>
      </c>
    </row>
    <row r="125" spans="1:2" x14ac:dyDescent="0.25">
      <c r="A125" t="s">
        <v>404</v>
      </c>
      <c r="B125" t="e">
        <v>#VALUE!</v>
      </c>
    </row>
    <row r="126" spans="1:2" x14ac:dyDescent="0.25">
      <c r="A126" t="s">
        <v>404</v>
      </c>
      <c r="B126" t="e">
        <v>#VALUE!</v>
      </c>
    </row>
    <row r="127" spans="1:2" x14ac:dyDescent="0.25">
      <c r="A127" t="s">
        <v>404</v>
      </c>
      <c r="B127" t="e">
        <v>#VALUE!</v>
      </c>
    </row>
    <row r="128" spans="1:2" x14ac:dyDescent="0.25">
      <c r="A128" t="s">
        <v>404</v>
      </c>
      <c r="B128" t="e">
        <v>#VALUE!</v>
      </c>
    </row>
    <row r="129" spans="1:2" x14ac:dyDescent="0.25">
      <c r="A129" t="s">
        <v>404</v>
      </c>
      <c r="B129" t="e">
        <v>#VALUE!</v>
      </c>
    </row>
    <row r="130" spans="1:2" x14ac:dyDescent="0.25">
      <c r="A130" t="s">
        <v>404</v>
      </c>
      <c r="B130" t="e">
        <v>#VALUE!</v>
      </c>
    </row>
    <row r="131" spans="1:2" x14ac:dyDescent="0.25">
      <c r="A131" t="s">
        <v>404</v>
      </c>
      <c r="B131" t="e">
        <v>#VALUE!</v>
      </c>
    </row>
    <row r="132" spans="1:2" x14ac:dyDescent="0.25">
      <c r="A132" t="s">
        <v>404</v>
      </c>
      <c r="B132" t="e">
        <v>#VALUE!</v>
      </c>
    </row>
    <row r="133" spans="1:2" x14ac:dyDescent="0.25">
      <c r="A133" t="s">
        <v>404</v>
      </c>
      <c r="B133" t="e">
        <v>#VALUE!</v>
      </c>
    </row>
    <row r="134" spans="1:2" x14ac:dyDescent="0.25">
      <c r="A134" t="s">
        <v>404</v>
      </c>
      <c r="B134" t="e">
        <v>#VALUE!</v>
      </c>
    </row>
    <row r="135" spans="1:2" x14ac:dyDescent="0.25">
      <c r="A135" t="s">
        <v>404</v>
      </c>
      <c r="B135" t="e">
        <v>#VALUE!</v>
      </c>
    </row>
    <row r="136" spans="1:2" x14ac:dyDescent="0.25">
      <c r="A136" t="s">
        <v>404</v>
      </c>
      <c r="B136" t="e">
        <v>#VALUE!</v>
      </c>
    </row>
    <row r="137" spans="1:2" x14ac:dyDescent="0.25">
      <c r="A137" t="s">
        <v>404</v>
      </c>
      <c r="B137" t="e">
        <v>#VALUE!</v>
      </c>
    </row>
    <row r="138" spans="1:2" x14ac:dyDescent="0.25">
      <c r="A138" t="s">
        <v>404</v>
      </c>
      <c r="B138" t="e">
        <v>#VALUE!</v>
      </c>
    </row>
    <row r="139" spans="1:2" x14ac:dyDescent="0.25">
      <c r="A139" t="s">
        <v>404</v>
      </c>
      <c r="B139" t="e">
        <v>#VALUE!</v>
      </c>
    </row>
    <row r="140" spans="1:2" x14ac:dyDescent="0.25">
      <c r="A140" t="s">
        <v>404</v>
      </c>
      <c r="B140" t="e">
        <v>#VALUE!</v>
      </c>
    </row>
    <row r="141" spans="1:2" x14ac:dyDescent="0.25">
      <c r="A141" t="s">
        <v>404</v>
      </c>
      <c r="B141" t="e">
        <v>#VALUE!</v>
      </c>
    </row>
    <row r="142" spans="1:2" x14ac:dyDescent="0.25">
      <c r="A142" t="s">
        <v>404</v>
      </c>
      <c r="B142" t="e">
        <v>#VALUE!</v>
      </c>
    </row>
    <row r="143" spans="1:2" x14ac:dyDescent="0.25">
      <c r="A143" t="s">
        <v>404</v>
      </c>
      <c r="B143" t="e">
        <v>#VALUE!</v>
      </c>
    </row>
    <row r="144" spans="1:2" x14ac:dyDescent="0.25">
      <c r="A144" t="s">
        <v>404</v>
      </c>
      <c r="B144" t="e">
        <v>#VALUE!</v>
      </c>
    </row>
    <row r="145" spans="1:2" x14ac:dyDescent="0.25">
      <c r="A145" t="s">
        <v>404</v>
      </c>
      <c r="B145" t="e">
        <v>#VALUE!</v>
      </c>
    </row>
    <row r="146" spans="1:2" x14ac:dyDescent="0.25">
      <c r="A146" t="s">
        <v>404</v>
      </c>
      <c r="B146" t="e">
        <v>#VALUE!</v>
      </c>
    </row>
    <row r="147" spans="1:2" x14ac:dyDescent="0.25">
      <c r="A147" t="s">
        <v>404</v>
      </c>
      <c r="B147" t="e">
        <v>#VALUE!</v>
      </c>
    </row>
    <row r="148" spans="1:2" x14ac:dyDescent="0.25">
      <c r="A148" t="s">
        <v>404</v>
      </c>
      <c r="B148" t="e">
        <v>#VALUE!</v>
      </c>
    </row>
    <row r="149" spans="1:2" x14ac:dyDescent="0.25">
      <c r="A149" t="s">
        <v>404</v>
      </c>
      <c r="B149" t="e">
        <v>#VALUE!</v>
      </c>
    </row>
    <row r="150" spans="1:2" x14ac:dyDescent="0.25">
      <c r="A150" t="s">
        <v>404</v>
      </c>
      <c r="B150" t="e">
        <v>#VALUE!</v>
      </c>
    </row>
    <row r="151" spans="1:2" x14ac:dyDescent="0.25">
      <c r="A151" t="s">
        <v>404</v>
      </c>
      <c r="B151" t="e">
        <v>#VALUE!</v>
      </c>
    </row>
    <row r="152" spans="1:2" x14ac:dyDescent="0.25">
      <c r="A152" t="s">
        <v>404</v>
      </c>
      <c r="B152" t="e">
        <v>#VALUE!</v>
      </c>
    </row>
    <row r="153" spans="1:2" x14ac:dyDescent="0.25">
      <c r="A153" t="s">
        <v>404</v>
      </c>
      <c r="B153" t="e">
        <v>#VALUE!</v>
      </c>
    </row>
    <row r="154" spans="1:2" x14ac:dyDescent="0.25">
      <c r="A154" t="s">
        <v>404</v>
      </c>
      <c r="B154" t="e">
        <v>#VALUE!</v>
      </c>
    </row>
    <row r="155" spans="1:2" x14ac:dyDescent="0.25">
      <c r="A155" t="s">
        <v>404</v>
      </c>
      <c r="B155" t="e">
        <v>#VALUE!</v>
      </c>
    </row>
    <row r="156" spans="1:2" x14ac:dyDescent="0.25">
      <c r="A156" t="s">
        <v>404</v>
      </c>
      <c r="B156" t="e">
        <v>#VALUE!</v>
      </c>
    </row>
    <row r="157" spans="1:2" x14ac:dyDescent="0.25">
      <c r="A157" t="s">
        <v>404</v>
      </c>
      <c r="B157" t="e">
        <v>#VALUE!</v>
      </c>
    </row>
    <row r="158" spans="1:2" x14ac:dyDescent="0.25">
      <c r="A158" t="s">
        <v>404</v>
      </c>
      <c r="B158" t="e">
        <v>#VALUE!</v>
      </c>
    </row>
    <row r="159" spans="1:2" x14ac:dyDescent="0.25">
      <c r="A159" t="s">
        <v>404</v>
      </c>
      <c r="B159" t="e">
        <v>#VALUE!</v>
      </c>
    </row>
    <row r="160" spans="1:2" x14ac:dyDescent="0.25">
      <c r="A160" t="s">
        <v>404</v>
      </c>
      <c r="B160" t="e">
        <v>#VALUE!</v>
      </c>
    </row>
    <row r="161" spans="1:2" x14ac:dyDescent="0.25">
      <c r="A161" t="s">
        <v>404</v>
      </c>
      <c r="B161" t="e">
        <v>#VALUE!</v>
      </c>
    </row>
    <row r="162" spans="1:2" x14ac:dyDescent="0.25">
      <c r="A162" t="s">
        <v>404</v>
      </c>
      <c r="B162" t="e">
        <v>#VALUE!</v>
      </c>
    </row>
    <row r="163" spans="1:2" x14ac:dyDescent="0.25">
      <c r="A163" t="s">
        <v>404</v>
      </c>
      <c r="B163" t="e">
        <v>#VALUE!</v>
      </c>
    </row>
    <row r="164" spans="1:2" x14ac:dyDescent="0.25">
      <c r="A164" t="s">
        <v>404</v>
      </c>
      <c r="B164" t="e">
        <v>#VALUE!</v>
      </c>
    </row>
    <row r="165" spans="1:2" x14ac:dyDescent="0.25">
      <c r="A165" t="s">
        <v>404</v>
      </c>
      <c r="B165" t="e">
        <v>#VALUE!</v>
      </c>
    </row>
    <row r="166" spans="1:2" x14ac:dyDescent="0.25">
      <c r="A166" t="s">
        <v>404</v>
      </c>
      <c r="B166" t="e">
        <v>#VALUE!</v>
      </c>
    </row>
    <row r="167" spans="1:2" x14ac:dyDescent="0.25">
      <c r="A167" t="s">
        <v>404</v>
      </c>
      <c r="B167" t="e">
        <v>#VALUE!</v>
      </c>
    </row>
    <row r="168" spans="1:2" x14ac:dyDescent="0.25">
      <c r="A168" t="s">
        <v>404</v>
      </c>
      <c r="B168" t="e">
        <v>#VALUE!</v>
      </c>
    </row>
    <row r="169" spans="1:2" x14ac:dyDescent="0.25">
      <c r="A169" t="s">
        <v>404</v>
      </c>
      <c r="B169" t="e">
        <v>#VALUE!</v>
      </c>
    </row>
    <row r="170" spans="1:2" x14ac:dyDescent="0.25">
      <c r="A170" t="s">
        <v>404</v>
      </c>
      <c r="B170" t="e">
        <v>#VALUE!</v>
      </c>
    </row>
    <row r="171" spans="1:2" x14ac:dyDescent="0.25">
      <c r="A171" t="s">
        <v>404</v>
      </c>
      <c r="B171" t="e">
        <v>#VALUE!</v>
      </c>
    </row>
    <row r="172" spans="1:2" x14ac:dyDescent="0.25">
      <c r="A172" t="s">
        <v>404</v>
      </c>
      <c r="B172" t="e">
        <v>#VALUE!</v>
      </c>
    </row>
    <row r="173" spans="1:2" x14ac:dyDescent="0.25">
      <c r="A173" t="s">
        <v>404</v>
      </c>
      <c r="B173" t="e">
        <v>#VALUE!</v>
      </c>
    </row>
    <row r="174" spans="1:2" x14ac:dyDescent="0.25">
      <c r="A174" t="s">
        <v>404</v>
      </c>
      <c r="B174" t="e">
        <v>#VALUE!</v>
      </c>
    </row>
    <row r="175" spans="1:2" x14ac:dyDescent="0.25">
      <c r="A175" t="s">
        <v>404</v>
      </c>
      <c r="B175" t="e">
        <v>#VALUE!</v>
      </c>
    </row>
    <row r="176" spans="1:2" x14ac:dyDescent="0.25">
      <c r="A176" t="s">
        <v>404</v>
      </c>
      <c r="B176" t="e">
        <v>#VALUE!</v>
      </c>
    </row>
    <row r="177" spans="1:2" x14ac:dyDescent="0.25">
      <c r="A177" t="s">
        <v>404</v>
      </c>
      <c r="B177" t="e">
        <v>#VALUE!</v>
      </c>
    </row>
    <row r="178" spans="1:2" x14ac:dyDescent="0.25">
      <c r="A178" t="s">
        <v>404</v>
      </c>
      <c r="B178" t="e">
        <v>#VALUE!</v>
      </c>
    </row>
    <row r="179" spans="1:2" x14ac:dyDescent="0.25">
      <c r="A179" t="s">
        <v>404</v>
      </c>
      <c r="B179" t="e">
        <v>#VALUE!</v>
      </c>
    </row>
    <row r="180" spans="1:2" x14ac:dyDescent="0.25">
      <c r="A180" t="s">
        <v>404</v>
      </c>
      <c r="B180" t="e">
        <v>#VALUE!</v>
      </c>
    </row>
    <row r="181" spans="1:2" x14ac:dyDescent="0.25">
      <c r="A181" t="s">
        <v>404</v>
      </c>
      <c r="B181" t="e">
        <v>#VALUE!</v>
      </c>
    </row>
    <row r="182" spans="1:2" x14ac:dyDescent="0.25">
      <c r="A182" t="s">
        <v>404</v>
      </c>
      <c r="B182" t="e">
        <v>#VALUE!</v>
      </c>
    </row>
    <row r="183" spans="1:2" x14ac:dyDescent="0.25">
      <c r="A183" t="s">
        <v>404</v>
      </c>
      <c r="B183" t="e">
        <v>#VALUE!</v>
      </c>
    </row>
    <row r="184" spans="1:2" x14ac:dyDescent="0.25">
      <c r="A184" t="s">
        <v>404</v>
      </c>
      <c r="B184" t="e">
        <v>#VALUE!</v>
      </c>
    </row>
    <row r="185" spans="1:2" x14ac:dyDescent="0.25">
      <c r="A185" t="s">
        <v>404</v>
      </c>
      <c r="B185" t="e">
        <v>#VALUE!</v>
      </c>
    </row>
    <row r="186" spans="1:2" x14ac:dyDescent="0.25">
      <c r="A186" t="s">
        <v>404</v>
      </c>
      <c r="B186" t="e">
        <v>#VALUE!</v>
      </c>
    </row>
    <row r="187" spans="1:2" x14ac:dyDescent="0.25">
      <c r="A187" t="s">
        <v>404</v>
      </c>
      <c r="B187" t="e">
        <v>#VALUE!</v>
      </c>
    </row>
    <row r="188" spans="1:2" x14ac:dyDescent="0.25">
      <c r="A188" t="s">
        <v>404</v>
      </c>
      <c r="B188" t="e">
        <v>#VALUE!</v>
      </c>
    </row>
    <row r="189" spans="1:2" x14ac:dyDescent="0.25">
      <c r="A189" t="s">
        <v>404</v>
      </c>
      <c r="B189" t="e">
        <v>#VALUE!</v>
      </c>
    </row>
    <row r="190" spans="1:2" x14ac:dyDescent="0.25">
      <c r="A190" t="s">
        <v>404</v>
      </c>
      <c r="B190" t="e">
        <v>#VALUE!</v>
      </c>
    </row>
    <row r="191" spans="1:2" x14ac:dyDescent="0.25">
      <c r="A191" t="s">
        <v>404</v>
      </c>
      <c r="B191" t="e">
        <v>#VALUE!</v>
      </c>
    </row>
    <row r="192" spans="1:2" x14ac:dyDescent="0.25">
      <c r="A192" t="s">
        <v>404</v>
      </c>
      <c r="B192" t="e">
        <v>#VALUE!</v>
      </c>
    </row>
    <row r="193" spans="1:2" x14ac:dyDescent="0.25">
      <c r="A193" t="s">
        <v>404</v>
      </c>
      <c r="B193" t="e">
        <v>#VALUE!</v>
      </c>
    </row>
    <row r="194" spans="1:2" x14ac:dyDescent="0.25">
      <c r="A194" t="s">
        <v>404</v>
      </c>
      <c r="B194" t="e">
        <v>#VALUE!</v>
      </c>
    </row>
    <row r="195" spans="1:2" x14ac:dyDescent="0.25">
      <c r="A195" t="s">
        <v>404</v>
      </c>
      <c r="B195" t="e">
        <v>#VALUE!</v>
      </c>
    </row>
    <row r="196" spans="1:2" x14ac:dyDescent="0.25">
      <c r="A196" t="s">
        <v>404</v>
      </c>
      <c r="B196" t="e">
        <v>#VALUE!</v>
      </c>
    </row>
    <row r="197" spans="1:2" x14ac:dyDescent="0.25">
      <c r="A197" t="s">
        <v>404</v>
      </c>
      <c r="B197" t="e">
        <v>#VALUE!</v>
      </c>
    </row>
    <row r="198" spans="1:2" x14ac:dyDescent="0.25">
      <c r="A198" t="s">
        <v>404</v>
      </c>
      <c r="B198" t="e">
        <v>#VALUE!</v>
      </c>
    </row>
    <row r="199" spans="1:2" x14ac:dyDescent="0.25">
      <c r="A199" t="s">
        <v>404</v>
      </c>
      <c r="B199" t="e">
        <v>#VALUE!</v>
      </c>
    </row>
    <row r="200" spans="1:2" x14ac:dyDescent="0.25">
      <c r="A200" t="s">
        <v>404</v>
      </c>
      <c r="B200" t="e">
        <v>#VALUE!</v>
      </c>
    </row>
    <row r="201" spans="1:2" x14ac:dyDescent="0.25">
      <c r="A201" t="s">
        <v>404</v>
      </c>
      <c r="B201" t="e">
        <v>#VALUE!</v>
      </c>
    </row>
    <row r="202" spans="1:2" x14ac:dyDescent="0.25">
      <c r="A202" t="s">
        <v>404</v>
      </c>
      <c r="B202" t="e">
        <v>#VALUE!</v>
      </c>
    </row>
    <row r="203" spans="1:2" x14ac:dyDescent="0.25">
      <c r="A203" t="s">
        <v>404</v>
      </c>
      <c r="B203" t="e">
        <v>#VALUE!</v>
      </c>
    </row>
    <row r="204" spans="1:2" x14ac:dyDescent="0.25">
      <c r="A204" t="s">
        <v>404</v>
      </c>
      <c r="B204" t="e">
        <v>#VALUE!</v>
      </c>
    </row>
    <row r="205" spans="1:2" x14ac:dyDescent="0.25">
      <c r="A205" t="s">
        <v>404</v>
      </c>
      <c r="B205" t="e">
        <v>#VALUE!</v>
      </c>
    </row>
    <row r="206" spans="1:2" x14ac:dyDescent="0.25">
      <c r="A206" t="s">
        <v>404</v>
      </c>
      <c r="B206" t="e">
        <v>#VALUE!</v>
      </c>
    </row>
    <row r="207" spans="1:2" x14ac:dyDescent="0.25">
      <c r="A207" t="s">
        <v>404</v>
      </c>
      <c r="B207" t="e">
        <v>#VALUE!</v>
      </c>
    </row>
    <row r="208" spans="1:2" x14ac:dyDescent="0.25">
      <c r="A208" t="s">
        <v>404</v>
      </c>
      <c r="B208" t="e">
        <v>#VALUE!</v>
      </c>
    </row>
    <row r="209" spans="1:2" x14ac:dyDescent="0.25">
      <c r="A209" t="s">
        <v>404</v>
      </c>
      <c r="B209" t="e">
        <v>#VALUE!</v>
      </c>
    </row>
    <row r="210" spans="1:2" x14ac:dyDescent="0.25">
      <c r="A210" t="s">
        <v>404</v>
      </c>
      <c r="B210" t="e">
        <v>#VALUE!</v>
      </c>
    </row>
    <row r="211" spans="1:2" x14ac:dyDescent="0.25">
      <c r="A211" t="s">
        <v>404</v>
      </c>
      <c r="B211" t="e">
        <v>#VALUE!</v>
      </c>
    </row>
    <row r="212" spans="1:2" x14ac:dyDescent="0.25">
      <c r="A212" t="s">
        <v>404</v>
      </c>
      <c r="B212" t="e">
        <v>#VALUE!</v>
      </c>
    </row>
    <row r="213" spans="1:2" x14ac:dyDescent="0.25">
      <c r="A213" t="s">
        <v>404</v>
      </c>
      <c r="B213" t="e">
        <v>#VALUE!</v>
      </c>
    </row>
    <row r="214" spans="1:2" x14ac:dyDescent="0.25">
      <c r="A214" t="s">
        <v>404</v>
      </c>
      <c r="B214" t="e">
        <v>#VALUE!</v>
      </c>
    </row>
    <row r="215" spans="1:2" x14ac:dyDescent="0.25">
      <c r="A215" t="s">
        <v>404</v>
      </c>
      <c r="B215" t="e">
        <v>#VALUE!</v>
      </c>
    </row>
    <row r="216" spans="1:2" x14ac:dyDescent="0.25">
      <c r="A216" t="s">
        <v>404</v>
      </c>
      <c r="B216" t="e">
        <v>#VALUE!</v>
      </c>
    </row>
    <row r="217" spans="1:2" x14ac:dyDescent="0.25">
      <c r="A217" t="s">
        <v>404</v>
      </c>
      <c r="B217" t="e">
        <v>#VALUE!</v>
      </c>
    </row>
    <row r="218" spans="1:2" x14ac:dyDescent="0.25">
      <c r="A218" t="s">
        <v>404</v>
      </c>
      <c r="B218" t="e">
        <v>#VALUE!</v>
      </c>
    </row>
    <row r="219" spans="1:2" x14ac:dyDescent="0.25">
      <c r="A219" t="s">
        <v>404</v>
      </c>
      <c r="B219" t="e">
        <v>#VALUE!</v>
      </c>
    </row>
    <row r="220" spans="1:2" x14ac:dyDescent="0.25">
      <c r="A220" t="s">
        <v>404</v>
      </c>
      <c r="B220" t="e">
        <v>#VALUE!</v>
      </c>
    </row>
    <row r="221" spans="1:2" x14ac:dyDescent="0.25">
      <c r="A221" t="s">
        <v>404</v>
      </c>
      <c r="B221" t="e">
        <v>#VALUE!</v>
      </c>
    </row>
    <row r="222" spans="1:2" x14ac:dyDescent="0.25">
      <c r="A222" t="s">
        <v>404</v>
      </c>
      <c r="B222" t="e">
        <v>#VALUE!</v>
      </c>
    </row>
    <row r="223" spans="1:2" x14ac:dyDescent="0.25">
      <c r="A223" t="s">
        <v>404</v>
      </c>
      <c r="B223" t="e">
        <v>#VALUE!</v>
      </c>
    </row>
    <row r="224" spans="1:2" x14ac:dyDescent="0.25">
      <c r="A224" t="s">
        <v>404</v>
      </c>
      <c r="B224" t="e">
        <v>#VALUE!</v>
      </c>
    </row>
    <row r="225" spans="1:2" x14ac:dyDescent="0.25">
      <c r="A225" t="s">
        <v>404</v>
      </c>
      <c r="B225" t="e">
        <v>#VALUE!</v>
      </c>
    </row>
    <row r="226" spans="1:2" x14ac:dyDescent="0.25">
      <c r="A226" t="s">
        <v>404</v>
      </c>
      <c r="B226" t="e">
        <v>#VALUE!</v>
      </c>
    </row>
    <row r="227" spans="1:2" x14ac:dyDescent="0.25">
      <c r="A227" t="s">
        <v>404</v>
      </c>
      <c r="B227" t="e">
        <v>#VALUE!</v>
      </c>
    </row>
    <row r="228" spans="1:2" x14ac:dyDescent="0.25">
      <c r="A228" t="s">
        <v>404</v>
      </c>
      <c r="B228" t="e">
        <v>#VALUE!</v>
      </c>
    </row>
    <row r="229" spans="1:2" x14ac:dyDescent="0.25">
      <c r="A229" t="s">
        <v>404</v>
      </c>
      <c r="B229" t="e">
        <v>#VALUE!</v>
      </c>
    </row>
    <row r="230" spans="1:2" x14ac:dyDescent="0.25">
      <c r="A230" t="s">
        <v>404</v>
      </c>
      <c r="B230" t="e">
        <v>#VALUE!</v>
      </c>
    </row>
    <row r="231" spans="1:2" x14ac:dyDescent="0.25">
      <c r="A231" t="s">
        <v>404</v>
      </c>
      <c r="B231" t="e">
        <v>#VALUE!</v>
      </c>
    </row>
    <row r="232" spans="1:2" x14ac:dyDescent="0.25">
      <c r="A232" t="s">
        <v>404</v>
      </c>
      <c r="B232" t="e">
        <v>#VALUE!</v>
      </c>
    </row>
    <row r="233" spans="1:2" x14ac:dyDescent="0.25">
      <c r="A233" t="s">
        <v>404</v>
      </c>
      <c r="B233" t="e">
        <v>#VALUE!</v>
      </c>
    </row>
    <row r="234" spans="1:2" x14ac:dyDescent="0.25">
      <c r="A234" t="s">
        <v>404</v>
      </c>
      <c r="B234" t="e">
        <v>#VALUE!</v>
      </c>
    </row>
    <row r="235" spans="1:2" x14ac:dyDescent="0.25">
      <c r="A235" t="s">
        <v>404</v>
      </c>
      <c r="B235" t="e">
        <v>#VALUE!</v>
      </c>
    </row>
    <row r="236" spans="1:2" x14ac:dyDescent="0.25">
      <c r="A236" t="s">
        <v>404</v>
      </c>
      <c r="B236" t="e">
        <v>#VALUE!</v>
      </c>
    </row>
    <row r="237" spans="1:2" x14ac:dyDescent="0.25">
      <c r="A237" t="s">
        <v>404</v>
      </c>
      <c r="B237" t="e">
        <v>#VALUE!</v>
      </c>
    </row>
    <row r="238" spans="1:2" x14ac:dyDescent="0.25">
      <c r="A238" t="s">
        <v>404</v>
      </c>
      <c r="B238" t="e">
        <v>#VALUE!</v>
      </c>
    </row>
    <row r="239" spans="1:2" x14ac:dyDescent="0.25">
      <c r="A239" t="s">
        <v>404</v>
      </c>
      <c r="B239" t="e">
        <v>#VALUE!</v>
      </c>
    </row>
    <row r="240" spans="1:2" x14ac:dyDescent="0.25">
      <c r="A240" t="s">
        <v>404</v>
      </c>
      <c r="B240" t="e">
        <v>#VALUE!</v>
      </c>
    </row>
    <row r="241" spans="1:2" x14ac:dyDescent="0.25">
      <c r="A241" t="s">
        <v>404</v>
      </c>
      <c r="B241" t="e">
        <v>#VALUE!</v>
      </c>
    </row>
    <row r="242" spans="1:2" x14ac:dyDescent="0.25">
      <c r="A242" t="s">
        <v>404</v>
      </c>
      <c r="B242" t="e">
        <v>#VALUE!</v>
      </c>
    </row>
    <row r="243" spans="1:2" x14ac:dyDescent="0.25">
      <c r="A243" t="s">
        <v>404</v>
      </c>
      <c r="B243" t="e">
        <v>#VALUE!</v>
      </c>
    </row>
    <row r="244" spans="1:2" x14ac:dyDescent="0.25">
      <c r="A244" t="s">
        <v>404</v>
      </c>
      <c r="B244" t="e">
        <v>#VALUE!</v>
      </c>
    </row>
    <row r="245" spans="1:2" x14ac:dyDescent="0.25">
      <c r="A245" t="s">
        <v>404</v>
      </c>
      <c r="B245" t="e">
        <v>#VALUE!</v>
      </c>
    </row>
    <row r="246" spans="1:2" x14ac:dyDescent="0.25">
      <c r="A246" t="s">
        <v>404</v>
      </c>
      <c r="B246" t="e">
        <v>#VALUE!</v>
      </c>
    </row>
    <row r="247" spans="1:2" x14ac:dyDescent="0.25">
      <c r="A247" t="s">
        <v>404</v>
      </c>
      <c r="B247" t="e">
        <v>#VALUE!</v>
      </c>
    </row>
    <row r="248" spans="1:2" x14ac:dyDescent="0.25">
      <c r="A248" t="s">
        <v>404</v>
      </c>
      <c r="B248" t="e">
        <v>#VALUE!</v>
      </c>
    </row>
    <row r="249" spans="1:2" x14ac:dyDescent="0.25">
      <c r="A249" t="s">
        <v>404</v>
      </c>
      <c r="B249" t="e">
        <v>#VALUE!</v>
      </c>
    </row>
    <row r="250" spans="1:2" x14ac:dyDescent="0.25">
      <c r="A250" t="s">
        <v>404</v>
      </c>
      <c r="B250" t="e">
        <v>#VALUE!</v>
      </c>
    </row>
    <row r="251" spans="1:2" x14ac:dyDescent="0.25">
      <c r="A251" t="s">
        <v>404</v>
      </c>
      <c r="B251" t="e">
        <v>#VALUE!</v>
      </c>
    </row>
    <row r="252" spans="1:2" x14ac:dyDescent="0.25">
      <c r="A252" t="s">
        <v>404</v>
      </c>
      <c r="B252" t="e">
        <v>#VALUE!</v>
      </c>
    </row>
    <row r="253" spans="1:2" x14ac:dyDescent="0.25">
      <c r="A253" t="s">
        <v>404</v>
      </c>
      <c r="B253" t="e">
        <v>#VALUE!</v>
      </c>
    </row>
    <row r="254" spans="1:2" x14ac:dyDescent="0.25">
      <c r="A254" t="s">
        <v>404</v>
      </c>
      <c r="B254" t="e">
        <v>#VALUE!</v>
      </c>
    </row>
    <row r="255" spans="1:2" x14ac:dyDescent="0.25">
      <c r="A255" t="s">
        <v>404</v>
      </c>
      <c r="B255" t="e">
        <v>#VALUE!</v>
      </c>
    </row>
    <row r="256" spans="1:2" x14ac:dyDescent="0.25">
      <c r="A256" t="s">
        <v>404</v>
      </c>
      <c r="B256" t="e">
        <v>#VALUE!</v>
      </c>
    </row>
    <row r="257" spans="1:2" x14ac:dyDescent="0.25">
      <c r="A257" t="s">
        <v>404</v>
      </c>
      <c r="B257" t="e">
        <v>#VALUE!</v>
      </c>
    </row>
    <row r="258" spans="1:2" x14ac:dyDescent="0.25">
      <c r="A258" t="s">
        <v>404</v>
      </c>
      <c r="B258" t="e">
        <v>#VALUE!</v>
      </c>
    </row>
    <row r="259" spans="1:2" x14ac:dyDescent="0.25">
      <c r="A259" t="s">
        <v>404</v>
      </c>
      <c r="B259" t="e">
        <v>#VALUE!</v>
      </c>
    </row>
    <row r="260" spans="1:2" x14ac:dyDescent="0.25">
      <c r="A260" t="s">
        <v>404</v>
      </c>
      <c r="B260" t="e">
        <v>#VALUE!</v>
      </c>
    </row>
    <row r="261" spans="1:2" x14ac:dyDescent="0.25">
      <c r="A261" t="s">
        <v>404</v>
      </c>
      <c r="B261" t="e">
        <v>#VALUE!</v>
      </c>
    </row>
    <row r="262" spans="1:2" x14ac:dyDescent="0.25">
      <c r="A262" t="s">
        <v>404</v>
      </c>
      <c r="B262" t="e">
        <v>#VALUE!</v>
      </c>
    </row>
    <row r="263" spans="1:2" x14ac:dyDescent="0.25">
      <c r="A263" t="s">
        <v>404</v>
      </c>
      <c r="B263" t="e">
        <v>#VALUE!</v>
      </c>
    </row>
    <row r="264" spans="1:2" x14ac:dyDescent="0.25">
      <c r="A264" t="s">
        <v>404</v>
      </c>
      <c r="B264" t="e">
        <v>#VALUE!</v>
      </c>
    </row>
    <row r="265" spans="1:2" x14ac:dyDescent="0.25">
      <c r="A265" t="s">
        <v>404</v>
      </c>
      <c r="B265" t="e">
        <v>#VALUE!</v>
      </c>
    </row>
    <row r="266" spans="1:2" x14ac:dyDescent="0.25">
      <c r="A266" t="s">
        <v>404</v>
      </c>
      <c r="B266" t="e">
        <v>#VALUE!</v>
      </c>
    </row>
    <row r="267" spans="1:2" x14ac:dyDescent="0.25">
      <c r="A267" t="s">
        <v>404</v>
      </c>
      <c r="B267" t="e">
        <v>#VALUE!</v>
      </c>
    </row>
    <row r="268" spans="1:2" x14ac:dyDescent="0.25">
      <c r="A268" t="s">
        <v>404</v>
      </c>
      <c r="B268" t="e">
        <v>#VALUE!</v>
      </c>
    </row>
    <row r="269" spans="1:2" x14ac:dyDescent="0.25">
      <c r="A269" t="s">
        <v>404</v>
      </c>
      <c r="B269" t="e">
        <v>#VALUE!</v>
      </c>
    </row>
    <row r="270" spans="1:2" x14ac:dyDescent="0.25">
      <c r="A270" t="s">
        <v>404</v>
      </c>
      <c r="B270" t="e">
        <v>#VALUE!</v>
      </c>
    </row>
    <row r="271" spans="1:2" x14ac:dyDescent="0.25">
      <c r="A271" t="s">
        <v>404</v>
      </c>
      <c r="B271" t="e">
        <v>#VALUE!</v>
      </c>
    </row>
    <row r="272" spans="1:2" x14ac:dyDescent="0.25">
      <c r="A272" t="s">
        <v>404</v>
      </c>
      <c r="B272" t="e">
        <v>#VALUE!</v>
      </c>
    </row>
    <row r="273" spans="1:2" x14ac:dyDescent="0.25">
      <c r="A273" t="s">
        <v>404</v>
      </c>
      <c r="B273" t="e">
        <v>#VALUE!</v>
      </c>
    </row>
    <row r="274" spans="1:2" x14ac:dyDescent="0.25">
      <c r="A274" t="s">
        <v>404</v>
      </c>
      <c r="B274" t="e">
        <v>#VALUE!</v>
      </c>
    </row>
    <row r="275" spans="1:2" x14ac:dyDescent="0.25">
      <c r="A275" t="s">
        <v>404</v>
      </c>
      <c r="B275" t="e">
        <v>#VALUE!</v>
      </c>
    </row>
    <row r="276" spans="1:2" x14ac:dyDescent="0.25">
      <c r="A276" t="s">
        <v>404</v>
      </c>
      <c r="B276" t="e">
        <v>#VALUE!</v>
      </c>
    </row>
    <row r="277" spans="1:2" x14ac:dyDescent="0.25">
      <c r="A277" t="s">
        <v>404</v>
      </c>
      <c r="B277" t="e">
        <v>#VALUE!</v>
      </c>
    </row>
    <row r="278" spans="1:2" x14ac:dyDescent="0.25">
      <c r="A278" t="s">
        <v>404</v>
      </c>
      <c r="B278" t="e">
        <v>#VALUE!</v>
      </c>
    </row>
    <row r="279" spans="1:2" x14ac:dyDescent="0.25">
      <c r="A279" t="s">
        <v>404</v>
      </c>
      <c r="B279" t="e">
        <v>#VALUE!</v>
      </c>
    </row>
    <row r="280" spans="1:2" x14ac:dyDescent="0.25">
      <c r="A280" t="s">
        <v>404</v>
      </c>
      <c r="B280" t="e">
        <v>#VALUE!</v>
      </c>
    </row>
    <row r="281" spans="1:2" x14ac:dyDescent="0.25">
      <c r="A281" t="s">
        <v>404</v>
      </c>
      <c r="B281" t="e">
        <v>#VALUE!</v>
      </c>
    </row>
    <row r="282" spans="1:2" x14ac:dyDescent="0.25">
      <c r="A282" t="s">
        <v>404</v>
      </c>
      <c r="B282" t="e">
        <v>#VALUE!</v>
      </c>
    </row>
    <row r="283" spans="1:2" x14ac:dyDescent="0.25">
      <c r="A283" t="s">
        <v>404</v>
      </c>
      <c r="B283" t="e">
        <v>#VALUE!</v>
      </c>
    </row>
    <row r="284" spans="1:2" x14ac:dyDescent="0.25">
      <c r="A284" t="s">
        <v>404</v>
      </c>
      <c r="B284" t="e">
        <v>#VALUE!</v>
      </c>
    </row>
    <row r="285" spans="1:2" x14ac:dyDescent="0.25">
      <c r="A285" t="s">
        <v>404</v>
      </c>
      <c r="B285" t="e">
        <v>#VALUE!</v>
      </c>
    </row>
    <row r="286" spans="1:2" x14ac:dyDescent="0.25">
      <c r="A286" t="s">
        <v>404</v>
      </c>
      <c r="B286" t="e">
        <v>#VALUE!</v>
      </c>
    </row>
    <row r="287" spans="1:2" x14ac:dyDescent="0.25">
      <c r="A287" t="s">
        <v>404</v>
      </c>
      <c r="B287" t="e">
        <v>#VALUE!</v>
      </c>
    </row>
    <row r="288" spans="1:2" x14ac:dyDescent="0.25">
      <c r="A288" t="s">
        <v>404</v>
      </c>
      <c r="B288" t="e">
        <v>#VALUE!</v>
      </c>
    </row>
    <row r="289" spans="1:2" x14ac:dyDescent="0.25">
      <c r="A289" t="s">
        <v>404</v>
      </c>
      <c r="B289" t="e">
        <v>#VALUE!</v>
      </c>
    </row>
    <row r="290" spans="1:2" x14ac:dyDescent="0.25">
      <c r="A290" t="s">
        <v>404</v>
      </c>
      <c r="B290" t="e">
        <v>#VALUE!</v>
      </c>
    </row>
    <row r="291" spans="1:2" x14ac:dyDescent="0.25">
      <c r="A291" t="s">
        <v>404</v>
      </c>
      <c r="B291" t="e">
        <v>#VALUE!</v>
      </c>
    </row>
    <row r="292" spans="1:2" x14ac:dyDescent="0.25">
      <c r="A292" t="s">
        <v>404</v>
      </c>
      <c r="B292" t="e">
        <v>#VALUE!</v>
      </c>
    </row>
    <row r="293" spans="1:2" x14ac:dyDescent="0.25">
      <c r="A293" t="s">
        <v>404</v>
      </c>
      <c r="B293" t="e">
        <v>#VALUE!</v>
      </c>
    </row>
    <row r="294" spans="1:2" x14ac:dyDescent="0.25">
      <c r="A294" t="s">
        <v>404</v>
      </c>
      <c r="B294" t="e">
        <v>#VALUE!</v>
      </c>
    </row>
    <row r="295" spans="1:2" x14ac:dyDescent="0.25">
      <c r="A295" t="s">
        <v>404</v>
      </c>
      <c r="B295" t="e">
        <v>#VALUE!</v>
      </c>
    </row>
    <row r="296" spans="1:2" x14ac:dyDescent="0.25">
      <c r="A296" t="s">
        <v>404</v>
      </c>
      <c r="B296" t="e">
        <v>#VALUE!</v>
      </c>
    </row>
    <row r="297" spans="1:2" x14ac:dyDescent="0.25">
      <c r="A297" t="s">
        <v>404</v>
      </c>
      <c r="B297" t="e">
        <v>#VALUE!</v>
      </c>
    </row>
    <row r="298" spans="1:2" x14ac:dyDescent="0.25">
      <c r="A298" t="s">
        <v>404</v>
      </c>
      <c r="B298" t="e">
        <v>#VALUE!</v>
      </c>
    </row>
    <row r="299" spans="1:2" x14ac:dyDescent="0.25">
      <c r="A299" t="s">
        <v>404</v>
      </c>
      <c r="B299" t="e">
        <v>#VALUE!</v>
      </c>
    </row>
    <row r="300" spans="1:2" x14ac:dyDescent="0.25">
      <c r="A300" t="s">
        <v>404</v>
      </c>
      <c r="B300" t="e">
        <v>#VALUE!</v>
      </c>
    </row>
    <row r="301" spans="1:2" x14ac:dyDescent="0.25">
      <c r="A301" t="s">
        <v>404</v>
      </c>
      <c r="B301" t="e">
        <v>#VALUE!</v>
      </c>
    </row>
    <row r="302" spans="1:2" x14ac:dyDescent="0.25">
      <c r="A302" t="s">
        <v>404</v>
      </c>
      <c r="B302" t="e">
        <v>#VALUE!</v>
      </c>
    </row>
    <row r="303" spans="1:2" x14ac:dyDescent="0.25">
      <c r="A303" t="s">
        <v>404</v>
      </c>
      <c r="B303" t="e">
        <v>#VALUE!</v>
      </c>
    </row>
    <row r="304" spans="1:2" x14ac:dyDescent="0.25">
      <c r="A304" t="s">
        <v>404</v>
      </c>
      <c r="B304" t="e">
        <v>#VALUE!</v>
      </c>
    </row>
    <row r="305" spans="1:2" x14ac:dyDescent="0.25">
      <c r="A305" t="s">
        <v>404</v>
      </c>
      <c r="B305" t="e">
        <v>#VALUE!</v>
      </c>
    </row>
    <row r="306" spans="1:2" x14ac:dyDescent="0.25">
      <c r="A306" t="s">
        <v>404</v>
      </c>
      <c r="B306" t="e">
        <v>#VALUE!</v>
      </c>
    </row>
    <row r="307" spans="1:2" x14ac:dyDescent="0.25">
      <c r="A307" t="s">
        <v>404</v>
      </c>
      <c r="B307" t="e">
        <v>#VALUE!</v>
      </c>
    </row>
    <row r="308" spans="1:2" x14ac:dyDescent="0.25">
      <c r="A308" t="s">
        <v>404</v>
      </c>
      <c r="B308" t="e">
        <v>#VALUE!</v>
      </c>
    </row>
    <row r="309" spans="1:2" x14ac:dyDescent="0.25">
      <c r="A309" t="s">
        <v>404</v>
      </c>
      <c r="B309" t="e">
        <v>#VALUE!</v>
      </c>
    </row>
    <row r="310" spans="1:2" x14ac:dyDescent="0.25">
      <c r="A310" t="s">
        <v>404</v>
      </c>
      <c r="B310" t="e">
        <v>#VALUE!</v>
      </c>
    </row>
    <row r="311" spans="1:2" x14ac:dyDescent="0.25">
      <c r="A311" t="s">
        <v>404</v>
      </c>
      <c r="B311" t="e">
        <v>#VALUE!</v>
      </c>
    </row>
    <row r="312" spans="1:2" x14ac:dyDescent="0.25">
      <c r="A312" t="s">
        <v>404</v>
      </c>
      <c r="B312" t="e">
        <v>#VALUE!</v>
      </c>
    </row>
    <row r="313" spans="1:2" x14ac:dyDescent="0.25">
      <c r="A313" t="s">
        <v>404</v>
      </c>
      <c r="B313" t="e">
        <v>#VALUE!</v>
      </c>
    </row>
    <row r="314" spans="1:2" x14ac:dyDescent="0.25">
      <c r="A314" t="s">
        <v>404</v>
      </c>
      <c r="B314" t="e">
        <v>#VALUE!</v>
      </c>
    </row>
    <row r="315" spans="1:2" x14ac:dyDescent="0.25">
      <c r="A315" t="s">
        <v>404</v>
      </c>
      <c r="B315" t="e">
        <v>#VALUE!</v>
      </c>
    </row>
    <row r="316" spans="1:2" x14ac:dyDescent="0.25">
      <c r="A316" t="s">
        <v>404</v>
      </c>
      <c r="B316" t="e">
        <v>#VALUE!</v>
      </c>
    </row>
    <row r="317" spans="1:2" x14ac:dyDescent="0.25">
      <c r="A317" t="s">
        <v>404</v>
      </c>
      <c r="B317" t="e">
        <v>#VALUE!</v>
      </c>
    </row>
    <row r="318" spans="1:2" x14ac:dyDescent="0.25">
      <c r="A318" t="s">
        <v>404</v>
      </c>
      <c r="B318" t="e">
        <v>#VALUE!</v>
      </c>
    </row>
    <row r="319" spans="1:2" x14ac:dyDescent="0.25">
      <c r="A319" t="s">
        <v>404</v>
      </c>
      <c r="B319" t="e">
        <v>#VALUE!</v>
      </c>
    </row>
    <row r="320" spans="1:2" x14ac:dyDescent="0.25">
      <c r="A320" t="s">
        <v>404</v>
      </c>
      <c r="B320" t="e">
        <v>#VALUE!</v>
      </c>
    </row>
    <row r="321" spans="1:2" x14ac:dyDescent="0.25">
      <c r="A321" t="s">
        <v>404</v>
      </c>
      <c r="B321" t="e">
        <v>#VALUE!</v>
      </c>
    </row>
    <row r="322" spans="1:2" x14ac:dyDescent="0.25">
      <c r="A322" t="s">
        <v>404</v>
      </c>
      <c r="B322" t="e">
        <v>#VALUE!</v>
      </c>
    </row>
    <row r="323" spans="1:2" x14ac:dyDescent="0.25">
      <c r="A323" t="s">
        <v>404</v>
      </c>
      <c r="B323" t="e">
        <v>#VALUE!</v>
      </c>
    </row>
    <row r="324" spans="1:2" x14ac:dyDescent="0.25">
      <c r="A324" t="s">
        <v>404</v>
      </c>
      <c r="B324" t="e">
        <v>#VALUE!</v>
      </c>
    </row>
    <row r="325" spans="1:2" x14ac:dyDescent="0.25">
      <c r="A325" t="s">
        <v>404</v>
      </c>
      <c r="B325" t="e">
        <v>#VALUE!</v>
      </c>
    </row>
    <row r="326" spans="1:2" x14ac:dyDescent="0.25">
      <c r="A326" t="s">
        <v>404</v>
      </c>
      <c r="B326" t="e">
        <v>#VALUE!</v>
      </c>
    </row>
    <row r="327" spans="1:2" x14ac:dyDescent="0.25">
      <c r="A327" t="s">
        <v>404</v>
      </c>
      <c r="B327" t="e">
        <v>#VALUE!</v>
      </c>
    </row>
    <row r="328" spans="1:2" x14ac:dyDescent="0.25">
      <c r="A328" t="s">
        <v>404</v>
      </c>
      <c r="B328" t="e">
        <v>#VALUE!</v>
      </c>
    </row>
    <row r="329" spans="1:2" x14ac:dyDescent="0.25">
      <c r="A329" t="s">
        <v>404</v>
      </c>
      <c r="B329" t="e">
        <v>#VALUE!</v>
      </c>
    </row>
    <row r="330" spans="1:2" x14ac:dyDescent="0.25">
      <c r="A330" t="s">
        <v>404</v>
      </c>
      <c r="B330" t="e">
        <v>#VALUE!</v>
      </c>
    </row>
    <row r="331" spans="1:2" x14ac:dyDescent="0.25">
      <c r="A331" t="s">
        <v>404</v>
      </c>
      <c r="B331" t="e">
        <v>#VALUE!</v>
      </c>
    </row>
    <row r="332" spans="1:2" x14ac:dyDescent="0.25">
      <c r="A332" t="s">
        <v>404</v>
      </c>
      <c r="B332" t="e">
        <v>#VALUE!</v>
      </c>
    </row>
    <row r="333" spans="1:2" x14ac:dyDescent="0.25">
      <c r="A333" t="s">
        <v>404</v>
      </c>
      <c r="B333" t="e">
        <v>#VALUE!</v>
      </c>
    </row>
    <row r="334" spans="1:2" x14ac:dyDescent="0.25">
      <c r="A334" t="s">
        <v>404</v>
      </c>
      <c r="B334" t="e">
        <v>#VALUE!</v>
      </c>
    </row>
    <row r="335" spans="1:2" x14ac:dyDescent="0.25">
      <c r="A335" t="s">
        <v>404</v>
      </c>
      <c r="B335" t="e">
        <v>#VALUE!</v>
      </c>
    </row>
    <row r="336" spans="1:2" x14ac:dyDescent="0.25">
      <c r="A336" t="s">
        <v>404</v>
      </c>
      <c r="B336" t="e">
        <v>#VALUE!</v>
      </c>
    </row>
    <row r="337" spans="1:2" x14ac:dyDescent="0.25">
      <c r="A337" t="s">
        <v>404</v>
      </c>
      <c r="B337" t="e">
        <v>#VALUE!</v>
      </c>
    </row>
    <row r="338" spans="1:2" x14ac:dyDescent="0.25">
      <c r="A338" t="s">
        <v>404</v>
      </c>
      <c r="B338" t="e">
        <v>#VALUE!</v>
      </c>
    </row>
    <row r="339" spans="1:2" x14ac:dyDescent="0.25">
      <c r="A339" t="s">
        <v>404</v>
      </c>
      <c r="B339" t="e">
        <v>#VALUE!</v>
      </c>
    </row>
    <row r="340" spans="1:2" x14ac:dyDescent="0.25">
      <c r="A340" t="s">
        <v>404</v>
      </c>
      <c r="B340" t="e">
        <v>#VALUE!</v>
      </c>
    </row>
    <row r="341" spans="1:2" x14ac:dyDescent="0.25">
      <c r="A341" t="s">
        <v>404</v>
      </c>
      <c r="B341" t="e">
        <v>#VALUE!</v>
      </c>
    </row>
    <row r="342" spans="1:2" x14ac:dyDescent="0.25">
      <c r="A342" t="s">
        <v>404</v>
      </c>
      <c r="B342" t="e">
        <v>#VALUE!</v>
      </c>
    </row>
    <row r="343" spans="1:2" x14ac:dyDescent="0.25">
      <c r="A343" t="s">
        <v>404</v>
      </c>
      <c r="B343" t="e">
        <v>#VALUE!</v>
      </c>
    </row>
    <row r="344" spans="1:2" x14ac:dyDescent="0.25">
      <c r="A344" t="s">
        <v>404</v>
      </c>
      <c r="B344" t="e">
        <v>#VALUE!</v>
      </c>
    </row>
    <row r="345" spans="1:2" x14ac:dyDescent="0.25">
      <c r="A345" t="s">
        <v>404</v>
      </c>
      <c r="B345" t="e">
        <v>#VALUE!</v>
      </c>
    </row>
    <row r="346" spans="1:2" x14ac:dyDescent="0.25">
      <c r="A346" t="s">
        <v>404</v>
      </c>
      <c r="B346" t="e">
        <v>#VALUE!</v>
      </c>
    </row>
    <row r="347" spans="1:2" x14ac:dyDescent="0.25">
      <c r="A347" t="s">
        <v>404</v>
      </c>
      <c r="B347" t="e">
        <v>#VALUE!</v>
      </c>
    </row>
    <row r="348" spans="1:2" x14ac:dyDescent="0.25">
      <c r="A348" t="s">
        <v>404</v>
      </c>
      <c r="B348" t="e">
        <v>#VALUE!</v>
      </c>
    </row>
    <row r="349" spans="1:2" x14ac:dyDescent="0.25">
      <c r="A349" t="s">
        <v>404</v>
      </c>
      <c r="B349" t="e">
        <v>#VALUE!</v>
      </c>
    </row>
    <row r="350" spans="1:2" x14ac:dyDescent="0.25">
      <c r="A350" t="s">
        <v>404</v>
      </c>
      <c r="B350" t="e">
        <v>#VALUE!</v>
      </c>
    </row>
    <row r="351" spans="1:2" x14ac:dyDescent="0.25">
      <c r="A351" t="s">
        <v>404</v>
      </c>
      <c r="B351" t="e">
        <v>#VALUE!</v>
      </c>
    </row>
    <row r="352" spans="1:2" x14ac:dyDescent="0.25">
      <c r="A352" t="s">
        <v>404</v>
      </c>
      <c r="B352" t="e">
        <v>#VALUE!</v>
      </c>
    </row>
    <row r="353" spans="1:2" x14ac:dyDescent="0.25">
      <c r="A353" t="s">
        <v>404</v>
      </c>
      <c r="B353" t="e">
        <v>#VALUE!</v>
      </c>
    </row>
    <row r="354" spans="1:2" x14ac:dyDescent="0.25">
      <c r="A354" t="s">
        <v>404</v>
      </c>
      <c r="B354" t="e">
        <v>#VALUE!</v>
      </c>
    </row>
    <row r="355" spans="1:2" x14ac:dyDescent="0.25">
      <c r="A355" t="s">
        <v>404</v>
      </c>
      <c r="B355" t="e">
        <v>#VALUE!</v>
      </c>
    </row>
    <row r="356" spans="1:2" x14ac:dyDescent="0.25">
      <c r="A356" t="s">
        <v>404</v>
      </c>
      <c r="B356" t="e">
        <v>#VALUE!</v>
      </c>
    </row>
    <row r="357" spans="1:2" x14ac:dyDescent="0.25">
      <c r="A357" t="s">
        <v>404</v>
      </c>
      <c r="B357" t="e">
        <v>#VALUE!</v>
      </c>
    </row>
    <row r="358" spans="1:2" x14ac:dyDescent="0.25">
      <c r="A358" t="s">
        <v>404</v>
      </c>
      <c r="B358" t="e">
        <v>#VALUE!</v>
      </c>
    </row>
    <row r="359" spans="1:2" x14ac:dyDescent="0.25">
      <c r="A359" t="s">
        <v>404</v>
      </c>
      <c r="B359" t="e">
        <v>#VALUE!</v>
      </c>
    </row>
    <row r="360" spans="1:2" x14ac:dyDescent="0.25">
      <c r="A360" t="s">
        <v>404</v>
      </c>
      <c r="B360" t="e">
        <v>#VALUE!</v>
      </c>
    </row>
    <row r="361" spans="1:2" x14ac:dyDescent="0.25">
      <c r="A361" t="s">
        <v>404</v>
      </c>
      <c r="B361" t="e">
        <v>#VALUE!</v>
      </c>
    </row>
    <row r="362" spans="1:2" x14ac:dyDescent="0.25">
      <c r="A362" t="s">
        <v>404</v>
      </c>
      <c r="B362" t="e">
        <v>#VALUE!</v>
      </c>
    </row>
    <row r="363" spans="1:2" x14ac:dyDescent="0.25">
      <c r="A363" t="s">
        <v>404</v>
      </c>
      <c r="B363" t="e">
        <v>#VALUE!</v>
      </c>
    </row>
    <row r="364" spans="1:2" x14ac:dyDescent="0.25">
      <c r="A364" t="s">
        <v>404</v>
      </c>
      <c r="B364" t="e">
        <v>#VALUE!</v>
      </c>
    </row>
    <row r="365" spans="1:2" x14ac:dyDescent="0.25">
      <c r="A365" t="s">
        <v>404</v>
      </c>
      <c r="B365" t="e">
        <v>#VALUE!</v>
      </c>
    </row>
    <row r="366" spans="1:2" x14ac:dyDescent="0.25">
      <c r="A366" t="s">
        <v>404</v>
      </c>
      <c r="B366" t="e">
        <v>#VALUE!</v>
      </c>
    </row>
    <row r="367" spans="1:2" x14ac:dyDescent="0.25">
      <c r="A367" t="s">
        <v>404</v>
      </c>
      <c r="B367" t="e">
        <v>#VALUE!</v>
      </c>
    </row>
    <row r="368" spans="1:2" x14ac:dyDescent="0.25">
      <c r="A368" t="s">
        <v>404</v>
      </c>
      <c r="B368" t="e">
        <v>#VALUE!</v>
      </c>
    </row>
    <row r="369" spans="1:2" x14ac:dyDescent="0.25">
      <c r="A369" t="s">
        <v>404</v>
      </c>
      <c r="B369" t="e">
        <v>#VALUE!</v>
      </c>
    </row>
    <row r="370" spans="1:2" x14ac:dyDescent="0.25">
      <c r="A370" t="s">
        <v>404</v>
      </c>
      <c r="B370" t="e">
        <v>#VALUE!</v>
      </c>
    </row>
    <row r="371" spans="1:2" x14ac:dyDescent="0.25">
      <c r="A371" t="s">
        <v>404</v>
      </c>
      <c r="B371" t="e">
        <v>#VALUE!</v>
      </c>
    </row>
    <row r="372" spans="1:2" x14ac:dyDescent="0.25">
      <c r="A372" t="s">
        <v>404</v>
      </c>
      <c r="B372" t="e">
        <v>#VALUE!</v>
      </c>
    </row>
    <row r="373" spans="1:2" x14ac:dyDescent="0.25">
      <c r="A373" t="s">
        <v>404</v>
      </c>
      <c r="B373" t="e">
        <v>#VALUE!</v>
      </c>
    </row>
    <row r="374" spans="1:2" x14ac:dyDescent="0.25">
      <c r="A374" t="s">
        <v>404</v>
      </c>
      <c r="B374" t="e">
        <v>#VALUE!</v>
      </c>
    </row>
    <row r="375" spans="1:2" x14ac:dyDescent="0.25">
      <c r="A375" t="s">
        <v>404</v>
      </c>
      <c r="B375" t="e">
        <v>#VALUE!</v>
      </c>
    </row>
    <row r="376" spans="1:2" x14ac:dyDescent="0.25">
      <c r="A376" t="s">
        <v>404</v>
      </c>
      <c r="B376" t="e">
        <v>#VALUE!</v>
      </c>
    </row>
    <row r="377" spans="1:2" x14ac:dyDescent="0.25">
      <c r="A377" t="s">
        <v>404</v>
      </c>
      <c r="B377" t="e">
        <v>#VALUE!</v>
      </c>
    </row>
    <row r="378" spans="1:2" x14ac:dyDescent="0.25">
      <c r="A378" t="s">
        <v>404</v>
      </c>
      <c r="B378" t="e">
        <v>#VALUE!</v>
      </c>
    </row>
    <row r="379" spans="1:2" x14ac:dyDescent="0.25">
      <c r="A379" t="s">
        <v>404</v>
      </c>
      <c r="B379" t="e">
        <v>#VALUE!</v>
      </c>
    </row>
    <row r="380" spans="1:2" x14ac:dyDescent="0.25">
      <c r="A380" t="s">
        <v>404</v>
      </c>
      <c r="B380" t="e">
        <v>#VALUE!</v>
      </c>
    </row>
    <row r="381" spans="1:2" x14ac:dyDescent="0.25">
      <c r="A381" t="s">
        <v>404</v>
      </c>
      <c r="B381" t="e">
        <v>#VALUE!</v>
      </c>
    </row>
    <row r="382" spans="1:2" x14ac:dyDescent="0.25">
      <c r="A382" t="s">
        <v>404</v>
      </c>
      <c r="B382" t="e">
        <v>#VALUE!</v>
      </c>
    </row>
    <row r="383" spans="1:2" x14ac:dyDescent="0.25">
      <c r="A383" t="s">
        <v>404</v>
      </c>
      <c r="B383" t="e">
        <v>#VALUE!</v>
      </c>
    </row>
    <row r="384" spans="1:2" x14ac:dyDescent="0.25">
      <c r="A384" t="s">
        <v>404</v>
      </c>
      <c r="B384" t="e">
        <v>#VALUE!</v>
      </c>
    </row>
    <row r="385" spans="1:2" x14ac:dyDescent="0.25">
      <c r="A385" t="s">
        <v>404</v>
      </c>
      <c r="B385" t="e">
        <v>#VALUE!</v>
      </c>
    </row>
    <row r="386" spans="1:2" x14ac:dyDescent="0.25">
      <c r="A386" t="s">
        <v>404</v>
      </c>
      <c r="B386" t="e">
        <v>#VALUE!</v>
      </c>
    </row>
    <row r="387" spans="1:2" x14ac:dyDescent="0.25">
      <c r="A387" t="s">
        <v>404</v>
      </c>
      <c r="B387" t="e">
        <v>#VALUE!</v>
      </c>
    </row>
    <row r="388" spans="1:2" x14ac:dyDescent="0.25">
      <c r="A388" t="s">
        <v>404</v>
      </c>
      <c r="B388" t="e">
        <v>#VALUE!</v>
      </c>
    </row>
    <row r="389" spans="1:2" x14ac:dyDescent="0.25">
      <c r="A389" t="s">
        <v>404</v>
      </c>
      <c r="B389" t="e">
        <v>#VALUE!</v>
      </c>
    </row>
    <row r="390" spans="1:2" x14ac:dyDescent="0.25">
      <c r="A390" t="s">
        <v>404</v>
      </c>
      <c r="B390" t="e">
        <v>#VALUE!</v>
      </c>
    </row>
    <row r="391" spans="1:2" x14ac:dyDescent="0.25">
      <c r="A391" t="s">
        <v>404</v>
      </c>
      <c r="B391" t="e">
        <v>#VALUE!</v>
      </c>
    </row>
    <row r="392" spans="1:2" x14ac:dyDescent="0.25">
      <c r="A392" t="s">
        <v>404</v>
      </c>
      <c r="B392" t="e">
        <v>#VALUE!</v>
      </c>
    </row>
    <row r="393" spans="1:2" x14ac:dyDescent="0.25">
      <c r="A393" t="s">
        <v>404</v>
      </c>
      <c r="B393" t="e">
        <v>#VALUE!</v>
      </c>
    </row>
    <row r="394" spans="1:2" x14ac:dyDescent="0.25">
      <c r="A394" t="s">
        <v>404</v>
      </c>
      <c r="B394" t="e">
        <v>#VALUE!</v>
      </c>
    </row>
    <row r="395" spans="1:2" x14ac:dyDescent="0.25">
      <c r="A395" t="s">
        <v>404</v>
      </c>
      <c r="B395" t="e">
        <v>#VALUE!</v>
      </c>
    </row>
    <row r="396" spans="1:2" x14ac:dyDescent="0.25">
      <c r="A396" t="s">
        <v>404</v>
      </c>
      <c r="B396" t="e">
        <v>#VALUE!</v>
      </c>
    </row>
    <row r="397" spans="1:2" x14ac:dyDescent="0.25">
      <c r="A397" t="s">
        <v>404</v>
      </c>
      <c r="B397" t="e">
        <v>#VALUE!</v>
      </c>
    </row>
    <row r="398" spans="1:2" x14ac:dyDescent="0.25">
      <c r="A398" t="s">
        <v>404</v>
      </c>
      <c r="B398" t="e">
        <v>#VALUE!</v>
      </c>
    </row>
    <row r="399" spans="1:2" x14ac:dyDescent="0.25">
      <c r="A399" t="s">
        <v>404</v>
      </c>
      <c r="B399" t="e">
        <v>#VALUE!</v>
      </c>
    </row>
    <row r="400" spans="1:2" x14ac:dyDescent="0.25">
      <c r="A400" t="s">
        <v>404</v>
      </c>
      <c r="B400" t="e">
        <v>#VALUE!</v>
      </c>
    </row>
    <row r="401" spans="1:2" x14ac:dyDescent="0.25">
      <c r="A401" t="s">
        <v>404</v>
      </c>
      <c r="B401" t="e">
        <v>#VALUE!</v>
      </c>
    </row>
    <row r="402" spans="1:2" x14ac:dyDescent="0.25">
      <c r="A402" t="s">
        <v>404</v>
      </c>
      <c r="B402" t="e">
        <v>#VALUE!</v>
      </c>
    </row>
    <row r="403" spans="1:2" x14ac:dyDescent="0.25">
      <c r="A403" t="s">
        <v>404</v>
      </c>
      <c r="B403" t="e">
        <v>#VALUE!</v>
      </c>
    </row>
    <row r="404" spans="1:2" x14ac:dyDescent="0.25">
      <c r="A404" t="s">
        <v>404</v>
      </c>
      <c r="B404" t="e">
        <v>#VALUE!</v>
      </c>
    </row>
    <row r="405" spans="1:2" x14ac:dyDescent="0.25">
      <c r="A405" t="s">
        <v>404</v>
      </c>
      <c r="B405" t="e">
        <v>#VALUE!</v>
      </c>
    </row>
    <row r="406" spans="1:2" x14ac:dyDescent="0.25">
      <c r="A406" t="s">
        <v>404</v>
      </c>
      <c r="B406" t="e">
        <v>#VALUE!</v>
      </c>
    </row>
    <row r="407" spans="1:2" x14ac:dyDescent="0.25">
      <c r="A407" t="s">
        <v>404</v>
      </c>
      <c r="B407" t="e">
        <v>#VALUE!</v>
      </c>
    </row>
    <row r="408" spans="1:2" x14ac:dyDescent="0.25">
      <c r="A408" t="s">
        <v>404</v>
      </c>
      <c r="B408" t="e">
        <v>#VALUE!</v>
      </c>
    </row>
    <row r="409" spans="1:2" x14ac:dyDescent="0.25">
      <c r="A409" t="s">
        <v>404</v>
      </c>
      <c r="B409" t="e">
        <v>#VALUE!</v>
      </c>
    </row>
    <row r="410" spans="1:2" x14ac:dyDescent="0.25">
      <c r="A410" t="s">
        <v>404</v>
      </c>
      <c r="B410" t="e">
        <v>#VALUE!</v>
      </c>
    </row>
    <row r="411" spans="1:2" x14ac:dyDescent="0.25">
      <c r="A411" t="s">
        <v>404</v>
      </c>
      <c r="B411" t="e">
        <v>#VALUE!</v>
      </c>
    </row>
    <row r="412" spans="1:2" x14ac:dyDescent="0.25">
      <c r="A412" t="s">
        <v>404</v>
      </c>
      <c r="B412" t="e">
        <v>#VALUE!</v>
      </c>
    </row>
    <row r="413" spans="1:2" x14ac:dyDescent="0.25">
      <c r="A413" t="s">
        <v>404</v>
      </c>
      <c r="B413" t="e">
        <v>#VALUE!</v>
      </c>
    </row>
    <row r="414" spans="1:2" x14ac:dyDescent="0.25">
      <c r="A414" t="s">
        <v>404</v>
      </c>
      <c r="B414" t="e">
        <v>#VALUE!</v>
      </c>
    </row>
    <row r="415" spans="1:2" x14ac:dyDescent="0.25">
      <c r="A415" t="s">
        <v>404</v>
      </c>
      <c r="B415" t="e">
        <v>#VALUE!</v>
      </c>
    </row>
    <row r="416" spans="1:2" x14ac:dyDescent="0.25">
      <c r="A416" t="s">
        <v>404</v>
      </c>
      <c r="B416" t="e">
        <v>#VALUE!</v>
      </c>
    </row>
    <row r="417" spans="1:2" x14ac:dyDescent="0.25">
      <c r="A417" t="s">
        <v>404</v>
      </c>
      <c r="B417" t="e">
        <v>#VALUE!</v>
      </c>
    </row>
    <row r="418" spans="1:2" x14ac:dyDescent="0.25">
      <c r="A418" t="s">
        <v>404</v>
      </c>
      <c r="B418" t="e">
        <v>#VALUE!</v>
      </c>
    </row>
    <row r="419" spans="1:2" x14ac:dyDescent="0.25">
      <c r="A419" t="s">
        <v>404</v>
      </c>
      <c r="B419" t="e">
        <v>#VALUE!</v>
      </c>
    </row>
    <row r="420" spans="1:2" x14ac:dyDescent="0.25">
      <c r="A420" t="s">
        <v>404</v>
      </c>
      <c r="B420" t="e">
        <v>#VALUE!</v>
      </c>
    </row>
    <row r="421" spans="1:2" x14ac:dyDescent="0.25">
      <c r="A421" t="s">
        <v>404</v>
      </c>
      <c r="B421" t="e">
        <v>#VALUE!</v>
      </c>
    </row>
    <row r="422" spans="1:2" x14ac:dyDescent="0.25">
      <c r="A422" t="s">
        <v>404</v>
      </c>
      <c r="B422" t="e">
        <v>#VALUE!</v>
      </c>
    </row>
    <row r="423" spans="1:2" x14ac:dyDescent="0.25">
      <c r="A423" t="s">
        <v>404</v>
      </c>
      <c r="B423" t="e">
        <v>#VALUE!</v>
      </c>
    </row>
    <row r="424" spans="1:2" x14ac:dyDescent="0.25">
      <c r="A424" t="s">
        <v>404</v>
      </c>
      <c r="B424" t="e">
        <v>#VALUE!</v>
      </c>
    </row>
    <row r="425" spans="1:2" x14ac:dyDescent="0.25">
      <c r="A425" t="s">
        <v>404</v>
      </c>
      <c r="B425" t="e">
        <v>#VALUE!</v>
      </c>
    </row>
    <row r="426" spans="1:2" x14ac:dyDescent="0.25">
      <c r="A426" t="s">
        <v>404</v>
      </c>
      <c r="B426" t="e">
        <v>#VALUE!</v>
      </c>
    </row>
    <row r="427" spans="1:2" x14ac:dyDescent="0.25">
      <c r="A427" t="s">
        <v>404</v>
      </c>
      <c r="B427" t="e">
        <v>#VALUE!</v>
      </c>
    </row>
    <row r="428" spans="1:2" x14ac:dyDescent="0.25">
      <c r="A428" t="s">
        <v>404</v>
      </c>
      <c r="B428" t="e">
        <v>#VALUE!</v>
      </c>
    </row>
    <row r="429" spans="1:2" x14ac:dyDescent="0.25">
      <c r="A429" t="s">
        <v>404</v>
      </c>
      <c r="B429" t="e">
        <v>#VALUE!</v>
      </c>
    </row>
    <row r="430" spans="1:2" x14ac:dyDescent="0.25">
      <c r="A430" t="s">
        <v>404</v>
      </c>
      <c r="B430" t="e">
        <v>#VALUE!</v>
      </c>
    </row>
    <row r="431" spans="1:2" x14ac:dyDescent="0.25">
      <c r="A431" t="s">
        <v>404</v>
      </c>
      <c r="B431" t="e">
        <v>#VALUE!</v>
      </c>
    </row>
    <row r="432" spans="1:2" x14ac:dyDescent="0.25">
      <c r="A432" t="s">
        <v>404</v>
      </c>
      <c r="B432" t="e">
        <v>#VALUE!</v>
      </c>
    </row>
    <row r="433" spans="1:2" x14ac:dyDescent="0.25">
      <c r="A433" t="s">
        <v>404</v>
      </c>
      <c r="B433" t="e">
        <v>#VALUE!</v>
      </c>
    </row>
    <row r="434" spans="1:2" x14ac:dyDescent="0.25">
      <c r="A434" t="s">
        <v>404</v>
      </c>
      <c r="B434" t="e">
        <v>#VALUE!</v>
      </c>
    </row>
    <row r="435" spans="1:2" x14ac:dyDescent="0.25">
      <c r="A435" t="s">
        <v>404</v>
      </c>
      <c r="B435" t="e">
        <v>#VALUE!</v>
      </c>
    </row>
    <row r="436" spans="1:2" x14ac:dyDescent="0.25">
      <c r="A436" t="s">
        <v>404</v>
      </c>
      <c r="B436" t="e">
        <v>#VALUE!</v>
      </c>
    </row>
    <row r="437" spans="1:2" x14ac:dyDescent="0.25">
      <c r="A437" t="s">
        <v>404</v>
      </c>
      <c r="B437" t="e">
        <v>#VALUE!</v>
      </c>
    </row>
    <row r="438" spans="1:2" x14ac:dyDescent="0.25">
      <c r="A438" t="s">
        <v>404</v>
      </c>
      <c r="B438" t="e">
        <v>#VALUE!</v>
      </c>
    </row>
    <row r="439" spans="1:2" x14ac:dyDescent="0.25">
      <c r="A439" t="s">
        <v>404</v>
      </c>
      <c r="B439" t="e">
        <v>#VALUE!</v>
      </c>
    </row>
    <row r="440" spans="1:2" x14ac:dyDescent="0.25">
      <c r="A440" t="s">
        <v>404</v>
      </c>
      <c r="B440" t="e">
        <v>#VALUE!</v>
      </c>
    </row>
    <row r="441" spans="1:2" x14ac:dyDescent="0.25">
      <c r="A441" t="s">
        <v>404</v>
      </c>
      <c r="B441" t="e">
        <v>#VALUE!</v>
      </c>
    </row>
    <row r="442" spans="1:2" x14ac:dyDescent="0.25">
      <c r="A442" t="s">
        <v>404</v>
      </c>
      <c r="B442" t="e">
        <v>#VALUE!</v>
      </c>
    </row>
    <row r="443" spans="1:2" x14ac:dyDescent="0.25">
      <c r="A443" t="s">
        <v>404</v>
      </c>
      <c r="B443" t="e">
        <v>#VALUE!</v>
      </c>
    </row>
    <row r="444" spans="1:2" x14ac:dyDescent="0.25">
      <c r="A444" t="s">
        <v>404</v>
      </c>
      <c r="B444" t="e">
        <v>#VALUE!</v>
      </c>
    </row>
    <row r="445" spans="1:2" x14ac:dyDescent="0.25">
      <c r="A445" t="s">
        <v>404</v>
      </c>
      <c r="B445" t="e">
        <v>#VALUE!</v>
      </c>
    </row>
    <row r="446" spans="1:2" x14ac:dyDescent="0.25">
      <c r="A446" t="s">
        <v>404</v>
      </c>
      <c r="B446" t="e">
        <v>#VALUE!</v>
      </c>
    </row>
    <row r="447" spans="1:2" x14ac:dyDescent="0.25">
      <c r="A447" t="s">
        <v>404</v>
      </c>
      <c r="B447" t="e">
        <v>#VALUE!</v>
      </c>
    </row>
    <row r="448" spans="1:2" x14ac:dyDescent="0.25">
      <c r="A448" t="s">
        <v>404</v>
      </c>
      <c r="B448" t="e">
        <v>#VALUE!</v>
      </c>
    </row>
    <row r="449" spans="1:2" x14ac:dyDescent="0.25">
      <c r="A449" t="s">
        <v>404</v>
      </c>
      <c r="B449" t="e">
        <v>#VALUE!</v>
      </c>
    </row>
    <row r="450" spans="1:2" x14ac:dyDescent="0.25">
      <c r="A450" t="s">
        <v>404</v>
      </c>
      <c r="B450" t="e">
        <v>#VALUE!</v>
      </c>
    </row>
    <row r="451" spans="1:2" x14ac:dyDescent="0.25">
      <c r="A451" t="s">
        <v>404</v>
      </c>
      <c r="B451" t="e">
        <v>#VALUE!</v>
      </c>
    </row>
    <row r="452" spans="1:2" x14ac:dyDescent="0.25">
      <c r="A452" t="s">
        <v>404</v>
      </c>
      <c r="B452" t="e">
        <v>#VALUE!</v>
      </c>
    </row>
    <row r="453" spans="1:2" x14ac:dyDescent="0.25">
      <c r="A453" t="s">
        <v>404</v>
      </c>
      <c r="B453" t="e">
        <v>#VALUE!</v>
      </c>
    </row>
    <row r="454" spans="1:2" x14ac:dyDescent="0.25">
      <c r="A454" t="s">
        <v>404</v>
      </c>
      <c r="B454" t="e">
        <v>#VALUE!</v>
      </c>
    </row>
    <row r="455" spans="1:2" x14ac:dyDescent="0.25">
      <c r="A455" t="s">
        <v>404</v>
      </c>
      <c r="B455" t="e">
        <v>#VALUE!</v>
      </c>
    </row>
    <row r="456" spans="1:2" x14ac:dyDescent="0.25">
      <c r="A456" t="s">
        <v>404</v>
      </c>
      <c r="B456" t="e">
        <v>#VALUE!</v>
      </c>
    </row>
    <row r="457" spans="1:2" x14ac:dyDescent="0.25">
      <c r="A457" t="s">
        <v>404</v>
      </c>
      <c r="B457" t="e">
        <v>#VALUE!</v>
      </c>
    </row>
    <row r="458" spans="1:2" x14ac:dyDescent="0.25">
      <c r="A458" t="s">
        <v>404</v>
      </c>
      <c r="B458" t="e">
        <v>#VALUE!</v>
      </c>
    </row>
    <row r="459" spans="1:2" x14ac:dyDescent="0.25">
      <c r="A459" t="s">
        <v>404</v>
      </c>
      <c r="B459" t="e">
        <v>#VALUE!</v>
      </c>
    </row>
    <row r="460" spans="1:2" x14ac:dyDescent="0.25">
      <c r="A460" t="s">
        <v>404</v>
      </c>
      <c r="B460" t="e">
        <v>#VALUE!</v>
      </c>
    </row>
    <row r="461" spans="1:2" x14ac:dyDescent="0.25">
      <c r="A461" t="s">
        <v>404</v>
      </c>
      <c r="B461" t="e">
        <v>#VALUE!</v>
      </c>
    </row>
    <row r="462" spans="1:2" x14ac:dyDescent="0.25">
      <c r="A462" t="s">
        <v>404</v>
      </c>
      <c r="B462" t="e">
        <v>#VALUE!</v>
      </c>
    </row>
    <row r="463" spans="1:2" x14ac:dyDescent="0.25">
      <c r="A463" t="s">
        <v>404</v>
      </c>
      <c r="B463" t="e">
        <v>#VALUE!</v>
      </c>
    </row>
    <row r="464" spans="1:2" x14ac:dyDescent="0.25">
      <c r="A464" t="s">
        <v>404</v>
      </c>
      <c r="B464" t="e">
        <v>#VALUE!</v>
      </c>
    </row>
    <row r="465" spans="1:2" x14ac:dyDescent="0.25">
      <c r="A465" t="s">
        <v>404</v>
      </c>
      <c r="B465" t="e">
        <v>#VALUE!</v>
      </c>
    </row>
    <row r="466" spans="1:2" x14ac:dyDescent="0.25">
      <c r="A466" t="s">
        <v>404</v>
      </c>
      <c r="B466" t="e">
        <v>#VALUE!</v>
      </c>
    </row>
    <row r="467" spans="1:2" x14ac:dyDescent="0.25">
      <c r="A467" t="s">
        <v>404</v>
      </c>
      <c r="B467" t="e">
        <v>#VALUE!</v>
      </c>
    </row>
    <row r="468" spans="1:2" x14ac:dyDescent="0.25">
      <c r="A468" t="s">
        <v>404</v>
      </c>
      <c r="B468" t="e">
        <v>#VALUE!</v>
      </c>
    </row>
    <row r="469" spans="1:2" x14ac:dyDescent="0.25">
      <c r="A469" t="s">
        <v>404</v>
      </c>
      <c r="B469" t="e">
        <v>#VALUE!</v>
      </c>
    </row>
    <row r="470" spans="1:2" x14ac:dyDescent="0.25">
      <c r="A470" t="s">
        <v>404</v>
      </c>
      <c r="B470" t="e">
        <v>#VALUE!</v>
      </c>
    </row>
    <row r="471" spans="1:2" x14ac:dyDescent="0.25">
      <c r="A471" t="s">
        <v>404</v>
      </c>
      <c r="B471" t="e">
        <v>#VALUE!</v>
      </c>
    </row>
    <row r="472" spans="1:2" x14ac:dyDescent="0.25">
      <c r="A472" t="s">
        <v>404</v>
      </c>
      <c r="B472" t="e">
        <v>#VALUE!</v>
      </c>
    </row>
    <row r="473" spans="1:2" x14ac:dyDescent="0.25">
      <c r="A473" t="s">
        <v>404</v>
      </c>
      <c r="B473" t="e">
        <v>#VALUE!</v>
      </c>
    </row>
    <row r="474" spans="1:2" x14ac:dyDescent="0.25">
      <c r="A474" t="s">
        <v>404</v>
      </c>
      <c r="B474" t="e">
        <v>#VALUE!</v>
      </c>
    </row>
    <row r="475" spans="1:2" x14ac:dyDescent="0.25">
      <c r="A475" t="s">
        <v>404</v>
      </c>
      <c r="B475" t="e">
        <v>#VALUE!</v>
      </c>
    </row>
    <row r="476" spans="1:2" x14ac:dyDescent="0.25">
      <c r="A476" t="s">
        <v>404</v>
      </c>
      <c r="B476" t="e">
        <v>#VALUE!</v>
      </c>
    </row>
    <row r="477" spans="1:2" x14ac:dyDescent="0.25">
      <c r="A477" t="s">
        <v>404</v>
      </c>
      <c r="B477" t="e">
        <v>#VALUE!</v>
      </c>
    </row>
    <row r="478" spans="1:2" x14ac:dyDescent="0.25">
      <c r="A478" t="s">
        <v>404</v>
      </c>
      <c r="B478" t="e">
        <v>#VALUE!</v>
      </c>
    </row>
    <row r="479" spans="1:2" x14ac:dyDescent="0.25">
      <c r="A479" t="s">
        <v>404</v>
      </c>
      <c r="B479" t="e">
        <v>#VALUE!</v>
      </c>
    </row>
    <row r="480" spans="1:2" x14ac:dyDescent="0.25">
      <c r="A480" t="s">
        <v>404</v>
      </c>
      <c r="B480" t="e">
        <v>#VALUE!</v>
      </c>
    </row>
    <row r="481" spans="1:2" x14ac:dyDescent="0.25">
      <c r="A481" t="s">
        <v>404</v>
      </c>
      <c r="B481" t="e">
        <v>#VALUE!</v>
      </c>
    </row>
    <row r="482" spans="1:2" x14ac:dyDescent="0.25">
      <c r="A482" t="s">
        <v>404</v>
      </c>
      <c r="B482" t="e">
        <v>#VALUE!</v>
      </c>
    </row>
    <row r="483" spans="1:2" x14ac:dyDescent="0.25">
      <c r="A483" t="s">
        <v>404</v>
      </c>
      <c r="B483" t="e">
        <v>#VALUE!</v>
      </c>
    </row>
    <row r="484" spans="1:2" x14ac:dyDescent="0.25">
      <c r="A484" t="s">
        <v>404</v>
      </c>
      <c r="B484" t="e">
        <v>#VALUE!</v>
      </c>
    </row>
    <row r="485" spans="1:2" x14ac:dyDescent="0.25">
      <c r="A485" t="s">
        <v>404</v>
      </c>
      <c r="B485" t="e">
        <v>#VALUE!</v>
      </c>
    </row>
    <row r="486" spans="1:2" x14ac:dyDescent="0.25">
      <c r="A486" t="s">
        <v>404</v>
      </c>
      <c r="B486" t="e">
        <v>#VALUE!</v>
      </c>
    </row>
    <row r="487" spans="1:2" x14ac:dyDescent="0.25">
      <c r="A487" t="s">
        <v>404</v>
      </c>
      <c r="B487" t="e">
        <v>#VALUE!</v>
      </c>
    </row>
    <row r="488" spans="1:2" x14ac:dyDescent="0.25">
      <c r="A488" t="s">
        <v>404</v>
      </c>
      <c r="B488" t="e">
        <v>#VALUE!</v>
      </c>
    </row>
    <row r="489" spans="1:2" x14ac:dyDescent="0.25">
      <c r="A489" t="s">
        <v>404</v>
      </c>
      <c r="B489" t="e">
        <v>#VALUE!</v>
      </c>
    </row>
    <row r="490" spans="1:2" x14ac:dyDescent="0.25">
      <c r="A490" t="s">
        <v>404</v>
      </c>
      <c r="B490" t="e">
        <v>#VALUE!</v>
      </c>
    </row>
    <row r="491" spans="1:2" x14ac:dyDescent="0.25">
      <c r="A491" t="s">
        <v>404</v>
      </c>
      <c r="B491" t="e">
        <v>#VALUE!</v>
      </c>
    </row>
    <row r="492" spans="1:2" x14ac:dyDescent="0.25">
      <c r="A492" t="s">
        <v>404</v>
      </c>
      <c r="B492" t="e">
        <v>#VALUE!</v>
      </c>
    </row>
    <row r="493" spans="1:2" x14ac:dyDescent="0.25">
      <c r="A493" t="s">
        <v>404</v>
      </c>
      <c r="B493" t="e">
        <v>#VALUE!</v>
      </c>
    </row>
    <row r="494" spans="1:2" x14ac:dyDescent="0.25">
      <c r="A494" t="s">
        <v>404</v>
      </c>
      <c r="B494" t="e">
        <v>#VALUE!</v>
      </c>
    </row>
    <row r="495" spans="1:2" x14ac:dyDescent="0.25">
      <c r="A495" t="s">
        <v>404</v>
      </c>
      <c r="B495" t="e">
        <v>#VALUE!</v>
      </c>
    </row>
    <row r="496" spans="1:2" x14ac:dyDescent="0.25">
      <c r="A496" t="s">
        <v>404</v>
      </c>
      <c r="B496" t="e">
        <v>#VALUE!</v>
      </c>
    </row>
    <row r="497" spans="1:2" x14ac:dyDescent="0.25">
      <c r="A497" t="s">
        <v>404</v>
      </c>
      <c r="B497" t="e">
        <v>#VALUE!</v>
      </c>
    </row>
    <row r="498" spans="1:2" x14ac:dyDescent="0.25">
      <c r="A498" t="s">
        <v>404</v>
      </c>
      <c r="B498" t="e">
        <v>#VALUE!</v>
      </c>
    </row>
    <row r="499" spans="1:2" x14ac:dyDescent="0.25">
      <c r="A499" t="s">
        <v>404</v>
      </c>
      <c r="B499" t="e">
        <v>#VALUE!</v>
      </c>
    </row>
    <row r="500" spans="1:2" x14ac:dyDescent="0.25">
      <c r="A500" t="s">
        <v>404</v>
      </c>
      <c r="B500" t="e">
        <v>#VALUE!</v>
      </c>
    </row>
    <row r="501" spans="1:2" x14ac:dyDescent="0.25">
      <c r="A501" t="s">
        <v>404</v>
      </c>
      <c r="B501" t="e">
        <v>#VALUE!</v>
      </c>
    </row>
    <row r="502" spans="1:2" x14ac:dyDescent="0.25">
      <c r="A502" t="s">
        <v>404</v>
      </c>
      <c r="B502" t="e">
        <v>#VALUE!</v>
      </c>
    </row>
    <row r="503" spans="1:2" x14ac:dyDescent="0.25">
      <c r="A503" t="s">
        <v>404</v>
      </c>
      <c r="B503" t="e">
        <v>#VALUE!</v>
      </c>
    </row>
    <row r="504" spans="1:2" x14ac:dyDescent="0.25">
      <c r="A504" t="s">
        <v>404</v>
      </c>
      <c r="B504" t="e">
        <v>#VALUE!</v>
      </c>
    </row>
    <row r="505" spans="1:2" x14ac:dyDescent="0.25">
      <c r="A505" t="s">
        <v>404</v>
      </c>
      <c r="B505" t="e">
        <v>#VALUE!</v>
      </c>
    </row>
    <row r="506" spans="1:2" x14ac:dyDescent="0.25">
      <c r="A506" t="s">
        <v>404</v>
      </c>
      <c r="B506" t="e">
        <v>#VALUE!</v>
      </c>
    </row>
    <row r="507" spans="1:2" x14ac:dyDescent="0.25">
      <c r="A507" t="s">
        <v>404</v>
      </c>
      <c r="B507" t="e">
        <v>#VALUE!</v>
      </c>
    </row>
    <row r="508" spans="1:2" x14ac:dyDescent="0.25">
      <c r="A508" t="s">
        <v>404</v>
      </c>
      <c r="B508" t="e">
        <v>#VALUE!</v>
      </c>
    </row>
    <row r="509" spans="1:2" x14ac:dyDescent="0.25">
      <c r="A509" t="s">
        <v>404</v>
      </c>
      <c r="B509" t="e">
        <v>#VALUE!</v>
      </c>
    </row>
    <row r="510" spans="1:2" x14ac:dyDescent="0.25">
      <c r="A510" t="s">
        <v>404</v>
      </c>
      <c r="B510" t="e">
        <v>#VALUE!</v>
      </c>
    </row>
    <row r="511" spans="1:2" x14ac:dyDescent="0.25">
      <c r="A511" t="s">
        <v>404</v>
      </c>
      <c r="B511" t="e">
        <v>#VALUE!</v>
      </c>
    </row>
    <row r="512" spans="1:2" x14ac:dyDescent="0.25">
      <c r="A512" t="s">
        <v>404</v>
      </c>
      <c r="B512" t="e">
        <v>#VALUE!</v>
      </c>
    </row>
    <row r="513" spans="1:2" x14ac:dyDescent="0.25">
      <c r="A513" t="s">
        <v>404</v>
      </c>
      <c r="B513" t="e">
        <v>#VALUE!</v>
      </c>
    </row>
    <row r="514" spans="1:2" x14ac:dyDescent="0.25">
      <c r="A514" t="s">
        <v>404</v>
      </c>
      <c r="B514" t="e">
        <v>#VALUE!</v>
      </c>
    </row>
    <row r="515" spans="1:2" x14ac:dyDescent="0.25">
      <c r="A515" t="s">
        <v>404</v>
      </c>
      <c r="B515" t="e">
        <v>#VALUE!</v>
      </c>
    </row>
    <row r="516" spans="1:2" x14ac:dyDescent="0.25">
      <c r="A516" t="s">
        <v>404</v>
      </c>
      <c r="B516" t="e">
        <v>#VALUE!</v>
      </c>
    </row>
    <row r="517" spans="1:2" x14ac:dyDescent="0.25">
      <c r="A517" t="s">
        <v>404</v>
      </c>
      <c r="B517" t="e">
        <v>#VALUE!</v>
      </c>
    </row>
    <row r="518" spans="1:2" x14ac:dyDescent="0.25">
      <c r="A518" t="s">
        <v>404</v>
      </c>
      <c r="B518" t="e">
        <v>#VALUE!</v>
      </c>
    </row>
    <row r="519" spans="1:2" x14ac:dyDescent="0.25">
      <c r="A519" t="s">
        <v>404</v>
      </c>
      <c r="B519" t="e">
        <v>#VALUE!</v>
      </c>
    </row>
    <row r="520" spans="1:2" x14ac:dyDescent="0.25">
      <c r="A520" t="s">
        <v>404</v>
      </c>
      <c r="B520" t="e">
        <v>#VALUE!</v>
      </c>
    </row>
    <row r="521" spans="1:2" x14ac:dyDescent="0.25">
      <c r="A521" t="s">
        <v>404</v>
      </c>
      <c r="B521" t="e">
        <v>#VALUE!</v>
      </c>
    </row>
    <row r="522" spans="1:2" x14ac:dyDescent="0.25">
      <c r="A522" t="s">
        <v>404</v>
      </c>
      <c r="B522" t="e">
        <v>#VALUE!</v>
      </c>
    </row>
    <row r="523" spans="1:2" x14ac:dyDescent="0.25">
      <c r="A523" t="s">
        <v>404</v>
      </c>
      <c r="B523" t="e">
        <v>#VALUE!</v>
      </c>
    </row>
    <row r="524" spans="1:2" x14ac:dyDescent="0.25">
      <c r="A524" t="s">
        <v>404</v>
      </c>
      <c r="B524" t="e">
        <v>#VALUE!</v>
      </c>
    </row>
    <row r="525" spans="1:2" x14ac:dyDescent="0.25">
      <c r="A525" t="s">
        <v>404</v>
      </c>
      <c r="B525" t="e">
        <v>#VALUE!</v>
      </c>
    </row>
    <row r="526" spans="1:2" x14ac:dyDescent="0.25">
      <c r="A526" t="s">
        <v>404</v>
      </c>
      <c r="B526" t="e">
        <v>#VALUE!</v>
      </c>
    </row>
    <row r="527" spans="1:2" x14ac:dyDescent="0.25">
      <c r="A527" t="s">
        <v>404</v>
      </c>
      <c r="B527" t="e">
        <v>#VALUE!</v>
      </c>
    </row>
    <row r="528" spans="1:2" x14ac:dyDescent="0.25">
      <c r="A528" t="s">
        <v>404</v>
      </c>
      <c r="B528" t="e">
        <v>#VALUE!</v>
      </c>
    </row>
    <row r="529" spans="1:2" x14ac:dyDescent="0.25">
      <c r="A529" t="s">
        <v>404</v>
      </c>
      <c r="B529" t="e">
        <v>#VALUE!</v>
      </c>
    </row>
    <row r="530" spans="1:2" x14ac:dyDescent="0.25">
      <c r="A530" t="s">
        <v>404</v>
      </c>
      <c r="B530" t="e">
        <v>#VALUE!</v>
      </c>
    </row>
    <row r="531" spans="1:2" x14ac:dyDescent="0.25">
      <c r="A531" t="s">
        <v>404</v>
      </c>
      <c r="B531" t="e">
        <v>#VALUE!</v>
      </c>
    </row>
    <row r="532" spans="1:2" x14ac:dyDescent="0.25">
      <c r="A532" t="s">
        <v>404</v>
      </c>
      <c r="B532" t="e">
        <v>#VALUE!</v>
      </c>
    </row>
    <row r="533" spans="1:2" x14ac:dyDescent="0.25">
      <c r="A533" t="s">
        <v>404</v>
      </c>
      <c r="B533" t="e">
        <v>#VALUE!</v>
      </c>
    </row>
    <row r="534" spans="1:2" x14ac:dyDescent="0.25">
      <c r="A534" t="s">
        <v>404</v>
      </c>
      <c r="B534" t="e">
        <v>#VALUE!</v>
      </c>
    </row>
    <row r="535" spans="1:2" x14ac:dyDescent="0.25">
      <c r="A535" t="s">
        <v>404</v>
      </c>
      <c r="B535" t="e">
        <v>#VALUE!</v>
      </c>
    </row>
    <row r="536" spans="1:2" x14ac:dyDescent="0.25">
      <c r="A536" t="s">
        <v>404</v>
      </c>
      <c r="B536" t="e">
        <v>#VALUE!</v>
      </c>
    </row>
    <row r="537" spans="1:2" x14ac:dyDescent="0.25">
      <c r="A537" t="s">
        <v>404</v>
      </c>
      <c r="B537" t="e">
        <v>#VALUE!</v>
      </c>
    </row>
    <row r="538" spans="1:2" x14ac:dyDescent="0.25">
      <c r="A538" t="s">
        <v>404</v>
      </c>
      <c r="B538" t="e">
        <v>#VALUE!</v>
      </c>
    </row>
    <row r="539" spans="1:2" x14ac:dyDescent="0.25">
      <c r="A539" t="s">
        <v>404</v>
      </c>
      <c r="B539" t="e">
        <v>#VALUE!</v>
      </c>
    </row>
    <row r="540" spans="1:2" x14ac:dyDescent="0.25">
      <c r="A540" t="s">
        <v>404</v>
      </c>
      <c r="B540" t="e">
        <v>#VALUE!</v>
      </c>
    </row>
    <row r="541" spans="1:2" x14ac:dyDescent="0.25">
      <c r="A541" t="s">
        <v>404</v>
      </c>
      <c r="B541" t="e">
        <v>#VALUE!</v>
      </c>
    </row>
    <row r="542" spans="1:2" x14ac:dyDescent="0.25">
      <c r="A542" t="s">
        <v>404</v>
      </c>
      <c r="B542" t="e">
        <v>#VALUE!</v>
      </c>
    </row>
    <row r="543" spans="1:2" x14ac:dyDescent="0.25">
      <c r="A543" t="s">
        <v>404</v>
      </c>
      <c r="B543" t="e">
        <v>#VALUE!</v>
      </c>
    </row>
    <row r="544" spans="1:2" x14ac:dyDescent="0.25">
      <c r="A544" t="s">
        <v>404</v>
      </c>
      <c r="B544" t="e">
        <v>#VALUE!</v>
      </c>
    </row>
    <row r="545" spans="1:2" x14ac:dyDescent="0.25">
      <c r="A545" t="s">
        <v>404</v>
      </c>
      <c r="B545" t="e">
        <v>#VALUE!</v>
      </c>
    </row>
    <row r="546" spans="1:2" x14ac:dyDescent="0.25">
      <c r="A546" t="s">
        <v>404</v>
      </c>
      <c r="B546" t="e">
        <v>#VALUE!</v>
      </c>
    </row>
    <row r="547" spans="1:2" x14ac:dyDescent="0.25">
      <c r="A547" t="s">
        <v>404</v>
      </c>
      <c r="B547" t="e">
        <v>#VALUE!</v>
      </c>
    </row>
    <row r="548" spans="1:2" x14ac:dyDescent="0.25">
      <c r="A548" t="s">
        <v>404</v>
      </c>
      <c r="B548" t="e">
        <v>#VALUE!</v>
      </c>
    </row>
    <row r="549" spans="1:2" x14ac:dyDescent="0.25">
      <c r="A549" t="s">
        <v>404</v>
      </c>
      <c r="B549" t="e">
        <v>#VALUE!</v>
      </c>
    </row>
    <row r="550" spans="1:2" x14ac:dyDescent="0.25">
      <c r="A550" t="s">
        <v>404</v>
      </c>
      <c r="B550" t="e">
        <v>#VALUE!</v>
      </c>
    </row>
    <row r="551" spans="1:2" x14ac:dyDescent="0.25">
      <c r="A551" t="s">
        <v>404</v>
      </c>
      <c r="B551" t="e">
        <v>#VALUE!</v>
      </c>
    </row>
    <row r="552" spans="1:2" x14ac:dyDescent="0.25">
      <c r="A552" t="s">
        <v>404</v>
      </c>
      <c r="B552" t="e">
        <v>#VALUE!</v>
      </c>
    </row>
    <row r="553" spans="1:2" x14ac:dyDescent="0.25">
      <c r="A553" t="s">
        <v>404</v>
      </c>
      <c r="B553" t="e">
        <v>#VALUE!</v>
      </c>
    </row>
    <row r="554" spans="1:2" x14ac:dyDescent="0.25">
      <c r="A554" t="s">
        <v>404</v>
      </c>
      <c r="B554" t="e">
        <v>#VALUE!</v>
      </c>
    </row>
    <row r="555" spans="1:2" x14ac:dyDescent="0.25">
      <c r="A555" t="s">
        <v>404</v>
      </c>
      <c r="B555" t="e">
        <v>#VALUE!</v>
      </c>
    </row>
    <row r="556" spans="1:2" x14ac:dyDescent="0.25">
      <c r="A556" t="s">
        <v>404</v>
      </c>
      <c r="B556" t="e">
        <v>#VALUE!</v>
      </c>
    </row>
    <row r="557" spans="1:2" x14ac:dyDescent="0.25">
      <c r="A557" t="s">
        <v>404</v>
      </c>
      <c r="B557" t="e">
        <v>#VALUE!</v>
      </c>
    </row>
    <row r="558" spans="1:2" x14ac:dyDescent="0.25">
      <c r="A558" t="s">
        <v>404</v>
      </c>
      <c r="B558" t="e">
        <v>#VALUE!</v>
      </c>
    </row>
    <row r="559" spans="1:2" x14ac:dyDescent="0.25">
      <c r="A559" t="s">
        <v>404</v>
      </c>
      <c r="B559" t="e">
        <v>#VALUE!</v>
      </c>
    </row>
    <row r="560" spans="1:2" x14ac:dyDescent="0.25">
      <c r="A560" t="s">
        <v>404</v>
      </c>
      <c r="B560" t="e">
        <v>#VALUE!</v>
      </c>
    </row>
    <row r="561" spans="1:2" x14ac:dyDescent="0.25">
      <c r="A561" t="s">
        <v>404</v>
      </c>
      <c r="B561" t="e">
        <v>#VALUE!</v>
      </c>
    </row>
    <row r="562" spans="1:2" x14ac:dyDescent="0.25">
      <c r="A562" t="s">
        <v>404</v>
      </c>
      <c r="B562" t="e">
        <v>#VALUE!</v>
      </c>
    </row>
    <row r="563" spans="1:2" x14ac:dyDescent="0.25">
      <c r="A563" t="s">
        <v>404</v>
      </c>
      <c r="B563" t="e">
        <v>#VALUE!</v>
      </c>
    </row>
    <row r="564" spans="1:2" x14ac:dyDescent="0.25">
      <c r="A564" t="s">
        <v>404</v>
      </c>
      <c r="B564" t="e">
        <v>#VALUE!</v>
      </c>
    </row>
    <row r="565" spans="1:2" x14ac:dyDescent="0.25">
      <c r="A565" t="s">
        <v>404</v>
      </c>
      <c r="B565" t="e">
        <v>#VALUE!</v>
      </c>
    </row>
    <row r="566" spans="1:2" x14ac:dyDescent="0.25">
      <c r="A566" t="s">
        <v>404</v>
      </c>
      <c r="B566" t="e">
        <v>#VALUE!</v>
      </c>
    </row>
    <row r="567" spans="1:2" x14ac:dyDescent="0.25">
      <c r="A567" t="s">
        <v>404</v>
      </c>
      <c r="B567" t="e">
        <v>#VALUE!</v>
      </c>
    </row>
    <row r="568" spans="1:2" x14ac:dyDescent="0.25">
      <c r="A568" t="s">
        <v>404</v>
      </c>
      <c r="B568" t="e">
        <v>#VALUE!</v>
      </c>
    </row>
    <row r="569" spans="1:2" x14ac:dyDescent="0.25">
      <c r="A569" t="s">
        <v>404</v>
      </c>
      <c r="B569" t="e">
        <v>#VALUE!</v>
      </c>
    </row>
    <row r="570" spans="1:2" x14ac:dyDescent="0.25">
      <c r="A570" t="s">
        <v>404</v>
      </c>
      <c r="B570" t="e">
        <v>#VALUE!</v>
      </c>
    </row>
    <row r="571" spans="1:2" x14ac:dyDescent="0.25">
      <c r="A571" t="s">
        <v>404</v>
      </c>
      <c r="B571" t="e">
        <v>#VALUE!</v>
      </c>
    </row>
    <row r="572" spans="1:2" x14ac:dyDescent="0.25">
      <c r="A572" t="s">
        <v>404</v>
      </c>
      <c r="B572" t="e">
        <v>#VALUE!</v>
      </c>
    </row>
    <row r="573" spans="1:2" x14ac:dyDescent="0.25">
      <c r="A573" t="s">
        <v>404</v>
      </c>
      <c r="B573" t="e">
        <v>#VALUE!</v>
      </c>
    </row>
    <row r="574" spans="1:2" x14ac:dyDescent="0.25">
      <c r="A574" t="s">
        <v>404</v>
      </c>
      <c r="B574" t="e">
        <v>#VALUE!</v>
      </c>
    </row>
    <row r="575" spans="1:2" x14ac:dyDescent="0.25">
      <c r="A575" t="s">
        <v>404</v>
      </c>
      <c r="B575" t="e">
        <v>#VALUE!</v>
      </c>
    </row>
    <row r="576" spans="1:2" x14ac:dyDescent="0.25">
      <c r="A576" t="s">
        <v>404</v>
      </c>
      <c r="B576" t="e">
        <v>#VALUE!</v>
      </c>
    </row>
    <row r="577" spans="1:2" x14ac:dyDescent="0.25">
      <c r="A577" t="s">
        <v>404</v>
      </c>
      <c r="B577" t="e">
        <v>#VALUE!</v>
      </c>
    </row>
    <row r="578" spans="1:2" x14ac:dyDescent="0.25">
      <c r="A578" t="s">
        <v>404</v>
      </c>
      <c r="B578" t="e">
        <v>#VALUE!</v>
      </c>
    </row>
    <row r="579" spans="1:2" x14ac:dyDescent="0.25">
      <c r="A579" t="s">
        <v>404</v>
      </c>
      <c r="B579" t="e">
        <v>#VALUE!</v>
      </c>
    </row>
    <row r="580" spans="1:2" x14ac:dyDescent="0.25">
      <c r="A580" t="s">
        <v>404</v>
      </c>
      <c r="B580" t="e">
        <v>#VALUE!</v>
      </c>
    </row>
    <row r="581" spans="1:2" x14ac:dyDescent="0.25">
      <c r="A581" t="s">
        <v>404</v>
      </c>
      <c r="B581" t="e">
        <v>#VALUE!</v>
      </c>
    </row>
    <row r="582" spans="1:2" x14ac:dyDescent="0.25">
      <c r="A582" t="s">
        <v>404</v>
      </c>
      <c r="B582" t="e">
        <v>#VALUE!</v>
      </c>
    </row>
    <row r="583" spans="1:2" x14ac:dyDescent="0.25">
      <c r="A583" t="s">
        <v>404</v>
      </c>
      <c r="B583" t="e">
        <v>#VALUE!</v>
      </c>
    </row>
    <row r="584" spans="1:2" x14ac:dyDescent="0.25">
      <c r="A584" t="s">
        <v>404</v>
      </c>
      <c r="B584" t="e">
        <v>#VALUE!</v>
      </c>
    </row>
    <row r="585" spans="1:2" x14ac:dyDescent="0.25">
      <c r="A585" t="s">
        <v>404</v>
      </c>
      <c r="B585" t="e">
        <v>#VALUE!</v>
      </c>
    </row>
    <row r="586" spans="1:2" x14ac:dyDescent="0.25">
      <c r="A586" t="s">
        <v>404</v>
      </c>
      <c r="B586" t="e">
        <v>#VALUE!</v>
      </c>
    </row>
    <row r="587" spans="1:2" x14ac:dyDescent="0.25">
      <c r="A587" t="s">
        <v>404</v>
      </c>
      <c r="B587" t="e">
        <v>#VALUE!</v>
      </c>
    </row>
    <row r="588" spans="1:2" x14ac:dyDescent="0.25">
      <c r="A588" t="s">
        <v>404</v>
      </c>
      <c r="B588" t="e">
        <v>#VALUE!</v>
      </c>
    </row>
    <row r="589" spans="1:2" x14ac:dyDescent="0.25">
      <c r="A589" t="s">
        <v>404</v>
      </c>
      <c r="B589" t="e">
        <v>#VALUE!</v>
      </c>
    </row>
    <row r="590" spans="1:2" x14ac:dyDescent="0.25">
      <c r="A590" t="s">
        <v>404</v>
      </c>
      <c r="B590" t="e">
        <v>#VALUE!</v>
      </c>
    </row>
    <row r="591" spans="1:2" x14ac:dyDescent="0.25">
      <c r="A591" t="s">
        <v>404</v>
      </c>
      <c r="B591" t="e">
        <v>#VALUE!</v>
      </c>
    </row>
    <row r="592" spans="1:2" x14ac:dyDescent="0.25">
      <c r="A592" t="s">
        <v>404</v>
      </c>
      <c r="B592" t="e">
        <v>#VALUE!</v>
      </c>
    </row>
    <row r="593" spans="1:2" x14ac:dyDescent="0.25">
      <c r="A593" t="s">
        <v>404</v>
      </c>
      <c r="B593" t="e">
        <v>#VALUE!</v>
      </c>
    </row>
    <row r="594" spans="1:2" x14ac:dyDescent="0.25">
      <c r="A594" t="s">
        <v>404</v>
      </c>
      <c r="B594" t="e">
        <v>#VALUE!</v>
      </c>
    </row>
    <row r="595" spans="1:2" x14ac:dyDescent="0.25">
      <c r="A595" t="s">
        <v>404</v>
      </c>
      <c r="B595" t="e">
        <v>#VALUE!</v>
      </c>
    </row>
    <row r="596" spans="1:2" x14ac:dyDescent="0.25">
      <c r="A596" t="s">
        <v>404</v>
      </c>
      <c r="B596" t="e">
        <v>#VALUE!</v>
      </c>
    </row>
    <row r="597" spans="1:2" x14ac:dyDescent="0.25">
      <c r="A597" t="s">
        <v>404</v>
      </c>
      <c r="B597" t="e">
        <v>#VALUE!</v>
      </c>
    </row>
    <row r="598" spans="1:2" x14ac:dyDescent="0.25">
      <c r="A598" t="s">
        <v>404</v>
      </c>
      <c r="B598" t="e">
        <v>#VALUE!</v>
      </c>
    </row>
    <row r="599" spans="1:2" x14ac:dyDescent="0.25">
      <c r="A599" t="s">
        <v>404</v>
      </c>
      <c r="B599" t="e">
        <v>#VALUE!</v>
      </c>
    </row>
    <row r="600" spans="1:2" x14ac:dyDescent="0.25">
      <c r="A600" t="s">
        <v>404</v>
      </c>
      <c r="B600" t="e">
        <v>#VALUE!</v>
      </c>
    </row>
    <row r="601" spans="1:2" x14ac:dyDescent="0.25">
      <c r="A601" t="s">
        <v>404</v>
      </c>
      <c r="B601" t="e">
        <v>#VALUE!</v>
      </c>
    </row>
    <row r="602" spans="1:2" x14ac:dyDescent="0.25">
      <c r="A602" t="s">
        <v>404</v>
      </c>
      <c r="B602" t="e">
        <v>#VALUE!</v>
      </c>
    </row>
    <row r="603" spans="1:2" x14ac:dyDescent="0.25">
      <c r="A603" t="s">
        <v>404</v>
      </c>
      <c r="B603" t="e">
        <v>#VALUE!</v>
      </c>
    </row>
    <row r="604" spans="1:2" x14ac:dyDescent="0.25">
      <c r="A604" t="s">
        <v>404</v>
      </c>
      <c r="B604" t="e">
        <v>#VALUE!</v>
      </c>
    </row>
    <row r="605" spans="1:2" x14ac:dyDescent="0.25">
      <c r="A605" t="s">
        <v>404</v>
      </c>
      <c r="B605" t="e">
        <v>#VALUE!</v>
      </c>
    </row>
    <row r="606" spans="1:2" x14ac:dyDescent="0.25">
      <c r="A606" t="s">
        <v>404</v>
      </c>
      <c r="B606" t="e">
        <v>#VALUE!</v>
      </c>
    </row>
    <row r="607" spans="1:2" x14ac:dyDescent="0.25">
      <c r="A607" t="s">
        <v>404</v>
      </c>
      <c r="B607" t="e">
        <v>#VALUE!</v>
      </c>
    </row>
    <row r="608" spans="1:2" x14ac:dyDescent="0.25">
      <c r="A608" t="s">
        <v>404</v>
      </c>
      <c r="B608" t="e">
        <v>#VALUE!</v>
      </c>
    </row>
    <row r="609" spans="1:2" x14ac:dyDescent="0.25">
      <c r="A609" t="s">
        <v>404</v>
      </c>
      <c r="B609" t="e">
        <v>#VALUE!</v>
      </c>
    </row>
    <row r="610" spans="1:2" x14ac:dyDescent="0.25">
      <c r="A610" t="s">
        <v>404</v>
      </c>
      <c r="B610" t="e">
        <v>#VALUE!</v>
      </c>
    </row>
    <row r="611" spans="1:2" x14ac:dyDescent="0.25">
      <c r="A611" t="s">
        <v>404</v>
      </c>
      <c r="B611" t="e">
        <v>#VALUE!</v>
      </c>
    </row>
    <row r="612" spans="1:2" x14ac:dyDescent="0.25">
      <c r="A612" t="s">
        <v>404</v>
      </c>
      <c r="B612" t="e">
        <v>#VALUE!</v>
      </c>
    </row>
    <row r="613" spans="1:2" x14ac:dyDescent="0.25">
      <c r="A613" t="s">
        <v>404</v>
      </c>
      <c r="B613" t="e">
        <v>#VALUE!</v>
      </c>
    </row>
    <row r="614" spans="1:2" x14ac:dyDescent="0.25">
      <c r="A614" t="s">
        <v>404</v>
      </c>
      <c r="B614" t="e">
        <v>#VALUE!</v>
      </c>
    </row>
    <row r="615" spans="1:2" x14ac:dyDescent="0.25">
      <c r="A615" t="s">
        <v>404</v>
      </c>
      <c r="B615" t="e">
        <v>#VALUE!</v>
      </c>
    </row>
    <row r="616" spans="1:2" x14ac:dyDescent="0.25">
      <c r="A616" t="s">
        <v>404</v>
      </c>
      <c r="B616" t="e">
        <v>#VALUE!</v>
      </c>
    </row>
    <row r="617" spans="1:2" x14ac:dyDescent="0.25">
      <c r="A617" t="s">
        <v>404</v>
      </c>
      <c r="B617" t="e">
        <v>#VALUE!</v>
      </c>
    </row>
    <row r="618" spans="1:2" x14ac:dyDescent="0.25">
      <c r="A618" t="s">
        <v>404</v>
      </c>
      <c r="B618" t="e">
        <v>#VALUE!</v>
      </c>
    </row>
    <row r="619" spans="1:2" x14ac:dyDescent="0.25">
      <c r="A619" t="s">
        <v>404</v>
      </c>
      <c r="B619" t="e">
        <v>#VALUE!</v>
      </c>
    </row>
    <row r="620" spans="1:2" x14ac:dyDescent="0.25">
      <c r="A620" t="s">
        <v>404</v>
      </c>
      <c r="B620" t="e">
        <v>#VALUE!</v>
      </c>
    </row>
    <row r="621" spans="1:2" x14ac:dyDescent="0.25">
      <c r="A621" t="s">
        <v>404</v>
      </c>
      <c r="B621" t="e">
        <v>#VALUE!</v>
      </c>
    </row>
    <row r="622" spans="1:2" x14ac:dyDescent="0.25">
      <c r="A622" t="s">
        <v>404</v>
      </c>
      <c r="B622" t="e">
        <v>#VALUE!</v>
      </c>
    </row>
    <row r="623" spans="1:2" x14ac:dyDescent="0.25">
      <c r="A623" t="s">
        <v>404</v>
      </c>
      <c r="B623" t="e">
        <v>#VALUE!</v>
      </c>
    </row>
    <row r="624" spans="1:2" x14ac:dyDescent="0.25">
      <c r="A624" t="s">
        <v>404</v>
      </c>
      <c r="B624" t="e">
        <v>#VALUE!</v>
      </c>
    </row>
    <row r="625" spans="1:2" x14ac:dyDescent="0.25">
      <c r="A625" t="s">
        <v>404</v>
      </c>
      <c r="B625" t="e">
        <v>#VALUE!</v>
      </c>
    </row>
    <row r="626" spans="1:2" x14ac:dyDescent="0.25">
      <c r="A626" t="s">
        <v>404</v>
      </c>
      <c r="B626" t="e">
        <v>#VALUE!</v>
      </c>
    </row>
    <row r="627" spans="1:2" x14ac:dyDescent="0.25">
      <c r="A627" t="s">
        <v>404</v>
      </c>
      <c r="B627" t="e">
        <v>#VALUE!</v>
      </c>
    </row>
    <row r="628" spans="1:2" x14ac:dyDescent="0.25">
      <c r="A628" t="s">
        <v>404</v>
      </c>
      <c r="B628" t="e">
        <v>#VALUE!</v>
      </c>
    </row>
    <row r="629" spans="1:2" x14ac:dyDescent="0.25">
      <c r="A629" t="s">
        <v>404</v>
      </c>
      <c r="B629" t="e">
        <v>#VALUE!</v>
      </c>
    </row>
    <row r="630" spans="1:2" x14ac:dyDescent="0.25">
      <c r="A630" t="s">
        <v>404</v>
      </c>
      <c r="B630" t="e">
        <v>#VALUE!</v>
      </c>
    </row>
    <row r="631" spans="1:2" x14ac:dyDescent="0.25">
      <c r="A631" t="s">
        <v>404</v>
      </c>
      <c r="B631" t="e">
        <v>#VALUE!</v>
      </c>
    </row>
    <row r="632" spans="1:2" x14ac:dyDescent="0.25">
      <c r="A632" t="s">
        <v>404</v>
      </c>
      <c r="B632" t="e">
        <v>#VALUE!</v>
      </c>
    </row>
    <row r="633" spans="1:2" x14ac:dyDescent="0.25">
      <c r="A633" t="s">
        <v>404</v>
      </c>
      <c r="B633" t="e">
        <v>#VALUE!</v>
      </c>
    </row>
    <row r="634" spans="1:2" x14ac:dyDescent="0.25">
      <c r="A634" t="s">
        <v>404</v>
      </c>
      <c r="B634" t="e">
        <v>#VALUE!</v>
      </c>
    </row>
    <row r="635" spans="1:2" x14ac:dyDescent="0.25">
      <c r="A635" t="s">
        <v>404</v>
      </c>
      <c r="B635" t="e">
        <v>#VALUE!</v>
      </c>
    </row>
    <row r="636" spans="1:2" x14ac:dyDescent="0.25">
      <c r="A636" t="s">
        <v>404</v>
      </c>
      <c r="B636" t="e">
        <v>#VALUE!</v>
      </c>
    </row>
    <row r="637" spans="1:2" x14ac:dyDescent="0.25">
      <c r="A637" t="s">
        <v>404</v>
      </c>
      <c r="B637" t="e">
        <v>#VALUE!</v>
      </c>
    </row>
    <row r="638" spans="1:2" x14ac:dyDescent="0.25">
      <c r="A638" t="s">
        <v>404</v>
      </c>
      <c r="B638" t="e">
        <v>#VALUE!</v>
      </c>
    </row>
    <row r="639" spans="1:2" x14ac:dyDescent="0.25">
      <c r="A639" t="s">
        <v>404</v>
      </c>
      <c r="B639" t="e">
        <v>#VALUE!</v>
      </c>
    </row>
    <row r="640" spans="1:2" x14ac:dyDescent="0.25">
      <c r="A640" t="s">
        <v>404</v>
      </c>
      <c r="B640" t="e">
        <v>#VALUE!</v>
      </c>
    </row>
    <row r="641" spans="1:2" x14ac:dyDescent="0.25">
      <c r="A641" t="s">
        <v>404</v>
      </c>
      <c r="B641" t="e">
        <v>#VALUE!</v>
      </c>
    </row>
    <row r="642" spans="1:2" x14ac:dyDescent="0.25">
      <c r="A642" t="s">
        <v>404</v>
      </c>
      <c r="B642" t="e">
        <v>#VALUE!</v>
      </c>
    </row>
    <row r="643" spans="1:2" x14ac:dyDescent="0.25">
      <c r="A643" t="s">
        <v>404</v>
      </c>
      <c r="B643" t="e">
        <v>#VALUE!</v>
      </c>
    </row>
    <row r="644" spans="1:2" x14ac:dyDescent="0.25">
      <c r="A644" t="s">
        <v>404</v>
      </c>
      <c r="B644" t="e">
        <v>#VALUE!</v>
      </c>
    </row>
    <row r="645" spans="1:2" x14ac:dyDescent="0.25">
      <c r="A645" t="s">
        <v>404</v>
      </c>
      <c r="B645" t="e">
        <v>#VALUE!</v>
      </c>
    </row>
    <row r="646" spans="1:2" x14ac:dyDescent="0.25">
      <c r="A646" t="s">
        <v>404</v>
      </c>
      <c r="B646" t="e">
        <v>#VALUE!</v>
      </c>
    </row>
    <row r="647" spans="1:2" x14ac:dyDescent="0.25">
      <c r="A647" t="s">
        <v>404</v>
      </c>
      <c r="B647" t="e">
        <v>#VALUE!</v>
      </c>
    </row>
    <row r="648" spans="1:2" x14ac:dyDescent="0.25">
      <c r="A648" t="s">
        <v>404</v>
      </c>
      <c r="B648" t="e">
        <v>#VALUE!</v>
      </c>
    </row>
    <row r="649" spans="1:2" x14ac:dyDescent="0.25">
      <c r="A649" t="s">
        <v>404</v>
      </c>
      <c r="B649" t="e">
        <v>#VALUE!</v>
      </c>
    </row>
    <row r="650" spans="1:2" x14ac:dyDescent="0.25">
      <c r="A650" t="s">
        <v>404</v>
      </c>
      <c r="B650" t="e">
        <v>#VALUE!</v>
      </c>
    </row>
    <row r="651" spans="1:2" x14ac:dyDescent="0.25">
      <c r="A651" t="s">
        <v>404</v>
      </c>
      <c r="B651" t="e">
        <v>#VALUE!</v>
      </c>
    </row>
    <row r="652" spans="1:2" x14ac:dyDescent="0.25">
      <c r="A652" t="s">
        <v>404</v>
      </c>
      <c r="B652" t="e">
        <v>#VALUE!</v>
      </c>
    </row>
    <row r="653" spans="1:2" x14ac:dyDescent="0.25">
      <c r="A653" t="s">
        <v>404</v>
      </c>
      <c r="B653" t="e">
        <v>#VALUE!</v>
      </c>
    </row>
    <row r="654" spans="1:2" x14ac:dyDescent="0.25">
      <c r="A654" t="s">
        <v>404</v>
      </c>
      <c r="B654" t="e">
        <v>#VALUE!</v>
      </c>
    </row>
    <row r="655" spans="1:2" x14ac:dyDescent="0.25">
      <c r="A655" t="s">
        <v>404</v>
      </c>
      <c r="B655" t="e">
        <v>#VALUE!</v>
      </c>
    </row>
    <row r="656" spans="1:2" x14ac:dyDescent="0.25">
      <c r="A656" t="s">
        <v>404</v>
      </c>
      <c r="B656" t="e">
        <v>#VALUE!</v>
      </c>
    </row>
    <row r="657" spans="1:2" x14ac:dyDescent="0.25">
      <c r="A657" t="s">
        <v>404</v>
      </c>
      <c r="B657" t="e">
        <v>#VALUE!</v>
      </c>
    </row>
    <row r="658" spans="1:2" x14ac:dyDescent="0.25">
      <c r="A658" t="s">
        <v>404</v>
      </c>
      <c r="B658" t="e">
        <v>#VALUE!</v>
      </c>
    </row>
    <row r="659" spans="1:2" x14ac:dyDescent="0.25">
      <c r="A659" t="s">
        <v>404</v>
      </c>
      <c r="B659" t="e">
        <v>#VALUE!</v>
      </c>
    </row>
    <row r="660" spans="1:2" x14ac:dyDescent="0.25">
      <c r="A660" t="s">
        <v>404</v>
      </c>
      <c r="B660" t="e">
        <v>#VALUE!</v>
      </c>
    </row>
    <row r="661" spans="1:2" x14ac:dyDescent="0.25">
      <c r="A661" t="s">
        <v>404</v>
      </c>
      <c r="B661" t="e">
        <v>#VALUE!</v>
      </c>
    </row>
    <row r="662" spans="1:2" x14ac:dyDescent="0.25">
      <c r="A662" t="s">
        <v>404</v>
      </c>
      <c r="B662" t="e">
        <v>#VALUE!</v>
      </c>
    </row>
    <row r="663" spans="1:2" x14ac:dyDescent="0.25">
      <c r="A663" t="s">
        <v>404</v>
      </c>
      <c r="B663" t="e">
        <v>#VALUE!</v>
      </c>
    </row>
    <row r="664" spans="1:2" x14ac:dyDescent="0.25">
      <c r="A664" t="s">
        <v>404</v>
      </c>
      <c r="B664" t="e">
        <v>#VALUE!</v>
      </c>
    </row>
    <row r="665" spans="1:2" x14ac:dyDescent="0.25">
      <c r="A665" t="s">
        <v>404</v>
      </c>
      <c r="B665" t="e">
        <v>#VALUE!</v>
      </c>
    </row>
    <row r="666" spans="1:2" x14ac:dyDescent="0.25">
      <c r="A666" t="s">
        <v>404</v>
      </c>
      <c r="B666" t="e">
        <v>#VALUE!</v>
      </c>
    </row>
    <row r="667" spans="1:2" x14ac:dyDescent="0.25">
      <c r="A667" t="s">
        <v>404</v>
      </c>
      <c r="B667" t="e">
        <v>#VALUE!</v>
      </c>
    </row>
    <row r="668" spans="1:2" x14ac:dyDescent="0.25">
      <c r="A668" t="s">
        <v>404</v>
      </c>
      <c r="B668" t="e">
        <v>#VALUE!</v>
      </c>
    </row>
    <row r="669" spans="1:2" x14ac:dyDescent="0.25">
      <c r="A669" t="s">
        <v>404</v>
      </c>
      <c r="B669" t="e">
        <v>#VALUE!</v>
      </c>
    </row>
    <row r="670" spans="1:2" x14ac:dyDescent="0.25">
      <c r="A670" t="s">
        <v>404</v>
      </c>
      <c r="B670" t="e">
        <v>#VALUE!</v>
      </c>
    </row>
    <row r="671" spans="1:2" x14ac:dyDescent="0.25">
      <c r="A671" t="s">
        <v>404</v>
      </c>
      <c r="B671" t="e">
        <v>#VALUE!</v>
      </c>
    </row>
    <row r="672" spans="1:2" x14ac:dyDescent="0.25">
      <c r="A672" t="s">
        <v>404</v>
      </c>
      <c r="B672" t="e">
        <v>#VALUE!</v>
      </c>
    </row>
    <row r="673" spans="1:2" x14ac:dyDescent="0.25">
      <c r="A673" t="s">
        <v>404</v>
      </c>
      <c r="B673" t="e">
        <v>#VALUE!</v>
      </c>
    </row>
    <row r="674" spans="1:2" x14ac:dyDescent="0.25">
      <c r="A674" t="s">
        <v>404</v>
      </c>
      <c r="B674" t="e">
        <v>#VALUE!</v>
      </c>
    </row>
    <row r="675" spans="1:2" x14ac:dyDescent="0.25">
      <c r="A675" t="s">
        <v>404</v>
      </c>
      <c r="B675" t="e">
        <v>#VALUE!</v>
      </c>
    </row>
    <row r="676" spans="1:2" x14ac:dyDescent="0.25">
      <c r="A676" t="s">
        <v>404</v>
      </c>
      <c r="B676" t="e">
        <v>#VALUE!</v>
      </c>
    </row>
    <row r="677" spans="1:2" x14ac:dyDescent="0.25">
      <c r="A677" t="s">
        <v>404</v>
      </c>
      <c r="B677" t="e">
        <v>#VALUE!</v>
      </c>
    </row>
    <row r="678" spans="1:2" x14ac:dyDescent="0.25">
      <c r="A678" t="s">
        <v>404</v>
      </c>
      <c r="B678" t="e">
        <v>#VALUE!</v>
      </c>
    </row>
    <row r="679" spans="1:2" x14ac:dyDescent="0.25">
      <c r="A679" t="s">
        <v>404</v>
      </c>
      <c r="B679" t="e">
        <v>#VALUE!</v>
      </c>
    </row>
    <row r="680" spans="1:2" x14ac:dyDescent="0.25">
      <c r="A680" t="s">
        <v>404</v>
      </c>
      <c r="B680" t="e">
        <v>#VALUE!</v>
      </c>
    </row>
    <row r="681" spans="1:2" x14ac:dyDescent="0.25">
      <c r="A681" t="s">
        <v>404</v>
      </c>
      <c r="B681" t="e">
        <v>#VALUE!</v>
      </c>
    </row>
    <row r="682" spans="1:2" x14ac:dyDescent="0.25">
      <c r="A682" t="s">
        <v>404</v>
      </c>
      <c r="B682" t="e">
        <v>#VALUE!</v>
      </c>
    </row>
    <row r="683" spans="1:2" x14ac:dyDescent="0.25">
      <c r="A683" t="s">
        <v>404</v>
      </c>
      <c r="B683" t="e">
        <v>#VALUE!</v>
      </c>
    </row>
    <row r="684" spans="1:2" x14ac:dyDescent="0.25">
      <c r="A684" t="s">
        <v>404</v>
      </c>
      <c r="B684" t="e">
        <v>#VALUE!</v>
      </c>
    </row>
    <row r="685" spans="1:2" x14ac:dyDescent="0.25">
      <c r="A685" t="s">
        <v>404</v>
      </c>
      <c r="B685" t="e">
        <v>#VALUE!</v>
      </c>
    </row>
    <row r="686" spans="1:2" x14ac:dyDescent="0.25">
      <c r="A686" t="s">
        <v>404</v>
      </c>
      <c r="B686" t="e">
        <v>#VALUE!</v>
      </c>
    </row>
    <row r="687" spans="1:2" x14ac:dyDescent="0.25">
      <c r="A687" t="s">
        <v>404</v>
      </c>
      <c r="B687" t="e">
        <v>#VALUE!</v>
      </c>
    </row>
    <row r="688" spans="1:2" x14ac:dyDescent="0.25">
      <c r="A688" t="s">
        <v>404</v>
      </c>
      <c r="B688" t="e">
        <v>#VALUE!</v>
      </c>
    </row>
    <row r="689" spans="1:2" x14ac:dyDescent="0.25">
      <c r="A689" t="s">
        <v>404</v>
      </c>
      <c r="B689" t="e">
        <v>#VALUE!</v>
      </c>
    </row>
    <row r="690" spans="1:2" x14ac:dyDescent="0.25">
      <c r="A690" t="s">
        <v>404</v>
      </c>
      <c r="B690" t="e">
        <v>#VALUE!</v>
      </c>
    </row>
    <row r="691" spans="1:2" x14ac:dyDescent="0.25">
      <c r="A691" t="s">
        <v>404</v>
      </c>
      <c r="B691" t="e">
        <v>#VALUE!</v>
      </c>
    </row>
    <row r="692" spans="1:2" x14ac:dyDescent="0.25">
      <c r="A692" t="s">
        <v>404</v>
      </c>
      <c r="B692" t="e">
        <v>#VALUE!</v>
      </c>
    </row>
    <row r="693" spans="1:2" x14ac:dyDescent="0.25">
      <c r="A693" t="s">
        <v>404</v>
      </c>
      <c r="B693" t="e">
        <v>#VALUE!</v>
      </c>
    </row>
    <row r="694" spans="1:2" x14ac:dyDescent="0.25">
      <c r="A694" t="s">
        <v>404</v>
      </c>
      <c r="B694" t="e">
        <v>#VALUE!</v>
      </c>
    </row>
    <row r="695" spans="1:2" x14ac:dyDescent="0.25">
      <c r="A695" t="s">
        <v>404</v>
      </c>
      <c r="B695" t="e">
        <v>#VALUE!</v>
      </c>
    </row>
    <row r="696" spans="1:2" x14ac:dyDescent="0.25">
      <c r="A696" t="s">
        <v>404</v>
      </c>
      <c r="B696" t="e">
        <v>#VALUE!</v>
      </c>
    </row>
    <row r="697" spans="1:2" x14ac:dyDescent="0.25">
      <c r="A697" t="s">
        <v>404</v>
      </c>
      <c r="B697" t="e">
        <v>#VALUE!</v>
      </c>
    </row>
    <row r="698" spans="1:2" x14ac:dyDescent="0.25">
      <c r="A698" t="s">
        <v>404</v>
      </c>
      <c r="B698" t="e">
        <v>#VALUE!</v>
      </c>
    </row>
    <row r="699" spans="1:2" x14ac:dyDescent="0.25">
      <c r="A699" t="s">
        <v>404</v>
      </c>
      <c r="B699" t="e">
        <v>#VALUE!</v>
      </c>
    </row>
    <row r="700" spans="1:2" x14ac:dyDescent="0.25">
      <c r="A700" t="s">
        <v>404</v>
      </c>
      <c r="B700" t="e">
        <v>#VALUE!</v>
      </c>
    </row>
    <row r="701" spans="1:2" x14ac:dyDescent="0.25">
      <c r="A701" t="s">
        <v>404</v>
      </c>
      <c r="B701" t="e">
        <v>#VALUE!</v>
      </c>
    </row>
    <row r="702" spans="1:2" x14ac:dyDescent="0.25">
      <c r="A702" t="s">
        <v>404</v>
      </c>
      <c r="B702" t="e">
        <v>#VALUE!</v>
      </c>
    </row>
    <row r="703" spans="1:2" x14ac:dyDescent="0.25">
      <c r="A703" t="s">
        <v>404</v>
      </c>
      <c r="B703" t="e">
        <v>#VALUE!</v>
      </c>
    </row>
    <row r="704" spans="1:2" x14ac:dyDescent="0.25">
      <c r="A704" t="s">
        <v>404</v>
      </c>
      <c r="B704" t="e">
        <v>#VALUE!</v>
      </c>
    </row>
    <row r="705" spans="1:2" x14ac:dyDescent="0.25">
      <c r="A705" t="s">
        <v>404</v>
      </c>
      <c r="B705" t="e">
        <v>#VALUE!</v>
      </c>
    </row>
    <row r="706" spans="1:2" x14ac:dyDescent="0.25">
      <c r="A706" t="s">
        <v>404</v>
      </c>
      <c r="B706" t="e">
        <v>#VALUE!</v>
      </c>
    </row>
    <row r="707" spans="1:2" x14ac:dyDescent="0.25">
      <c r="A707" t="s">
        <v>404</v>
      </c>
      <c r="B707" t="e">
        <v>#VALUE!</v>
      </c>
    </row>
    <row r="708" spans="1:2" x14ac:dyDescent="0.25">
      <c r="A708" t="s">
        <v>404</v>
      </c>
      <c r="B708" t="e">
        <v>#VALUE!</v>
      </c>
    </row>
    <row r="709" spans="1:2" x14ac:dyDescent="0.25">
      <c r="A709" t="s">
        <v>404</v>
      </c>
      <c r="B709" t="e">
        <v>#VALUE!</v>
      </c>
    </row>
    <row r="710" spans="1:2" x14ac:dyDescent="0.25">
      <c r="A710" t="s">
        <v>404</v>
      </c>
      <c r="B710" t="e">
        <v>#VALUE!</v>
      </c>
    </row>
    <row r="711" spans="1:2" x14ac:dyDescent="0.25">
      <c r="A711" t="s">
        <v>404</v>
      </c>
      <c r="B711" t="e">
        <v>#VALUE!</v>
      </c>
    </row>
    <row r="712" spans="1:2" x14ac:dyDescent="0.25">
      <c r="A712" t="s">
        <v>404</v>
      </c>
      <c r="B712" t="e">
        <v>#VALUE!</v>
      </c>
    </row>
    <row r="713" spans="1:2" x14ac:dyDescent="0.25">
      <c r="A713" t="s">
        <v>404</v>
      </c>
      <c r="B713" t="e">
        <v>#VALUE!</v>
      </c>
    </row>
    <row r="714" spans="1:2" x14ac:dyDescent="0.25">
      <c r="A714" t="s">
        <v>404</v>
      </c>
      <c r="B714" t="e">
        <v>#VALUE!</v>
      </c>
    </row>
    <row r="715" spans="1:2" x14ac:dyDescent="0.25">
      <c r="A715" t="s">
        <v>404</v>
      </c>
      <c r="B715" t="e">
        <v>#VALUE!</v>
      </c>
    </row>
    <row r="716" spans="1:2" x14ac:dyDescent="0.25">
      <c r="A716" t="s">
        <v>404</v>
      </c>
      <c r="B716" t="e">
        <v>#VALUE!</v>
      </c>
    </row>
    <row r="717" spans="1:2" x14ac:dyDescent="0.25">
      <c r="A717" t="s">
        <v>404</v>
      </c>
      <c r="B717" t="e">
        <v>#VALUE!</v>
      </c>
    </row>
    <row r="718" spans="1:2" x14ac:dyDescent="0.25">
      <c r="A718" t="s">
        <v>404</v>
      </c>
      <c r="B718" t="e">
        <v>#VALUE!</v>
      </c>
    </row>
    <row r="719" spans="1:2" x14ac:dyDescent="0.25">
      <c r="A719" t="s">
        <v>404</v>
      </c>
      <c r="B719" t="e">
        <v>#VALUE!</v>
      </c>
    </row>
    <row r="720" spans="1:2" x14ac:dyDescent="0.25">
      <c r="A720" t="s">
        <v>404</v>
      </c>
      <c r="B720" t="e">
        <v>#VALUE!</v>
      </c>
    </row>
    <row r="721" spans="1:2" x14ac:dyDescent="0.25">
      <c r="A721" t="s">
        <v>404</v>
      </c>
      <c r="B721" t="e">
        <v>#VALUE!</v>
      </c>
    </row>
    <row r="722" spans="1:2" x14ac:dyDescent="0.25">
      <c r="A722" t="s">
        <v>404</v>
      </c>
      <c r="B722" t="e">
        <v>#VALUE!</v>
      </c>
    </row>
    <row r="723" spans="1:2" x14ac:dyDescent="0.25">
      <c r="A723" t="s">
        <v>404</v>
      </c>
      <c r="B723" t="e">
        <v>#VALUE!</v>
      </c>
    </row>
    <row r="724" spans="1:2" x14ac:dyDescent="0.25">
      <c r="A724" t="s">
        <v>404</v>
      </c>
      <c r="B724" t="e">
        <v>#VALUE!</v>
      </c>
    </row>
    <row r="725" spans="1:2" x14ac:dyDescent="0.25">
      <c r="A725" t="s">
        <v>404</v>
      </c>
      <c r="B725" t="e">
        <v>#VALUE!</v>
      </c>
    </row>
    <row r="726" spans="1:2" x14ac:dyDescent="0.25">
      <c r="A726" t="s">
        <v>404</v>
      </c>
      <c r="B726" t="e">
        <v>#VALUE!</v>
      </c>
    </row>
    <row r="727" spans="1:2" x14ac:dyDescent="0.25">
      <c r="A727" t="s">
        <v>404</v>
      </c>
      <c r="B727" t="e">
        <v>#VALUE!</v>
      </c>
    </row>
    <row r="728" spans="1:2" x14ac:dyDescent="0.25">
      <c r="A728" t="s">
        <v>404</v>
      </c>
      <c r="B728" t="e">
        <v>#VALUE!</v>
      </c>
    </row>
    <row r="729" spans="1:2" x14ac:dyDescent="0.25">
      <c r="A729" t="s">
        <v>404</v>
      </c>
      <c r="B729" t="e">
        <v>#VALUE!</v>
      </c>
    </row>
    <row r="730" spans="1:2" x14ac:dyDescent="0.25">
      <c r="A730" t="s">
        <v>404</v>
      </c>
      <c r="B730" t="e">
        <v>#VALUE!</v>
      </c>
    </row>
    <row r="731" spans="1:2" x14ac:dyDescent="0.25">
      <c r="A731" t="s">
        <v>404</v>
      </c>
      <c r="B731" t="e">
        <v>#VALUE!</v>
      </c>
    </row>
    <row r="732" spans="1:2" x14ac:dyDescent="0.25">
      <c r="A732" t="s">
        <v>404</v>
      </c>
      <c r="B732" t="e">
        <v>#VALUE!</v>
      </c>
    </row>
    <row r="733" spans="1:2" x14ac:dyDescent="0.25">
      <c r="A733" t="s">
        <v>404</v>
      </c>
      <c r="B733" t="e">
        <v>#VALUE!</v>
      </c>
    </row>
    <row r="734" spans="1:2" x14ac:dyDescent="0.25">
      <c r="A734" t="s">
        <v>404</v>
      </c>
      <c r="B734" t="e">
        <v>#VALUE!</v>
      </c>
    </row>
    <row r="735" spans="1:2" x14ac:dyDescent="0.25">
      <c r="A735" t="s">
        <v>404</v>
      </c>
      <c r="B735" t="e">
        <v>#VALUE!</v>
      </c>
    </row>
    <row r="736" spans="1:2" x14ac:dyDescent="0.25">
      <c r="A736" t="s">
        <v>404</v>
      </c>
      <c r="B736" t="e">
        <v>#VALUE!</v>
      </c>
    </row>
    <row r="737" spans="1:2" x14ac:dyDescent="0.25">
      <c r="A737" t="s">
        <v>404</v>
      </c>
      <c r="B737" t="e">
        <v>#VALUE!</v>
      </c>
    </row>
    <row r="738" spans="1:2" x14ac:dyDescent="0.25">
      <c r="A738" t="s">
        <v>404</v>
      </c>
      <c r="B738" t="e">
        <v>#VALUE!</v>
      </c>
    </row>
    <row r="739" spans="1:2" x14ac:dyDescent="0.25">
      <c r="A739" t="s">
        <v>404</v>
      </c>
      <c r="B739" t="e">
        <v>#VALUE!</v>
      </c>
    </row>
    <row r="740" spans="1:2" x14ac:dyDescent="0.25">
      <c r="A740" t="s">
        <v>404</v>
      </c>
      <c r="B740" t="e">
        <v>#VALUE!</v>
      </c>
    </row>
    <row r="741" spans="1:2" x14ac:dyDescent="0.25">
      <c r="A741" t="s">
        <v>404</v>
      </c>
      <c r="B741" t="e">
        <v>#VALUE!</v>
      </c>
    </row>
    <row r="742" spans="1:2" x14ac:dyDescent="0.25">
      <c r="A742" t="s">
        <v>404</v>
      </c>
      <c r="B742" t="e">
        <v>#VALUE!</v>
      </c>
    </row>
    <row r="743" spans="1:2" x14ac:dyDescent="0.25">
      <c r="A743" t="s">
        <v>404</v>
      </c>
      <c r="B743" t="e">
        <v>#VALUE!</v>
      </c>
    </row>
    <row r="744" spans="1:2" x14ac:dyDescent="0.25">
      <c r="A744" t="s">
        <v>404</v>
      </c>
      <c r="B744" t="e">
        <v>#VALUE!</v>
      </c>
    </row>
    <row r="745" spans="1:2" x14ac:dyDescent="0.25">
      <c r="A745" t="s">
        <v>404</v>
      </c>
      <c r="B745" t="e">
        <v>#VALUE!</v>
      </c>
    </row>
    <row r="746" spans="1:2" x14ac:dyDescent="0.25">
      <c r="A746" t="s">
        <v>404</v>
      </c>
      <c r="B746" t="e">
        <v>#VALUE!</v>
      </c>
    </row>
    <row r="747" spans="1:2" x14ac:dyDescent="0.25">
      <c r="A747" t="s">
        <v>404</v>
      </c>
      <c r="B747" t="e">
        <v>#VALUE!</v>
      </c>
    </row>
    <row r="748" spans="1:2" x14ac:dyDescent="0.25">
      <c r="A748" t="s">
        <v>404</v>
      </c>
      <c r="B748" t="e">
        <v>#VALUE!</v>
      </c>
    </row>
    <row r="749" spans="1:2" x14ac:dyDescent="0.25">
      <c r="A749" t="s">
        <v>404</v>
      </c>
      <c r="B749" t="e">
        <v>#VALUE!</v>
      </c>
    </row>
    <row r="750" spans="1:2" x14ac:dyDescent="0.25">
      <c r="A750" t="s">
        <v>404</v>
      </c>
      <c r="B750" t="e">
        <v>#VALUE!</v>
      </c>
    </row>
    <row r="751" spans="1:2" x14ac:dyDescent="0.25">
      <c r="A751" t="s">
        <v>404</v>
      </c>
      <c r="B751" t="e">
        <v>#VALUE!</v>
      </c>
    </row>
    <row r="752" spans="1:2" x14ac:dyDescent="0.25">
      <c r="A752" t="s">
        <v>404</v>
      </c>
      <c r="B752" t="e">
        <v>#VALUE!</v>
      </c>
    </row>
    <row r="753" spans="1:2" x14ac:dyDescent="0.25">
      <c r="A753" t="s">
        <v>404</v>
      </c>
      <c r="B753" t="e">
        <v>#VALUE!</v>
      </c>
    </row>
    <row r="754" spans="1:2" x14ac:dyDescent="0.25">
      <c r="A754" t="s">
        <v>404</v>
      </c>
      <c r="B754" t="e">
        <v>#VALUE!</v>
      </c>
    </row>
    <row r="755" spans="1:2" x14ac:dyDescent="0.25">
      <c r="A755" t="s">
        <v>404</v>
      </c>
      <c r="B755" t="e">
        <v>#VALUE!</v>
      </c>
    </row>
    <row r="756" spans="1:2" x14ac:dyDescent="0.25">
      <c r="A756" t="s">
        <v>404</v>
      </c>
      <c r="B756" t="e">
        <v>#VALUE!</v>
      </c>
    </row>
    <row r="757" spans="1:2" x14ac:dyDescent="0.25">
      <c r="A757" t="s">
        <v>404</v>
      </c>
      <c r="B757" t="e">
        <v>#VALUE!</v>
      </c>
    </row>
    <row r="758" spans="1:2" x14ac:dyDescent="0.25">
      <c r="A758" t="s">
        <v>404</v>
      </c>
      <c r="B758" t="e">
        <v>#VALUE!</v>
      </c>
    </row>
    <row r="759" spans="1:2" x14ac:dyDescent="0.25">
      <c r="A759" t="s">
        <v>404</v>
      </c>
      <c r="B759" t="e">
        <v>#VALUE!</v>
      </c>
    </row>
    <row r="760" spans="1:2" x14ac:dyDescent="0.25">
      <c r="A760" t="s">
        <v>404</v>
      </c>
      <c r="B760" t="e">
        <v>#VALUE!</v>
      </c>
    </row>
    <row r="761" spans="1:2" x14ac:dyDescent="0.25">
      <c r="A761" t="s">
        <v>404</v>
      </c>
      <c r="B761" t="e">
        <v>#VALUE!</v>
      </c>
    </row>
    <row r="762" spans="1:2" x14ac:dyDescent="0.25">
      <c r="A762" t="s">
        <v>404</v>
      </c>
      <c r="B762" t="e">
        <v>#VALUE!</v>
      </c>
    </row>
    <row r="763" spans="1:2" x14ac:dyDescent="0.25">
      <c r="A763" t="s">
        <v>404</v>
      </c>
      <c r="B763" t="e">
        <v>#VALUE!</v>
      </c>
    </row>
    <row r="764" spans="1:2" x14ac:dyDescent="0.25">
      <c r="A764" t="s">
        <v>404</v>
      </c>
      <c r="B764" t="e">
        <v>#VALUE!</v>
      </c>
    </row>
    <row r="765" spans="1:2" x14ac:dyDescent="0.25">
      <c r="A765" t="s">
        <v>404</v>
      </c>
      <c r="B765" t="e">
        <v>#VALUE!</v>
      </c>
    </row>
    <row r="766" spans="1:2" x14ac:dyDescent="0.25">
      <c r="A766" t="s">
        <v>404</v>
      </c>
      <c r="B766" t="e">
        <v>#VALUE!</v>
      </c>
    </row>
    <row r="767" spans="1:2" x14ac:dyDescent="0.25">
      <c r="A767" t="s">
        <v>404</v>
      </c>
      <c r="B767" t="e">
        <v>#VALUE!</v>
      </c>
    </row>
    <row r="768" spans="1:2" x14ac:dyDescent="0.25">
      <c r="A768" t="s">
        <v>404</v>
      </c>
      <c r="B768" t="e">
        <v>#VALUE!</v>
      </c>
    </row>
    <row r="769" spans="1:2" x14ac:dyDescent="0.25">
      <c r="A769" t="s">
        <v>404</v>
      </c>
      <c r="B769" t="e">
        <v>#VALUE!</v>
      </c>
    </row>
    <row r="770" spans="1:2" x14ac:dyDescent="0.25">
      <c r="A770" t="s">
        <v>404</v>
      </c>
      <c r="B770" t="e">
        <v>#VALUE!</v>
      </c>
    </row>
    <row r="771" spans="1:2" x14ac:dyDescent="0.25">
      <c r="A771" t="s">
        <v>404</v>
      </c>
      <c r="B771" t="e">
        <v>#VALUE!</v>
      </c>
    </row>
    <row r="772" spans="1:2" x14ac:dyDescent="0.25">
      <c r="A772" t="s">
        <v>404</v>
      </c>
      <c r="B772" t="e">
        <v>#VALUE!</v>
      </c>
    </row>
    <row r="773" spans="1:2" x14ac:dyDescent="0.25">
      <c r="A773" t="s">
        <v>404</v>
      </c>
      <c r="B773" t="e">
        <v>#VALUE!</v>
      </c>
    </row>
    <row r="774" spans="1:2" x14ac:dyDescent="0.25">
      <c r="A774" t="s">
        <v>404</v>
      </c>
      <c r="B774" t="e">
        <v>#VALUE!</v>
      </c>
    </row>
    <row r="775" spans="1:2" x14ac:dyDescent="0.25">
      <c r="A775" t="s">
        <v>404</v>
      </c>
      <c r="B775" t="e">
        <v>#VALUE!</v>
      </c>
    </row>
    <row r="776" spans="1:2" x14ac:dyDescent="0.25">
      <c r="A776" t="s">
        <v>404</v>
      </c>
      <c r="B776" t="e">
        <v>#VALUE!</v>
      </c>
    </row>
    <row r="777" spans="1:2" x14ac:dyDescent="0.25">
      <c r="A777" t="s">
        <v>404</v>
      </c>
      <c r="B777" t="e">
        <v>#VALUE!</v>
      </c>
    </row>
    <row r="778" spans="1:2" x14ac:dyDescent="0.25">
      <c r="A778" t="s">
        <v>404</v>
      </c>
      <c r="B778" t="e">
        <v>#VALUE!</v>
      </c>
    </row>
    <row r="779" spans="1:2" x14ac:dyDescent="0.25">
      <c r="A779" t="s">
        <v>404</v>
      </c>
      <c r="B779" t="e">
        <v>#VALUE!</v>
      </c>
    </row>
    <row r="780" spans="1:2" x14ac:dyDescent="0.25">
      <c r="A780" t="s">
        <v>404</v>
      </c>
      <c r="B780" t="e">
        <v>#VALUE!</v>
      </c>
    </row>
    <row r="781" spans="1:2" x14ac:dyDescent="0.25">
      <c r="A781" t="s">
        <v>404</v>
      </c>
      <c r="B781" t="e">
        <v>#VALUE!</v>
      </c>
    </row>
    <row r="782" spans="1:2" x14ac:dyDescent="0.25">
      <c r="A782" t="s">
        <v>404</v>
      </c>
      <c r="B782" t="e">
        <v>#VALUE!</v>
      </c>
    </row>
    <row r="783" spans="1:2" x14ac:dyDescent="0.25">
      <c r="A783" t="s">
        <v>404</v>
      </c>
      <c r="B783" t="e">
        <v>#VALUE!</v>
      </c>
    </row>
    <row r="784" spans="1:2" x14ac:dyDescent="0.25">
      <c r="A784" t="s">
        <v>404</v>
      </c>
      <c r="B784" t="e">
        <v>#VALUE!</v>
      </c>
    </row>
    <row r="785" spans="1:2" x14ac:dyDescent="0.25">
      <c r="A785" t="s">
        <v>404</v>
      </c>
      <c r="B785" t="e">
        <v>#VALUE!</v>
      </c>
    </row>
    <row r="786" spans="1:2" x14ac:dyDescent="0.25">
      <c r="A786" t="s">
        <v>404</v>
      </c>
      <c r="B786" t="e">
        <v>#VALUE!</v>
      </c>
    </row>
    <row r="787" spans="1:2" x14ac:dyDescent="0.25">
      <c r="A787" t="s">
        <v>404</v>
      </c>
      <c r="B787" t="e">
        <v>#VALUE!</v>
      </c>
    </row>
    <row r="788" spans="1:2" x14ac:dyDescent="0.25">
      <c r="A788" t="s">
        <v>404</v>
      </c>
      <c r="B788" t="e">
        <v>#VALUE!</v>
      </c>
    </row>
    <row r="789" spans="1:2" x14ac:dyDescent="0.25">
      <c r="A789" t="s">
        <v>404</v>
      </c>
      <c r="B789" t="e">
        <v>#VALUE!</v>
      </c>
    </row>
    <row r="790" spans="1:2" x14ac:dyDescent="0.25">
      <c r="A790" t="s">
        <v>404</v>
      </c>
      <c r="B790" t="e">
        <v>#VALUE!</v>
      </c>
    </row>
    <row r="791" spans="1:2" x14ac:dyDescent="0.25">
      <c r="A791" t="s">
        <v>404</v>
      </c>
      <c r="B791" t="e">
        <v>#VALUE!</v>
      </c>
    </row>
    <row r="792" spans="1:2" x14ac:dyDescent="0.25">
      <c r="A792" t="s">
        <v>404</v>
      </c>
      <c r="B792" t="e">
        <v>#VALUE!</v>
      </c>
    </row>
    <row r="793" spans="1:2" x14ac:dyDescent="0.25">
      <c r="A793" t="s">
        <v>404</v>
      </c>
      <c r="B793" t="e">
        <v>#VALUE!</v>
      </c>
    </row>
    <row r="794" spans="1:2" x14ac:dyDescent="0.25">
      <c r="A794" t="s">
        <v>404</v>
      </c>
      <c r="B794" t="e">
        <v>#VALUE!</v>
      </c>
    </row>
    <row r="795" spans="1:2" x14ac:dyDescent="0.25">
      <c r="A795" t="s">
        <v>404</v>
      </c>
      <c r="B795" t="e">
        <v>#VALUE!</v>
      </c>
    </row>
    <row r="796" spans="1:2" x14ac:dyDescent="0.25">
      <c r="A796" t="s">
        <v>404</v>
      </c>
      <c r="B796" t="e">
        <v>#VALUE!</v>
      </c>
    </row>
    <row r="797" spans="1:2" x14ac:dyDescent="0.25">
      <c r="A797" t="s">
        <v>404</v>
      </c>
      <c r="B797" t="e">
        <v>#VALUE!</v>
      </c>
    </row>
    <row r="798" spans="1:2" x14ac:dyDescent="0.25">
      <c r="A798" t="s">
        <v>404</v>
      </c>
      <c r="B798" t="e">
        <v>#VALUE!</v>
      </c>
    </row>
    <row r="799" spans="1:2" x14ac:dyDescent="0.25">
      <c r="A799" t="s">
        <v>404</v>
      </c>
      <c r="B799" t="e">
        <v>#VALUE!</v>
      </c>
    </row>
    <row r="800" spans="1:2" x14ac:dyDescent="0.25">
      <c r="A800" t="s">
        <v>404</v>
      </c>
      <c r="B800" t="e">
        <v>#VALUE!</v>
      </c>
    </row>
    <row r="801" spans="1:2" x14ac:dyDescent="0.25">
      <c r="A801" t="s">
        <v>404</v>
      </c>
      <c r="B801" t="e">
        <v>#VALUE!</v>
      </c>
    </row>
    <row r="802" spans="1:2" x14ac:dyDescent="0.25">
      <c r="A802" t="s">
        <v>404</v>
      </c>
      <c r="B802" t="e">
        <v>#VALUE!</v>
      </c>
    </row>
    <row r="803" spans="1:2" x14ac:dyDescent="0.25">
      <c r="A803" t="s">
        <v>404</v>
      </c>
      <c r="B803" t="e">
        <v>#VALUE!</v>
      </c>
    </row>
    <row r="804" spans="1:2" x14ac:dyDescent="0.25">
      <c r="A804" t="s">
        <v>404</v>
      </c>
      <c r="B804" t="e">
        <v>#VALUE!</v>
      </c>
    </row>
    <row r="805" spans="1:2" x14ac:dyDescent="0.25">
      <c r="A805" t="s">
        <v>404</v>
      </c>
      <c r="B805" t="e">
        <v>#VALUE!</v>
      </c>
    </row>
    <row r="806" spans="1:2" x14ac:dyDescent="0.25">
      <c r="A806" t="s">
        <v>404</v>
      </c>
      <c r="B806" t="e">
        <v>#VALUE!</v>
      </c>
    </row>
    <row r="807" spans="1:2" x14ac:dyDescent="0.25">
      <c r="A807" t="s">
        <v>404</v>
      </c>
      <c r="B807" t="e">
        <v>#VALUE!</v>
      </c>
    </row>
    <row r="808" spans="1:2" x14ac:dyDescent="0.25">
      <c r="A808" t="s">
        <v>404</v>
      </c>
      <c r="B808" t="e">
        <v>#VALUE!</v>
      </c>
    </row>
    <row r="809" spans="1:2" x14ac:dyDescent="0.25">
      <c r="A809" t="s">
        <v>404</v>
      </c>
      <c r="B809" t="e">
        <v>#VALUE!</v>
      </c>
    </row>
    <row r="810" spans="1:2" x14ac:dyDescent="0.25">
      <c r="A810" t="s">
        <v>404</v>
      </c>
      <c r="B810" t="e">
        <v>#VALUE!</v>
      </c>
    </row>
    <row r="811" spans="1:2" x14ac:dyDescent="0.25">
      <c r="A811" t="s">
        <v>404</v>
      </c>
      <c r="B811" t="e">
        <v>#VALUE!</v>
      </c>
    </row>
    <row r="812" spans="1:2" x14ac:dyDescent="0.25">
      <c r="A812" t="s">
        <v>404</v>
      </c>
      <c r="B812" t="e">
        <v>#VALUE!</v>
      </c>
    </row>
    <row r="813" spans="1:2" x14ac:dyDescent="0.25">
      <c r="A813" t="s">
        <v>404</v>
      </c>
      <c r="B813" t="e">
        <v>#VALUE!</v>
      </c>
    </row>
    <row r="814" spans="1:2" x14ac:dyDescent="0.25">
      <c r="A814" t="s">
        <v>404</v>
      </c>
      <c r="B814" t="e">
        <v>#VALUE!</v>
      </c>
    </row>
    <row r="815" spans="1:2" x14ac:dyDescent="0.25">
      <c r="A815" t="s">
        <v>404</v>
      </c>
      <c r="B815" t="e">
        <v>#VALUE!</v>
      </c>
    </row>
    <row r="816" spans="1:2" x14ac:dyDescent="0.25">
      <c r="A816" t="s">
        <v>404</v>
      </c>
      <c r="B816" t="e">
        <v>#VALUE!</v>
      </c>
    </row>
    <row r="817" spans="1:2" x14ac:dyDescent="0.25">
      <c r="A817" t="s">
        <v>404</v>
      </c>
      <c r="B817" t="e">
        <v>#VALUE!</v>
      </c>
    </row>
    <row r="818" spans="1:2" x14ac:dyDescent="0.25">
      <c r="A818" t="s">
        <v>404</v>
      </c>
      <c r="B818" t="e">
        <v>#VALUE!</v>
      </c>
    </row>
    <row r="819" spans="1:2" x14ac:dyDescent="0.25">
      <c r="A819" t="s">
        <v>404</v>
      </c>
      <c r="B819" t="e">
        <v>#VALUE!</v>
      </c>
    </row>
    <row r="820" spans="1:2" x14ac:dyDescent="0.25">
      <c r="A820" t="s">
        <v>404</v>
      </c>
      <c r="B820" t="e">
        <v>#VALUE!</v>
      </c>
    </row>
    <row r="821" spans="1:2" x14ac:dyDescent="0.25">
      <c r="A821" t="s">
        <v>404</v>
      </c>
      <c r="B821" t="e">
        <v>#VALUE!</v>
      </c>
    </row>
    <row r="822" spans="1:2" x14ac:dyDescent="0.25">
      <c r="A822" t="s">
        <v>404</v>
      </c>
      <c r="B822" t="e">
        <v>#VALUE!</v>
      </c>
    </row>
    <row r="823" spans="1:2" x14ac:dyDescent="0.25">
      <c r="A823" t="s">
        <v>404</v>
      </c>
      <c r="B823" t="e">
        <v>#VALUE!</v>
      </c>
    </row>
    <row r="824" spans="1:2" x14ac:dyDescent="0.25">
      <c r="A824" t="s">
        <v>404</v>
      </c>
      <c r="B824" t="e">
        <v>#VALUE!</v>
      </c>
    </row>
    <row r="825" spans="1:2" x14ac:dyDescent="0.25">
      <c r="A825" t="s">
        <v>404</v>
      </c>
      <c r="B825" t="e">
        <v>#VALUE!</v>
      </c>
    </row>
    <row r="826" spans="1:2" x14ac:dyDescent="0.25">
      <c r="A826" t="s">
        <v>404</v>
      </c>
      <c r="B826" t="e">
        <v>#VALUE!</v>
      </c>
    </row>
    <row r="827" spans="1:2" x14ac:dyDescent="0.25">
      <c r="A827" t="s">
        <v>404</v>
      </c>
      <c r="B827" t="e">
        <v>#VALUE!</v>
      </c>
    </row>
    <row r="828" spans="1:2" x14ac:dyDescent="0.25">
      <c r="A828" t="s">
        <v>404</v>
      </c>
      <c r="B828" t="e">
        <v>#VALUE!</v>
      </c>
    </row>
    <row r="829" spans="1:2" x14ac:dyDescent="0.25">
      <c r="A829" t="s">
        <v>404</v>
      </c>
      <c r="B829" t="e">
        <v>#VALUE!</v>
      </c>
    </row>
    <row r="830" spans="1:2" x14ac:dyDescent="0.25">
      <c r="A830" t="s">
        <v>404</v>
      </c>
      <c r="B830" t="e">
        <v>#VALUE!</v>
      </c>
    </row>
    <row r="831" spans="1:2" x14ac:dyDescent="0.25">
      <c r="A831" t="s">
        <v>404</v>
      </c>
      <c r="B831" t="e">
        <v>#VALUE!</v>
      </c>
    </row>
    <row r="832" spans="1:2" x14ac:dyDescent="0.25">
      <c r="A832" t="s">
        <v>404</v>
      </c>
      <c r="B832" t="e">
        <v>#VALUE!</v>
      </c>
    </row>
    <row r="833" spans="1:2" x14ac:dyDescent="0.25">
      <c r="A833" t="s">
        <v>404</v>
      </c>
      <c r="B833" t="e">
        <v>#VALUE!</v>
      </c>
    </row>
    <row r="834" spans="1:2" x14ac:dyDescent="0.25">
      <c r="A834" t="s">
        <v>404</v>
      </c>
      <c r="B834" t="e">
        <v>#VALUE!</v>
      </c>
    </row>
    <row r="835" spans="1:2" x14ac:dyDescent="0.25">
      <c r="A835" t="s">
        <v>404</v>
      </c>
      <c r="B835" t="e">
        <v>#VALUE!</v>
      </c>
    </row>
    <row r="836" spans="1:2" x14ac:dyDescent="0.25">
      <c r="A836" t="s">
        <v>404</v>
      </c>
      <c r="B836" t="e">
        <v>#VALUE!</v>
      </c>
    </row>
    <row r="837" spans="1:2" x14ac:dyDescent="0.25">
      <c r="A837" t="s">
        <v>404</v>
      </c>
      <c r="B837" t="e">
        <v>#VALUE!</v>
      </c>
    </row>
    <row r="838" spans="1:2" x14ac:dyDescent="0.25">
      <c r="A838" t="s">
        <v>404</v>
      </c>
      <c r="B838" t="e">
        <v>#VALUE!</v>
      </c>
    </row>
    <row r="839" spans="1:2" x14ac:dyDescent="0.25">
      <c r="A839" t="s">
        <v>404</v>
      </c>
      <c r="B839" t="e">
        <v>#VALUE!</v>
      </c>
    </row>
    <row r="840" spans="1:2" x14ac:dyDescent="0.25">
      <c r="A840" t="s">
        <v>404</v>
      </c>
      <c r="B840" t="e">
        <v>#VALUE!</v>
      </c>
    </row>
    <row r="841" spans="1:2" x14ac:dyDescent="0.25">
      <c r="A841" t="s">
        <v>404</v>
      </c>
      <c r="B841" t="e">
        <v>#VALUE!</v>
      </c>
    </row>
    <row r="842" spans="1:2" x14ac:dyDescent="0.25">
      <c r="A842" t="s">
        <v>404</v>
      </c>
      <c r="B842" t="e">
        <v>#VALUE!</v>
      </c>
    </row>
    <row r="843" spans="1:2" x14ac:dyDescent="0.25">
      <c r="A843" t="s">
        <v>404</v>
      </c>
      <c r="B843" t="e">
        <v>#VALUE!</v>
      </c>
    </row>
    <row r="844" spans="1:2" x14ac:dyDescent="0.25">
      <c r="A844" t="s">
        <v>404</v>
      </c>
      <c r="B844" t="e">
        <v>#VALUE!</v>
      </c>
    </row>
    <row r="845" spans="1:2" x14ac:dyDescent="0.25">
      <c r="A845" t="s">
        <v>404</v>
      </c>
      <c r="B845" t="e">
        <v>#VALUE!</v>
      </c>
    </row>
    <row r="846" spans="1:2" x14ac:dyDescent="0.25">
      <c r="A846" t="s">
        <v>404</v>
      </c>
      <c r="B846" t="e">
        <v>#VALUE!</v>
      </c>
    </row>
    <row r="847" spans="1:2" x14ac:dyDescent="0.25">
      <c r="A847" t="s">
        <v>404</v>
      </c>
      <c r="B847" t="e">
        <v>#VALUE!</v>
      </c>
    </row>
    <row r="848" spans="1:2" x14ac:dyDescent="0.25">
      <c r="A848" t="s">
        <v>404</v>
      </c>
      <c r="B848" t="e">
        <v>#VALUE!</v>
      </c>
    </row>
    <row r="849" spans="1:2" x14ac:dyDescent="0.25">
      <c r="A849" t="s">
        <v>404</v>
      </c>
      <c r="B849" t="e">
        <v>#VALUE!</v>
      </c>
    </row>
    <row r="850" spans="1:2" x14ac:dyDescent="0.25">
      <c r="A850" t="s">
        <v>404</v>
      </c>
      <c r="B850" t="e">
        <v>#VALUE!</v>
      </c>
    </row>
    <row r="851" spans="1:2" x14ac:dyDescent="0.25">
      <c r="A851" t="s">
        <v>404</v>
      </c>
      <c r="B851" t="e">
        <v>#VALUE!</v>
      </c>
    </row>
    <row r="852" spans="1:2" x14ac:dyDescent="0.25">
      <c r="A852" t="s">
        <v>404</v>
      </c>
      <c r="B852" t="e">
        <v>#VALUE!</v>
      </c>
    </row>
    <row r="853" spans="1:2" x14ac:dyDescent="0.25">
      <c r="A853" t="s">
        <v>404</v>
      </c>
      <c r="B853" t="e">
        <v>#VALUE!</v>
      </c>
    </row>
    <row r="854" spans="1:2" x14ac:dyDescent="0.25">
      <c r="A854" t="s">
        <v>404</v>
      </c>
      <c r="B854" t="e">
        <v>#VALUE!</v>
      </c>
    </row>
    <row r="855" spans="1:2" x14ac:dyDescent="0.25">
      <c r="A855" t="s">
        <v>404</v>
      </c>
      <c r="B855" t="e">
        <v>#VALUE!</v>
      </c>
    </row>
    <row r="856" spans="1:2" x14ac:dyDescent="0.25">
      <c r="A856" t="s">
        <v>404</v>
      </c>
      <c r="B856" t="e">
        <v>#VALUE!</v>
      </c>
    </row>
    <row r="857" spans="1:2" x14ac:dyDescent="0.25">
      <c r="A857" t="s">
        <v>404</v>
      </c>
      <c r="B857" t="e">
        <v>#VALUE!</v>
      </c>
    </row>
    <row r="858" spans="1:2" x14ac:dyDescent="0.25">
      <c r="A858" t="s">
        <v>404</v>
      </c>
      <c r="B858" t="e">
        <v>#VALUE!</v>
      </c>
    </row>
    <row r="859" spans="1:2" x14ac:dyDescent="0.25">
      <c r="A859" t="s">
        <v>404</v>
      </c>
      <c r="B859" t="e">
        <v>#VALUE!</v>
      </c>
    </row>
    <row r="860" spans="1:2" x14ac:dyDescent="0.25">
      <c r="A860" t="s">
        <v>404</v>
      </c>
      <c r="B860" t="e">
        <v>#VALUE!</v>
      </c>
    </row>
    <row r="861" spans="1:2" x14ac:dyDescent="0.25">
      <c r="A861" t="s">
        <v>404</v>
      </c>
      <c r="B861" t="e">
        <v>#VALUE!</v>
      </c>
    </row>
    <row r="862" spans="1:2" x14ac:dyDescent="0.25">
      <c r="A862" t="s">
        <v>404</v>
      </c>
      <c r="B862" t="e">
        <v>#VALUE!</v>
      </c>
    </row>
    <row r="863" spans="1:2" x14ac:dyDescent="0.25">
      <c r="A863" t="s">
        <v>404</v>
      </c>
      <c r="B863" t="e">
        <v>#VALUE!</v>
      </c>
    </row>
    <row r="864" spans="1:2" x14ac:dyDescent="0.25">
      <c r="A864" t="s">
        <v>404</v>
      </c>
      <c r="B864" t="e">
        <v>#VALUE!</v>
      </c>
    </row>
    <row r="865" spans="1:2" x14ac:dyDescent="0.25">
      <c r="A865" t="s">
        <v>404</v>
      </c>
      <c r="B865" t="e">
        <v>#VALUE!</v>
      </c>
    </row>
    <row r="866" spans="1:2" x14ac:dyDescent="0.25">
      <c r="A866" t="s">
        <v>404</v>
      </c>
      <c r="B866" t="e">
        <v>#VALUE!</v>
      </c>
    </row>
    <row r="867" spans="1:2" x14ac:dyDescent="0.25">
      <c r="A867" t="s">
        <v>404</v>
      </c>
      <c r="B867" t="e">
        <v>#VALUE!</v>
      </c>
    </row>
    <row r="868" spans="1:2" x14ac:dyDescent="0.25">
      <c r="A868" t="s">
        <v>404</v>
      </c>
      <c r="B868" t="e">
        <v>#VALUE!</v>
      </c>
    </row>
    <row r="869" spans="1:2" x14ac:dyDescent="0.25">
      <c r="A869" t="s">
        <v>404</v>
      </c>
      <c r="B869" t="e">
        <v>#VALUE!</v>
      </c>
    </row>
    <row r="870" spans="1:2" x14ac:dyDescent="0.25">
      <c r="A870" t="s">
        <v>404</v>
      </c>
      <c r="B870" t="e">
        <v>#VALUE!</v>
      </c>
    </row>
    <row r="871" spans="1:2" x14ac:dyDescent="0.25">
      <c r="A871" t="s">
        <v>404</v>
      </c>
      <c r="B871" t="e">
        <v>#VALUE!</v>
      </c>
    </row>
    <row r="872" spans="1:2" x14ac:dyDescent="0.25">
      <c r="A872" t="s">
        <v>404</v>
      </c>
      <c r="B872" t="e">
        <v>#VALUE!</v>
      </c>
    </row>
    <row r="873" spans="1:2" x14ac:dyDescent="0.25">
      <c r="A873" t="s">
        <v>404</v>
      </c>
      <c r="B873" t="e">
        <v>#VALUE!</v>
      </c>
    </row>
    <row r="874" spans="1:2" x14ac:dyDescent="0.25">
      <c r="A874" t="s">
        <v>404</v>
      </c>
      <c r="B874" t="e">
        <v>#VALUE!</v>
      </c>
    </row>
    <row r="875" spans="1:2" x14ac:dyDescent="0.25">
      <c r="A875" t="s">
        <v>404</v>
      </c>
      <c r="B875" t="e">
        <v>#VALUE!</v>
      </c>
    </row>
    <row r="876" spans="1:2" x14ac:dyDescent="0.25">
      <c r="A876" t="s">
        <v>404</v>
      </c>
      <c r="B876" t="e">
        <v>#VALUE!</v>
      </c>
    </row>
    <row r="877" spans="1:2" x14ac:dyDescent="0.25">
      <c r="A877" t="s">
        <v>404</v>
      </c>
      <c r="B877" t="e">
        <v>#VALUE!</v>
      </c>
    </row>
    <row r="878" spans="1:2" x14ac:dyDescent="0.25">
      <c r="A878" t="s">
        <v>404</v>
      </c>
      <c r="B878" t="e">
        <v>#VALUE!</v>
      </c>
    </row>
    <row r="879" spans="1:2" x14ac:dyDescent="0.25">
      <c r="A879" t="s">
        <v>404</v>
      </c>
      <c r="B879" t="e">
        <v>#VALUE!</v>
      </c>
    </row>
    <row r="880" spans="1:2" x14ac:dyDescent="0.25">
      <c r="A880" t="s">
        <v>404</v>
      </c>
      <c r="B880" t="e">
        <v>#VALUE!</v>
      </c>
    </row>
    <row r="881" spans="1:2" x14ac:dyDescent="0.25">
      <c r="A881" t="s">
        <v>404</v>
      </c>
      <c r="B881" t="e">
        <v>#VALUE!</v>
      </c>
    </row>
    <row r="882" spans="1:2" x14ac:dyDescent="0.25">
      <c r="A882" t="s">
        <v>404</v>
      </c>
      <c r="B882" t="e">
        <v>#VALUE!</v>
      </c>
    </row>
    <row r="883" spans="1:2" x14ac:dyDescent="0.25">
      <c r="A883" t="s">
        <v>404</v>
      </c>
      <c r="B883" t="e">
        <v>#VALUE!</v>
      </c>
    </row>
    <row r="884" spans="1:2" x14ac:dyDescent="0.25">
      <c r="A884" t="s">
        <v>404</v>
      </c>
      <c r="B884" t="e">
        <v>#VALUE!</v>
      </c>
    </row>
    <row r="885" spans="1:2" x14ac:dyDescent="0.25">
      <c r="A885" t="s">
        <v>404</v>
      </c>
      <c r="B885" t="e">
        <v>#VALUE!</v>
      </c>
    </row>
    <row r="886" spans="1:2" x14ac:dyDescent="0.25">
      <c r="A886" t="s">
        <v>404</v>
      </c>
      <c r="B886" t="e">
        <v>#VALUE!</v>
      </c>
    </row>
    <row r="887" spans="1:2" x14ac:dyDescent="0.25">
      <c r="A887" t="s">
        <v>404</v>
      </c>
      <c r="B887" t="e">
        <v>#VALUE!</v>
      </c>
    </row>
    <row r="888" spans="1:2" x14ac:dyDescent="0.25">
      <c r="A888" t="s">
        <v>404</v>
      </c>
      <c r="B888" t="e">
        <v>#VALUE!</v>
      </c>
    </row>
    <row r="889" spans="1:2" x14ac:dyDescent="0.25">
      <c r="A889" t="s">
        <v>404</v>
      </c>
      <c r="B889" t="e">
        <v>#VALUE!</v>
      </c>
    </row>
    <row r="890" spans="1:2" x14ac:dyDescent="0.25">
      <c r="A890" t="s">
        <v>404</v>
      </c>
      <c r="B890" t="e">
        <v>#VALUE!</v>
      </c>
    </row>
    <row r="891" spans="1:2" x14ac:dyDescent="0.25">
      <c r="A891" t="s">
        <v>404</v>
      </c>
      <c r="B891" t="e">
        <v>#VALUE!</v>
      </c>
    </row>
    <row r="892" spans="1:2" x14ac:dyDescent="0.25">
      <c r="A892" t="s">
        <v>404</v>
      </c>
      <c r="B892" t="e">
        <v>#VALUE!</v>
      </c>
    </row>
    <row r="893" spans="1:2" x14ac:dyDescent="0.25">
      <c r="A893" t="s">
        <v>404</v>
      </c>
      <c r="B893" t="e">
        <v>#VALUE!</v>
      </c>
    </row>
    <row r="894" spans="1:2" x14ac:dyDescent="0.25">
      <c r="A894" t="s">
        <v>404</v>
      </c>
      <c r="B894" t="e">
        <v>#VALUE!</v>
      </c>
    </row>
    <row r="895" spans="1:2" x14ac:dyDescent="0.25">
      <c r="A895" t="s">
        <v>404</v>
      </c>
      <c r="B895" t="e">
        <v>#VALUE!</v>
      </c>
    </row>
    <row r="896" spans="1:2" x14ac:dyDescent="0.25">
      <c r="A896" t="s">
        <v>404</v>
      </c>
      <c r="B896" t="e">
        <v>#VALUE!</v>
      </c>
    </row>
    <row r="897" spans="1:2" x14ac:dyDescent="0.25">
      <c r="A897" t="s">
        <v>404</v>
      </c>
      <c r="B897" t="e">
        <v>#VALUE!</v>
      </c>
    </row>
    <row r="898" spans="1:2" x14ac:dyDescent="0.25">
      <c r="A898" t="s">
        <v>404</v>
      </c>
      <c r="B898" t="e">
        <v>#VALUE!</v>
      </c>
    </row>
    <row r="899" spans="1:2" x14ac:dyDescent="0.25">
      <c r="A899" t="s">
        <v>404</v>
      </c>
      <c r="B899" t="e">
        <v>#VALUE!</v>
      </c>
    </row>
    <row r="900" spans="1:2" x14ac:dyDescent="0.25">
      <c r="A900" t="s">
        <v>404</v>
      </c>
      <c r="B900" t="e">
        <v>#VALUE!</v>
      </c>
    </row>
    <row r="901" spans="1:2" x14ac:dyDescent="0.25">
      <c r="A901" t="s">
        <v>404</v>
      </c>
      <c r="B901" t="e">
        <v>#VALUE!</v>
      </c>
    </row>
    <row r="902" spans="1:2" x14ac:dyDescent="0.25">
      <c r="A902" t="s">
        <v>404</v>
      </c>
      <c r="B902" t="e">
        <v>#VALUE!</v>
      </c>
    </row>
    <row r="903" spans="1:2" x14ac:dyDescent="0.25">
      <c r="A903" t="s">
        <v>404</v>
      </c>
      <c r="B903" t="e">
        <v>#VALUE!</v>
      </c>
    </row>
    <row r="904" spans="1:2" x14ac:dyDescent="0.25">
      <c r="A904" t="s">
        <v>404</v>
      </c>
      <c r="B904" t="e">
        <v>#VALUE!</v>
      </c>
    </row>
    <row r="905" spans="1:2" x14ac:dyDescent="0.25">
      <c r="A905" t="s">
        <v>404</v>
      </c>
      <c r="B905" t="e">
        <v>#VALUE!</v>
      </c>
    </row>
    <row r="906" spans="1:2" x14ac:dyDescent="0.25">
      <c r="A906" t="s">
        <v>404</v>
      </c>
      <c r="B906" t="e">
        <v>#VALUE!</v>
      </c>
    </row>
    <row r="907" spans="1:2" x14ac:dyDescent="0.25">
      <c r="A907" t="s">
        <v>404</v>
      </c>
      <c r="B907" t="e">
        <v>#VALUE!</v>
      </c>
    </row>
    <row r="908" spans="1:2" x14ac:dyDescent="0.25">
      <c r="A908" t="s">
        <v>404</v>
      </c>
      <c r="B908" t="e">
        <v>#VALUE!</v>
      </c>
    </row>
    <row r="909" spans="1:2" x14ac:dyDescent="0.25">
      <c r="A909" t="s">
        <v>404</v>
      </c>
      <c r="B909" t="e">
        <v>#VALUE!</v>
      </c>
    </row>
    <row r="910" spans="1:2" x14ac:dyDescent="0.25">
      <c r="A910" t="s">
        <v>404</v>
      </c>
      <c r="B910" t="e">
        <v>#VALUE!</v>
      </c>
    </row>
    <row r="911" spans="1:2" x14ac:dyDescent="0.25">
      <c r="A911" t="s">
        <v>404</v>
      </c>
      <c r="B911" t="e">
        <v>#VALUE!</v>
      </c>
    </row>
    <row r="912" spans="1:2" x14ac:dyDescent="0.25">
      <c r="A912" t="s">
        <v>404</v>
      </c>
      <c r="B912" t="e">
        <v>#VALUE!</v>
      </c>
    </row>
    <row r="913" spans="1:2" x14ac:dyDescent="0.25">
      <c r="A913" t="s">
        <v>404</v>
      </c>
      <c r="B913" t="e">
        <v>#VALUE!</v>
      </c>
    </row>
    <row r="914" spans="1:2" x14ac:dyDescent="0.25">
      <c r="A914" t="s">
        <v>404</v>
      </c>
      <c r="B914" t="e">
        <v>#VALUE!</v>
      </c>
    </row>
    <row r="915" spans="1:2" x14ac:dyDescent="0.25">
      <c r="A915" t="s">
        <v>404</v>
      </c>
      <c r="B915" t="e">
        <v>#VALUE!</v>
      </c>
    </row>
    <row r="916" spans="1:2" x14ac:dyDescent="0.25">
      <c r="A916" t="s">
        <v>404</v>
      </c>
      <c r="B916" t="e">
        <v>#VALUE!</v>
      </c>
    </row>
    <row r="917" spans="1:2" x14ac:dyDescent="0.25">
      <c r="A917" t="s">
        <v>404</v>
      </c>
      <c r="B917" t="e">
        <v>#VALUE!</v>
      </c>
    </row>
    <row r="918" spans="1:2" x14ac:dyDescent="0.25">
      <c r="A918" t="s">
        <v>404</v>
      </c>
      <c r="B918" t="e">
        <v>#VALUE!</v>
      </c>
    </row>
    <row r="919" spans="1:2" x14ac:dyDescent="0.25">
      <c r="A919" t="s">
        <v>404</v>
      </c>
      <c r="B919" t="e">
        <v>#VALUE!</v>
      </c>
    </row>
    <row r="920" spans="1:2" x14ac:dyDescent="0.25">
      <c r="A920" t="s">
        <v>404</v>
      </c>
      <c r="B920" t="e">
        <v>#VALUE!</v>
      </c>
    </row>
    <row r="921" spans="1:2" x14ac:dyDescent="0.25">
      <c r="A921" t="s">
        <v>404</v>
      </c>
      <c r="B921" t="e">
        <v>#VALUE!</v>
      </c>
    </row>
    <row r="922" spans="1:2" x14ac:dyDescent="0.25">
      <c r="A922" t="s">
        <v>404</v>
      </c>
      <c r="B922" t="e">
        <v>#VALUE!</v>
      </c>
    </row>
    <row r="923" spans="1:2" x14ac:dyDescent="0.25">
      <c r="A923" t="s">
        <v>404</v>
      </c>
      <c r="B923" t="e">
        <v>#VALUE!</v>
      </c>
    </row>
    <row r="924" spans="1:2" x14ac:dyDescent="0.25">
      <c r="A924" t="s">
        <v>404</v>
      </c>
      <c r="B924" t="e">
        <v>#VALUE!</v>
      </c>
    </row>
    <row r="925" spans="1:2" x14ac:dyDescent="0.25">
      <c r="A925" t="s">
        <v>404</v>
      </c>
      <c r="B925" t="e">
        <v>#VALUE!</v>
      </c>
    </row>
    <row r="926" spans="1:2" x14ac:dyDescent="0.25">
      <c r="A926" t="s">
        <v>404</v>
      </c>
      <c r="B926" t="e">
        <v>#VALUE!</v>
      </c>
    </row>
    <row r="927" spans="1:2" x14ac:dyDescent="0.25">
      <c r="A927" t="s">
        <v>404</v>
      </c>
      <c r="B927" t="e">
        <v>#VALUE!</v>
      </c>
    </row>
    <row r="928" spans="1:2" x14ac:dyDescent="0.25">
      <c r="A928" t="s">
        <v>404</v>
      </c>
      <c r="B928" t="e">
        <v>#VALUE!</v>
      </c>
    </row>
    <row r="929" spans="1:2" x14ac:dyDescent="0.25">
      <c r="A929" t="s">
        <v>404</v>
      </c>
      <c r="B929" t="e">
        <v>#VALUE!</v>
      </c>
    </row>
    <row r="930" spans="1:2" x14ac:dyDescent="0.25">
      <c r="A930" t="s">
        <v>404</v>
      </c>
      <c r="B930" t="e">
        <v>#VALUE!</v>
      </c>
    </row>
    <row r="931" spans="1:2" x14ac:dyDescent="0.25">
      <c r="A931" t="s">
        <v>404</v>
      </c>
      <c r="B931" t="e">
        <v>#VALUE!</v>
      </c>
    </row>
    <row r="932" spans="1:2" x14ac:dyDescent="0.25">
      <c r="A932" t="s">
        <v>404</v>
      </c>
      <c r="B932" t="e">
        <v>#VALUE!</v>
      </c>
    </row>
    <row r="933" spans="1:2" x14ac:dyDescent="0.25">
      <c r="A933" t="s">
        <v>404</v>
      </c>
      <c r="B933" t="e">
        <v>#VALUE!</v>
      </c>
    </row>
    <row r="934" spans="1:2" x14ac:dyDescent="0.25">
      <c r="A934" t="s">
        <v>404</v>
      </c>
      <c r="B934" t="e">
        <v>#VALUE!</v>
      </c>
    </row>
    <row r="935" spans="1:2" x14ac:dyDescent="0.25">
      <c r="A935" t="s">
        <v>404</v>
      </c>
      <c r="B935" t="e">
        <v>#VALUE!</v>
      </c>
    </row>
    <row r="936" spans="1:2" x14ac:dyDescent="0.25">
      <c r="A936" t="s">
        <v>404</v>
      </c>
      <c r="B936" t="e">
        <v>#VALUE!</v>
      </c>
    </row>
    <row r="937" spans="1:2" x14ac:dyDescent="0.25">
      <c r="A937" t="s">
        <v>404</v>
      </c>
      <c r="B937" t="e">
        <v>#VALUE!</v>
      </c>
    </row>
    <row r="938" spans="1:2" x14ac:dyDescent="0.25">
      <c r="A938" t="s">
        <v>404</v>
      </c>
      <c r="B938" t="e">
        <v>#VALUE!</v>
      </c>
    </row>
    <row r="939" spans="1:2" x14ac:dyDescent="0.25">
      <c r="A939" t="s">
        <v>404</v>
      </c>
      <c r="B939" t="e">
        <v>#VALUE!</v>
      </c>
    </row>
    <row r="940" spans="1:2" x14ac:dyDescent="0.25">
      <c r="A940" t="s">
        <v>404</v>
      </c>
      <c r="B940" t="e">
        <v>#VALUE!</v>
      </c>
    </row>
    <row r="941" spans="1:2" x14ac:dyDescent="0.25">
      <c r="A941" t="s">
        <v>404</v>
      </c>
      <c r="B941" t="e">
        <v>#VALUE!</v>
      </c>
    </row>
    <row r="942" spans="1:2" x14ac:dyDescent="0.25">
      <c r="A942" t="s">
        <v>404</v>
      </c>
      <c r="B942" t="e">
        <v>#VALUE!</v>
      </c>
    </row>
    <row r="943" spans="1:2" x14ac:dyDescent="0.25">
      <c r="A943" t="s">
        <v>404</v>
      </c>
      <c r="B943" t="e">
        <v>#VALUE!</v>
      </c>
    </row>
    <row r="944" spans="1:2" x14ac:dyDescent="0.25">
      <c r="A944" t="s">
        <v>404</v>
      </c>
      <c r="B944" t="e">
        <v>#VALUE!</v>
      </c>
    </row>
    <row r="945" spans="1:2" x14ac:dyDescent="0.25">
      <c r="A945" t="s">
        <v>404</v>
      </c>
      <c r="B945" t="e">
        <v>#VALUE!</v>
      </c>
    </row>
    <row r="946" spans="1:2" x14ac:dyDescent="0.25">
      <c r="A946" t="s">
        <v>404</v>
      </c>
      <c r="B946" t="e">
        <v>#VALUE!</v>
      </c>
    </row>
    <row r="947" spans="1:2" x14ac:dyDescent="0.25">
      <c r="A947" t="s">
        <v>404</v>
      </c>
      <c r="B947" t="e">
        <v>#VALUE!</v>
      </c>
    </row>
    <row r="948" spans="1:2" x14ac:dyDescent="0.25">
      <c r="A948" t="s">
        <v>404</v>
      </c>
      <c r="B948" t="e">
        <v>#VALUE!</v>
      </c>
    </row>
    <row r="949" spans="1:2" x14ac:dyDescent="0.25">
      <c r="A949" t="s">
        <v>404</v>
      </c>
      <c r="B949" t="e">
        <v>#VALUE!</v>
      </c>
    </row>
    <row r="950" spans="1:2" x14ac:dyDescent="0.25">
      <c r="A950" t="s">
        <v>404</v>
      </c>
      <c r="B950" t="e">
        <v>#VALUE!</v>
      </c>
    </row>
    <row r="951" spans="1:2" x14ac:dyDescent="0.25">
      <c r="A951" t="s">
        <v>404</v>
      </c>
      <c r="B951" t="e">
        <v>#VALUE!</v>
      </c>
    </row>
    <row r="952" spans="1:2" x14ac:dyDescent="0.25">
      <c r="A952" t="s">
        <v>404</v>
      </c>
      <c r="B952" t="e">
        <v>#VALUE!</v>
      </c>
    </row>
    <row r="953" spans="1:2" x14ac:dyDescent="0.25">
      <c r="A953" t="s">
        <v>404</v>
      </c>
      <c r="B953" t="e">
        <v>#VALUE!</v>
      </c>
    </row>
    <row r="954" spans="1:2" x14ac:dyDescent="0.25">
      <c r="A954" t="s">
        <v>404</v>
      </c>
      <c r="B954" t="e">
        <v>#VALUE!</v>
      </c>
    </row>
    <row r="955" spans="1:2" x14ac:dyDescent="0.25">
      <c r="A955" t="s">
        <v>404</v>
      </c>
      <c r="B955" t="e">
        <v>#VALUE!</v>
      </c>
    </row>
    <row r="956" spans="1:2" x14ac:dyDescent="0.25">
      <c r="A956" t="s">
        <v>404</v>
      </c>
      <c r="B956" t="e">
        <v>#VALUE!</v>
      </c>
    </row>
    <row r="957" spans="1:2" x14ac:dyDescent="0.25">
      <c r="A957" t="s">
        <v>404</v>
      </c>
      <c r="B957" t="e">
        <v>#VALUE!</v>
      </c>
    </row>
    <row r="958" spans="1:2" x14ac:dyDescent="0.25">
      <c r="A958" t="s">
        <v>404</v>
      </c>
      <c r="B958" t="e">
        <v>#VALUE!</v>
      </c>
    </row>
    <row r="959" spans="1:2" x14ac:dyDescent="0.25">
      <c r="A959" t="s">
        <v>404</v>
      </c>
      <c r="B959" t="e">
        <v>#VALUE!</v>
      </c>
    </row>
    <row r="960" spans="1:2" x14ac:dyDescent="0.25">
      <c r="A960" t="s">
        <v>404</v>
      </c>
      <c r="B960" t="e">
        <v>#VALUE!</v>
      </c>
    </row>
    <row r="961" spans="1:2" x14ac:dyDescent="0.25">
      <c r="A961" t="s">
        <v>404</v>
      </c>
      <c r="B961" t="e">
        <v>#VALUE!</v>
      </c>
    </row>
    <row r="962" spans="1:2" x14ac:dyDescent="0.25">
      <c r="A962" t="s">
        <v>404</v>
      </c>
      <c r="B962" t="e">
        <v>#VALUE!</v>
      </c>
    </row>
    <row r="963" spans="1:2" x14ac:dyDescent="0.25">
      <c r="A963" t="s">
        <v>404</v>
      </c>
      <c r="B963" t="e">
        <v>#VALUE!</v>
      </c>
    </row>
    <row r="964" spans="1:2" x14ac:dyDescent="0.25">
      <c r="A964" t="s">
        <v>404</v>
      </c>
      <c r="B964" t="e">
        <v>#VALUE!</v>
      </c>
    </row>
    <row r="965" spans="1:2" x14ac:dyDescent="0.25">
      <c r="A965" t="s">
        <v>404</v>
      </c>
      <c r="B965" t="e">
        <v>#VALUE!</v>
      </c>
    </row>
    <row r="966" spans="1:2" x14ac:dyDescent="0.25">
      <c r="A966" t="s">
        <v>404</v>
      </c>
      <c r="B966" t="e">
        <v>#VALUE!</v>
      </c>
    </row>
    <row r="967" spans="1:2" x14ac:dyDescent="0.25">
      <c r="A967" t="s">
        <v>404</v>
      </c>
      <c r="B967" t="e">
        <v>#VALUE!</v>
      </c>
    </row>
    <row r="968" spans="1:2" x14ac:dyDescent="0.25">
      <c r="A968" t="s">
        <v>404</v>
      </c>
      <c r="B968" t="e">
        <v>#VALUE!</v>
      </c>
    </row>
    <row r="969" spans="1:2" x14ac:dyDescent="0.25">
      <c r="A969" t="s">
        <v>404</v>
      </c>
      <c r="B969" t="e">
        <v>#VALUE!</v>
      </c>
    </row>
    <row r="970" spans="1:2" x14ac:dyDescent="0.25">
      <c r="A970" t="s">
        <v>404</v>
      </c>
      <c r="B970" t="e">
        <v>#VALUE!</v>
      </c>
    </row>
    <row r="971" spans="1:2" x14ac:dyDescent="0.25">
      <c r="A971" t="s">
        <v>404</v>
      </c>
      <c r="B971" t="e">
        <v>#VALUE!</v>
      </c>
    </row>
    <row r="972" spans="1:2" x14ac:dyDescent="0.25">
      <c r="A972" t="s">
        <v>404</v>
      </c>
      <c r="B972" t="e">
        <v>#VALUE!</v>
      </c>
    </row>
    <row r="973" spans="1:2" x14ac:dyDescent="0.25">
      <c r="A973" t="s">
        <v>404</v>
      </c>
      <c r="B973" t="e">
        <v>#VALUE!</v>
      </c>
    </row>
    <row r="974" spans="1:2" x14ac:dyDescent="0.25">
      <c r="A974" t="s">
        <v>404</v>
      </c>
      <c r="B974" t="e">
        <v>#VALUE!</v>
      </c>
    </row>
    <row r="975" spans="1:2" x14ac:dyDescent="0.25">
      <c r="A975" t="s">
        <v>404</v>
      </c>
      <c r="B975" t="e">
        <v>#VALUE!</v>
      </c>
    </row>
    <row r="976" spans="1:2" x14ac:dyDescent="0.25">
      <c r="A976" t="s">
        <v>404</v>
      </c>
      <c r="B976" t="e">
        <v>#VALUE!</v>
      </c>
    </row>
    <row r="977" spans="1:2" x14ac:dyDescent="0.25">
      <c r="A977" t="s">
        <v>404</v>
      </c>
      <c r="B977" t="e">
        <v>#VALUE!</v>
      </c>
    </row>
    <row r="978" spans="1:2" x14ac:dyDescent="0.25">
      <c r="A978" t="s">
        <v>404</v>
      </c>
      <c r="B978" t="e">
        <v>#VALUE!</v>
      </c>
    </row>
    <row r="979" spans="1:2" x14ac:dyDescent="0.25">
      <c r="A979" t="s">
        <v>404</v>
      </c>
      <c r="B979" t="e">
        <v>#VALUE!</v>
      </c>
    </row>
    <row r="980" spans="1:2" x14ac:dyDescent="0.25">
      <c r="A980" t="s">
        <v>404</v>
      </c>
      <c r="B980" t="e">
        <v>#VALUE!</v>
      </c>
    </row>
    <row r="981" spans="1:2" x14ac:dyDescent="0.25">
      <c r="A981" t="s">
        <v>404</v>
      </c>
      <c r="B981" t="e">
        <v>#VALUE!</v>
      </c>
    </row>
    <row r="982" spans="1:2" x14ac:dyDescent="0.25">
      <c r="A982" t="s">
        <v>404</v>
      </c>
      <c r="B982" t="e">
        <v>#VALUE!</v>
      </c>
    </row>
    <row r="983" spans="1:2" x14ac:dyDescent="0.25">
      <c r="A983" t="s">
        <v>404</v>
      </c>
      <c r="B983" t="e">
        <v>#VALUE!</v>
      </c>
    </row>
    <row r="984" spans="1:2" x14ac:dyDescent="0.25">
      <c r="A984" t="s">
        <v>404</v>
      </c>
      <c r="B984" t="e">
        <v>#VALUE!</v>
      </c>
    </row>
    <row r="985" spans="1:2" x14ac:dyDescent="0.25">
      <c r="A985" t="s">
        <v>404</v>
      </c>
      <c r="B985" t="e">
        <v>#VALUE!</v>
      </c>
    </row>
    <row r="986" spans="1:2" x14ac:dyDescent="0.25">
      <c r="A986" t="s">
        <v>404</v>
      </c>
      <c r="B986" t="e">
        <v>#VALUE!</v>
      </c>
    </row>
    <row r="987" spans="1:2" x14ac:dyDescent="0.25">
      <c r="A987" t="s">
        <v>404</v>
      </c>
      <c r="B987" t="e">
        <v>#VALUE!</v>
      </c>
    </row>
    <row r="988" spans="1:2" x14ac:dyDescent="0.25">
      <c r="A988" t="s">
        <v>404</v>
      </c>
      <c r="B988" t="e">
        <v>#VALUE!</v>
      </c>
    </row>
    <row r="989" spans="1:2" x14ac:dyDescent="0.25">
      <c r="A989" t="s">
        <v>404</v>
      </c>
      <c r="B989" t="e">
        <v>#VALUE!</v>
      </c>
    </row>
    <row r="990" spans="1:2" x14ac:dyDescent="0.25">
      <c r="A990" t="s">
        <v>404</v>
      </c>
      <c r="B990" t="e">
        <v>#VALUE!</v>
      </c>
    </row>
    <row r="991" spans="1:2" x14ac:dyDescent="0.25">
      <c r="A991" t="s">
        <v>404</v>
      </c>
      <c r="B991" t="e">
        <v>#VALUE!</v>
      </c>
    </row>
    <row r="992" spans="1:2" x14ac:dyDescent="0.25">
      <c r="A992" t="s">
        <v>404</v>
      </c>
      <c r="B992" t="e">
        <v>#VALUE!</v>
      </c>
    </row>
    <row r="993" spans="1:2" x14ac:dyDescent="0.25">
      <c r="A993" t="s">
        <v>404</v>
      </c>
      <c r="B993" t="e">
        <v>#VALUE!</v>
      </c>
    </row>
    <row r="994" spans="1:2" x14ac:dyDescent="0.25">
      <c r="A994" t="s">
        <v>404</v>
      </c>
      <c r="B994" t="e">
        <v>#VALUE!</v>
      </c>
    </row>
    <row r="995" spans="1:2" x14ac:dyDescent="0.25">
      <c r="A995" t="s">
        <v>404</v>
      </c>
      <c r="B995" t="e">
        <v>#VALUE!</v>
      </c>
    </row>
    <row r="996" spans="1:2" x14ac:dyDescent="0.25">
      <c r="A996" t="s">
        <v>404</v>
      </c>
      <c r="B996" t="e">
        <v>#VALUE!</v>
      </c>
    </row>
    <row r="997" spans="1:2" x14ac:dyDescent="0.25">
      <c r="A997" t="s">
        <v>404</v>
      </c>
      <c r="B997" t="e">
        <v>#VALUE!</v>
      </c>
    </row>
    <row r="998" spans="1:2" x14ac:dyDescent="0.25">
      <c r="A998" t="s">
        <v>404</v>
      </c>
      <c r="B998" t="e">
        <v>#VALUE!</v>
      </c>
    </row>
    <row r="999" spans="1:2" x14ac:dyDescent="0.25">
      <c r="A999" t="s">
        <v>404</v>
      </c>
      <c r="B999" t="e">
        <v>#VALUE!</v>
      </c>
    </row>
    <row r="1000" spans="1:2" x14ac:dyDescent="0.25">
      <c r="A1000" t="s">
        <v>404</v>
      </c>
      <c r="B1000" t="e">
        <v>#VALUE!</v>
      </c>
    </row>
    <row r="1001" spans="1:2" x14ac:dyDescent="0.25">
      <c r="A1001" t="s">
        <v>404</v>
      </c>
      <c r="B1001" t="e">
        <v>#VALUE!</v>
      </c>
    </row>
    <row r="1002" spans="1:2" x14ac:dyDescent="0.25">
      <c r="A1002" t="s">
        <v>404</v>
      </c>
      <c r="B1002" t="e">
        <v>#VALUE!</v>
      </c>
    </row>
    <row r="1003" spans="1:2" x14ac:dyDescent="0.25">
      <c r="A1003" t="s">
        <v>404</v>
      </c>
      <c r="B1003" t="e">
        <v>#VALUE!</v>
      </c>
    </row>
    <row r="1004" spans="1:2" x14ac:dyDescent="0.25">
      <c r="A1004" t="s">
        <v>404</v>
      </c>
      <c r="B1004" t="e">
        <v>#VALUE!</v>
      </c>
    </row>
    <row r="1005" spans="1:2" x14ac:dyDescent="0.25">
      <c r="A1005" t="s">
        <v>404</v>
      </c>
      <c r="B1005" t="e">
        <v>#VALUE!</v>
      </c>
    </row>
    <row r="1006" spans="1:2" x14ac:dyDescent="0.25">
      <c r="A1006" t="s">
        <v>404</v>
      </c>
      <c r="B1006" t="e">
        <v>#VALUE!</v>
      </c>
    </row>
    <row r="1007" spans="1:2" x14ac:dyDescent="0.25">
      <c r="A1007" t="s">
        <v>404</v>
      </c>
      <c r="B1007" t="e">
        <v>#VALUE!</v>
      </c>
    </row>
    <row r="1008" spans="1:2" x14ac:dyDescent="0.25">
      <c r="A1008" t="s">
        <v>404</v>
      </c>
      <c r="B1008" t="e">
        <v>#VALUE!</v>
      </c>
    </row>
    <row r="1009" spans="1:2" x14ac:dyDescent="0.25">
      <c r="A1009" t="s">
        <v>404</v>
      </c>
      <c r="B1009" t="e">
        <v>#VALUE!</v>
      </c>
    </row>
    <row r="1010" spans="1:2" x14ac:dyDescent="0.25">
      <c r="A1010" t="s">
        <v>404</v>
      </c>
      <c r="B1010" t="e">
        <v>#VALUE!</v>
      </c>
    </row>
    <row r="1011" spans="1:2" x14ac:dyDescent="0.25">
      <c r="A1011" t="s">
        <v>404</v>
      </c>
      <c r="B1011" t="e">
        <v>#VALUE!</v>
      </c>
    </row>
    <row r="1012" spans="1:2" x14ac:dyDescent="0.25">
      <c r="A1012" t="s">
        <v>404</v>
      </c>
      <c r="B1012" t="e">
        <v>#VALUE!</v>
      </c>
    </row>
    <row r="1013" spans="1:2" x14ac:dyDescent="0.25">
      <c r="A1013" t="s">
        <v>404</v>
      </c>
      <c r="B1013" t="e">
        <v>#VALUE!</v>
      </c>
    </row>
    <row r="1014" spans="1:2" x14ac:dyDescent="0.25">
      <c r="A1014" t="s">
        <v>404</v>
      </c>
      <c r="B1014" t="e">
        <v>#VALUE!</v>
      </c>
    </row>
    <row r="1015" spans="1:2" x14ac:dyDescent="0.25">
      <c r="A1015" t="s">
        <v>404</v>
      </c>
      <c r="B1015" t="e">
        <v>#VALUE!</v>
      </c>
    </row>
    <row r="1016" spans="1:2" x14ac:dyDescent="0.25">
      <c r="A1016" t="s">
        <v>404</v>
      </c>
      <c r="B1016" t="e">
        <v>#VALUE!</v>
      </c>
    </row>
    <row r="1017" spans="1:2" x14ac:dyDescent="0.25">
      <c r="A1017" t="s">
        <v>404</v>
      </c>
      <c r="B1017" t="e">
        <v>#VALUE!</v>
      </c>
    </row>
    <row r="1018" spans="1:2" x14ac:dyDescent="0.25">
      <c r="A1018" t="s">
        <v>404</v>
      </c>
      <c r="B1018" t="e">
        <v>#VALUE!</v>
      </c>
    </row>
    <row r="1019" spans="1:2" x14ac:dyDescent="0.25">
      <c r="A1019" t="s">
        <v>404</v>
      </c>
      <c r="B1019" t="e">
        <v>#VALUE!</v>
      </c>
    </row>
    <row r="1020" spans="1:2" x14ac:dyDescent="0.25">
      <c r="A1020" t="s">
        <v>404</v>
      </c>
      <c r="B1020" t="e">
        <v>#VALUE!</v>
      </c>
    </row>
    <row r="1021" spans="1:2" x14ac:dyDescent="0.25">
      <c r="A1021" t="s">
        <v>404</v>
      </c>
      <c r="B1021" t="e">
        <v>#VALUE!</v>
      </c>
    </row>
    <row r="1022" spans="1:2" x14ac:dyDescent="0.25">
      <c r="A1022" t="s">
        <v>404</v>
      </c>
      <c r="B1022" t="e">
        <v>#VALUE!</v>
      </c>
    </row>
    <row r="1023" spans="1:2" x14ac:dyDescent="0.25">
      <c r="A1023" t="s">
        <v>404</v>
      </c>
      <c r="B1023" t="e">
        <v>#VALUE!</v>
      </c>
    </row>
    <row r="1024" spans="1:2" x14ac:dyDescent="0.25">
      <c r="A1024" t="s">
        <v>404</v>
      </c>
      <c r="B1024" t="e">
        <v>#VALUE!</v>
      </c>
    </row>
    <row r="1025" spans="1:2" x14ac:dyDescent="0.25">
      <c r="A1025" t="s">
        <v>404</v>
      </c>
      <c r="B1025" t="e">
        <v>#VALUE!</v>
      </c>
    </row>
    <row r="1026" spans="1:2" x14ac:dyDescent="0.25">
      <c r="A1026" t="s">
        <v>404</v>
      </c>
      <c r="B1026" t="e">
        <v>#VALUE!</v>
      </c>
    </row>
    <row r="1027" spans="1:2" x14ac:dyDescent="0.25">
      <c r="A1027" t="s">
        <v>404</v>
      </c>
      <c r="B1027" t="e">
        <v>#VALUE!</v>
      </c>
    </row>
    <row r="1028" spans="1:2" x14ac:dyDescent="0.25">
      <c r="A1028" t="s">
        <v>404</v>
      </c>
      <c r="B1028" t="e">
        <v>#VALUE!</v>
      </c>
    </row>
    <row r="1029" spans="1:2" x14ac:dyDescent="0.25">
      <c r="A1029" t="s">
        <v>404</v>
      </c>
      <c r="B1029" t="e">
        <v>#VALUE!</v>
      </c>
    </row>
    <row r="1030" spans="1:2" x14ac:dyDescent="0.25">
      <c r="A1030" t="s">
        <v>404</v>
      </c>
      <c r="B1030" t="e">
        <v>#VALUE!</v>
      </c>
    </row>
    <row r="1031" spans="1:2" x14ac:dyDescent="0.25">
      <c r="A1031" t="s">
        <v>404</v>
      </c>
      <c r="B1031" t="e">
        <v>#VALUE!</v>
      </c>
    </row>
    <row r="1032" spans="1:2" x14ac:dyDescent="0.25">
      <c r="A1032" t="s">
        <v>404</v>
      </c>
      <c r="B1032" t="e">
        <v>#VALUE!</v>
      </c>
    </row>
    <row r="1033" spans="1:2" x14ac:dyDescent="0.25">
      <c r="A1033" t="s">
        <v>404</v>
      </c>
      <c r="B1033" t="e">
        <v>#VALUE!</v>
      </c>
    </row>
    <row r="1034" spans="1:2" x14ac:dyDescent="0.25">
      <c r="A1034" t="s">
        <v>404</v>
      </c>
      <c r="B1034" t="e">
        <v>#VALUE!</v>
      </c>
    </row>
    <row r="1035" spans="1:2" x14ac:dyDescent="0.25">
      <c r="A1035" t="s">
        <v>404</v>
      </c>
      <c r="B1035" t="e">
        <v>#VALUE!</v>
      </c>
    </row>
    <row r="1036" spans="1:2" x14ac:dyDescent="0.25">
      <c r="A1036" t="s">
        <v>404</v>
      </c>
      <c r="B1036" t="e">
        <v>#VALUE!</v>
      </c>
    </row>
    <row r="1037" spans="1:2" x14ac:dyDescent="0.25">
      <c r="A1037" t="s">
        <v>404</v>
      </c>
      <c r="B1037" t="e">
        <v>#VALUE!</v>
      </c>
    </row>
    <row r="1038" spans="1:2" x14ac:dyDescent="0.25">
      <c r="A1038" t="s">
        <v>404</v>
      </c>
      <c r="B1038" t="e">
        <v>#VALUE!</v>
      </c>
    </row>
    <row r="1039" spans="1:2" x14ac:dyDescent="0.25">
      <c r="A1039" t="s">
        <v>404</v>
      </c>
      <c r="B1039" t="e">
        <v>#VALUE!</v>
      </c>
    </row>
    <row r="1040" spans="1:2" x14ac:dyDescent="0.25">
      <c r="A1040" t="s">
        <v>404</v>
      </c>
      <c r="B1040" t="e">
        <v>#VALUE!</v>
      </c>
    </row>
    <row r="1041" spans="1:2" x14ac:dyDescent="0.25">
      <c r="A1041" t="s">
        <v>404</v>
      </c>
      <c r="B1041" t="e">
        <v>#VALUE!</v>
      </c>
    </row>
    <row r="1042" spans="1:2" x14ac:dyDescent="0.25">
      <c r="A1042" t="s">
        <v>404</v>
      </c>
      <c r="B1042" t="e">
        <v>#VALUE!</v>
      </c>
    </row>
    <row r="1043" spans="1:2" x14ac:dyDescent="0.25">
      <c r="A1043" t="s">
        <v>404</v>
      </c>
      <c r="B1043" t="e">
        <v>#VALUE!</v>
      </c>
    </row>
    <row r="1044" spans="1:2" x14ac:dyDescent="0.25">
      <c r="A1044" t="s">
        <v>404</v>
      </c>
      <c r="B1044" t="e">
        <v>#VALUE!</v>
      </c>
    </row>
    <row r="1045" spans="1:2" x14ac:dyDescent="0.25">
      <c r="A1045" t="s">
        <v>404</v>
      </c>
      <c r="B1045" t="e">
        <v>#VALUE!</v>
      </c>
    </row>
    <row r="1046" spans="1:2" x14ac:dyDescent="0.25">
      <c r="A1046" t="s">
        <v>404</v>
      </c>
      <c r="B1046" t="e">
        <v>#VALUE!</v>
      </c>
    </row>
    <row r="1047" spans="1:2" x14ac:dyDescent="0.25">
      <c r="A1047" t="s">
        <v>404</v>
      </c>
      <c r="B1047" t="e">
        <v>#VALUE!</v>
      </c>
    </row>
    <row r="1048" spans="1:2" x14ac:dyDescent="0.25">
      <c r="A1048" t="s">
        <v>404</v>
      </c>
      <c r="B1048" t="e">
        <v>#VALUE!</v>
      </c>
    </row>
    <row r="1049" spans="1:2" x14ac:dyDescent="0.25">
      <c r="A1049" t="s">
        <v>404</v>
      </c>
      <c r="B1049" t="e">
        <v>#VALUE!</v>
      </c>
    </row>
    <row r="1050" spans="1:2" x14ac:dyDescent="0.25">
      <c r="A1050" t="s">
        <v>404</v>
      </c>
      <c r="B1050" t="e">
        <v>#VALUE!</v>
      </c>
    </row>
    <row r="1051" spans="1:2" x14ac:dyDescent="0.25">
      <c r="A1051" t="s">
        <v>404</v>
      </c>
      <c r="B1051" t="e">
        <v>#VALUE!</v>
      </c>
    </row>
    <row r="1052" spans="1:2" x14ac:dyDescent="0.25">
      <c r="A1052" t="s">
        <v>404</v>
      </c>
      <c r="B1052" t="e">
        <v>#VALUE!</v>
      </c>
    </row>
    <row r="1053" spans="1:2" x14ac:dyDescent="0.25">
      <c r="A1053" t="s">
        <v>404</v>
      </c>
      <c r="B1053" t="e">
        <v>#VALUE!</v>
      </c>
    </row>
    <row r="1054" spans="1:2" x14ac:dyDescent="0.25">
      <c r="A1054" t="s">
        <v>404</v>
      </c>
      <c r="B1054" t="e">
        <v>#VALUE!</v>
      </c>
    </row>
    <row r="1055" spans="1:2" x14ac:dyDescent="0.25">
      <c r="A1055" t="s">
        <v>404</v>
      </c>
      <c r="B1055" t="e">
        <v>#VALUE!</v>
      </c>
    </row>
    <row r="1056" spans="1:2" x14ac:dyDescent="0.25">
      <c r="A1056" t="s">
        <v>404</v>
      </c>
      <c r="B1056" t="e">
        <v>#VALUE!</v>
      </c>
    </row>
    <row r="1057" spans="1:2" x14ac:dyDescent="0.25">
      <c r="A1057" t="s">
        <v>404</v>
      </c>
      <c r="B1057" t="e">
        <v>#VALUE!</v>
      </c>
    </row>
    <row r="1058" spans="1:2" x14ac:dyDescent="0.25">
      <c r="A1058" t="s">
        <v>404</v>
      </c>
      <c r="B1058" t="e">
        <v>#VALUE!</v>
      </c>
    </row>
    <row r="1059" spans="1:2" x14ac:dyDescent="0.25">
      <c r="A1059" t="s">
        <v>404</v>
      </c>
      <c r="B1059" t="e">
        <v>#VALUE!</v>
      </c>
    </row>
    <row r="1060" spans="1:2" x14ac:dyDescent="0.25">
      <c r="A1060" t="s">
        <v>404</v>
      </c>
      <c r="B1060" t="e">
        <v>#VALUE!</v>
      </c>
    </row>
    <row r="1061" spans="1:2" x14ac:dyDescent="0.25">
      <c r="A1061" t="s">
        <v>404</v>
      </c>
      <c r="B1061" t="e">
        <v>#VALUE!</v>
      </c>
    </row>
    <row r="1062" spans="1:2" x14ac:dyDescent="0.25">
      <c r="A1062" t="s">
        <v>404</v>
      </c>
      <c r="B1062" t="e">
        <v>#VALUE!</v>
      </c>
    </row>
    <row r="1063" spans="1:2" x14ac:dyDescent="0.25">
      <c r="A1063" t="s">
        <v>404</v>
      </c>
      <c r="B1063" t="e">
        <v>#VALUE!</v>
      </c>
    </row>
    <row r="1064" spans="1:2" x14ac:dyDescent="0.25">
      <c r="A1064" t="s">
        <v>404</v>
      </c>
      <c r="B1064" t="e">
        <v>#VALUE!</v>
      </c>
    </row>
    <row r="1065" spans="1:2" x14ac:dyDescent="0.25">
      <c r="A1065" t="s">
        <v>404</v>
      </c>
      <c r="B1065" t="e">
        <v>#VALUE!</v>
      </c>
    </row>
    <row r="1066" spans="1:2" x14ac:dyDescent="0.25">
      <c r="A1066" t="s">
        <v>404</v>
      </c>
      <c r="B1066" t="e">
        <v>#VALUE!</v>
      </c>
    </row>
    <row r="1067" spans="1:2" x14ac:dyDescent="0.25">
      <c r="A1067" t="s">
        <v>404</v>
      </c>
      <c r="B1067" t="e">
        <v>#VALUE!</v>
      </c>
    </row>
    <row r="1068" spans="1:2" x14ac:dyDescent="0.25">
      <c r="A1068" t="s">
        <v>404</v>
      </c>
      <c r="B1068" t="e">
        <v>#VALUE!</v>
      </c>
    </row>
    <row r="1069" spans="1:2" x14ac:dyDescent="0.25">
      <c r="A1069" t="s">
        <v>404</v>
      </c>
      <c r="B1069" t="e">
        <v>#VALUE!</v>
      </c>
    </row>
    <row r="1070" spans="1:2" x14ac:dyDescent="0.25">
      <c r="A1070" t="s">
        <v>404</v>
      </c>
      <c r="B1070" t="e">
        <v>#VALUE!</v>
      </c>
    </row>
    <row r="1071" spans="1:2" x14ac:dyDescent="0.25">
      <c r="A1071" t="s">
        <v>404</v>
      </c>
      <c r="B1071" t="e">
        <v>#VALUE!</v>
      </c>
    </row>
    <row r="1072" spans="1:2" x14ac:dyDescent="0.25">
      <c r="A1072" t="s">
        <v>404</v>
      </c>
      <c r="B1072" t="e">
        <v>#VALUE!</v>
      </c>
    </row>
    <row r="1073" spans="1:2" x14ac:dyDescent="0.25">
      <c r="A1073" t="s">
        <v>404</v>
      </c>
      <c r="B1073" t="e">
        <v>#VALUE!</v>
      </c>
    </row>
    <row r="1074" spans="1:2" x14ac:dyDescent="0.25">
      <c r="A1074" t="s">
        <v>404</v>
      </c>
      <c r="B1074" t="e">
        <v>#VALUE!</v>
      </c>
    </row>
    <row r="1075" spans="1:2" x14ac:dyDescent="0.25">
      <c r="A1075" t="s">
        <v>404</v>
      </c>
      <c r="B1075" t="e">
        <v>#VALUE!</v>
      </c>
    </row>
    <row r="1076" spans="1:2" x14ac:dyDescent="0.25">
      <c r="A1076" t="s">
        <v>404</v>
      </c>
      <c r="B1076" t="e">
        <v>#VALUE!</v>
      </c>
    </row>
    <row r="1077" spans="1:2" x14ac:dyDescent="0.25">
      <c r="A1077" t="s">
        <v>404</v>
      </c>
      <c r="B1077" t="e">
        <v>#VALUE!</v>
      </c>
    </row>
    <row r="1078" spans="1:2" x14ac:dyDescent="0.25">
      <c r="A1078" t="s">
        <v>404</v>
      </c>
      <c r="B1078" t="e">
        <v>#VALUE!</v>
      </c>
    </row>
    <row r="1079" spans="1:2" x14ac:dyDescent="0.25">
      <c r="A1079" t="s">
        <v>404</v>
      </c>
      <c r="B1079" t="e">
        <v>#VALUE!</v>
      </c>
    </row>
    <row r="1080" spans="1:2" x14ac:dyDescent="0.25">
      <c r="A1080" t="s">
        <v>404</v>
      </c>
      <c r="B1080" t="e">
        <v>#VALUE!</v>
      </c>
    </row>
    <row r="1081" spans="1:2" x14ac:dyDescent="0.25">
      <c r="A1081" t="s">
        <v>404</v>
      </c>
      <c r="B1081" t="e">
        <v>#VALUE!</v>
      </c>
    </row>
    <row r="1082" spans="1:2" x14ac:dyDescent="0.25">
      <c r="A1082" t="s">
        <v>404</v>
      </c>
      <c r="B1082" t="e">
        <v>#VALUE!</v>
      </c>
    </row>
    <row r="1083" spans="1:2" x14ac:dyDescent="0.25">
      <c r="A1083" t="s">
        <v>404</v>
      </c>
      <c r="B1083" t="e">
        <v>#VALUE!</v>
      </c>
    </row>
    <row r="1084" spans="1:2" x14ac:dyDescent="0.25">
      <c r="A1084" t="s">
        <v>404</v>
      </c>
      <c r="B1084" t="e">
        <v>#VALUE!</v>
      </c>
    </row>
    <row r="1085" spans="1:2" x14ac:dyDescent="0.25">
      <c r="A1085" t="s">
        <v>404</v>
      </c>
      <c r="B1085" t="e">
        <v>#VALUE!</v>
      </c>
    </row>
    <row r="1086" spans="1:2" x14ac:dyDescent="0.25">
      <c r="A1086" t="s">
        <v>404</v>
      </c>
      <c r="B1086" t="e">
        <v>#VALUE!</v>
      </c>
    </row>
    <row r="1087" spans="1:2" x14ac:dyDescent="0.25">
      <c r="A1087" t="s">
        <v>404</v>
      </c>
      <c r="B1087" t="e">
        <v>#VALUE!</v>
      </c>
    </row>
    <row r="1088" spans="1:2" x14ac:dyDescent="0.25">
      <c r="A1088" t="s">
        <v>404</v>
      </c>
      <c r="B1088" t="e">
        <v>#VALUE!</v>
      </c>
    </row>
    <row r="1089" spans="1:2" x14ac:dyDescent="0.25">
      <c r="A1089" t="s">
        <v>404</v>
      </c>
      <c r="B1089" t="e">
        <v>#VALUE!</v>
      </c>
    </row>
    <row r="1090" spans="1:2" x14ac:dyDescent="0.25">
      <c r="A1090" t="s">
        <v>404</v>
      </c>
      <c r="B1090" t="e">
        <v>#VALUE!</v>
      </c>
    </row>
    <row r="1091" spans="1:2" x14ac:dyDescent="0.25">
      <c r="A1091" t="s">
        <v>404</v>
      </c>
      <c r="B1091" t="e">
        <v>#VALUE!</v>
      </c>
    </row>
    <row r="1092" spans="1:2" x14ac:dyDescent="0.25">
      <c r="A1092" t="s">
        <v>404</v>
      </c>
      <c r="B1092" t="e">
        <v>#VALUE!</v>
      </c>
    </row>
    <row r="1093" spans="1:2" x14ac:dyDescent="0.25">
      <c r="A1093" t="s">
        <v>404</v>
      </c>
      <c r="B1093" t="e">
        <v>#VALUE!</v>
      </c>
    </row>
    <row r="1094" spans="1:2" x14ac:dyDescent="0.25">
      <c r="A1094" t="s">
        <v>404</v>
      </c>
      <c r="B1094" t="e">
        <v>#VALUE!</v>
      </c>
    </row>
    <row r="1095" spans="1:2" x14ac:dyDescent="0.25">
      <c r="A1095" t="s">
        <v>404</v>
      </c>
      <c r="B1095" t="e">
        <v>#VALUE!</v>
      </c>
    </row>
    <row r="1096" spans="1:2" x14ac:dyDescent="0.25">
      <c r="A1096" t="s">
        <v>404</v>
      </c>
      <c r="B1096" t="e">
        <v>#VALUE!</v>
      </c>
    </row>
    <row r="1097" spans="1:2" x14ac:dyDescent="0.25">
      <c r="A1097" t="s">
        <v>404</v>
      </c>
      <c r="B1097" t="e">
        <v>#VALUE!</v>
      </c>
    </row>
    <row r="1098" spans="1:2" x14ac:dyDescent="0.25">
      <c r="A1098" t="s">
        <v>404</v>
      </c>
      <c r="B1098" t="e">
        <v>#VALUE!</v>
      </c>
    </row>
    <row r="1099" spans="1:2" x14ac:dyDescent="0.25">
      <c r="A1099" t="s">
        <v>404</v>
      </c>
      <c r="B1099" t="e">
        <v>#VALUE!</v>
      </c>
    </row>
    <row r="1100" spans="1:2" x14ac:dyDescent="0.25">
      <c r="A1100" t="s">
        <v>404</v>
      </c>
      <c r="B1100" t="e">
        <v>#VALUE!</v>
      </c>
    </row>
    <row r="1101" spans="1:2" x14ac:dyDescent="0.25">
      <c r="A1101" t="s">
        <v>404</v>
      </c>
      <c r="B1101" t="e">
        <v>#VALUE!</v>
      </c>
    </row>
    <row r="1102" spans="1:2" x14ac:dyDescent="0.25">
      <c r="A1102" t="s">
        <v>404</v>
      </c>
      <c r="B1102" t="e">
        <v>#VALUE!</v>
      </c>
    </row>
    <row r="1103" spans="1:2" x14ac:dyDescent="0.25">
      <c r="A1103" t="s">
        <v>404</v>
      </c>
      <c r="B1103" t="e">
        <v>#VALUE!</v>
      </c>
    </row>
    <row r="1104" spans="1:2" x14ac:dyDescent="0.25">
      <c r="A1104" t="s">
        <v>404</v>
      </c>
      <c r="B1104" t="e">
        <v>#VALUE!</v>
      </c>
    </row>
    <row r="1105" spans="1:2" x14ac:dyDescent="0.25">
      <c r="A1105" t="s">
        <v>404</v>
      </c>
      <c r="B1105" t="e">
        <v>#VALUE!</v>
      </c>
    </row>
    <row r="1106" spans="1:2" x14ac:dyDescent="0.25">
      <c r="A1106" t="s">
        <v>404</v>
      </c>
      <c r="B1106" t="e">
        <v>#VALUE!</v>
      </c>
    </row>
    <row r="1107" spans="1:2" x14ac:dyDescent="0.25">
      <c r="A1107" t="s">
        <v>404</v>
      </c>
      <c r="B1107" t="e">
        <v>#VALUE!</v>
      </c>
    </row>
    <row r="1108" spans="1:2" x14ac:dyDescent="0.25">
      <c r="A1108" t="s">
        <v>404</v>
      </c>
      <c r="B1108" t="e">
        <v>#VALUE!</v>
      </c>
    </row>
    <row r="1109" spans="1:2" x14ac:dyDescent="0.25">
      <c r="A1109" t="s">
        <v>404</v>
      </c>
      <c r="B1109" t="e">
        <v>#VALUE!</v>
      </c>
    </row>
    <row r="1110" spans="1:2" x14ac:dyDescent="0.25">
      <c r="A1110" t="s">
        <v>404</v>
      </c>
      <c r="B1110" t="e">
        <v>#VALUE!</v>
      </c>
    </row>
    <row r="1111" spans="1:2" x14ac:dyDescent="0.25">
      <c r="A1111" t="s">
        <v>404</v>
      </c>
      <c r="B1111" t="e">
        <v>#VALUE!</v>
      </c>
    </row>
    <row r="1112" spans="1:2" x14ac:dyDescent="0.25">
      <c r="A1112" t="s">
        <v>404</v>
      </c>
      <c r="B1112" t="e">
        <v>#VALUE!</v>
      </c>
    </row>
    <row r="1113" spans="1:2" x14ac:dyDescent="0.25">
      <c r="A1113" t="s">
        <v>404</v>
      </c>
      <c r="B1113" t="e">
        <v>#VALUE!</v>
      </c>
    </row>
    <row r="1114" spans="1:2" x14ac:dyDescent="0.25">
      <c r="A1114" t="s">
        <v>404</v>
      </c>
      <c r="B1114" t="e">
        <v>#VALUE!</v>
      </c>
    </row>
    <row r="1115" spans="1:2" x14ac:dyDescent="0.25">
      <c r="A1115" t="s">
        <v>404</v>
      </c>
      <c r="B1115" t="e">
        <v>#VALUE!</v>
      </c>
    </row>
    <row r="1116" spans="1:2" x14ac:dyDescent="0.25">
      <c r="A1116" t="s">
        <v>404</v>
      </c>
      <c r="B1116" t="e">
        <v>#VALUE!</v>
      </c>
    </row>
    <row r="1117" spans="1:2" x14ac:dyDescent="0.25">
      <c r="A1117" t="s">
        <v>404</v>
      </c>
      <c r="B1117" t="e">
        <v>#VALUE!</v>
      </c>
    </row>
    <row r="1118" spans="1:2" x14ac:dyDescent="0.25">
      <c r="A1118" t="s">
        <v>404</v>
      </c>
      <c r="B1118" t="e">
        <v>#VALUE!</v>
      </c>
    </row>
    <row r="1119" spans="1:2" x14ac:dyDescent="0.25">
      <c r="A1119" t="s">
        <v>404</v>
      </c>
      <c r="B1119" t="e">
        <v>#VALUE!</v>
      </c>
    </row>
    <row r="1120" spans="1:2" x14ac:dyDescent="0.25">
      <c r="A1120" t="s">
        <v>404</v>
      </c>
      <c r="B1120" t="e">
        <v>#VALUE!</v>
      </c>
    </row>
    <row r="1121" spans="1:2" x14ac:dyDescent="0.25">
      <c r="A1121" t="s">
        <v>404</v>
      </c>
      <c r="B1121" t="e">
        <v>#VALUE!</v>
      </c>
    </row>
    <row r="1122" spans="1:2" x14ac:dyDescent="0.25">
      <c r="A1122" t="s">
        <v>404</v>
      </c>
      <c r="B1122" t="e">
        <v>#VALUE!</v>
      </c>
    </row>
    <row r="1123" spans="1:2" x14ac:dyDescent="0.25">
      <c r="A1123" t="s">
        <v>404</v>
      </c>
      <c r="B1123" t="e">
        <v>#VALUE!</v>
      </c>
    </row>
    <row r="1124" spans="1:2" x14ac:dyDescent="0.25">
      <c r="A1124" t="s">
        <v>404</v>
      </c>
      <c r="B1124" t="e">
        <v>#VALUE!</v>
      </c>
    </row>
    <row r="1125" spans="1:2" x14ac:dyDescent="0.25">
      <c r="A1125" t="s">
        <v>404</v>
      </c>
      <c r="B1125" t="e">
        <v>#VALUE!</v>
      </c>
    </row>
    <row r="1126" spans="1:2" x14ac:dyDescent="0.25">
      <c r="A1126" t="s">
        <v>404</v>
      </c>
      <c r="B1126" t="e">
        <v>#VALUE!</v>
      </c>
    </row>
    <row r="1127" spans="1:2" x14ac:dyDescent="0.25">
      <c r="A1127" t="s">
        <v>404</v>
      </c>
      <c r="B1127" t="e">
        <v>#VALUE!</v>
      </c>
    </row>
    <row r="1128" spans="1:2" x14ac:dyDescent="0.25">
      <c r="A1128" t="s">
        <v>404</v>
      </c>
      <c r="B1128" t="e">
        <v>#VALUE!</v>
      </c>
    </row>
    <row r="1129" spans="1:2" x14ac:dyDescent="0.25">
      <c r="A1129" t="s">
        <v>404</v>
      </c>
      <c r="B1129" t="e">
        <v>#VALUE!</v>
      </c>
    </row>
    <row r="1130" spans="1:2" x14ac:dyDescent="0.25">
      <c r="A1130" t="s">
        <v>404</v>
      </c>
      <c r="B1130" t="e">
        <v>#VALUE!</v>
      </c>
    </row>
    <row r="1131" spans="1:2" x14ac:dyDescent="0.25">
      <c r="A1131" t="s">
        <v>404</v>
      </c>
      <c r="B1131" t="e">
        <v>#VALUE!</v>
      </c>
    </row>
    <row r="1132" spans="1:2" x14ac:dyDescent="0.25">
      <c r="A1132" t="s">
        <v>404</v>
      </c>
      <c r="B1132" t="e">
        <v>#VALUE!</v>
      </c>
    </row>
    <row r="1133" spans="1:2" x14ac:dyDescent="0.25">
      <c r="A1133" t="s">
        <v>404</v>
      </c>
      <c r="B1133" t="e">
        <v>#VALUE!</v>
      </c>
    </row>
    <row r="1134" spans="1:2" x14ac:dyDescent="0.25">
      <c r="A1134" t="s">
        <v>404</v>
      </c>
      <c r="B1134" t="e">
        <v>#VALUE!</v>
      </c>
    </row>
    <row r="1135" spans="1:2" x14ac:dyDescent="0.25">
      <c r="A1135" t="s">
        <v>404</v>
      </c>
      <c r="B1135" t="e">
        <v>#VALUE!</v>
      </c>
    </row>
    <row r="1136" spans="1:2" x14ac:dyDescent="0.25">
      <c r="A1136" t="s">
        <v>404</v>
      </c>
      <c r="B1136" t="e">
        <v>#VALUE!</v>
      </c>
    </row>
    <row r="1137" spans="1:2" x14ac:dyDescent="0.25">
      <c r="A1137" t="s">
        <v>404</v>
      </c>
      <c r="B1137" t="e">
        <v>#VALUE!</v>
      </c>
    </row>
    <row r="1138" spans="1:2" x14ac:dyDescent="0.25">
      <c r="A1138" t="s">
        <v>404</v>
      </c>
      <c r="B1138" t="e">
        <v>#VALUE!</v>
      </c>
    </row>
    <row r="1139" spans="1:2" x14ac:dyDescent="0.25">
      <c r="A1139" t="s">
        <v>404</v>
      </c>
      <c r="B1139" t="e">
        <v>#VALUE!</v>
      </c>
    </row>
    <row r="1140" spans="1:2" x14ac:dyDescent="0.25">
      <c r="A1140" t="s">
        <v>404</v>
      </c>
      <c r="B1140" t="e">
        <v>#VALUE!</v>
      </c>
    </row>
    <row r="1141" spans="1:2" x14ac:dyDescent="0.25">
      <c r="A1141" t="s">
        <v>404</v>
      </c>
      <c r="B1141" t="e">
        <v>#VALUE!</v>
      </c>
    </row>
    <row r="1142" spans="1:2" x14ac:dyDescent="0.25">
      <c r="A1142" t="s">
        <v>404</v>
      </c>
      <c r="B1142" t="e">
        <v>#VALUE!</v>
      </c>
    </row>
    <row r="1143" spans="1:2" x14ac:dyDescent="0.25">
      <c r="A1143" t="s">
        <v>404</v>
      </c>
      <c r="B1143" t="e">
        <v>#VALUE!</v>
      </c>
    </row>
    <row r="1144" spans="1:2" x14ac:dyDescent="0.25">
      <c r="A1144" t="s">
        <v>404</v>
      </c>
      <c r="B1144" t="e">
        <v>#VALUE!</v>
      </c>
    </row>
    <row r="1145" spans="1:2" x14ac:dyDescent="0.25">
      <c r="A1145" t="s">
        <v>404</v>
      </c>
      <c r="B1145" t="e">
        <v>#VALUE!</v>
      </c>
    </row>
    <row r="1146" spans="1:2" x14ac:dyDescent="0.25">
      <c r="A1146" t="s">
        <v>404</v>
      </c>
      <c r="B1146" t="e">
        <v>#VALUE!</v>
      </c>
    </row>
    <row r="1147" spans="1:2" x14ac:dyDescent="0.25">
      <c r="A1147" t="s">
        <v>404</v>
      </c>
      <c r="B1147" t="e">
        <v>#VALUE!</v>
      </c>
    </row>
    <row r="1148" spans="1:2" x14ac:dyDescent="0.25">
      <c r="A1148" t="s">
        <v>404</v>
      </c>
      <c r="B1148" t="e">
        <v>#VALUE!</v>
      </c>
    </row>
    <row r="1149" spans="1:2" x14ac:dyDescent="0.25">
      <c r="A1149" t="s">
        <v>404</v>
      </c>
      <c r="B1149" t="e">
        <v>#VALUE!</v>
      </c>
    </row>
    <row r="1150" spans="1:2" x14ac:dyDescent="0.25">
      <c r="A1150" t="s">
        <v>404</v>
      </c>
      <c r="B1150" t="e">
        <v>#VALUE!</v>
      </c>
    </row>
    <row r="1151" spans="1:2" x14ac:dyDescent="0.25">
      <c r="A1151" t="s">
        <v>404</v>
      </c>
      <c r="B1151" t="e">
        <v>#VALUE!</v>
      </c>
    </row>
    <row r="1152" spans="1:2" x14ac:dyDescent="0.25">
      <c r="A1152" t="s">
        <v>404</v>
      </c>
      <c r="B1152" t="e">
        <v>#VALUE!</v>
      </c>
    </row>
    <row r="1153" spans="1:2" x14ac:dyDescent="0.25">
      <c r="A1153" t="s">
        <v>404</v>
      </c>
      <c r="B1153" t="e">
        <v>#VALUE!</v>
      </c>
    </row>
    <row r="1154" spans="1:2" x14ac:dyDescent="0.25">
      <c r="A1154" t="s">
        <v>404</v>
      </c>
      <c r="B1154" t="e">
        <v>#VALUE!</v>
      </c>
    </row>
    <row r="1155" spans="1:2" x14ac:dyDescent="0.25">
      <c r="A1155" t="s">
        <v>404</v>
      </c>
      <c r="B1155" t="e">
        <v>#VALUE!</v>
      </c>
    </row>
    <row r="1156" spans="1:2" x14ac:dyDescent="0.25">
      <c r="A1156" t="s">
        <v>404</v>
      </c>
      <c r="B1156" t="e">
        <v>#VALUE!</v>
      </c>
    </row>
    <row r="1157" spans="1:2" x14ac:dyDescent="0.25">
      <c r="A1157" t="s">
        <v>404</v>
      </c>
      <c r="B1157" t="e">
        <v>#VALUE!</v>
      </c>
    </row>
    <row r="1158" spans="1:2" x14ac:dyDescent="0.25">
      <c r="A1158" t="s">
        <v>404</v>
      </c>
      <c r="B1158" t="e">
        <v>#VALUE!</v>
      </c>
    </row>
    <row r="1159" spans="1:2" x14ac:dyDescent="0.25">
      <c r="A1159" t="s">
        <v>404</v>
      </c>
      <c r="B1159" t="e">
        <v>#VALUE!</v>
      </c>
    </row>
    <row r="1160" spans="1:2" x14ac:dyDescent="0.25">
      <c r="A1160" t="s">
        <v>404</v>
      </c>
      <c r="B1160" t="e">
        <v>#VALUE!</v>
      </c>
    </row>
    <row r="1161" spans="1:2" x14ac:dyDescent="0.25">
      <c r="A1161" t="s">
        <v>404</v>
      </c>
      <c r="B1161" t="e">
        <v>#VALUE!</v>
      </c>
    </row>
    <row r="1162" spans="1:2" x14ac:dyDescent="0.25">
      <c r="A1162" t="s">
        <v>404</v>
      </c>
      <c r="B1162" t="e">
        <v>#VALUE!</v>
      </c>
    </row>
    <row r="1163" spans="1:2" x14ac:dyDescent="0.25">
      <c r="A1163" t="s">
        <v>404</v>
      </c>
      <c r="B1163" t="e">
        <v>#VALUE!</v>
      </c>
    </row>
    <row r="1164" spans="1:2" x14ac:dyDescent="0.25">
      <c r="A1164" t="s">
        <v>404</v>
      </c>
      <c r="B1164" t="e">
        <v>#VALUE!</v>
      </c>
    </row>
    <row r="1165" spans="1:2" x14ac:dyDescent="0.25">
      <c r="A1165" t="s">
        <v>404</v>
      </c>
      <c r="B1165" t="e">
        <v>#VALUE!</v>
      </c>
    </row>
    <row r="1166" spans="1:2" x14ac:dyDescent="0.25">
      <c r="A1166" t="s">
        <v>404</v>
      </c>
      <c r="B1166" t="e">
        <v>#VALUE!</v>
      </c>
    </row>
    <row r="1167" spans="1:2" x14ac:dyDescent="0.25">
      <c r="A1167" t="s">
        <v>404</v>
      </c>
      <c r="B1167" t="e">
        <v>#VALUE!</v>
      </c>
    </row>
    <row r="1168" spans="1:2" x14ac:dyDescent="0.25">
      <c r="A1168" t="s">
        <v>404</v>
      </c>
      <c r="B1168" t="e">
        <v>#VALUE!</v>
      </c>
    </row>
    <row r="1169" spans="1:2" x14ac:dyDescent="0.25">
      <c r="A1169" t="s">
        <v>404</v>
      </c>
      <c r="B1169" t="e">
        <v>#VALUE!</v>
      </c>
    </row>
    <row r="1170" spans="1:2" x14ac:dyDescent="0.25">
      <c r="A1170" t="s">
        <v>404</v>
      </c>
      <c r="B1170" t="e">
        <v>#VALUE!</v>
      </c>
    </row>
    <row r="1171" spans="1:2" x14ac:dyDescent="0.25">
      <c r="A1171" t="s">
        <v>404</v>
      </c>
      <c r="B1171" t="e">
        <v>#VALUE!</v>
      </c>
    </row>
    <row r="1172" spans="1:2" x14ac:dyDescent="0.25">
      <c r="A1172" t="s">
        <v>404</v>
      </c>
      <c r="B1172" t="e">
        <v>#VALUE!</v>
      </c>
    </row>
    <row r="1173" spans="1:2" x14ac:dyDescent="0.25">
      <c r="A1173" t="s">
        <v>404</v>
      </c>
      <c r="B1173" t="e">
        <v>#VALUE!</v>
      </c>
    </row>
    <row r="1174" spans="1:2" x14ac:dyDescent="0.25">
      <c r="A1174" t="s">
        <v>404</v>
      </c>
      <c r="B1174" t="e">
        <v>#VALUE!</v>
      </c>
    </row>
    <row r="1175" spans="1:2" x14ac:dyDescent="0.25">
      <c r="A1175" t="s">
        <v>404</v>
      </c>
      <c r="B1175" t="e">
        <v>#VALUE!</v>
      </c>
    </row>
    <row r="1176" spans="1:2" x14ac:dyDescent="0.25">
      <c r="A1176" t="s">
        <v>404</v>
      </c>
      <c r="B1176" t="e">
        <v>#VALUE!</v>
      </c>
    </row>
    <row r="1177" spans="1:2" x14ac:dyDescent="0.25">
      <c r="A1177" t="s">
        <v>404</v>
      </c>
      <c r="B1177" t="e">
        <v>#VALUE!</v>
      </c>
    </row>
    <row r="1178" spans="1:2" x14ac:dyDescent="0.25">
      <c r="A1178" t="s">
        <v>404</v>
      </c>
      <c r="B1178" t="e">
        <v>#VALUE!</v>
      </c>
    </row>
    <row r="1179" spans="1:2" x14ac:dyDescent="0.25">
      <c r="A1179" t="s">
        <v>404</v>
      </c>
      <c r="B1179" t="e">
        <v>#VALUE!</v>
      </c>
    </row>
    <row r="1180" spans="1:2" x14ac:dyDescent="0.25">
      <c r="A1180" t="s">
        <v>404</v>
      </c>
      <c r="B1180" t="e">
        <v>#VALUE!</v>
      </c>
    </row>
    <row r="1181" spans="1:2" x14ac:dyDescent="0.25">
      <c r="A1181" t="s">
        <v>404</v>
      </c>
      <c r="B1181" t="e">
        <v>#VALUE!</v>
      </c>
    </row>
    <row r="1182" spans="1:2" x14ac:dyDescent="0.25">
      <c r="A1182" t="s">
        <v>404</v>
      </c>
      <c r="B1182" t="e">
        <v>#VALUE!</v>
      </c>
    </row>
    <row r="1183" spans="1:2" x14ac:dyDescent="0.25">
      <c r="A1183" t="s">
        <v>404</v>
      </c>
      <c r="B1183" t="e">
        <v>#VALUE!</v>
      </c>
    </row>
    <row r="1184" spans="1:2" x14ac:dyDescent="0.25">
      <c r="A1184" t="s">
        <v>404</v>
      </c>
      <c r="B1184" t="e">
        <v>#VALUE!</v>
      </c>
    </row>
    <row r="1185" spans="1:2" x14ac:dyDescent="0.25">
      <c r="A1185" t="s">
        <v>404</v>
      </c>
      <c r="B1185" t="e">
        <v>#VALUE!</v>
      </c>
    </row>
    <row r="1186" spans="1:2" x14ac:dyDescent="0.25">
      <c r="A1186" t="s">
        <v>404</v>
      </c>
      <c r="B1186" t="e">
        <v>#VALUE!</v>
      </c>
    </row>
    <row r="1187" spans="1:2" x14ac:dyDescent="0.25">
      <c r="A1187" t="s">
        <v>404</v>
      </c>
      <c r="B1187" t="e">
        <v>#VALUE!</v>
      </c>
    </row>
    <row r="1188" spans="1:2" x14ac:dyDescent="0.25">
      <c r="A1188" t="s">
        <v>404</v>
      </c>
      <c r="B1188" t="e">
        <v>#VALUE!</v>
      </c>
    </row>
    <row r="1189" spans="1:2" x14ac:dyDescent="0.25">
      <c r="A1189" t="s">
        <v>404</v>
      </c>
      <c r="B1189" t="e">
        <v>#VALUE!</v>
      </c>
    </row>
    <row r="1190" spans="1:2" x14ac:dyDescent="0.25">
      <c r="A1190" t="s">
        <v>404</v>
      </c>
      <c r="B1190" t="e">
        <v>#VALUE!</v>
      </c>
    </row>
    <row r="1191" spans="1:2" x14ac:dyDescent="0.25">
      <c r="A1191" t="s">
        <v>404</v>
      </c>
      <c r="B1191" t="e">
        <v>#VALUE!</v>
      </c>
    </row>
    <row r="1192" spans="1:2" x14ac:dyDescent="0.25">
      <c r="A1192" t="s">
        <v>404</v>
      </c>
      <c r="B1192" t="e">
        <v>#VALUE!</v>
      </c>
    </row>
    <row r="1193" spans="1:2" x14ac:dyDescent="0.25">
      <c r="A1193" t="s">
        <v>404</v>
      </c>
      <c r="B1193" t="e">
        <v>#VALUE!</v>
      </c>
    </row>
    <row r="1194" spans="1:2" x14ac:dyDescent="0.25">
      <c r="A1194" t="s">
        <v>404</v>
      </c>
      <c r="B1194" t="e">
        <v>#VALUE!</v>
      </c>
    </row>
    <row r="1195" spans="1:2" x14ac:dyDescent="0.25">
      <c r="A1195" t="s">
        <v>404</v>
      </c>
      <c r="B1195" t="e">
        <v>#VALUE!</v>
      </c>
    </row>
    <row r="1196" spans="1:2" x14ac:dyDescent="0.25">
      <c r="A1196" t="s">
        <v>404</v>
      </c>
      <c r="B1196" t="e">
        <v>#VALUE!</v>
      </c>
    </row>
    <row r="1197" spans="1:2" x14ac:dyDescent="0.25">
      <c r="A1197" t="s">
        <v>404</v>
      </c>
      <c r="B1197" t="e">
        <v>#VALUE!</v>
      </c>
    </row>
    <row r="1198" spans="1:2" x14ac:dyDescent="0.25">
      <c r="A1198" t="s">
        <v>404</v>
      </c>
      <c r="B1198" t="e">
        <v>#VALUE!</v>
      </c>
    </row>
    <row r="1199" spans="1:2" x14ac:dyDescent="0.25">
      <c r="A1199" t="s">
        <v>404</v>
      </c>
      <c r="B1199" t="e">
        <v>#VALUE!</v>
      </c>
    </row>
    <row r="1200" spans="1:2" x14ac:dyDescent="0.25">
      <c r="A1200" t="s">
        <v>404</v>
      </c>
      <c r="B1200" t="e">
        <v>#VALUE!</v>
      </c>
    </row>
    <row r="1201" spans="1:2" x14ac:dyDescent="0.25">
      <c r="A1201" t="s">
        <v>404</v>
      </c>
      <c r="B1201" t="e">
        <v>#VALUE!</v>
      </c>
    </row>
    <row r="1202" spans="1:2" x14ac:dyDescent="0.25">
      <c r="A1202" t="s">
        <v>404</v>
      </c>
      <c r="B1202" t="e">
        <v>#VALUE!</v>
      </c>
    </row>
    <row r="1203" spans="1:2" x14ac:dyDescent="0.25">
      <c r="A1203" t="s">
        <v>404</v>
      </c>
      <c r="B1203" t="e">
        <v>#VALUE!</v>
      </c>
    </row>
    <row r="1204" spans="1:2" x14ac:dyDescent="0.25">
      <c r="A1204" t="s">
        <v>404</v>
      </c>
      <c r="B1204" t="e">
        <v>#VALUE!</v>
      </c>
    </row>
    <row r="1205" spans="1:2" x14ac:dyDescent="0.25">
      <c r="A1205" t="s">
        <v>404</v>
      </c>
      <c r="B1205" t="e">
        <v>#VALUE!</v>
      </c>
    </row>
    <row r="1206" spans="1:2" x14ac:dyDescent="0.25">
      <c r="A1206" t="s">
        <v>404</v>
      </c>
      <c r="B1206" t="e">
        <v>#VALUE!</v>
      </c>
    </row>
    <row r="1207" spans="1:2" x14ac:dyDescent="0.25">
      <c r="A1207" t="s">
        <v>404</v>
      </c>
      <c r="B1207" t="e">
        <v>#VALUE!</v>
      </c>
    </row>
    <row r="1208" spans="1:2" x14ac:dyDescent="0.25">
      <c r="A1208" t="s">
        <v>404</v>
      </c>
      <c r="B1208" t="e">
        <v>#VALUE!</v>
      </c>
    </row>
    <row r="1209" spans="1:2" x14ac:dyDescent="0.25">
      <c r="A1209" t="s">
        <v>404</v>
      </c>
      <c r="B1209" t="e">
        <v>#VALUE!</v>
      </c>
    </row>
    <row r="1210" spans="1:2" x14ac:dyDescent="0.25">
      <c r="A1210" t="s">
        <v>404</v>
      </c>
      <c r="B1210" t="e">
        <v>#VALUE!</v>
      </c>
    </row>
    <row r="1211" spans="1:2" x14ac:dyDescent="0.25">
      <c r="A1211" t="s">
        <v>404</v>
      </c>
      <c r="B1211" t="e">
        <v>#VALUE!</v>
      </c>
    </row>
    <row r="1212" spans="1:2" x14ac:dyDescent="0.25">
      <c r="A1212" t="s">
        <v>404</v>
      </c>
      <c r="B1212" t="e">
        <v>#VALUE!</v>
      </c>
    </row>
    <row r="1213" spans="1:2" x14ac:dyDescent="0.25">
      <c r="A1213" t="s">
        <v>404</v>
      </c>
      <c r="B1213" t="e">
        <v>#VALUE!</v>
      </c>
    </row>
    <row r="1214" spans="1:2" x14ac:dyDescent="0.25">
      <c r="A1214" t="s">
        <v>404</v>
      </c>
      <c r="B1214" t="e">
        <v>#VALUE!</v>
      </c>
    </row>
    <row r="1215" spans="1:2" x14ac:dyDescent="0.25">
      <c r="A1215" t="s">
        <v>404</v>
      </c>
      <c r="B1215" t="e">
        <v>#VALUE!</v>
      </c>
    </row>
    <row r="1216" spans="1:2" x14ac:dyDescent="0.25">
      <c r="A1216" t="s">
        <v>404</v>
      </c>
      <c r="B1216" t="e">
        <v>#VALUE!</v>
      </c>
    </row>
    <row r="1217" spans="1:2" x14ac:dyDescent="0.25">
      <c r="A1217" t="s">
        <v>404</v>
      </c>
      <c r="B1217" t="e">
        <v>#VALUE!</v>
      </c>
    </row>
    <row r="1218" spans="1:2" x14ac:dyDescent="0.25">
      <c r="A1218" t="s">
        <v>404</v>
      </c>
      <c r="B1218" t="e">
        <v>#VALUE!</v>
      </c>
    </row>
    <row r="1219" spans="1:2" x14ac:dyDescent="0.25">
      <c r="A1219" t="s">
        <v>404</v>
      </c>
      <c r="B1219" t="e">
        <v>#VALUE!</v>
      </c>
    </row>
    <row r="1220" spans="1:2" x14ac:dyDescent="0.25">
      <c r="A1220" t="s">
        <v>404</v>
      </c>
      <c r="B1220" t="e">
        <v>#VALUE!</v>
      </c>
    </row>
    <row r="1221" spans="1:2" x14ac:dyDescent="0.25">
      <c r="A1221" t="s">
        <v>404</v>
      </c>
      <c r="B1221" t="e">
        <v>#VALUE!</v>
      </c>
    </row>
    <row r="1222" spans="1:2" x14ac:dyDescent="0.25">
      <c r="A1222" t="s">
        <v>404</v>
      </c>
      <c r="B1222" t="e">
        <v>#VALUE!</v>
      </c>
    </row>
    <row r="1223" spans="1:2" x14ac:dyDescent="0.25">
      <c r="A1223" t="s">
        <v>404</v>
      </c>
      <c r="B1223" t="e">
        <v>#VALUE!</v>
      </c>
    </row>
    <row r="1224" spans="1:2" x14ac:dyDescent="0.25">
      <c r="A1224" t="s">
        <v>404</v>
      </c>
      <c r="B1224" t="e">
        <v>#VALUE!</v>
      </c>
    </row>
    <row r="1225" spans="1:2" x14ac:dyDescent="0.25">
      <c r="A1225" t="s">
        <v>404</v>
      </c>
      <c r="B1225" t="e">
        <v>#VALUE!</v>
      </c>
    </row>
    <row r="1226" spans="1:2" x14ac:dyDescent="0.25">
      <c r="A1226" t="s">
        <v>404</v>
      </c>
      <c r="B1226" t="e">
        <v>#VALUE!</v>
      </c>
    </row>
    <row r="1227" spans="1:2" x14ac:dyDescent="0.25">
      <c r="A1227" t="s">
        <v>404</v>
      </c>
      <c r="B1227" t="e">
        <v>#VALUE!</v>
      </c>
    </row>
    <row r="1228" spans="1:2" x14ac:dyDescent="0.25">
      <c r="A1228" t="s">
        <v>404</v>
      </c>
      <c r="B1228" t="e">
        <v>#VALUE!</v>
      </c>
    </row>
    <row r="1229" spans="1:2" x14ac:dyDescent="0.25">
      <c r="A1229" t="s">
        <v>404</v>
      </c>
      <c r="B1229" t="e">
        <v>#VALUE!</v>
      </c>
    </row>
    <row r="1230" spans="1:2" x14ac:dyDescent="0.25">
      <c r="A1230" t="s">
        <v>404</v>
      </c>
      <c r="B1230" t="e">
        <v>#VALUE!</v>
      </c>
    </row>
    <row r="1231" spans="1:2" x14ac:dyDescent="0.25">
      <c r="A1231" t="s">
        <v>404</v>
      </c>
      <c r="B1231" t="e">
        <v>#VALUE!</v>
      </c>
    </row>
    <row r="1232" spans="1:2" x14ac:dyDescent="0.25">
      <c r="A1232" t="s">
        <v>404</v>
      </c>
      <c r="B1232" t="e">
        <v>#VALUE!</v>
      </c>
    </row>
    <row r="1233" spans="1:2" x14ac:dyDescent="0.25">
      <c r="A1233" t="s">
        <v>404</v>
      </c>
      <c r="B1233" t="e">
        <v>#VALUE!</v>
      </c>
    </row>
    <row r="1234" spans="1:2" x14ac:dyDescent="0.25">
      <c r="A1234" t="s">
        <v>404</v>
      </c>
      <c r="B1234" t="e">
        <v>#VALUE!</v>
      </c>
    </row>
    <row r="1235" spans="1:2" x14ac:dyDescent="0.25">
      <c r="A1235" t="s">
        <v>404</v>
      </c>
      <c r="B1235" t="e">
        <v>#VALUE!</v>
      </c>
    </row>
    <row r="1236" spans="1:2" x14ac:dyDescent="0.25">
      <c r="A1236" t="s">
        <v>404</v>
      </c>
      <c r="B1236" t="e">
        <v>#VALUE!</v>
      </c>
    </row>
    <row r="1237" spans="1:2" x14ac:dyDescent="0.25">
      <c r="A1237" t="s">
        <v>404</v>
      </c>
      <c r="B1237" t="e">
        <v>#VALUE!</v>
      </c>
    </row>
    <row r="1238" spans="1:2" x14ac:dyDescent="0.25">
      <c r="A1238" t="s">
        <v>404</v>
      </c>
      <c r="B1238" t="e">
        <v>#VALUE!</v>
      </c>
    </row>
    <row r="1239" spans="1:2" x14ac:dyDescent="0.25">
      <c r="A1239" t="s">
        <v>404</v>
      </c>
      <c r="B1239" t="e">
        <v>#VALUE!</v>
      </c>
    </row>
    <row r="1240" spans="1:2" x14ac:dyDescent="0.25">
      <c r="A1240" t="s">
        <v>404</v>
      </c>
      <c r="B1240" t="e">
        <v>#VALUE!</v>
      </c>
    </row>
    <row r="1241" spans="1:2" x14ac:dyDescent="0.25">
      <c r="A1241" t="s">
        <v>404</v>
      </c>
      <c r="B1241" t="e">
        <v>#VALUE!</v>
      </c>
    </row>
    <row r="1242" spans="1:2" x14ac:dyDescent="0.25">
      <c r="A1242" t="s">
        <v>404</v>
      </c>
      <c r="B1242" t="e">
        <v>#VALUE!</v>
      </c>
    </row>
    <row r="1243" spans="1:2" x14ac:dyDescent="0.25">
      <c r="A1243" t="s">
        <v>404</v>
      </c>
      <c r="B1243" t="e">
        <v>#VALUE!</v>
      </c>
    </row>
    <row r="1244" spans="1:2" x14ac:dyDescent="0.25">
      <c r="A1244" t="s">
        <v>404</v>
      </c>
      <c r="B1244" t="e">
        <v>#VALUE!</v>
      </c>
    </row>
    <row r="1245" spans="1:2" x14ac:dyDescent="0.25">
      <c r="A1245" t="s">
        <v>404</v>
      </c>
      <c r="B1245" t="e">
        <v>#VALUE!</v>
      </c>
    </row>
    <row r="1246" spans="1:2" x14ac:dyDescent="0.25">
      <c r="A1246" t="s">
        <v>404</v>
      </c>
      <c r="B1246" t="e">
        <v>#VALUE!</v>
      </c>
    </row>
    <row r="1247" spans="1:2" x14ac:dyDescent="0.25">
      <c r="A1247" t="s">
        <v>404</v>
      </c>
      <c r="B1247" t="e">
        <v>#VALUE!</v>
      </c>
    </row>
    <row r="1248" spans="1:2" x14ac:dyDescent="0.25">
      <c r="A1248" t="s">
        <v>404</v>
      </c>
      <c r="B1248" t="e">
        <v>#VALUE!</v>
      </c>
    </row>
    <row r="1249" spans="1:2" x14ac:dyDescent="0.25">
      <c r="A1249" t="s">
        <v>404</v>
      </c>
      <c r="B1249" t="e">
        <v>#VALUE!</v>
      </c>
    </row>
    <row r="1250" spans="1:2" x14ac:dyDescent="0.25">
      <c r="A1250" t="s">
        <v>404</v>
      </c>
      <c r="B1250" t="e">
        <v>#VALUE!</v>
      </c>
    </row>
    <row r="1251" spans="1:2" x14ac:dyDescent="0.25">
      <c r="A1251" t="s">
        <v>404</v>
      </c>
      <c r="B1251" t="e">
        <v>#VALUE!</v>
      </c>
    </row>
    <row r="1252" spans="1:2" x14ac:dyDescent="0.25">
      <c r="A1252" t="s">
        <v>404</v>
      </c>
      <c r="B1252" t="e">
        <v>#VALUE!</v>
      </c>
    </row>
    <row r="1253" spans="1:2" x14ac:dyDescent="0.25">
      <c r="A1253" t="s">
        <v>404</v>
      </c>
      <c r="B1253" t="e">
        <v>#VALUE!</v>
      </c>
    </row>
    <row r="1254" spans="1:2" x14ac:dyDescent="0.25">
      <c r="A1254" t="s">
        <v>404</v>
      </c>
      <c r="B1254" t="e">
        <v>#VALUE!</v>
      </c>
    </row>
    <row r="1255" spans="1:2" x14ac:dyDescent="0.25">
      <c r="A1255" t="s">
        <v>404</v>
      </c>
      <c r="B1255" t="e">
        <v>#VALUE!</v>
      </c>
    </row>
    <row r="1256" spans="1:2" x14ac:dyDescent="0.25">
      <c r="A1256" t="s">
        <v>404</v>
      </c>
      <c r="B1256" t="e">
        <v>#VALUE!</v>
      </c>
    </row>
    <row r="1257" spans="1:2" x14ac:dyDescent="0.25">
      <c r="A1257" t="s">
        <v>404</v>
      </c>
      <c r="B1257" t="e">
        <v>#VALUE!</v>
      </c>
    </row>
    <row r="1258" spans="1:2" x14ac:dyDescent="0.25">
      <c r="A1258" t="s">
        <v>404</v>
      </c>
      <c r="B1258" t="e">
        <v>#VALUE!</v>
      </c>
    </row>
    <row r="1259" spans="1:2" x14ac:dyDescent="0.25">
      <c r="A1259" t="s">
        <v>404</v>
      </c>
      <c r="B1259" t="e">
        <v>#VALUE!</v>
      </c>
    </row>
    <row r="1260" spans="1:2" x14ac:dyDescent="0.25">
      <c r="A1260" t="s">
        <v>404</v>
      </c>
      <c r="B1260" t="e">
        <v>#VALUE!</v>
      </c>
    </row>
    <row r="1261" spans="1:2" x14ac:dyDescent="0.25">
      <c r="A1261" t="s">
        <v>404</v>
      </c>
      <c r="B1261" t="e">
        <v>#VALUE!</v>
      </c>
    </row>
    <row r="1262" spans="1:2" x14ac:dyDescent="0.25">
      <c r="A1262" t="s">
        <v>404</v>
      </c>
      <c r="B1262" t="e">
        <v>#VALUE!</v>
      </c>
    </row>
    <row r="1263" spans="1:2" x14ac:dyDescent="0.25">
      <c r="A1263" t="s">
        <v>404</v>
      </c>
      <c r="B1263" t="e">
        <v>#VALUE!</v>
      </c>
    </row>
    <row r="1264" spans="1:2" x14ac:dyDescent="0.25">
      <c r="A1264" t="s">
        <v>404</v>
      </c>
      <c r="B1264" t="e">
        <v>#VALUE!</v>
      </c>
    </row>
    <row r="1265" spans="1:2" x14ac:dyDescent="0.25">
      <c r="A1265" t="s">
        <v>404</v>
      </c>
      <c r="B1265" t="e">
        <v>#VALUE!</v>
      </c>
    </row>
    <row r="1266" spans="1:2" x14ac:dyDescent="0.25">
      <c r="A1266" t="s">
        <v>404</v>
      </c>
      <c r="B1266" t="e">
        <v>#VALUE!</v>
      </c>
    </row>
    <row r="1267" spans="1:2" x14ac:dyDescent="0.25">
      <c r="A1267" t="s">
        <v>404</v>
      </c>
      <c r="B1267" t="e">
        <v>#VALUE!</v>
      </c>
    </row>
    <row r="1268" spans="1:2" x14ac:dyDescent="0.25">
      <c r="A1268" t="s">
        <v>404</v>
      </c>
      <c r="B1268" t="e">
        <v>#VALUE!</v>
      </c>
    </row>
    <row r="1269" spans="1:2" x14ac:dyDescent="0.25">
      <c r="A1269" t="s">
        <v>404</v>
      </c>
      <c r="B1269" t="e">
        <v>#VALUE!</v>
      </c>
    </row>
    <row r="1270" spans="1:2" x14ac:dyDescent="0.25">
      <c r="A1270" t="s">
        <v>404</v>
      </c>
      <c r="B1270" t="e">
        <v>#VALUE!</v>
      </c>
    </row>
    <row r="1271" spans="1:2" x14ac:dyDescent="0.25">
      <c r="A1271" t="s">
        <v>404</v>
      </c>
      <c r="B1271" t="e">
        <v>#VALUE!</v>
      </c>
    </row>
    <row r="1272" spans="1:2" x14ac:dyDescent="0.25">
      <c r="A1272" t="s">
        <v>404</v>
      </c>
      <c r="B1272" t="e">
        <v>#VALUE!</v>
      </c>
    </row>
    <row r="1273" spans="1:2" x14ac:dyDescent="0.25">
      <c r="A1273" t="s">
        <v>404</v>
      </c>
      <c r="B1273" t="e">
        <v>#VALUE!</v>
      </c>
    </row>
    <row r="1274" spans="1:2" x14ac:dyDescent="0.25">
      <c r="A1274" t="s">
        <v>404</v>
      </c>
      <c r="B1274" t="e">
        <v>#VALUE!</v>
      </c>
    </row>
    <row r="1275" spans="1:2" x14ac:dyDescent="0.25">
      <c r="A1275" t="s">
        <v>404</v>
      </c>
      <c r="B1275" t="e">
        <v>#VALUE!</v>
      </c>
    </row>
    <row r="1276" spans="1:2" x14ac:dyDescent="0.25">
      <c r="A1276" t="s">
        <v>404</v>
      </c>
      <c r="B1276" t="e">
        <v>#VALUE!</v>
      </c>
    </row>
    <row r="1277" spans="1:2" x14ac:dyDescent="0.25">
      <c r="A1277" t="s">
        <v>404</v>
      </c>
      <c r="B1277" t="e">
        <v>#VALUE!</v>
      </c>
    </row>
    <row r="1278" spans="1:2" x14ac:dyDescent="0.25">
      <c r="A1278" t="s">
        <v>404</v>
      </c>
      <c r="B1278" t="e">
        <v>#VALUE!</v>
      </c>
    </row>
    <row r="1279" spans="1:2" x14ac:dyDescent="0.25">
      <c r="A1279" t="s">
        <v>404</v>
      </c>
      <c r="B1279" t="e">
        <v>#VALUE!</v>
      </c>
    </row>
    <row r="1280" spans="1:2" x14ac:dyDescent="0.25">
      <c r="A1280" t="s">
        <v>404</v>
      </c>
      <c r="B1280" t="e">
        <v>#VALUE!</v>
      </c>
    </row>
    <row r="1281" spans="1:2" x14ac:dyDescent="0.25">
      <c r="A1281" t="s">
        <v>404</v>
      </c>
      <c r="B1281" t="e">
        <v>#VALUE!</v>
      </c>
    </row>
    <row r="1282" spans="1:2" x14ac:dyDescent="0.25">
      <c r="A1282" t="s">
        <v>404</v>
      </c>
      <c r="B1282" t="e">
        <v>#VALUE!</v>
      </c>
    </row>
    <row r="1283" spans="1:2" x14ac:dyDescent="0.25">
      <c r="A1283" t="s">
        <v>404</v>
      </c>
      <c r="B1283" t="e">
        <v>#VALUE!</v>
      </c>
    </row>
    <row r="1284" spans="1:2" x14ac:dyDescent="0.25">
      <c r="A1284" t="s">
        <v>404</v>
      </c>
      <c r="B1284" t="e">
        <v>#VALUE!</v>
      </c>
    </row>
    <row r="1285" spans="1:2" x14ac:dyDescent="0.25">
      <c r="A1285" t="s">
        <v>404</v>
      </c>
      <c r="B1285" t="e">
        <v>#VALUE!</v>
      </c>
    </row>
    <row r="1286" spans="1:2" x14ac:dyDescent="0.25">
      <c r="A1286" t="s">
        <v>404</v>
      </c>
      <c r="B1286" t="e">
        <v>#VALUE!</v>
      </c>
    </row>
    <row r="1287" spans="1:2" x14ac:dyDescent="0.25">
      <c r="A1287" t="s">
        <v>404</v>
      </c>
      <c r="B1287" t="e">
        <v>#VALUE!</v>
      </c>
    </row>
    <row r="1288" spans="1:2" x14ac:dyDescent="0.25">
      <c r="A1288" t="s">
        <v>404</v>
      </c>
      <c r="B1288" t="e">
        <v>#VALUE!</v>
      </c>
    </row>
    <row r="1289" spans="1:2" x14ac:dyDescent="0.25">
      <c r="A1289" t="s">
        <v>404</v>
      </c>
      <c r="B1289" t="e">
        <v>#VALUE!</v>
      </c>
    </row>
    <row r="1290" spans="1:2" x14ac:dyDescent="0.25">
      <c r="A1290" t="s">
        <v>404</v>
      </c>
      <c r="B1290" t="e">
        <v>#VALUE!</v>
      </c>
    </row>
    <row r="1291" spans="1:2" x14ac:dyDescent="0.25">
      <c r="A1291" t="s">
        <v>404</v>
      </c>
      <c r="B1291" t="e">
        <v>#VALUE!</v>
      </c>
    </row>
    <row r="1292" spans="1:2" x14ac:dyDescent="0.25">
      <c r="A1292" t="s">
        <v>404</v>
      </c>
      <c r="B1292" t="e">
        <v>#VALUE!</v>
      </c>
    </row>
    <row r="1293" spans="1:2" x14ac:dyDescent="0.25">
      <c r="A1293" t="s">
        <v>404</v>
      </c>
      <c r="B1293" t="e">
        <v>#VALUE!</v>
      </c>
    </row>
    <row r="1294" spans="1:2" x14ac:dyDescent="0.25">
      <c r="A1294" t="s">
        <v>404</v>
      </c>
      <c r="B1294" t="e">
        <v>#VALUE!</v>
      </c>
    </row>
    <row r="1295" spans="1:2" x14ac:dyDescent="0.25">
      <c r="A1295" t="s">
        <v>404</v>
      </c>
      <c r="B1295" t="e">
        <v>#VALUE!</v>
      </c>
    </row>
    <row r="1296" spans="1:2" x14ac:dyDescent="0.25">
      <c r="A1296" t="s">
        <v>404</v>
      </c>
      <c r="B1296" t="e">
        <v>#VALUE!</v>
      </c>
    </row>
    <row r="1297" spans="1:2" x14ac:dyDescent="0.25">
      <c r="A1297" t="s">
        <v>404</v>
      </c>
      <c r="B1297" t="e">
        <v>#VALUE!</v>
      </c>
    </row>
    <row r="1298" spans="1:2" x14ac:dyDescent="0.25">
      <c r="A1298" t="s">
        <v>404</v>
      </c>
      <c r="B1298" t="e">
        <v>#VALUE!</v>
      </c>
    </row>
    <row r="1299" spans="1:2" x14ac:dyDescent="0.25">
      <c r="A1299" t="s">
        <v>404</v>
      </c>
      <c r="B1299" t="e">
        <v>#VALUE!</v>
      </c>
    </row>
    <row r="1300" spans="1:2" x14ac:dyDescent="0.25">
      <c r="A1300" t="s">
        <v>404</v>
      </c>
      <c r="B1300" t="e">
        <v>#VALUE!</v>
      </c>
    </row>
    <row r="1301" spans="1:2" x14ac:dyDescent="0.25">
      <c r="A1301" t="s">
        <v>404</v>
      </c>
      <c r="B1301" t="e">
        <v>#VALUE!</v>
      </c>
    </row>
    <row r="1302" spans="1:2" x14ac:dyDescent="0.25">
      <c r="A1302" t="s">
        <v>404</v>
      </c>
      <c r="B1302" t="e">
        <v>#VALUE!</v>
      </c>
    </row>
    <row r="1303" spans="1:2" x14ac:dyDescent="0.25">
      <c r="A1303" t="s">
        <v>404</v>
      </c>
      <c r="B1303" t="e">
        <v>#VALUE!</v>
      </c>
    </row>
    <row r="1304" spans="1:2" x14ac:dyDescent="0.25">
      <c r="A1304" t="s">
        <v>404</v>
      </c>
      <c r="B1304" t="e">
        <v>#VALUE!</v>
      </c>
    </row>
    <row r="1305" spans="1:2" x14ac:dyDescent="0.25">
      <c r="A1305" t="s">
        <v>404</v>
      </c>
      <c r="B1305" t="e">
        <v>#VALUE!</v>
      </c>
    </row>
    <row r="1306" spans="1:2" x14ac:dyDescent="0.25">
      <c r="A1306" t="s">
        <v>404</v>
      </c>
      <c r="B1306" t="e">
        <v>#VALUE!</v>
      </c>
    </row>
    <row r="1307" spans="1:2" x14ac:dyDescent="0.25">
      <c r="A1307" t="s">
        <v>404</v>
      </c>
      <c r="B1307" t="e">
        <v>#VALUE!</v>
      </c>
    </row>
    <row r="1308" spans="1:2" x14ac:dyDescent="0.25">
      <c r="A1308" t="s">
        <v>404</v>
      </c>
      <c r="B1308" t="e">
        <v>#VALUE!</v>
      </c>
    </row>
    <row r="1309" spans="1:2" x14ac:dyDescent="0.25">
      <c r="A1309" t="s">
        <v>404</v>
      </c>
      <c r="B1309" t="e">
        <v>#VALUE!</v>
      </c>
    </row>
    <row r="1310" spans="1:2" x14ac:dyDescent="0.25">
      <c r="A1310" t="s">
        <v>404</v>
      </c>
      <c r="B1310" t="e">
        <v>#VALUE!</v>
      </c>
    </row>
    <row r="1311" spans="1:2" x14ac:dyDescent="0.25">
      <c r="A1311" t="s">
        <v>404</v>
      </c>
      <c r="B1311" t="e">
        <v>#VALUE!</v>
      </c>
    </row>
    <row r="1312" spans="1:2" x14ac:dyDescent="0.25">
      <c r="A1312" t="s">
        <v>404</v>
      </c>
      <c r="B1312" t="e">
        <v>#VALUE!</v>
      </c>
    </row>
    <row r="1313" spans="1:2" x14ac:dyDescent="0.25">
      <c r="A1313" t="s">
        <v>404</v>
      </c>
      <c r="B1313" t="e">
        <v>#VALUE!</v>
      </c>
    </row>
    <row r="1314" spans="1:2" x14ac:dyDescent="0.25">
      <c r="A1314" t="s">
        <v>404</v>
      </c>
      <c r="B1314" t="e">
        <v>#VALUE!</v>
      </c>
    </row>
    <row r="1315" spans="1:2" x14ac:dyDescent="0.25">
      <c r="A1315" t="s">
        <v>404</v>
      </c>
      <c r="B1315" t="e">
        <v>#VALUE!</v>
      </c>
    </row>
    <row r="1316" spans="1:2" x14ac:dyDescent="0.25">
      <c r="A1316" t="s">
        <v>404</v>
      </c>
      <c r="B1316" t="e">
        <v>#VALUE!</v>
      </c>
    </row>
    <row r="1317" spans="1:2" x14ac:dyDescent="0.25">
      <c r="A1317" t="s">
        <v>404</v>
      </c>
      <c r="B1317" t="e">
        <v>#VALUE!</v>
      </c>
    </row>
    <row r="1318" spans="1:2" x14ac:dyDescent="0.25">
      <c r="A1318" t="s">
        <v>404</v>
      </c>
      <c r="B1318" t="e">
        <v>#VALUE!</v>
      </c>
    </row>
    <row r="1319" spans="1:2" x14ac:dyDescent="0.25">
      <c r="A1319" t="s">
        <v>404</v>
      </c>
      <c r="B1319" t="e">
        <v>#VALUE!</v>
      </c>
    </row>
    <row r="1320" spans="1:2" x14ac:dyDescent="0.25">
      <c r="A1320" t="s">
        <v>404</v>
      </c>
      <c r="B1320" t="e">
        <v>#VALUE!</v>
      </c>
    </row>
    <row r="1321" spans="1:2" x14ac:dyDescent="0.25">
      <c r="A1321" t="s">
        <v>404</v>
      </c>
      <c r="B1321" t="e">
        <v>#VALUE!</v>
      </c>
    </row>
    <row r="1322" spans="1:2" x14ac:dyDescent="0.25">
      <c r="A1322" t="s">
        <v>404</v>
      </c>
      <c r="B1322" t="e">
        <v>#VALUE!</v>
      </c>
    </row>
    <row r="1323" spans="1:2" x14ac:dyDescent="0.25">
      <c r="A1323" t="s">
        <v>404</v>
      </c>
      <c r="B1323" t="e">
        <v>#VALUE!</v>
      </c>
    </row>
    <row r="1324" spans="1:2" x14ac:dyDescent="0.25">
      <c r="A1324" t="s">
        <v>404</v>
      </c>
      <c r="B1324" t="e">
        <v>#VALUE!</v>
      </c>
    </row>
    <row r="1325" spans="1:2" x14ac:dyDescent="0.25">
      <c r="A1325" t="s">
        <v>404</v>
      </c>
      <c r="B1325" t="e">
        <v>#VALUE!</v>
      </c>
    </row>
    <row r="1326" spans="1:2" x14ac:dyDescent="0.25">
      <c r="A1326" t="s">
        <v>404</v>
      </c>
      <c r="B1326" t="e">
        <v>#VALUE!</v>
      </c>
    </row>
    <row r="1327" spans="1:2" x14ac:dyDescent="0.25">
      <c r="A1327" t="s">
        <v>404</v>
      </c>
      <c r="B1327" t="e">
        <v>#VALUE!</v>
      </c>
    </row>
    <row r="1328" spans="1:2" x14ac:dyDescent="0.25">
      <c r="A1328" t="s">
        <v>404</v>
      </c>
      <c r="B1328" t="e">
        <v>#VALUE!</v>
      </c>
    </row>
    <row r="1329" spans="1:2" x14ac:dyDescent="0.25">
      <c r="A1329" t="s">
        <v>404</v>
      </c>
      <c r="B1329" t="e">
        <v>#VALUE!</v>
      </c>
    </row>
    <row r="1330" spans="1:2" x14ac:dyDescent="0.25">
      <c r="A1330" t="s">
        <v>404</v>
      </c>
      <c r="B1330" t="e">
        <v>#VALUE!</v>
      </c>
    </row>
    <row r="1331" spans="1:2" x14ac:dyDescent="0.25">
      <c r="A1331" t="s">
        <v>404</v>
      </c>
      <c r="B1331" t="e">
        <v>#VALUE!</v>
      </c>
    </row>
    <row r="1332" spans="1:2" x14ac:dyDescent="0.25">
      <c r="A1332" t="s">
        <v>404</v>
      </c>
      <c r="B1332" t="e">
        <v>#VALUE!</v>
      </c>
    </row>
    <row r="1333" spans="1:2" x14ac:dyDescent="0.25">
      <c r="A1333" t="s">
        <v>404</v>
      </c>
      <c r="B1333" t="e">
        <v>#VALUE!</v>
      </c>
    </row>
    <row r="1334" spans="1:2" x14ac:dyDescent="0.25">
      <c r="A1334" t="s">
        <v>404</v>
      </c>
      <c r="B1334" t="e">
        <v>#VALUE!</v>
      </c>
    </row>
    <row r="1335" spans="1:2" x14ac:dyDescent="0.25">
      <c r="A1335" t="s">
        <v>404</v>
      </c>
      <c r="B1335" t="e">
        <v>#VALUE!</v>
      </c>
    </row>
    <row r="1336" spans="1:2" x14ac:dyDescent="0.25">
      <c r="A1336" t="s">
        <v>404</v>
      </c>
      <c r="B1336" t="e">
        <v>#VALUE!</v>
      </c>
    </row>
    <row r="1337" spans="1:2" x14ac:dyDescent="0.25">
      <c r="A1337" t="s">
        <v>404</v>
      </c>
      <c r="B1337" t="e">
        <v>#VALUE!</v>
      </c>
    </row>
    <row r="1338" spans="1:2" x14ac:dyDescent="0.25">
      <c r="A1338" t="s">
        <v>404</v>
      </c>
      <c r="B1338" t="e">
        <v>#VALUE!</v>
      </c>
    </row>
    <row r="1339" spans="1:2" x14ac:dyDescent="0.25">
      <c r="A1339" t="s">
        <v>404</v>
      </c>
      <c r="B1339" t="e">
        <v>#VALUE!</v>
      </c>
    </row>
    <row r="1340" spans="1:2" x14ac:dyDescent="0.25">
      <c r="A1340" t="s">
        <v>404</v>
      </c>
      <c r="B1340" t="e">
        <v>#VALUE!</v>
      </c>
    </row>
    <row r="1341" spans="1:2" x14ac:dyDescent="0.25">
      <c r="A1341" t="s">
        <v>404</v>
      </c>
      <c r="B1341" t="e">
        <v>#VALUE!</v>
      </c>
    </row>
    <row r="1342" spans="1:2" x14ac:dyDescent="0.25">
      <c r="A1342" t="s">
        <v>404</v>
      </c>
      <c r="B1342" t="e">
        <v>#VALUE!</v>
      </c>
    </row>
    <row r="1343" spans="1:2" x14ac:dyDescent="0.25">
      <c r="A1343" t="s">
        <v>404</v>
      </c>
      <c r="B1343" t="e">
        <v>#VALUE!</v>
      </c>
    </row>
    <row r="1344" spans="1:2" x14ac:dyDescent="0.25">
      <c r="A1344" t="s">
        <v>404</v>
      </c>
      <c r="B1344" t="e">
        <v>#VALUE!</v>
      </c>
    </row>
    <row r="1345" spans="1:2" x14ac:dyDescent="0.25">
      <c r="A1345" t="s">
        <v>404</v>
      </c>
      <c r="B1345" t="e">
        <v>#VALUE!</v>
      </c>
    </row>
    <row r="1346" spans="1:2" x14ac:dyDescent="0.25">
      <c r="A1346" t="s">
        <v>404</v>
      </c>
      <c r="B1346" t="e">
        <v>#VALUE!</v>
      </c>
    </row>
    <row r="1347" spans="1:2" x14ac:dyDescent="0.25">
      <c r="A1347" t="s">
        <v>404</v>
      </c>
      <c r="B1347" t="e">
        <v>#VALUE!</v>
      </c>
    </row>
    <row r="1348" spans="1:2" x14ac:dyDescent="0.25">
      <c r="A1348" t="s">
        <v>404</v>
      </c>
      <c r="B1348" t="e">
        <v>#VALUE!</v>
      </c>
    </row>
    <row r="1349" spans="1:2" x14ac:dyDescent="0.25">
      <c r="A1349" t="s">
        <v>404</v>
      </c>
      <c r="B1349" t="e">
        <v>#VALUE!</v>
      </c>
    </row>
    <row r="1350" spans="1:2" x14ac:dyDescent="0.25">
      <c r="A1350" t="s">
        <v>404</v>
      </c>
      <c r="B1350" t="e">
        <v>#VALUE!</v>
      </c>
    </row>
    <row r="1351" spans="1:2" x14ac:dyDescent="0.25">
      <c r="A1351" t="s">
        <v>404</v>
      </c>
      <c r="B1351" t="e">
        <v>#VALUE!</v>
      </c>
    </row>
    <row r="1352" spans="1:2" x14ac:dyDescent="0.25">
      <c r="A1352" t="s">
        <v>404</v>
      </c>
      <c r="B1352" t="e">
        <v>#VALUE!</v>
      </c>
    </row>
    <row r="1353" spans="1:2" x14ac:dyDescent="0.25">
      <c r="A1353" t="s">
        <v>404</v>
      </c>
      <c r="B1353" t="e">
        <v>#VALUE!</v>
      </c>
    </row>
    <row r="1354" spans="1:2" x14ac:dyDescent="0.25">
      <c r="A1354" t="s">
        <v>404</v>
      </c>
      <c r="B1354" t="e">
        <v>#VALUE!</v>
      </c>
    </row>
    <row r="1355" spans="1:2" x14ac:dyDescent="0.25">
      <c r="A1355" t="s">
        <v>404</v>
      </c>
      <c r="B1355" t="e">
        <v>#VALUE!</v>
      </c>
    </row>
    <row r="1356" spans="1:2" x14ac:dyDescent="0.25">
      <c r="A1356" t="s">
        <v>404</v>
      </c>
      <c r="B1356" t="e">
        <v>#VALUE!</v>
      </c>
    </row>
    <row r="1357" spans="1:2" x14ac:dyDescent="0.25">
      <c r="A1357" t="s">
        <v>404</v>
      </c>
      <c r="B1357" t="e">
        <v>#VALUE!</v>
      </c>
    </row>
    <row r="1358" spans="1:2" x14ac:dyDescent="0.25">
      <c r="A1358" t="s">
        <v>404</v>
      </c>
      <c r="B1358" t="e">
        <v>#VALUE!</v>
      </c>
    </row>
    <row r="1359" spans="1:2" x14ac:dyDescent="0.25">
      <c r="A1359" t="s">
        <v>404</v>
      </c>
      <c r="B1359" t="e">
        <v>#VALUE!</v>
      </c>
    </row>
    <row r="1360" spans="1:2" x14ac:dyDescent="0.25">
      <c r="A1360" t="s">
        <v>404</v>
      </c>
      <c r="B1360" t="e">
        <v>#VALUE!</v>
      </c>
    </row>
    <row r="1361" spans="1:2" x14ac:dyDescent="0.25">
      <c r="A1361" t="s">
        <v>404</v>
      </c>
      <c r="B1361" t="e">
        <v>#VALUE!</v>
      </c>
    </row>
    <row r="1362" spans="1:2" x14ac:dyDescent="0.25">
      <c r="A1362" t="s">
        <v>404</v>
      </c>
      <c r="B1362" t="e">
        <v>#VALUE!</v>
      </c>
    </row>
    <row r="1363" spans="1:2" x14ac:dyDescent="0.25">
      <c r="A1363" t="s">
        <v>404</v>
      </c>
      <c r="B1363" t="e">
        <v>#VALUE!</v>
      </c>
    </row>
    <row r="1364" spans="1:2" x14ac:dyDescent="0.25">
      <c r="A1364" t="s">
        <v>404</v>
      </c>
      <c r="B1364" t="e">
        <v>#VALUE!</v>
      </c>
    </row>
    <row r="1365" spans="1:2" x14ac:dyDescent="0.25">
      <c r="A1365" t="s">
        <v>404</v>
      </c>
      <c r="B1365" t="e">
        <v>#VALUE!</v>
      </c>
    </row>
    <row r="1366" spans="1:2" x14ac:dyDescent="0.25">
      <c r="A1366" t="s">
        <v>404</v>
      </c>
      <c r="B1366" t="e">
        <v>#VALUE!</v>
      </c>
    </row>
    <row r="1367" spans="1:2" x14ac:dyDescent="0.25">
      <c r="A1367" t="s">
        <v>404</v>
      </c>
      <c r="B1367" t="e">
        <v>#VALUE!</v>
      </c>
    </row>
    <row r="1368" spans="1:2" x14ac:dyDescent="0.25">
      <c r="A1368" t="s">
        <v>404</v>
      </c>
      <c r="B1368" t="e">
        <v>#VALUE!</v>
      </c>
    </row>
    <row r="1369" spans="1:2" x14ac:dyDescent="0.25">
      <c r="A1369" t="s">
        <v>404</v>
      </c>
      <c r="B1369" t="e">
        <v>#VALUE!</v>
      </c>
    </row>
    <row r="1370" spans="1:2" x14ac:dyDescent="0.25">
      <c r="A1370" t="s">
        <v>404</v>
      </c>
      <c r="B1370" t="e">
        <v>#VALUE!</v>
      </c>
    </row>
    <row r="1371" spans="1:2" x14ac:dyDescent="0.25">
      <c r="A1371" t="s">
        <v>404</v>
      </c>
      <c r="B1371" t="e">
        <v>#VALUE!</v>
      </c>
    </row>
    <row r="1372" spans="1:2" x14ac:dyDescent="0.25">
      <c r="A1372" t="s">
        <v>404</v>
      </c>
      <c r="B1372" t="e">
        <v>#VALUE!</v>
      </c>
    </row>
    <row r="1373" spans="1:2" x14ac:dyDescent="0.25">
      <c r="A1373" t="s">
        <v>404</v>
      </c>
      <c r="B1373" t="e">
        <v>#VALUE!</v>
      </c>
    </row>
    <row r="1374" spans="1:2" x14ac:dyDescent="0.25">
      <c r="A1374" t="s">
        <v>404</v>
      </c>
      <c r="B1374" t="e">
        <v>#VALUE!</v>
      </c>
    </row>
    <row r="1375" spans="1:2" x14ac:dyDescent="0.25">
      <c r="A1375" t="s">
        <v>404</v>
      </c>
      <c r="B1375" t="e">
        <v>#VALUE!</v>
      </c>
    </row>
    <row r="1376" spans="1:2" x14ac:dyDescent="0.25">
      <c r="A1376" t="s">
        <v>404</v>
      </c>
      <c r="B1376" t="e">
        <v>#VALUE!</v>
      </c>
    </row>
    <row r="1377" spans="1:2" x14ac:dyDescent="0.25">
      <c r="A1377" t="s">
        <v>404</v>
      </c>
      <c r="B1377" t="e">
        <v>#VALUE!</v>
      </c>
    </row>
    <row r="1378" spans="1:2" x14ac:dyDescent="0.25">
      <c r="A1378" t="s">
        <v>404</v>
      </c>
      <c r="B1378" t="e">
        <v>#VALUE!</v>
      </c>
    </row>
    <row r="1379" spans="1:2" x14ac:dyDescent="0.25">
      <c r="A1379" t="s">
        <v>404</v>
      </c>
      <c r="B1379" t="e">
        <v>#VALUE!</v>
      </c>
    </row>
    <row r="1380" spans="1:2" x14ac:dyDescent="0.25">
      <c r="A1380" t="s">
        <v>404</v>
      </c>
      <c r="B1380" t="e">
        <v>#VALUE!</v>
      </c>
    </row>
    <row r="1381" spans="1:2" x14ac:dyDescent="0.25">
      <c r="A1381" t="s">
        <v>404</v>
      </c>
      <c r="B1381" t="e">
        <v>#VALUE!</v>
      </c>
    </row>
    <row r="1382" spans="1:2" x14ac:dyDescent="0.25">
      <c r="A1382" t="s">
        <v>404</v>
      </c>
      <c r="B1382" t="e">
        <v>#VALUE!</v>
      </c>
    </row>
    <row r="1383" spans="1:2" x14ac:dyDescent="0.25">
      <c r="A1383" t="s">
        <v>404</v>
      </c>
      <c r="B1383" t="e">
        <v>#VALUE!</v>
      </c>
    </row>
    <row r="1384" spans="1:2" x14ac:dyDescent="0.25">
      <c r="A1384" t="s">
        <v>404</v>
      </c>
      <c r="B1384" t="e">
        <v>#VALUE!</v>
      </c>
    </row>
    <row r="1385" spans="1:2" x14ac:dyDescent="0.25">
      <c r="A1385" t="s">
        <v>404</v>
      </c>
      <c r="B1385" t="e">
        <v>#VALUE!</v>
      </c>
    </row>
    <row r="1386" spans="1:2" x14ac:dyDescent="0.25">
      <c r="A1386" t="s">
        <v>404</v>
      </c>
      <c r="B1386" t="e">
        <v>#VALUE!</v>
      </c>
    </row>
    <row r="1387" spans="1:2" x14ac:dyDescent="0.25">
      <c r="A1387" t="s">
        <v>404</v>
      </c>
      <c r="B1387" t="e">
        <v>#VALUE!</v>
      </c>
    </row>
    <row r="1388" spans="1:2" x14ac:dyDescent="0.25">
      <c r="A1388" t="s">
        <v>404</v>
      </c>
      <c r="B1388" t="e">
        <v>#VALUE!</v>
      </c>
    </row>
    <row r="1389" spans="1:2" x14ac:dyDescent="0.25">
      <c r="A1389" t="s">
        <v>404</v>
      </c>
      <c r="B1389" t="e">
        <v>#VALUE!</v>
      </c>
    </row>
    <row r="1390" spans="1:2" x14ac:dyDescent="0.25">
      <c r="A1390" t="s">
        <v>404</v>
      </c>
      <c r="B1390" t="e">
        <v>#VALUE!</v>
      </c>
    </row>
    <row r="1391" spans="1:2" x14ac:dyDescent="0.25">
      <c r="A1391" t="s">
        <v>404</v>
      </c>
      <c r="B1391" t="e">
        <v>#VALUE!</v>
      </c>
    </row>
    <row r="1392" spans="1:2" x14ac:dyDescent="0.25">
      <c r="A1392" t="s">
        <v>404</v>
      </c>
      <c r="B1392" t="e">
        <v>#VALUE!</v>
      </c>
    </row>
    <row r="1393" spans="1:2" x14ac:dyDescent="0.25">
      <c r="A1393" t="s">
        <v>404</v>
      </c>
      <c r="B1393" t="e">
        <v>#VALUE!</v>
      </c>
    </row>
    <row r="1394" spans="1:2" x14ac:dyDescent="0.25">
      <c r="A1394" t="s">
        <v>404</v>
      </c>
      <c r="B1394" t="e">
        <v>#VALUE!</v>
      </c>
    </row>
    <row r="1395" spans="1:2" x14ac:dyDescent="0.25">
      <c r="A1395" t="s">
        <v>404</v>
      </c>
      <c r="B1395" t="e">
        <v>#VALUE!</v>
      </c>
    </row>
    <row r="1396" spans="1:2" x14ac:dyDescent="0.25">
      <c r="A1396" t="s">
        <v>404</v>
      </c>
      <c r="B1396" t="e">
        <v>#VALUE!</v>
      </c>
    </row>
    <row r="1397" spans="1:2" x14ac:dyDescent="0.25">
      <c r="A1397" t="s">
        <v>404</v>
      </c>
      <c r="B1397" t="e">
        <v>#VALUE!</v>
      </c>
    </row>
    <row r="1398" spans="1:2" x14ac:dyDescent="0.25">
      <c r="A1398" t="s">
        <v>404</v>
      </c>
      <c r="B1398" t="e">
        <v>#VALUE!</v>
      </c>
    </row>
    <row r="1399" spans="1:2" x14ac:dyDescent="0.25">
      <c r="A1399" t="s">
        <v>404</v>
      </c>
      <c r="B1399" t="e">
        <v>#VALUE!</v>
      </c>
    </row>
    <row r="1400" spans="1:2" x14ac:dyDescent="0.25">
      <c r="A1400" t="s">
        <v>404</v>
      </c>
      <c r="B1400" t="e">
        <v>#VALUE!</v>
      </c>
    </row>
    <row r="1401" spans="1:2" x14ac:dyDescent="0.25">
      <c r="A1401" t="s">
        <v>404</v>
      </c>
      <c r="B1401" t="e">
        <v>#VALUE!</v>
      </c>
    </row>
    <row r="1402" spans="1:2" x14ac:dyDescent="0.25">
      <c r="A1402" t="s">
        <v>404</v>
      </c>
      <c r="B1402" t="e">
        <v>#VALUE!</v>
      </c>
    </row>
    <row r="1403" spans="1:2" x14ac:dyDescent="0.25">
      <c r="A1403" t="s">
        <v>404</v>
      </c>
      <c r="B1403" t="e">
        <v>#VALUE!</v>
      </c>
    </row>
    <row r="1404" spans="1:2" x14ac:dyDescent="0.25">
      <c r="A1404" t="s">
        <v>404</v>
      </c>
      <c r="B1404" t="e">
        <v>#VALUE!</v>
      </c>
    </row>
    <row r="1405" spans="1:2" x14ac:dyDescent="0.25">
      <c r="A1405" t="s">
        <v>404</v>
      </c>
      <c r="B1405" t="e">
        <v>#VALUE!</v>
      </c>
    </row>
    <row r="1406" spans="1:2" x14ac:dyDescent="0.25">
      <c r="A1406" t="s">
        <v>404</v>
      </c>
      <c r="B1406" t="e">
        <v>#VALUE!</v>
      </c>
    </row>
    <row r="1407" spans="1:2" x14ac:dyDescent="0.25">
      <c r="A1407" t="s">
        <v>404</v>
      </c>
      <c r="B1407" t="e">
        <v>#VALUE!</v>
      </c>
    </row>
    <row r="1408" spans="1:2" x14ac:dyDescent="0.25">
      <c r="A1408" t="s">
        <v>404</v>
      </c>
      <c r="B1408" t="e">
        <v>#VALUE!</v>
      </c>
    </row>
    <row r="1409" spans="1:2" x14ac:dyDescent="0.25">
      <c r="A1409" t="s">
        <v>404</v>
      </c>
      <c r="B1409" t="e">
        <v>#VALUE!</v>
      </c>
    </row>
    <row r="1410" spans="1:2" x14ac:dyDescent="0.25">
      <c r="A1410" t="s">
        <v>404</v>
      </c>
      <c r="B1410" t="e">
        <v>#VALUE!</v>
      </c>
    </row>
    <row r="1411" spans="1:2" x14ac:dyDescent="0.25">
      <c r="A1411" t="s">
        <v>404</v>
      </c>
      <c r="B1411" t="e">
        <v>#VALUE!</v>
      </c>
    </row>
    <row r="1412" spans="1:2" x14ac:dyDescent="0.25">
      <c r="A1412" t="s">
        <v>404</v>
      </c>
      <c r="B1412" t="e">
        <v>#VALUE!</v>
      </c>
    </row>
    <row r="1413" spans="1:2" x14ac:dyDescent="0.25">
      <c r="A1413" t="s">
        <v>404</v>
      </c>
      <c r="B1413" t="e">
        <v>#VALUE!</v>
      </c>
    </row>
    <row r="1414" spans="1:2" x14ac:dyDescent="0.25">
      <c r="A1414" t="s">
        <v>404</v>
      </c>
      <c r="B1414" t="e">
        <v>#VALUE!</v>
      </c>
    </row>
    <row r="1415" spans="1:2" x14ac:dyDescent="0.25">
      <c r="A1415" t="s">
        <v>404</v>
      </c>
      <c r="B1415" t="e">
        <v>#VALUE!</v>
      </c>
    </row>
    <row r="1416" spans="1:2" x14ac:dyDescent="0.25">
      <c r="A1416" t="s">
        <v>404</v>
      </c>
      <c r="B1416" t="e">
        <v>#VALUE!</v>
      </c>
    </row>
    <row r="1417" spans="1:2" x14ac:dyDescent="0.25">
      <c r="A1417" t="s">
        <v>404</v>
      </c>
      <c r="B1417" t="e">
        <v>#VALUE!</v>
      </c>
    </row>
    <row r="1418" spans="1:2" x14ac:dyDescent="0.25">
      <c r="A1418" t="s">
        <v>404</v>
      </c>
      <c r="B1418" t="e">
        <v>#VALUE!</v>
      </c>
    </row>
    <row r="1419" spans="1:2" x14ac:dyDescent="0.25">
      <c r="A1419" t="s">
        <v>404</v>
      </c>
      <c r="B1419" t="e">
        <v>#VALUE!</v>
      </c>
    </row>
    <row r="1420" spans="1:2" x14ac:dyDescent="0.25">
      <c r="A1420" t="s">
        <v>404</v>
      </c>
      <c r="B1420" t="e">
        <v>#VALUE!</v>
      </c>
    </row>
    <row r="1421" spans="1:2" x14ac:dyDescent="0.25">
      <c r="A1421" t="s">
        <v>404</v>
      </c>
      <c r="B1421" t="e">
        <v>#VALUE!</v>
      </c>
    </row>
    <row r="1422" spans="1:2" x14ac:dyDescent="0.25">
      <c r="A1422" t="s">
        <v>404</v>
      </c>
      <c r="B1422" t="e">
        <v>#VALUE!</v>
      </c>
    </row>
    <row r="1423" spans="1:2" x14ac:dyDescent="0.25">
      <c r="A1423" t="s">
        <v>404</v>
      </c>
      <c r="B1423" t="e">
        <v>#VALUE!</v>
      </c>
    </row>
    <row r="1424" spans="1:2" x14ac:dyDescent="0.25">
      <c r="A1424" t="s">
        <v>404</v>
      </c>
      <c r="B1424" t="e">
        <v>#VALUE!</v>
      </c>
    </row>
    <row r="1425" spans="1:2" x14ac:dyDescent="0.25">
      <c r="A1425" t="s">
        <v>404</v>
      </c>
      <c r="B1425" t="e">
        <v>#VALUE!</v>
      </c>
    </row>
    <row r="1426" spans="1:2" x14ac:dyDescent="0.25">
      <c r="A1426" t="s">
        <v>404</v>
      </c>
      <c r="B1426" t="e">
        <v>#VALUE!</v>
      </c>
    </row>
    <row r="1427" spans="1:2" x14ac:dyDescent="0.25">
      <c r="A1427" t="s">
        <v>404</v>
      </c>
      <c r="B1427" t="e">
        <v>#VALUE!</v>
      </c>
    </row>
    <row r="1428" spans="1:2" x14ac:dyDescent="0.25">
      <c r="A1428" t="s">
        <v>404</v>
      </c>
      <c r="B1428" t="e">
        <v>#VALUE!</v>
      </c>
    </row>
    <row r="1429" spans="1:2" x14ac:dyDescent="0.25">
      <c r="A1429" t="s">
        <v>404</v>
      </c>
      <c r="B1429" t="e">
        <v>#VALUE!</v>
      </c>
    </row>
    <row r="1430" spans="1:2" x14ac:dyDescent="0.25">
      <c r="A1430" t="s">
        <v>404</v>
      </c>
      <c r="B1430" t="e">
        <v>#VALUE!</v>
      </c>
    </row>
    <row r="1431" spans="1:2" x14ac:dyDescent="0.25">
      <c r="A1431" t="s">
        <v>404</v>
      </c>
      <c r="B1431" t="e">
        <v>#VALUE!</v>
      </c>
    </row>
    <row r="1432" spans="1:2" x14ac:dyDescent="0.25">
      <c r="A1432" t="s">
        <v>404</v>
      </c>
      <c r="B1432" t="e">
        <v>#VALUE!</v>
      </c>
    </row>
    <row r="1433" spans="1:2" x14ac:dyDescent="0.25">
      <c r="A1433" t="s">
        <v>404</v>
      </c>
      <c r="B1433" t="e">
        <v>#VALUE!</v>
      </c>
    </row>
    <row r="1434" spans="1:2" x14ac:dyDescent="0.25">
      <c r="A1434" t="s">
        <v>404</v>
      </c>
      <c r="B1434" t="e">
        <v>#VALUE!</v>
      </c>
    </row>
    <row r="1435" spans="1:2" x14ac:dyDescent="0.25">
      <c r="A1435" t="s">
        <v>404</v>
      </c>
      <c r="B1435" t="e">
        <v>#VALUE!</v>
      </c>
    </row>
    <row r="1436" spans="1:2" x14ac:dyDescent="0.25">
      <c r="A1436" t="s">
        <v>404</v>
      </c>
      <c r="B1436" t="e">
        <v>#VALUE!</v>
      </c>
    </row>
    <row r="1437" spans="1:2" x14ac:dyDescent="0.25">
      <c r="A1437" t="s">
        <v>404</v>
      </c>
      <c r="B1437" t="e">
        <v>#VALUE!</v>
      </c>
    </row>
    <row r="1438" spans="1:2" x14ac:dyDescent="0.25">
      <c r="A1438" t="s">
        <v>404</v>
      </c>
      <c r="B1438" t="e">
        <v>#VALUE!</v>
      </c>
    </row>
    <row r="1439" spans="1:2" x14ac:dyDescent="0.25">
      <c r="A1439" t="s">
        <v>404</v>
      </c>
      <c r="B1439" t="e">
        <v>#VALUE!</v>
      </c>
    </row>
    <row r="1440" spans="1:2" x14ac:dyDescent="0.25">
      <c r="A1440" t="s">
        <v>404</v>
      </c>
      <c r="B1440" t="e">
        <v>#VALUE!</v>
      </c>
    </row>
    <row r="1441" spans="1:2" x14ac:dyDescent="0.25">
      <c r="A1441" t="s">
        <v>404</v>
      </c>
      <c r="B1441" t="e">
        <v>#VALUE!</v>
      </c>
    </row>
    <row r="1442" spans="1:2" x14ac:dyDescent="0.25">
      <c r="A1442" t="s">
        <v>404</v>
      </c>
      <c r="B1442" t="e">
        <v>#VALUE!</v>
      </c>
    </row>
    <row r="1443" spans="1:2" x14ac:dyDescent="0.25">
      <c r="A1443" t="s">
        <v>404</v>
      </c>
      <c r="B1443" t="e">
        <v>#VALUE!</v>
      </c>
    </row>
    <row r="1444" spans="1:2" x14ac:dyDescent="0.25">
      <c r="A1444" t="s">
        <v>404</v>
      </c>
      <c r="B1444" t="e">
        <v>#VALUE!</v>
      </c>
    </row>
    <row r="1445" spans="1:2" x14ac:dyDescent="0.25">
      <c r="A1445" t="s">
        <v>404</v>
      </c>
      <c r="B1445" t="e">
        <v>#VALUE!</v>
      </c>
    </row>
    <row r="1446" spans="1:2" x14ac:dyDescent="0.25">
      <c r="A1446" t="s">
        <v>404</v>
      </c>
      <c r="B1446" t="e">
        <v>#VALUE!</v>
      </c>
    </row>
    <row r="1447" spans="1:2" x14ac:dyDescent="0.25">
      <c r="A1447" t="s">
        <v>404</v>
      </c>
      <c r="B1447" t="e">
        <v>#VALUE!</v>
      </c>
    </row>
    <row r="1448" spans="1:2" x14ac:dyDescent="0.25">
      <c r="A1448" t="s">
        <v>404</v>
      </c>
      <c r="B1448" t="e">
        <v>#VALUE!</v>
      </c>
    </row>
    <row r="1449" spans="1:2" x14ac:dyDescent="0.25">
      <c r="A1449" t="s">
        <v>404</v>
      </c>
      <c r="B1449" t="e">
        <v>#VALUE!</v>
      </c>
    </row>
    <row r="1450" spans="1:2" x14ac:dyDescent="0.25">
      <c r="A1450" t="s">
        <v>404</v>
      </c>
      <c r="B1450" t="e">
        <v>#VALUE!</v>
      </c>
    </row>
    <row r="1451" spans="1:2" x14ac:dyDescent="0.25">
      <c r="A1451" t="s">
        <v>404</v>
      </c>
      <c r="B1451" t="e">
        <v>#VALUE!</v>
      </c>
    </row>
    <row r="1452" spans="1:2" x14ac:dyDescent="0.25">
      <c r="A1452" t="s">
        <v>404</v>
      </c>
      <c r="B1452" t="e">
        <v>#VALUE!</v>
      </c>
    </row>
    <row r="1453" spans="1:2" x14ac:dyDescent="0.25">
      <c r="A1453" t="s">
        <v>404</v>
      </c>
      <c r="B1453" t="e">
        <v>#VALUE!</v>
      </c>
    </row>
    <row r="1454" spans="1:2" x14ac:dyDescent="0.25">
      <c r="A1454" t="s">
        <v>404</v>
      </c>
      <c r="B1454" t="e">
        <v>#VALUE!</v>
      </c>
    </row>
    <row r="1455" spans="1:2" x14ac:dyDescent="0.25">
      <c r="A1455" t="s">
        <v>404</v>
      </c>
      <c r="B1455" t="e">
        <v>#VALUE!</v>
      </c>
    </row>
    <row r="1456" spans="1:2" x14ac:dyDescent="0.25">
      <c r="A1456" t="s">
        <v>404</v>
      </c>
      <c r="B1456" t="e">
        <v>#VALUE!</v>
      </c>
    </row>
    <row r="1457" spans="1:2" x14ac:dyDescent="0.25">
      <c r="A1457" t="s">
        <v>404</v>
      </c>
      <c r="B1457" t="e">
        <v>#VALUE!</v>
      </c>
    </row>
    <row r="1458" spans="1:2" x14ac:dyDescent="0.25">
      <c r="A1458" t="s">
        <v>404</v>
      </c>
      <c r="B1458" t="e">
        <v>#VALUE!</v>
      </c>
    </row>
    <row r="1459" spans="1:2" x14ac:dyDescent="0.25">
      <c r="A1459" t="s">
        <v>404</v>
      </c>
      <c r="B1459" t="e">
        <v>#VALUE!</v>
      </c>
    </row>
    <row r="1460" spans="1:2" x14ac:dyDescent="0.25">
      <c r="A1460" t="s">
        <v>404</v>
      </c>
      <c r="B1460" t="e">
        <v>#VALUE!</v>
      </c>
    </row>
    <row r="1461" spans="1:2" x14ac:dyDescent="0.25">
      <c r="A1461" t="s">
        <v>404</v>
      </c>
      <c r="B1461" t="e">
        <v>#VALUE!</v>
      </c>
    </row>
    <row r="1462" spans="1:2" x14ac:dyDescent="0.25">
      <c r="A1462" t="s">
        <v>404</v>
      </c>
      <c r="B1462" t="e">
        <v>#VALUE!</v>
      </c>
    </row>
    <row r="1463" spans="1:2" x14ac:dyDescent="0.25">
      <c r="A1463" t="s">
        <v>404</v>
      </c>
      <c r="B1463" t="e">
        <v>#VALUE!</v>
      </c>
    </row>
    <row r="1464" spans="1:2" x14ac:dyDescent="0.25">
      <c r="A1464" t="s">
        <v>404</v>
      </c>
      <c r="B1464" t="e">
        <v>#VALUE!</v>
      </c>
    </row>
    <row r="1465" spans="1:2" x14ac:dyDescent="0.25">
      <c r="A1465" t="s">
        <v>404</v>
      </c>
      <c r="B1465" t="e">
        <v>#VALUE!</v>
      </c>
    </row>
    <row r="1466" spans="1:2" x14ac:dyDescent="0.25">
      <c r="A1466" t="s">
        <v>404</v>
      </c>
      <c r="B1466" t="e">
        <v>#VALUE!</v>
      </c>
    </row>
    <row r="1467" spans="1:2" x14ac:dyDescent="0.25">
      <c r="A1467" t="s">
        <v>404</v>
      </c>
      <c r="B1467" t="e">
        <v>#VALUE!</v>
      </c>
    </row>
    <row r="1468" spans="1:2" x14ac:dyDescent="0.25">
      <c r="A1468" t="s">
        <v>404</v>
      </c>
      <c r="B1468" t="e">
        <v>#VALUE!</v>
      </c>
    </row>
    <row r="1469" spans="1:2" x14ac:dyDescent="0.25">
      <c r="A1469" t="s">
        <v>404</v>
      </c>
      <c r="B1469" t="e">
        <v>#VALUE!</v>
      </c>
    </row>
    <row r="1470" spans="1:2" x14ac:dyDescent="0.25">
      <c r="A1470" t="s">
        <v>404</v>
      </c>
      <c r="B1470" t="e">
        <v>#VALUE!</v>
      </c>
    </row>
    <row r="1471" spans="1:2" x14ac:dyDescent="0.25">
      <c r="A1471" t="s">
        <v>404</v>
      </c>
      <c r="B1471" t="e">
        <v>#VALUE!</v>
      </c>
    </row>
    <row r="1472" spans="1:2" x14ac:dyDescent="0.25">
      <c r="A1472" t="s">
        <v>404</v>
      </c>
      <c r="B1472" t="e">
        <v>#VALUE!</v>
      </c>
    </row>
    <row r="1473" spans="1:2" x14ac:dyDescent="0.25">
      <c r="A1473" t="s">
        <v>404</v>
      </c>
      <c r="B1473" t="e">
        <v>#VALUE!</v>
      </c>
    </row>
    <row r="1474" spans="1:2" x14ac:dyDescent="0.25">
      <c r="A1474" t="s">
        <v>404</v>
      </c>
      <c r="B1474" t="e">
        <v>#VALUE!</v>
      </c>
    </row>
    <row r="1475" spans="1:2" x14ac:dyDescent="0.25">
      <c r="A1475" t="s">
        <v>404</v>
      </c>
      <c r="B1475" t="e">
        <v>#VALUE!</v>
      </c>
    </row>
    <row r="1476" spans="1:2" x14ac:dyDescent="0.25">
      <c r="A1476" t="s">
        <v>404</v>
      </c>
      <c r="B1476" t="e">
        <v>#VALUE!</v>
      </c>
    </row>
    <row r="1477" spans="1:2" x14ac:dyDescent="0.25">
      <c r="A1477" t="s">
        <v>404</v>
      </c>
      <c r="B1477" t="e">
        <v>#VALUE!</v>
      </c>
    </row>
    <row r="1478" spans="1:2" x14ac:dyDescent="0.25">
      <c r="A1478" t="s">
        <v>404</v>
      </c>
      <c r="B1478" t="e">
        <v>#VALUE!</v>
      </c>
    </row>
    <row r="1479" spans="1:2" x14ac:dyDescent="0.25">
      <c r="A1479" t="s">
        <v>404</v>
      </c>
      <c r="B1479" t="e">
        <v>#VALUE!</v>
      </c>
    </row>
    <row r="1480" spans="1:2" x14ac:dyDescent="0.25">
      <c r="A1480" t="s">
        <v>404</v>
      </c>
      <c r="B1480" t="e">
        <v>#VALUE!</v>
      </c>
    </row>
    <row r="1481" spans="1:2" x14ac:dyDescent="0.25">
      <c r="A1481" t="s">
        <v>404</v>
      </c>
      <c r="B1481" t="e">
        <v>#VALUE!</v>
      </c>
    </row>
    <row r="1482" spans="1:2" x14ac:dyDescent="0.25">
      <c r="A1482" t="s">
        <v>404</v>
      </c>
      <c r="B1482" t="e">
        <v>#VALUE!</v>
      </c>
    </row>
    <row r="1483" spans="1:2" x14ac:dyDescent="0.25">
      <c r="A1483" t="s">
        <v>404</v>
      </c>
      <c r="B1483" t="e">
        <v>#VALUE!</v>
      </c>
    </row>
    <row r="1484" spans="1:2" x14ac:dyDescent="0.25">
      <c r="A1484" t="s">
        <v>404</v>
      </c>
      <c r="B1484" t="e">
        <v>#VALUE!</v>
      </c>
    </row>
    <row r="1485" spans="1:2" x14ac:dyDescent="0.25">
      <c r="A1485" t="s">
        <v>404</v>
      </c>
      <c r="B1485" t="e">
        <v>#VALUE!</v>
      </c>
    </row>
    <row r="1486" spans="1:2" x14ac:dyDescent="0.25">
      <c r="A1486" t="s">
        <v>404</v>
      </c>
      <c r="B1486" t="e">
        <v>#VALUE!</v>
      </c>
    </row>
    <row r="1487" spans="1:2" x14ac:dyDescent="0.25">
      <c r="A1487" t="s">
        <v>404</v>
      </c>
      <c r="B1487" t="e">
        <v>#VALUE!</v>
      </c>
    </row>
    <row r="1488" spans="1:2" x14ac:dyDescent="0.25">
      <c r="A1488" t="s">
        <v>404</v>
      </c>
      <c r="B1488" t="e">
        <v>#VALUE!</v>
      </c>
    </row>
    <row r="1489" spans="1:2" x14ac:dyDescent="0.25">
      <c r="A1489" t="s">
        <v>404</v>
      </c>
      <c r="B1489" t="e">
        <v>#VALUE!</v>
      </c>
    </row>
    <row r="1490" spans="1:2" x14ac:dyDescent="0.25">
      <c r="A1490" t="s">
        <v>404</v>
      </c>
      <c r="B1490" t="e">
        <v>#VALUE!</v>
      </c>
    </row>
    <row r="1491" spans="1:2" x14ac:dyDescent="0.25">
      <c r="A1491" t="s">
        <v>404</v>
      </c>
      <c r="B1491" t="e">
        <v>#VALUE!</v>
      </c>
    </row>
    <row r="1492" spans="1:2" x14ac:dyDescent="0.25">
      <c r="A1492" t="s">
        <v>404</v>
      </c>
      <c r="B1492" t="e">
        <v>#VALUE!</v>
      </c>
    </row>
    <row r="1493" spans="1:2" x14ac:dyDescent="0.25">
      <c r="A1493" t="s">
        <v>404</v>
      </c>
      <c r="B1493" t="e">
        <v>#VALUE!</v>
      </c>
    </row>
    <row r="1494" spans="1:2" x14ac:dyDescent="0.25">
      <c r="A1494" t="s">
        <v>404</v>
      </c>
      <c r="B1494" t="e">
        <v>#VALUE!</v>
      </c>
    </row>
    <row r="1495" spans="1:2" x14ac:dyDescent="0.25">
      <c r="A1495" t="s">
        <v>404</v>
      </c>
      <c r="B1495" t="e">
        <v>#VALUE!</v>
      </c>
    </row>
    <row r="1496" spans="1:2" x14ac:dyDescent="0.25">
      <c r="A1496" t="s">
        <v>404</v>
      </c>
      <c r="B1496" t="e">
        <v>#VALUE!</v>
      </c>
    </row>
    <row r="1497" spans="1:2" x14ac:dyDescent="0.25">
      <c r="A1497" t="s">
        <v>404</v>
      </c>
      <c r="B1497" t="e">
        <v>#VALUE!</v>
      </c>
    </row>
    <row r="1498" spans="1:2" x14ac:dyDescent="0.25">
      <c r="A1498" t="s">
        <v>404</v>
      </c>
      <c r="B1498" t="e">
        <v>#VALUE!</v>
      </c>
    </row>
    <row r="1499" spans="1:2" x14ac:dyDescent="0.25">
      <c r="A1499" t="s">
        <v>404</v>
      </c>
      <c r="B1499" t="e">
        <v>#VALUE!</v>
      </c>
    </row>
    <row r="1500" spans="1:2" x14ac:dyDescent="0.25">
      <c r="A1500" t="s">
        <v>404</v>
      </c>
      <c r="B1500" t="e">
        <v>#VALUE!</v>
      </c>
    </row>
    <row r="1501" spans="1:2" x14ac:dyDescent="0.25">
      <c r="A1501" t="s">
        <v>404</v>
      </c>
      <c r="B1501" t="e">
        <v>#VALUE!</v>
      </c>
    </row>
    <row r="1502" spans="1:2" x14ac:dyDescent="0.25">
      <c r="A1502" t="s">
        <v>404</v>
      </c>
      <c r="B1502" t="e">
        <v>#VALUE!</v>
      </c>
    </row>
    <row r="1503" spans="1:2" x14ac:dyDescent="0.25">
      <c r="A1503" t="s">
        <v>404</v>
      </c>
      <c r="B1503" t="e">
        <v>#VALUE!</v>
      </c>
    </row>
    <row r="1504" spans="1:2" x14ac:dyDescent="0.25">
      <c r="A1504" t="s">
        <v>404</v>
      </c>
      <c r="B1504" t="e">
        <v>#VALUE!</v>
      </c>
    </row>
    <row r="1505" spans="1:2" x14ac:dyDescent="0.25">
      <c r="A1505" t="s">
        <v>404</v>
      </c>
      <c r="B1505" t="e">
        <v>#VALUE!</v>
      </c>
    </row>
    <row r="1506" spans="1:2" x14ac:dyDescent="0.25">
      <c r="A1506" t="s">
        <v>404</v>
      </c>
      <c r="B1506" t="e">
        <v>#VALUE!</v>
      </c>
    </row>
    <row r="1507" spans="1:2" x14ac:dyDescent="0.25">
      <c r="A1507" t="s">
        <v>404</v>
      </c>
      <c r="B1507" t="e">
        <v>#VALUE!</v>
      </c>
    </row>
    <row r="1508" spans="1:2" x14ac:dyDescent="0.25">
      <c r="A1508" t="s">
        <v>404</v>
      </c>
      <c r="B1508" t="e">
        <v>#VALUE!</v>
      </c>
    </row>
    <row r="1509" spans="1:2" x14ac:dyDescent="0.25">
      <c r="A1509" t="s">
        <v>404</v>
      </c>
      <c r="B1509" t="e">
        <v>#VALUE!</v>
      </c>
    </row>
    <row r="1510" spans="1:2" x14ac:dyDescent="0.25">
      <c r="A1510" t="s">
        <v>404</v>
      </c>
      <c r="B1510" t="e">
        <v>#VALUE!</v>
      </c>
    </row>
    <row r="1511" spans="1:2" x14ac:dyDescent="0.25">
      <c r="A1511" t="s">
        <v>404</v>
      </c>
      <c r="B1511" t="e">
        <v>#VALUE!</v>
      </c>
    </row>
    <row r="1512" spans="1:2" x14ac:dyDescent="0.25">
      <c r="A1512" t="s">
        <v>404</v>
      </c>
      <c r="B1512" t="e">
        <v>#VALUE!</v>
      </c>
    </row>
    <row r="1513" spans="1:2" x14ac:dyDescent="0.25">
      <c r="A1513" t="s">
        <v>404</v>
      </c>
      <c r="B1513" t="e">
        <v>#VALUE!</v>
      </c>
    </row>
    <row r="1514" spans="1:2" x14ac:dyDescent="0.25">
      <c r="A1514" t="s">
        <v>404</v>
      </c>
      <c r="B1514" t="e">
        <v>#VALUE!</v>
      </c>
    </row>
    <row r="1515" spans="1:2" x14ac:dyDescent="0.25">
      <c r="A1515" t="s">
        <v>404</v>
      </c>
      <c r="B1515" t="e">
        <v>#VALUE!</v>
      </c>
    </row>
    <row r="1516" spans="1:2" x14ac:dyDescent="0.25">
      <c r="A1516" t="s">
        <v>404</v>
      </c>
      <c r="B1516" t="e">
        <v>#VALUE!</v>
      </c>
    </row>
    <row r="1517" spans="1:2" x14ac:dyDescent="0.25">
      <c r="A1517" t="s">
        <v>404</v>
      </c>
      <c r="B1517" t="e">
        <v>#VALUE!</v>
      </c>
    </row>
    <row r="1518" spans="1:2" x14ac:dyDescent="0.25">
      <c r="A1518" t="s">
        <v>404</v>
      </c>
      <c r="B1518" t="e">
        <v>#VALUE!</v>
      </c>
    </row>
    <row r="1519" spans="1:2" x14ac:dyDescent="0.25">
      <c r="A1519" t="s">
        <v>404</v>
      </c>
      <c r="B1519" t="e">
        <v>#VALUE!</v>
      </c>
    </row>
    <row r="1520" spans="1:2" x14ac:dyDescent="0.25">
      <c r="A1520" t="s">
        <v>404</v>
      </c>
      <c r="B1520" t="e">
        <v>#VALUE!</v>
      </c>
    </row>
    <row r="1521" spans="1:2" x14ac:dyDescent="0.25">
      <c r="A1521" t="s">
        <v>404</v>
      </c>
      <c r="B1521" t="e">
        <v>#VALUE!</v>
      </c>
    </row>
    <row r="1522" spans="1:2" x14ac:dyDescent="0.25">
      <c r="A1522" t="s">
        <v>404</v>
      </c>
      <c r="B1522" t="e">
        <v>#VALUE!</v>
      </c>
    </row>
    <row r="1523" spans="1:2" x14ac:dyDescent="0.25">
      <c r="A1523" t="s">
        <v>404</v>
      </c>
      <c r="B1523" t="e">
        <v>#VALUE!</v>
      </c>
    </row>
    <row r="1524" spans="1:2" x14ac:dyDescent="0.25">
      <c r="A1524" t="s">
        <v>404</v>
      </c>
      <c r="B1524" t="e">
        <v>#VALUE!</v>
      </c>
    </row>
    <row r="1525" spans="1:2" x14ac:dyDescent="0.25">
      <c r="A1525" t="s">
        <v>404</v>
      </c>
      <c r="B1525" t="e">
        <v>#VALUE!</v>
      </c>
    </row>
    <row r="1526" spans="1:2" x14ac:dyDescent="0.25">
      <c r="A1526" t="s">
        <v>404</v>
      </c>
      <c r="B1526" t="e">
        <v>#VALUE!</v>
      </c>
    </row>
    <row r="1527" spans="1:2" x14ac:dyDescent="0.25">
      <c r="A1527" t="s">
        <v>404</v>
      </c>
      <c r="B1527" t="e">
        <v>#VALUE!</v>
      </c>
    </row>
    <row r="1528" spans="1:2" x14ac:dyDescent="0.25">
      <c r="A1528" t="s">
        <v>404</v>
      </c>
      <c r="B1528" t="e">
        <v>#VALUE!</v>
      </c>
    </row>
    <row r="1529" spans="1:2" x14ac:dyDescent="0.25">
      <c r="A1529" t="s">
        <v>404</v>
      </c>
      <c r="B1529" t="e">
        <v>#VALUE!</v>
      </c>
    </row>
    <row r="1530" spans="1:2" x14ac:dyDescent="0.25">
      <c r="A1530" t="s">
        <v>404</v>
      </c>
      <c r="B1530" t="e">
        <v>#VALUE!</v>
      </c>
    </row>
    <row r="1531" spans="1:2" x14ac:dyDescent="0.25">
      <c r="A1531" t="s">
        <v>404</v>
      </c>
      <c r="B1531" t="e">
        <v>#VALUE!</v>
      </c>
    </row>
    <row r="1532" spans="1:2" x14ac:dyDescent="0.25">
      <c r="A1532" t="s">
        <v>404</v>
      </c>
      <c r="B1532" t="e">
        <v>#VALUE!</v>
      </c>
    </row>
    <row r="1533" spans="1:2" x14ac:dyDescent="0.25">
      <c r="A1533" t="s">
        <v>404</v>
      </c>
      <c r="B1533" t="e">
        <v>#VALUE!</v>
      </c>
    </row>
    <row r="1534" spans="1:2" x14ac:dyDescent="0.25">
      <c r="A1534" t="s">
        <v>404</v>
      </c>
      <c r="B1534" t="e">
        <v>#VALUE!</v>
      </c>
    </row>
    <row r="1535" spans="1:2" x14ac:dyDescent="0.25">
      <c r="A1535" t="s">
        <v>404</v>
      </c>
      <c r="B1535" t="e">
        <v>#VALUE!</v>
      </c>
    </row>
    <row r="1536" spans="1:2" x14ac:dyDescent="0.25">
      <c r="A1536" t="s">
        <v>404</v>
      </c>
      <c r="B1536" t="e">
        <v>#VALUE!</v>
      </c>
    </row>
    <row r="1537" spans="1:2" x14ac:dyDescent="0.25">
      <c r="A1537" t="s">
        <v>404</v>
      </c>
      <c r="B1537" t="e">
        <v>#VALUE!</v>
      </c>
    </row>
    <row r="1538" spans="1:2" x14ac:dyDescent="0.25">
      <c r="A1538" t="s">
        <v>404</v>
      </c>
      <c r="B1538" t="e">
        <v>#VALUE!</v>
      </c>
    </row>
    <row r="1539" spans="1:2" x14ac:dyDescent="0.25">
      <c r="A1539" t="s">
        <v>404</v>
      </c>
      <c r="B1539" t="e">
        <v>#VALUE!</v>
      </c>
    </row>
    <row r="1540" spans="1:2" x14ac:dyDescent="0.25">
      <c r="A1540" t="s">
        <v>404</v>
      </c>
      <c r="B1540" t="e">
        <v>#VALUE!</v>
      </c>
    </row>
    <row r="1541" spans="1:2" x14ac:dyDescent="0.25">
      <c r="A1541" t="s">
        <v>404</v>
      </c>
      <c r="B1541" t="e">
        <v>#VALUE!</v>
      </c>
    </row>
    <row r="1542" spans="1:2" x14ac:dyDescent="0.25">
      <c r="A1542" t="s">
        <v>404</v>
      </c>
      <c r="B1542" t="e">
        <v>#VALUE!</v>
      </c>
    </row>
    <row r="1543" spans="1:2" x14ac:dyDescent="0.25">
      <c r="A1543" t="s">
        <v>404</v>
      </c>
      <c r="B1543" t="e">
        <v>#VALUE!</v>
      </c>
    </row>
    <row r="1544" spans="1:2" x14ac:dyDescent="0.25">
      <c r="A1544" t="s">
        <v>404</v>
      </c>
      <c r="B1544" t="e">
        <v>#VALUE!</v>
      </c>
    </row>
    <row r="1545" spans="1:2" x14ac:dyDescent="0.25">
      <c r="A1545" t="s">
        <v>404</v>
      </c>
      <c r="B1545" t="e">
        <v>#VALUE!</v>
      </c>
    </row>
    <row r="1546" spans="1:2" x14ac:dyDescent="0.25">
      <c r="A1546" t="s">
        <v>404</v>
      </c>
      <c r="B1546" t="e">
        <v>#VALUE!</v>
      </c>
    </row>
    <row r="1547" spans="1:2" x14ac:dyDescent="0.25">
      <c r="A1547" t="s">
        <v>404</v>
      </c>
      <c r="B1547" t="e">
        <v>#VALUE!</v>
      </c>
    </row>
    <row r="1548" spans="1:2" x14ac:dyDescent="0.25">
      <c r="A1548" t="s">
        <v>404</v>
      </c>
      <c r="B1548" t="e">
        <v>#VALUE!</v>
      </c>
    </row>
    <row r="1549" spans="1:2" x14ac:dyDescent="0.25">
      <c r="A1549" t="s">
        <v>404</v>
      </c>
      <c r="B1549" t="e">
        <v>#VALUE!</v>
      </c>
    </row>
    <row r="1550" spans="1:2" x14ac:dyDescent="0.25">
      <c r="A1550" t="s">
        <v>404</v>
      </c>
      <c r="B1550" t="e">
        <v>#VALUE!</v>
      </c>
    </row>
    <row r="1551" spans="1:2" x14ac:dyDescent="0.25">
      <c r="A1551" t="s">
        <v>404</v>
      </c>
      <c r="B1551" t="e">
        <v>#VALUE!</v>
      </c>
    </row>
    <row r="1552" spans="1:2" x14ac:dyDescent="0.25">
      <c r="A1552" t="s">
        <v>404</v>
      </c>
      <c r="B1552" t="e">
        <v>#VALUE!</v>
      </c>
    </row>
    <row r="1553" spans="1:2" x14ac:dyDescent="0.25">
      <c r="A1553" t="s">
        <v>404</v>
      </c>
      <c r="B1553" t="e">
        <v>#VALUE!</v>
      </c>
    </row>
    <row r="1554" spans="1:2" x14ac:dyDescent="0.25">
      <c r="A1554" t="s">
        <v>404</v>
      </c>
      <c r="B1554" t="e">
        <v>#VALUE!</v>
      </c>
    </row>
    <row r="1555" spans="1:2" x14ac:dyDescent="0.25">
      <c r="A1555" t="s">
        <v>404</v>
      </c>
      <c r="B1555" t="e">
        <v>#VALUE!</v>
      </c>
    </row>
    <row r="1556" spans="1:2" x14ac:dyDescent="0.25">
      <c r="A1556" t="s">
        <v>404</v>
      </c>
      <c r="B1556" t="e">
        <v>#VALUE!</v>
      </c>
    </row>
    <row r="1557" spans="1:2" x14ac:dyDescent="0.25">
      <c r="A1557" t="s">
        <v>404</v>
      </c>
      <c r="B1557" t="e">
        <v>#VALUE!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zoomScale="90" zoomScaleNormal="90" workbookViewId="0">
      <selection activeCell="K8" sqref="K8"/>
    </sheetView>
  </sheetViews>
  <sheetFormatPr baseColWidth="10" defaultColWidth="11.42578125" defaultRowHeight="15" x14ac:dyDescent="0.25"/>
  <cols>
    <col min="1" max="1" width="15" style="1" customWidth="1"/>
    <col min="2" max="2" width="26.5703125" style="1" customWidth="1"/>
    <col min="3" max="3" width="118.285156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5.42578125" style="1" customWidth="1"/>
    <col min="12" max="12" width="15.42578125" style="1" customWidth="1"/>
    <col min="13" max="14" width="12.85546875" style="1" customWidth="1"/>
    <col min="15" max="20" width="12.28515625" style="1" customWidth="1"/>
    <col min="21" max="21" width="17.42578125" style="1" customWidth="1"/>
    <col min="22" max="25" width="12.28515625" style="1" customWidth="1"/>
    <col min="26" max="27" width="15.5703125" style="1" customWidth="1"/>
    <col min="28" max="28" width="14.28515625" style="1" customWidth="1"/>
    <col min="29" max="16384" width="11.42578125" style="1"/>
  </cols>
  <sheetData>
    <row r="1" spans="1:144" x14ac:dyDescent="0.25">
      <c r="A1" s="1" t="s">
        <v>107</v>
      </c>
      <c r="B1" s="1" t="s">
        <v>108</v>
      </c>
      <c r="C1" s="1" t="s">
        <v>109</v>
      </c>
      <c r="D1" s="1" t="s">
        <v>110</v>
      </c>
      <c r="E1" s="1" t="s">
        <v>111</v>
      </c>
      <c r="F1" s="1" t="s">
        <v>112</v>
      </c>
      <c r="G1" s="1" t="s">
        <v>113</v>
      </c>
      <c r="H1" s="1" t="s">
        <v>117</v>
      </c>
      <c r="I1" s="1" t="s">
        <v>118</v>
      </c>
      <c r="J1" s="1" t="s">
        <v>392</v>
      </c>
      <c r="K1" s="116"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0" t="s">
        <v>167</v>
      </c>
      <c r="D2" s="1" t="s">
        <v>110</v>
      </c>
      <c r="E2" s="1" t="s">
        <v>111</v>
      </c>
      <c r="F2" s="1" t="s">
        <v>112</v>
      </c>
      <c r="G2" s="1" t="s">
        <v>113</v>
      </c>
      <c r="K2" s="154" t="s">
        <v>120</v>
      </c>
      <c r="L2" s="154"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1</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3" s="1" t="s">
        <v>168</v>
      </c>
      <c r="K3" s="116" t="s">
        <v>154</v>
      </c>
      <c r="L3" s="116"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1</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4" s="1" t="s">
        <v>169</v>
      </c>
      <c r="D4" s="1">
        <v>116</v>
      </c>
      <c r="E4" s="1" t="s">
        <v>170</v>
      </c>
      <c r="F4" s="1" t="s">
        <v>112</v>
      </c>
      <c r="G4" s="1">
        <v>4209</v>
      </c>
      <c r="K4" s="116" t="s">
        <v>100</v>
      </c>
      <c r="M4" s="1" t="s">
        <v>393</v>
      </c>
      <c r="N4" s="1" t="s">
        <v>394</v>
      </c>
      <c r="O4" s="1" t="s">
        <v>395</v>
      </c>
      <c r="P4" s="1" t="s">
        <v>396</v>
      </c>
      <c r="Q4" s="1" t="s">
        <v>397</v>
      </c>
      <c r="R4" s="1" t="s">
        <v>398</v>
      </c>
      <c r="S4" s="1" t="s">
        <v>399</v>
      </c>
      <c r="T4" s="1" t="s">
        <v>400</v>
      </c>
      <c r="U4" s="1" t="s">
        <v>401</v>
      </c>
      <c r="V4" s="1" t="s">
        <v>402</v>
      </c>
      <c r="W4" s="1" t="s">
        <v>403</v>
      </c>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1</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5" s="1" t="s">
        <v>171</v>
      </c>
      <c r="D5" s="1">
        <v>97</v>
      </c>
      <c r="E5" s="1" t="s">
        <v>172</v>
      </c>
      <c r="F5" s="1" t="s">
        <v>112</v>
      </c>
      <c r="G5" s="1">
        <v>3382</v>
      </c>
      <c r="K5" s="143" t="s">
        <v>112</v>
      </c>
      <c r="L5" s="43"/>
      <c r="M5" s="43">
        <v>7558</v>
      </c>
      <c r="N5" s="43" t="e">
        <v>#DIV/0!</v>
      </c>
      <c r="O5" s="43" t="e">
        <v>#DIV/0!</v>
      </c>
      <c r="P5" s="43" t="e">
        <v>#DIV/0!</v>
      </c>
      <c r="Q5" s="43">
        <v>7586</v>
      </c>
      <c r="R5" s="43" t="e">
        <v>#DIV/0!</v>
      </c>
      <c r="S5" s="43">
        <v>7898</v>
      </c>
      <c r="T5" s="43" t="e">
        <v>#DIV/0!</v>
      </c>
      <c r="U5" s="43" t="e">
        <v>#DIV/0!</v>
      </c>
      <c r="V5" s="43" t="e">
        <v>#DIV/0!</v>
      </c>
      <c r="W5" s="43" t="e">
        <v>#DIV/0!</v>
      </c>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1</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6" s="1" t="s">
        <v>173</v>
      </c>
      <c r="D6" s="1">
        <v>52</v>
      </c>
      <c r="E6" s="1" t="s">
        <v>174</v>
      </c>
      <c r="F6" s="1" t="s">
        <v>112</v>
      </c>
      <c r="G6" s="1">
        <v>1871</v>
      </c>
      <c r="K6" s="143" t="s">
        <v>398</v>
      </c>
      <c r="L6" s="43"/>
      <c r="M6" s="43">
        <v>3119.1428571428573</v>
      </c>
      <c r="N6" s="43">
        <v>85677.125</v>
      </c>
      <c r="O6" s="43">
        <v>72230.71428571429</v>
      </c>
      <c r="P6" s="43">
        <v>171402.71428571429</v>
      </c>
      <c r="Q6" s="43">
        <v>4461.166666666667</v>
      </c>
      <c r="R6" s="43">
        <v>10853.875</v>
      </c>
      <c r="S6" s="43">
        <v>9026.2857142857138</v>
      </c>
      <c r="T6" s="43">
        <v>12785.625</v>
      </c>
      <c r="U6" s="43">
        <v>40793.714285714283</v>
      </c>
      <c r="V6" s="43">
        <v>76725.625</v>
      </c>
      <c r="W6" s="43">
        <v>163917.85714285713</v>
      </c>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1</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7" s="1" t="s">
        <v>175</v>
      </c>
      <c r="D7" s="1">
        <v>10</v>
      </c>
      <c r="E7" s="1" t="s">
        <v>176</v>
      </c>
      <c r="F7" s="1" t="s">
        <v>112</v>
      </c>
      <c r="G7" s="1">
        <v>311</v>
      </c>
      <c r="K7" s="143" t="s">
        <v>165</v>
      </c>
      <c r="L7" s="43" t="e">
        <v>#DIV/0!</v>
      </c>
      <c r="M7" s="43"/>
      <c r="N7" s="43"/>
      <c r="O7" s="43"/>
      <c r="P7" s="43"/>
      <c r="Q7" s="43"/>
      <c r="R7" s="43"/>
      <c r="S7" s="43"/>
      <c r="T7" s="43"/>
      <c r="U7" s="43"/>
      <c r="V7" s="43"/>
      <c r="W7" s="43"/>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1</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8" s="1" t="s">
        <v>177</v>
      </c>
      <c r="D8" s="1">
        <v>156</v>
      </c>
      <c r="E8" s="1" t="s">
        <v>178</v>
      </c>
      <c r="F8" s="1" t="s">
        <v>112</v>
      </c>
      <c r="G8" s="1">
        <v>5307</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1</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9" s="1" t="s">
        <v>179</v>
      </c>
      <c r="D9" s="1">
        <v>102</v>
      </c>
      <c r="E9" s="1" t="s">
        <v>180</v>
      </c>
      <c r="F9" s="1" t="s">
        <v>112</v>
      </c>
      <c r="G9" s="1">
        <v>3551</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1</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0" s="1" t="s">
        <v>181</v>
      </c>
      <c r="D10" s="1">
        <v>88</v>
      </c>
      <c r="E10" s="1" t="s">
        <v>182</v>
      </c>
      <c r="F10" s="1" t="s">
        <v>112</v>
      </c>
      <c r="G10" s="1">
        <v>3203</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 s="1" t="s">
        <v>112</v>
      </c>
    </row>
    <row r="12" spans="1:144" x14ac:dyDescent="0.25">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 s="1" t="s">
        <v>183</v>
      </c>
      <c r="D12" s="1" t="s">
        <v>112</v>
      </c>
      <c r="E12" s="1" t="s">
        <v>184</v>
      </c>
      <c r="F12" s="1" t="s">
        <v>185</v>
      </c>
      <c r="G12" s="1" t="s">
        <v>186</v>
      </c>
      <c r="H12" s="1" t="s">
        <v>187</v>
      </c>
      <c r="I12" s="1" t="s">
        <v>188</v>
      </c>
      <c r="J12" s="1" t="s">
        <v>189</v>
      </c>
    </row>
    <row r="13" spans="1:144" x14ac:dyDescent="0.25">
      <c r="A13" s="1" t="str">
        <f t="shared" si="0"/>
        <v>1</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3" s="1" t="s">
        <v>190</v>
      </c>
      <c r="D13" s="1" t="s">
        <v>112</v>
      </c>
      <c r="E13" s="1" t="s">
        <v>191</v>
      </c>
      <c r="F13" s="1" t="s">
        <v>192</v>
      </c>
      <c r="G13" s="1">
        <v>7558</v>
      </c>
      <c r="H13" s="1" t="s">
        <v>193</v>
      </c>
      <c r="I13" s="1">
        <v>8</v>
      </c>
      <c r="J13" s="1">
        <v>8</v>
      </c>
    </row>
    <row r="14" spans="1:144" x14ac:dyDescent="0.25">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4" s="1" t="s">
        <v>112</v>
      </c>
    </row>
    <row r="15" spans="1:144" x14ac:dyDescent="0.25">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 s="1" t="s">
        <v>112</v>
      </c>
    </row>
    <row r="16" spans="1:144" x14ac:dyDescent="0.25">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 s="1" t="s">
        <v>112</v>
      </c>
      <c r="M16"/>
      <c r="N16"/>
      <c r="O16"/>
      <c r="P16"/>
      <c r="Q16"/>
      <c r="R16"/>
      <c r="S16"/>
      <c r="T16"/>
      <c r="U16"/>
      <c r="V16"/>
      <c r="W16"/>
      <c r="X16"/>
      <c r="Y16"/>
      <c r="Z16"/>
      <c r="AA16"/>
      <c r="AB16"/>
      <c r="AC16"/>
      <c r="AD16"/>
      <c r="AE16"/>
      <c r="AF16"/>
      <c r="AG16"/>
      <c r="AH16"/>
    </row>
    <row r="17" spans="1:34" x14ac:dyDescent="0.25">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7" s="1" t="s">
        <v>112</v>
      </c>
      <c r="M17"/>
      <c r="N17"/>
      <c r="O17"/>
      <c r="P17"/>
      <c r="Q17"/>
      <c r="R17"/>
      <c r="S17"/>
      <c r="T17"/>
      <c r="U17"/>
      <c r="V17"/>
      <c r="W17"/>
      <c r="X17"/>
      <c r="Y17"/>
      <c r="Z17"/>
      <c r="AA17"/>
      <c r="AB17"/>
      <c r="AC17"/>
      <c r="AD17"/>
      <c r="AE17"/>
      <c r="AF17"/>
      <c r="AG17"/>
      <c r="AH17"/>
    </row>
    <row r="18" spans="1:34" x14ac:dyDescent="0.25">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8" s="1" t="s">
        <v>112</v>
      </c>
      <c r="M18"/>
      <c r="N18"/>
      <c r="O18"/>
      <c r="P18"/>
      <c r="Q18"/>
      <c r="R18"/>
      <c r="S18"/>
      <c r="T18"/>
      <c r="U18"/>
      <c r="V18"/>
      <c r="W18"/>
      <c r="X18"/>
      <c r="Y18"/>
      <c r="Z18"/>
      <c r="AA18"/>
      <c r="AB18"/>
      <c r="AC18"/>
      <c r="AD18"/>
      <c r="AE18"/>
      <c r="AF18"/>
      <c r="AG18"/>
      <c r="AH18"/>
    </row>
    <row r="19" spans="1:34" x14ac:dyDescent="0.25">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 s="1" t="s">
        <v>167</v>
      </c>
      <c r="D19" s="1" t="s">
        <v>110</v>
      </c>
      <c r="E19" s="1" t="s">
        <v>111</v>
      </c>
      <c r="F19" s="1" t="s">
        <v>112</v>
      </c>
      <c r="G19" s="1" t="s">
        <v>113</v>
      </c>
      <c r="K19"/>
      <c r="L19"/>
      <c r="M19"/>
      <c r="N19"/>
      <c r="O19"/>
      <c r="P19"/>
      <c r="Q19"/>
      <c r="R19"/>
      <c r="S19"/>
      <c r="T19"/>
      <c r="U19"/>
      <c r="V19"/>
      <c r="W19"/>
      <c r="X19"/>
      <c r="Y19"/>
      <c r="Z19"/>
      <c r="AA19"/>
      <c r="AB19"/>
      <c r="AC19"/>
      <c r="AD19"/>
      <c r="AE19"/>
      <c r="AF19"/>
      <c r="AG19"/>
      <c r="AH19"/>
    </row>
    <row r="20" spans="1:34" x14ac:dyDescent="0.25">
      <c r="A20" s="1" t="str">
        <f t="shared" si="0"/>
        <v>13</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20" s="1" t="s">
        <v>194</v>
      </c>
      <c r="D20" s="1">
        <v>2254</v>
      </c>
      <c r="E20" s="1" t="s">
        <v>195</v>
      </c>
      <c r="F20" s="1" t="s">
        <v>112</v>
      </c>
      <c r="G20" s="1">
        <v>91890</v>
      </c>
      <c r="K20"/>
      <c r="L20"/>
      <c r="M20"/>
      <c r="N20"/>
      <c r="O20"/>
      <c r="P20"/>
      <c r="Q20"/>
      <c r="R20"/>
      <c r="S20"/>
      <c r="T20"/>
      <c r="U20"/>
      <c r="V20"/>
      <c r="W20"/>
      <c r="X20"/>
      <c r="Y20"/>
      <c r="Z20"/>
      <c r="AA20"/>
      <c r="AB20"/>
      <c r="AC20"/>
      <c r="AD20"/>
      <c r="AE20"/>
      <c r="AF20"/>
      <c r="AG20"/>
      <c r="AH20"/>
    </row>
    <row r="21" spans="1:34" x14ac:dyDescent="0.25">
      <c r="A21" s="1" t="str">
        <f t="shared" si="0"/>
        <v>13</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21" s="1" t="s">
        <v>196</v>
      </c>
      <c r="D21" s="1">
        <v>455</v>
      </c>
      <c r="E21" s="1" t="s">
        <v>197</v>
      </c>
      <c r="F21" s="1" t="s">
        <v>112</v>
      </c>
      <c r="G21" s="1">
        <v>15670</v>
      </c>
      <c r="K21"/>
      <c r="L21"/>
      <c r="M21"/>
      <c r="N21"/>
      <c r="O21"/>
      <c r="P21"/>
      <c r="Q21"/>
      <c r="R21"/>
      <c r="S21"/>
      <c r="T21"/>
      <c r="U21"/>
      <c r="V21"/>
      <c r="W21"/>
      <c r="X21"/>
      <c r="Y21"/>
      <c r="Z21"/>
      <c r="AA21"/>
      <c r="AB21"/>
      <c r="AC21"/>
      <c r="AD21"/>
      <c r="AE21"/>
      <c r="AF21"/>
      <c r="AG21"/>
      <c r="AH21"/>
    </row>
    <row r="22" spans="1:34" x14ac:dyDescent="0.25">
      <c r="A22" s="1" t="str">
        <f t="shared" si="0"/>
        <v>13</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22" s="1" t="s">
        <v>198</v>
      </c>
      <c r="D22" s="1">
        <v>1593</v>
      </c>
      <c r="E22" s="1" t="s">
        <v>199</v>
      </c>
      <c r="F22" s="1" t="s">
        <v>112</v>
      </c>
      <c r="G22" s="1">
        <v>63291</v>
      </c>
      <c r="K22"/>
      <c r="L22"/>
      <c r="M22"/>
      <c r="N22"/>
      <c r="O22"/>
      <c r="P22"/>
      <c r="Q22"/>
      <c r="R22"/>
      <c r="S22"/>
      <c r="T22"/>
      <c r="U22"/>
      <c r="V22"/>
      <c r="W22"/>
      <c r="X22"/>
      <c r="Y22"/>
      <c r="Z22"/>
      <c r="AA22"/>
      <c r="AB22"/>
      <c r="AC22"/>
      <c r="AD22"/>
      <c r="AE22"/>
      <c r="AF22"/>
      <c r="AG22"/>
      <c r="AH22"/>
    </row>
    <row r="23" spans="1:34" x14ac:dyDescent="0.25">
      <c r="A23" s="1" t="str">
        <f t="shared" si="0"/>
        <v>13</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23" s="1" t="s">
        <v>200</v>
      </c>
      <c r="D23" s="1">
        <v>2460</v>
      </c>
      <c r="E23" s="1" t="s">
        <v>201</v>
      </c>
      <c r="F23" s="1" t="s">
        <v>112</v>
      </c>
      <c r="G23" s="1">
        <v>101274</v>
      </c>
      <c r="K23"/>
      <c r="L23"/>
      <c r="M23"/>
      <c r="N23"/>
      <c r="O23"/>
      <c r="P23"/>
      <c r="Q23"/>
      <c r="R23"/>
      <c r="S23"/>
      <c r="T23"/>
      <c r="U23"/>
      <c r="V23"/>
      <c r="W23"/>
      <c r="X23"/>
      <c r="Y23"/>
      <c r="Z23"/>
      <c r="AA23"/>
      <c r="AB23"/>
      <c r="AC23"/>
      <c r="AD23"/>
      <c r="AE23"/>
      <c r="AF23"/>
      <c r="AG23"/>
      <c r="AH23"/>
    </row>
    <row r="24" spans="1:34" x14ac:dyDescent="0.25">
      <c r="A24" s="1" t="str">
        <f t="shared" si="0"/>
        <v>13</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24" s="1" t="s">
        <v>202</v>
      </c>
      <c r="D24" s="1">
        <v>2990</v>
      </c>
      <c r="E24" s="1" t="s">
        <v>203</v>
      </c>
      <c r="F24" s="1" t="s">
        <v>112</v>
      </c>
      <c r="G24" s="1">
        <v>128615</v>
      </c>
      <c r="K24"/>
      <c r="L24"/>
      <c r="M24"/>
      <c r="N24"/>
      <c r="O24"/>
      <c r="P24"/>
      <c r="Q24"/>
      <c r="R24"/>
      <c r="S24"/>
      <c r="T24"/>
      <c r="U24"/>
      <c r="V24"/>
      <c r="W24"/>
      <c r="X24"/>
      <c r="Y24"/>
      <c r="Z24"/>
      <c r="AA24"/>
      <c r="AB24"/>
      <c r="AC24"/>
      <c r="AD24"/>
      <c r="AE24"/>
      <c r="AF24"/>
      <c r="AG24"/>
      <c r="AH24"/>
    </row>
    <row r="25" spans="1:34" x14ac:dyDescent="0.25">
      <c r="A25" s="1" t="str">
        <f t="shared" si="0"/>
        <v>13</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25" s="1" t="s">
        <v>204</v>
      </c>
      <c r="D25" s="1">
        <v>370</v>
      </c>
      <c r="E25" s="1" t="s">
        <v>205</v>
      </c>
      <c r="F25" s="1" t="s">
        <v>112</v>
      </c>
      <c r="G25" s="1">
        <v>12817</v>
      </c>
      <c r="K25"/>
      <c r="L25"/>
      <c r="M25"/>
      <c r="N25"/>
      <c r="O25"/>
      <c r="P25"/>
      <c r="Q25"/>
      <c r="R25"/>
      <c r="S25"/>
      <c r="T25"/>
      <c r="U25"/>
      <c r="V25"/>
      <c r="W25"/>
      <c r="X25"/>
      <c r="Y25"/>
      <c r="Z25"/>
      <c r="AA25"/>
      <c r="AB25"/>
      <c r="AC25"/>
      <c r="AD25"/>
      <c r="AE25"/>
      <c r="AF25"/>
      <c r="AG25"/>
      <c r="AH25"/>
    </row>
    <row r="26" spans="1:34" x14ac:dyDescent="0.25">
      <c r="A26" s="1" t="str">
        <f t="shared" si="0"/>
        <v>13</v>
      </c>
      <c r="B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26" s="1" t="s">
        <v>206</v>
      </c>
      <c r="D26" s="1">
        <v>2713</v>
      </c>
      <c r="E26" s="1" t="s">
        <v>207</v>
      </c>
      <c r="F26" s="1" t="s">
        <v>112</v>
      </c>
      <c r="G26" s="1">
        <v>136935</v>
      </c>
      <c r="K26"/>
      <c r="L26"/>
      <c r="M26"/>
      <c r="N26"/>
      <c r="O26"/>
      <c r="P26"/>
      <c r="Q26"/>
      <c r="R26"/>
      <c r="S26"/>
      <c r="T26"/>
      <c r="U26"/>
      <c r="V26"/>
      <c r="W26"/>
      <c r="X26"/>
      <c r="Y26"/>
      <c r="Z26"/>
      <c r="AA26"/>
      <c r="AB26"/>
      <c r="AC26"/>
      <c r="AD26"/>
      <c r="AE26"/>
      <c r="AF26"/>
      <c r="AG26"/>
      <c r="AH26"/>
    </row>
    <row r="27" spans="1:34" x14ac:dyDescent="0.25">
      <c r="A27" s="1" t="str">
        <f t="shared" si="0"/>
        <v>13</v>
      </c>
      <c r="B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27" s="1" t="s">
        <v>208</v>
      </c>
      <c r="D27" s="1">
        <v>2968</v>
      </c>
      <c r="E27" s="1" t="s">
        <v>209</v>
      </c>
      <c r="F27" s="1" t="s">
        <v>112</v>
      </c>
      <c r="G27" s="1">
        <v>134925</v>
      </c>
      <c r="K27"/>
      <c r="L27"/>
      <c r="M27"/>
      <c r="N27"/>
      <c r="O27"/>
      <c r="P27"/>
      <c r="Q27"/>
      <c r="R27"/>
      <c r="S27"/>
      <c r="T27"/>
      <c r="U27"/>
      <c r="V27"/>
      <c r="W27"/>
      <c r="X27"/>
      <c r="Y27"/>
      <c r="Z27"/>
      <c r="AA27"/>
      <c r="AB27"/>
      <c r="AC27"/>
      <c r="AD27"/>
      <c r="AE27"/>
      <c r="AF27"/>
      <c r="AG27"/>
      <c r="AH27"/>
    </row>
    <row r="28" spans="1:34" x14ac:dyDescent="0.25">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 s="1" t="s">
        <v>112</v>
      </c>
      <c r="K28"/>
      <c r="L28"/>
      <c r="M28"/>
      <c r="N28"/>
      <c r="O28"/>
      <c r="P28"/>
      <c r="Q28"/>
      <c r="R28"/>
      <c r="S28"/>
      <c r="T28"/>
      <c r="U28"/>
      <c r="V28"/>
      <c r="W28"/>
      <c r="X28"/>
      <c r="Y28"/>
      <c r="Z28"/>
      <c r="AA28"/>
      <c r="AB28"/>
      <c r="AC28"/>
      <c r="AD28"/>
      <c r="AE28"/>
      <c r="AF28"/>
      <c r="AG28"/>
      <c r="AH28"/>
    </row>
    <row r="29" spans="1:34" x14ac:dyDescent="0.2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183</v>
      </c>
      <c r="D29" s="1" t="s">
        <v>112</v>
      </c>
      <c r="E29" s="1" t="s">
        <v>184</v>
      </c>
      <c r="F29" s="1" t="s">
        <v>185</v>
      </c>
      <c r="G29" s="1" t="s">
        <v>186</v>
      </c>
      <c r="H29" s="1" t="s">
        <v>187</v>
      </c>
      <c r="I29" s="1" t="s">
        <v>188</v>
      </c>
      <c r="J29" s="1" t="s">
        <v>189</v>
      </c>
      <c r="K29"/>
      <c r="L29"/>
      <c r="M29"/>
      <c r="N29"/>
      <c r="O29"/>
      <c r="P29"/>
      <c r="Q29"/>
      <c r="R29"/>
      <c r="S29"/>
      <c r="T29"/>
      <c r="U29"/>
      <c r="V29"/>
      <c r="W29"/>
      <c r="X29"/>
      <c r="Y29"/>
      <c r="Z29"/>
      <c r="AA29"/>
      <c r="AB29"/>
      <c r="AC29"/>
      <c r="AD29"/>
      <c r="AE29"/>
      <c r="AF29"/>
      <c r="AG29"/>
      <c r="AH29"/>
    </row>
    <row r="30" spans="1:34" x14ac:dyDescent="0.25">
      <c r="A30" s="1" t="str">
        <f t="shared" si="0"/>
        <v>13</v>
      </c>
      <c r="B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0" s="1" t="s">
        <v>210</v>
      </c>
      <c r="D30" s="1" t="s">
        <v>112</v>
      </c>
      <c r="E30" s="1" t="s">
        <v>211</v>
      </c>
      <c r="F30" s="1" t="s">
        <v>212</v>
      </c>
      <c r="G30" s="1" t="s">
        <v>213</v>
      </c>
      <c r="H30" s="1" t="s">
        <v>214</v>
      </c>
      <c r="I30" s="1">
        <v>8</v>
      </c>
      <c r="J30" s="1">
        <v>8</v>
      </c>
      <c r="K30"/>
      <c r="L30"/>
      <c r="M30"/>
      <c r="N30"/>
      <c r="O30"/>
      <c r="P30"/>
      <c r="Q30"/>
      <c r="R30"/>
      <c r="S30"/>
      <c r="T30"/>
      <c r="U30"/>
      <c r="V30"/>
      <c r="W30"/>
      <c r="X30"/>
      <c r="Y30"/>
      <c r="Z30"/>
      <c r="AA30"/>
      <c r="AB30"/>
      <c r="AC30"/>
      <c r="AD30"/>
      <c r="AE30"/>
      <c r="AF30"/>
      <c r="AG30"/>
      <c r="AH30"/>
    </row>
    <row r="31" spans="1:34" x14ac:dyDescent="0.2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2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2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2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112</v>
      </c>
      <c r="K34"/>
      <c r="L34"/>
      <c r="M34"/>
      <c r="N34"/>
      <c r="O34"/>
      <c r="P34"/>
      <c r="Q34"/>
      <c r="R34"/>
      <c r="S34"/>
      <c r="T34"/>
      <c r="U34"/>
      <c r="V34"/>
      <c r="W34"/>
      <c r="X34"/>
      <c r="Y34"/>
      <c r="Z34"/>
      <c r="AA34"/>
      <c r="AB34"/>
      <c r="AC34"/>
      <c r="AD34"/>
      <c r="AE34"/>
      <c r="AF34"/>
      <c r="AG34"/>
      <c r="AH34"/>
    </row>
    <row r="35" spans="1:34" x14ac:dyDescent="0.25">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 s="1" t="s">
        <v>112</v>
      </c>
      <c r="K35"/>
      <c r="L35"/>
      <c r="M35"/>
      <c r="N35"/>
      <c r="O35"/>
      <c r="P35"/>
      <c r="Q35"/>
      <c r="R35"/>
      <c r="S35"/>
      <c r="T35"/>
      <c r="U35"/>
      <c r="V35"/>
      <c r="W35"/>
      <c r="X35"/>
      <c r="Y35"/>
      <c r="Z35"/>
      <c r="AA35"/>
      <c r="AB35"/>
      <c r="AC35"/>
      <c r="AD35"/>
      <c r="AE35"/>
      <c r="AF35"/>
      <c r="AG35"/>
      <c r="AH35"/>
    </row>
    <row r="36" spans="1:34" x14ac:dyDescent="0.25">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 s="1" t="s">
        <v>167</v>
      </c>
      <c r="D36" s="1" t="s">
        <v>110</v>
      </c>
      <c r="E36" s="1" t="s">
        <v>111</v>
      </c>
      <c r="F36" s="1" t="s">
        <v>112</v>
      </c>
      <c r="G36" s="1" t="s">
        <v>113</v>
      </c>
      <c r="K36"/>
      <c r="L36"/>
      <c r="M36"/>
      <c r="N36"/>
      <c r="O36"/>
      <c r="P36"/>
      <c r="Q36"/>
      <c r="R36"/>
      <c r="S36"/>
      <c r="T36"/>
      <c r="U36"/>
      <c r="V36"/>
      <c r="W36"/>
      <c r="X36"/>
      <c r="Y36"/>
      <c r="Z36"/>
      <c r="AA36"/>
      <c r="AB36"/>
      <c r="AC36"/>
      <c r="AD36"/>
      <c r="AE36"/>
      <c r="AF36"/>
      <c r="AG36"/>
      <c r="AH36"/>
    </row>
    <row r="37" spans="1:34" x14ac:dyDescent="0.25">
      <c r="A37" s="1" t="str">
        <f t="shared" si="0"/>
        <v>14</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37" s="1" t="s">
        <v>215</v>
      </c>
      <c r="K37"/>
      <c r="L37"/>
      <c r="M37"/>
      <c r="N37"/>
      <c r="O37"/>
      <c r="P37"/>
      <c r="Q37"/>
      <c r="R37"/>
      <c r="S37"/>
      <c r="T37"/>
      <c r="U37"/>
      <c r="V37"/>
      <c r="W37"/>
      <c r="X37"/>
      <c r="Y37"/>
      <c r="Z37"/>
      <c r="AA37"/>
      <c r="AB37"/>
      <c r="AC37"/>
      <c r="AD37"/>
      <c r="AE37"/>
      <c r="AF37"/>
      <c r="AG37"/>
      <c r="AH37"/>
    </row>
    <row r="38" spans="1:34" x14ac:dyDescent="0.25">
      <c r="A38" s="1" t="str">
        <f t="shared" si="0"/>
        <v>14</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38" s="1" t="s">
        <v>216</v>
      </c>
      <c r="D38" s="1">
        <v>2444</v>
      </c>
      <c r="E38" s="1" t="s">
        <v>217</v>
      </c>
      <c r="F38" s="1" t="s">
        <v>112</v>
      </c>
      <c r="G38" s="1">
        <v>91466</v>
      </c>
      <c r="K38"/>
      <c r="L38"/>
      <c r="M38"/>
      <c r="N38"/>
      <c r="O38"/>
      <c r="P38"/>
      <c r="Q38"/>
      <c r="R38"/>
      <c r="S38"/>
      <c r="T38"/>
      <c r="U38"/>
      <c r="V38"/>
      <c r="W38"/>
      <c r="X38"/>
      <c r="Y38"/>
      <c r="Z38"/>
      <c r="AA38"/>
      <c r="AB38"/>
      <c r="AC38"/>
      <c r="AD38"/>
      <c r="AE38"/>
      <c r="AF38"/>
      <c r="AG38"/>
      <c r="AH38"/>
    </row>
    <row r="39" spans="1:34" x14ac:dyDescent="0.25">
      <c r="A39" s="1" t="str">
        <f t="shared" si="0"/>
        <v>14</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39" s="1" t="s">
        <v>218</v>
      </c>
      <c r="D39" s="1">
        <v>450</v>
      </c>
      <c r="E39" s="1" t="s">
        <v>219</v>
      </c>
      <c r="F39" s="1" t="s">
        <v>112</v>
      </c>
      <c r="G39" s="1">
        <v>15059</v>
      </c>
    </row>
    <row r="40" spans="1:34" x14ac:dyDescent="0.25">
      <c r="A40" s="1" t="str">
        <f t="shared" si="0"/>
        <v>14</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40" s="1" t="s">
        <v>220</v>
      </c>
      <c r="D40" s="1">
        <v>2419</v>
      </c>
      <c r="E40" s="1" t="s">
        <v>221</v>
      </c>
      <c r="F40" s="1" t="s">
        <v>112</v>
      </c>
      <c r="G40" s="1">
        <v>97160</v>
      </c>
    </row>
    <row r="41" spans="1:34" x14ac:dyDescent="0.25">
      <c r="A41" s="1" t="str">
        <f t="shared" si="0"/>
        <v>14</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41" s="1" t="s">
        <v>222</v>
      </c>
      <c r="D41" s="1">
        <v>859</v>
      </c>
      <c r="E41" s="1" t="s">
        <v>223</v>
      </c>
      <c r="F41" s="1" t="s">
        <v>112</v>
      </c>
      <c r="G41" s="1">
        <v>31226</v>
      </c>
    </row>
    <row r="42" spans="1:34" x14ac:dyDescent="0.25">
      <c r="A42" s="1" t="str">
        <f t="shared" si="0"/>
        <v>14</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42" s="1" t="s">
        <v>224</v>
      </c>
      <c r="D42" s="1">
        <v>2617</v>
      </c>
      <c r="E42" s="1" t="s">
        <v>225</v>
      </c>
      <c r="F42" s="1" t="s">
        <v>112</v>
      </c>
      <c r="G42" s="1">
        <v>109993</v>
      </c>
    </row>
    <row r="43" spans="1:34" x14ac:dyDescent="0.25">
      <c r="A43" s="1" t="str">
        <f t="shared" si="0"/>
        <v>14</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43" s="1" t="s">
        <v>226</v>
      </c>
      <c r="D43" s="1">
        <v>1884</v>
      </c>
      <c r="E43" s="1" t="s">
        <v>227</v>
      </c>
      <c r="F43" s="1" t="s">
        <v>112</v>
      </c>
      <c r="G43" s="1">
        <v>74636</v>
      </c>
    </row>
    <row r="44" spans="1:34" x14ac:dyDescent="0.25">
      <c r="A44" s="1" t="str">
        <f t="shared" si="0"/>
        <v>14</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44" s="1" t="s">
        <v>228</v>
      </c>
      <c r="D44" s="1">
        <v>2274</v>
      </c>
      <c r="E44" s="1" t="s">
        <v>229</v>
      </c>
      <c r="F44" s="1" t="s">
        <v>112</v>
      </c>
      <c r="G44" s="1">
        <v>86075</v>
      </c>
    </row>
    <row r="45" spans="1:34" x14ac:dyDescent="0.25">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 s="1" t="s">
        <v>112</v>
      </c>
    </row>
    <row r="46" spans="1:34" x14ac:dyDescent="0.25">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 s="1" t="s">
        <v>183</v>
      </c>
      <c r="D46" s="1" t="s">
        <v>112</v>
      </c>
      <c r="E46" s="1" t="s">
        <v>184</v>
      </c>
      <c r="F46" s="1" t="s">
        <v>185</v>
      </c>
      <c r="G46" s="1" t="s">
        <v>186</v>
      </c>
      <c r="H46" s="1" t="s">
        <v>187</v>
      </c>
      <c r="I46" s="1" t="s">
        <v>188</v>
      </c>
      <c r="J46" s="1" t="s">
        <v>189</v>
      </c>
    </row>
    <row r="47" spans="1:34" x14ac:dyDescent="0.25">
      <c r="A47" s="1" t="str">
        <f t="shared" si="0"/>
        <v>14</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7" s="1" t="s">
        <v>230</v>
      </c>
      <c r="D47" s="1" t="s">
        <v>112</v>
      </c>
      <c r="E47" s="1" t="s">
        <v>231</v>
      </c>
      <c r="F47" s="1" t="s">
        <v>232</v>
      </c>
      <c r="G47" s="1" t="s">
        <v>233</v>
      </c>
      <c r="H47" s="1" t="s">
        <v>234</v>
      </c>
      <c r="I47" s="1">
        <v>8</v>
      </c>
      <c r="J47" s="1">
        <v>8</v>
      </c>
    </row>
    <row r="48" spans="1:34" x14ac:dyDescent="0.25">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 s="1" t="s">
        <v>112</v>
      </c>
    </row>
    <row r="49" spans="1:10" x14ac:dyDescent="0.25">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 s="1" t="s">
        <v>112</v>
      </c>
    </row>
    <row r="50" spans="1:10" x14ac:dyDescent="0.25">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0" s="1" t="s">
        <v>112</v>
      </c>
    </row>
    <row r="51" spans="1:10" x14ac:dyDescent="0.25">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1" s="1" t="s">
        <v>112</v>
      </c>
    </row>
    <row r="52" spans="1:10" x14ac:dyDescent="0.25">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 s="1" t="s">
        <v>112</v>
      </c>
    </row>
    <row r="53" spans="1:10" x14ac:dyDescent="0.25">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 s="1" t="s">
        <v>167</v>
      </c>
      <c r="D53" s="1" t="s">
        <v>110</v>
      </c>
      <c r="E53" s="1" t="s">
        <v>111</v>
      </c>
      <c r="F53" s="1" t="s">
        <v>112</v>
      </c>
      <c r="G53" s="1" t="s">
        <v>113</v>
      </c>
    </row>
    <row r="54" spans="1:10" x14ac:dyDescent="0.25">
      <c r="A54" s="1" t="str">
        <f t="shared" si="0"/>
        <v>15</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54" s="1" t="s">
        <v>235</v>
      </c>
      <c r="D54" s="1">
        <v>3480</v>
      </c>
      <c r="E54" s="1" t="s">
        <v>236</v>
      </c>
      <c r="F54" s="1" t="s">
        <v>112</v>
      </c>
      <c r="G54" s="1">
        <v>168782</v>
      </c>
    </row>
    <row r="55" spans="1:10" x14ac:dyDescent="0.25">
      <c r="A55" s="1" t="str">
        <f t="shared" si="0"/>
        <v>15</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55" s="1" t="s">
        <v>237</v>
      </c>
      <c r="D55" s="1">
        <v>3173</v>
      </c>
      <c r="E55" s="1" t="s">
        <v>238</v>
      </c>
      <c r="F55" s="1" t="s">
        <v>112</v>
      </c>
      <c r="G55" s="1">
        <v>170359</v>
      </c>
    </row>
    <row r="56" spans="1:10" x14ac:dyDescent="0.25">
      <c r="A56" s="1" t="str">
        <f t="shared" si="0"/>
        <v>15</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56" s="1" t="s">
        <v>239</v>
      </c>
      <c r="D56" s="1">
        <v>3405</v>
      </c>
      <c r="E56" s="1" t="s">
        <v>240</v>
      </c>
      <c r="F56" s="1" t="s">
        <v>112</v>
      </c>
      <c r="G56" s="1">
        <v>173175</v>
      </c>
    </row>
    <row r="57" spans="1:10" x14ac:dyDescent="0.25">
      <c r="A57" s="1" t="str">
        <f t="shared" si="0"/>
        <v>15</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57" s="1" t="s">
        <v>241</v>
      </c>
      <c r="D57" s="1">
        <v>4264</v>
      </c>
      <c r="E57" s="1" t="s">
        <v>242</v>
      </c>
      <c r="F57" s="1" t="s">
        <v>112</v>
      </c>
      <c r="G57" s="1">
        <v>224011</v>
      </c>
    </row>
    <row r="58" spans="1:10" x14ac:dyDescent="0.25">
      <c r="A58" s="1" t="str">
        <f t="shared" si="0"/>
        <v>15</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58" s="1" t="s">
        <v>243</v>
      </c>
      <c r="D58" s="1">
        <v>2605</v>
      </c>
      <c r="E58" s="1" t="s">
        <v>244</v>
      </c>
      <c r="F58" s="1" t="s">
        <v>112</v>
      </c>
      <c r="G58" s="1">
        <v>122186</v>
      </c>
    </row>
    <row r="59" spans="1:10" x14ac:dyDescent="0.25">
      <c r="A59" s="1" t="str">
        <f t="shared" si="0"/>
        <v>15</v>
      </c>
      <c r="B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59" s="1" t="s">
        <v>245</v>
      </c>
    </row>
    <row r="60" spans="1:10" x14ac:dyDescent="0.25">
      <c r="A60" s="1" t="str">
        <f t="shared" si="0"/>
        <v>15</v>
      </c>
      <c r="B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60" s="1" t="s">
        <v>246</v>
      </c>
      <c r="D60" s="1">
        <v>3460</v>
      </c>
      <c r="E60" s="1" t="s">
        <v>247</v>
      </c>
      <c r="F60" s="1" t="s">
        <v>112</v>
      </c>
      <c r="G60" s="1">
        <v>176138</v>
      </c>
    </row>
    <row r="61" spans="1:10" x14ac:dyDescent="0.25">
      <c r="A61" s="1" t="str">
        <f t="shared" si="0"/>
        <v>15</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61" s="1" t="s">
        <v>248</v>
      </c>
      <c r="D61" s="1">
        <v>3687</v>
      </c>
      <c r="E61" s="1" t="s">
        <v>249</v>
      </c>
      <c r="F61" s="1" t="s">
        <v>112</v>
      </c>
      <c r="G61" s="1">
        <v>165168</v>
      </c>
    </row>
    <row r="62" spans="1:10" x14ac:dyDescent="0.2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2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183</v>
      </c>
      <c r="D63" s="1" t="s">
        <v>112</v>
      </c>
      <c r="E63" s="1" t="s">
        <v>184</v>
      </c>
      <c r="F63" s="1" t="s">
        <v>185</v>
      </c>
      <c r="G63" s="1" t="s">
        <v>186</v>
      </c>
      <c r="H63" s="1" t="s">
        <v>187</v>
      </c>
      <c r="I63" s="1" t="s">
        <v>188</v>
      </c>
      <c r="J63" s="1" t="s">
        <v>189</v>
      </c>
    </row>
    <row r="64" spans="1:10" x14ac:dyDescent="0.25">
      <c r="A64" s="1" t="str">
        <f t="shared" si="0"/>
        <v>15</v>
      </c>
      <c r="B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4" s="1" t="s">
        <v>250</v>
      </c>
      <c r="D64" s="1" t="s">
        <v>112</v>
      </c>
      <c r="E64" s="1" t="s">
        <v>251</v>
      </c>
      <c r="F64" s="1" t="s">
        <v>252</v>
      </c>
      <c r="G64" s="1" t="s">
        <v>253</v>
      </c>
      <c r="H64" s="1" t="s">
        <v>254</v>
      </c>
      <c r="I64" s="1">
        <v>8</v>
      </c>
      <c r="J64" s="1">
        <v>8</v>
      </c>
    </row>
    <row r="65" spans="1:10" x14ac:dyDescent="0.2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10" x14ac:dyDescent="0.2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10" x14ac:dyDescent="0.2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112</v>
      </c>
    </row>
    <row r="68" spans="1:10" x14ac:dyDescent="0.25">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 s="1" t="s">
        <v>112</v>
      </c>
    </row>
    <row r="69" spans="1:10" x14ac:dyDescent="0.25">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 s="1" t="s">
        <v>112</v>
      </c>
    </row>
    <row r="70" spans="1:10" x14ac:dyDescent="0.25">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0" s="1" t="s">
        <v>167</v>
      </c>
      <c r="D70" s="1" t="s">
        <v>110</v>
      </c>
      <c r="E70" s="1" t="s">
        <v>111</v>
      </c>
      <c r="F70" s="1" t="s">
        <v>112</v>
      </c>
      <c r="G70" s="1" t="s">
        <v>113</v>
      </c>
    </row>
    <row r="71" spans="1:10" x14ac:dyDescent="0.25">
      <c r="A71" s="1" t="str">
        <f t="shared" si="1"/>
        <v>16</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71" s="1" t="s">
        <v>255</v>
      </c>
      <c r="D71" s="1">
        <v>114</v>
      </c>
      <c r="E71" s="1" t="s">
        <v>256</v>
      </c>
      <c r="F71" s="1" t="s">
        <v>112</v>
      </c>
      <c r="G71" s="1">
        <v>3744</v>
      </c>
    </row>
    <row r="72" spans="1:10" x14ac:dyDescent="0.25">
      <c r="A72" s="1" t="str">
        <f t="shared" si="1"/>
        <v>16</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72" s="1" t="s">
        <v>257</v>
      </c>
      <c r="D72" s="1">
        <v>302</v>
      </c>
      <c r="E72" s="1" t="s">
        <v>258</v>
      </c>
      <c r="F72" s="1" t="s">
        <v>112</v>
      </c>
      <c r="G72" s="1">
        <v>10945</v>
      </c>
    </row>
    <row r="73" spans="1:10" x14ac:dyDescent="0.25">
      <c r="A73" s="1" t="str">
        <f t="shared" si="1"/>
        <v>16</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73" s="1" t="s">
        <v>259</v>
      </c>
    </row>
    <row r="74" spans="1:10" x14ac:dyDescent="0.25">
      <c r="A74" s="1" t="str">
        <f t="shared" si="1"/>
        <v>16</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74" s="1" t="s">
        <v>260</v>
      </c>
    </row>
    <row r="75" spans="1:10" x14ac:dyDescent="0.25">
      <c r="A75" s="1" t="str">
        <f t="shared" si="1"/>
        <v>16</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75" s="1" t="s">
        <v>261</v>
      </c>
      <c r="D75" s="1">
        <v>132</v>
      </c>
      <c r="E75" s="1" t="s">
        <v>262</v>
      </c>
      <c r="F75" s="1" t="s">
        <v>112</v>
      </c>
      <c r="G75" s="1">
        <v>4775</v>
      </c>
    </row>
    <row r="76" spans="1:10" x14ac:dyDescent="0.25">
      <c r="A76" s="1" t="str">
        <f t="shared" si="1"/>
        <v>16</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76" s="1" t="s">
        <v>263</v>
      </c>
      <c r="D76" s="1">
        <v>81</v>
      </c>
      <c r="E76" s="1" t="s">
        <v>264</v>
      </c>
      <c r="F76" s="1" t="s">
        <v>112</v>
      </c>
      <c r="G76" s="1">
        <v>2787</v>
      </c>
    </row>
    <row r="77" spans="1:10" x14ac:dyDescent="0.25">
      <c r="A77" s="1" t="str">
        <f t="shared" si="1"/>
        <v>16</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77" s="1" t="s">
        <v>265</v>
      </c>
      <c r="D77" s="1">
        <v>19</v>
      </c>
      <c r="E77" s="1" t="s">
        <v>266</v>
      </c>
      <c r="F77" s="1" t="s">
        <v>112</v>
      </c>
      <c r="G77" s="1">
        <v>614</v>
      </c>
    </row>
    <row r="78" spans="1:10" x14ac:dyDescent="0.25">
      <c r="A78" s="1" t="str">
        <f t="shared" si="1"/>
        <v>16</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78" s="1" t="s">
        <v>267</v>
      </c>
      <c r="D78" s="1">
        <v>110</v>
      </c>
      <c r="E78" s="1" t="s">
        <v>268</v>
      </c>
      <c r="F78" s="1" t="s">
        <v>112</v>
      </c>
      <c r="G78" s="1">
        <v>3902</v>
      </c>
    </row>
    <row r="79" spans="1:10" x14ac:dyDescent="0.25">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9" s="1" t="s">
        <v>112</v>
      </c>
    </row>
    <row r="80" spans="1:10" x14ac:dyDescent="0.25">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0" s="1" t="s">
        <v>183</v>
      </c>
      <c r="D80" s="1" t="s">
        <v>112</v>
      </c>
      <c r="E80" s="1" t="s">
        <v>184</v>
      </c>
      <c r="F80" s="1" t="s">
        <v>185</v>
      </c>
      <c r="G80" s="1" t="s">
        <v>186</v>
      </c>
      <c r="H80" s="1" t="s">
        <v>187</v>
      </c>
      <c r="I80" s="1" t="s">
        <v>188</v>
      </c>
      <c r="J80" s="1" t="s">
        <v>189</v>
      </c>
    </row>
    <row r="81" spans="1:10" x14ac:dyDescent="0.25">
      <c r="A81" s="1" t="str">
        <f t="shared" si="1"/>
        <v>16</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81" s="1" t="s">
        <v>269</v>
      </c>
      <c r="D81" s="1" t="s">
        <v>112</v>
      </c>
      <c r="E81" s="1" t="s">
        <v>270</v>
      </c>
      <c r="F81" s="1" t="s">
        <v>271</v>
      </c>
      <c r="G81" s="1">
        <v>7586</v>
      </c>
      <c r="H81" s="1" t="s">
        <v>272</v>
      </c>
      <c r="I81" s="1">
        <v>7</v>
      </c>
      <c r="J81" s="1">
        <v>8</v>
      </c>
    </row>
    <row r="82" spans="1:10" x14ac:dyDescent="0.25">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2" s="1" t="s">
        <v>112</v>
      </c>
    </row>
    <row r="83" spans="1:10" x14ac:dyDescent="0.25">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3" s="1" t="s">
        <v>112</v>
      </c>
    </row>
    <row r="84" spans="1:10" x14ac:dyDescent="0.25">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4" s="1" t="s">
        <v>112</v>
      </c>
    </row>
    <row r="85" spans="1:10" x14ac:dyDescent="0.25">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5" s="1" t="s">
        <v>112</v>
      </c>
    </row>
    <row r="86" spans="1:10" x14ac:dyDescent="0.25">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6" s="1" t="s">
        <v>112</v>
      </c>
    </row>
    <row r="87" spans="1:10" x14ac:dyDescent="0.25">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7" s="1" t="s">
        <v>167</v>
      </c>
      <c r="D87" s="1" t="s">
        <v>110</v>
      </c>
      <c r="E87" s="1" t="s">
        <v>111</v>
      </c>
      <c r="F87" s="1" t="s">
        <v>112</v>
      </c>
      <c r="G87" s="1" t="s">
        <v>113</v>
      </c>
    </row>
    <row r="88" spans="1:10" x14ac:dyDescent="0.25">
      <c r="A88" s="1" t="str">
        <f t="shared" si="1"/>
        <v>2</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88" s="1" t="s">
        <v>273</v>
      </c>
      <c r="D88" s="1">
        <v>422</v>
      </c>
      <c r="E88" s="1" t="s">
        <v>274</v>
      </c>
      <c r="F88" s="1" t="s">
        <v>112</v>
      </c>
      <c r="G88" s="1">
        <v>16997</v>
      </c>
    </row>
    <row r="89" spans="1:10" x14ac:dyDescent="0.25">
      <c r="A89" s="1" t="str">
        <f t="shared" si="1"/>
        <v>2</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89" s="1" t="s">
        <v>275</v>
      </c>
      <c r="D89" s="1">
        <v>183</v>
      </c>
      <c r="E89" s="1" t="s">
        <v>276</v>
      </c>
      <c r="F89" s="1" t="s">
        <v>112</v>
      </c>
      <c r="G89" s="1">
        <v>6244</v>
      </c>
    </row>
    <row r="90" spans="1:10" x14ac:dyDescent="0.25">
      <c r="A90" s="1" t="str">
        <f t="shared" si="1"/>
        <v>2</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90" s="1" t="s">
        <v>277</v>
      </c>
      <c r="D90" s="1">
        <v>479</v>
      </c>
      <c r="E90" s="1" t="s">
        <v>278</v>
      </c>
      <c r="F90" s="1" t="s">
        <v>112</v>
      </c>
      <c r="G90" s="1">
        <v>20326</v>
      </c>
    </row>
    <row r="91" spans="1:10" x14ac:dyDescent="0.25">
      <c r="A91" s="1" t="str">
        <f t="shared" si="1"/>
        <v>2</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91" s="1" t="s">
        <v>279</v>
      </c>
      <c r="D91" s="1">
        <v>141</v>
      </c>
      <c r="E91" s="1">
        <v>37</v>
      </c>
      <c r="F91" s="1" t="s">
        <v>112</v>
      </c>
      <c r="G91" s="1">
        <v>5217</v>
      </c>
    </row>
    <row r="92" spans="1:10" x14ac:dyDescent="0.25">
      <c r="A92" s="1" t="str">
        <f t="shared" si="1"/>
        <v>2</v>
      </c>
      <c r="B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92" s="1" t="s">
        <v>280</v>
      </c>
      <c r="D92" s="1">
        <v>124</v>
      </c>
      <c r="E92" s="1" t="s">
        <v>281</v>
      </c>
      <c r="F92" s="1" t="s">
        <v>112</v>
      </c>
      <c r="G92" s="1">
        <v>4614</v>
      </c>
    </row>
    <row r="93" spans="1:10" x14ac:dyDescent="0.25">
      <c r="A93" s="1" t="str">
        <f t="shared" si="1"/>
        <v>2</v>
      </c>
      <c r="B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93" s="1" t="s">
        <v>282</v>
      </c>
      <c r="D93" s="1">
        <v>324</v>
      </c>
      <c r="E93" s="1" t="s">
        <v>283</v>
      </c>
      <c r="F93" s="1" t="s">
        <v>112</v>
      </c>
      <c r="G93" s="1">
        <v>15082</v>
      </c>
    </row>
    <row r="94" spans="1:10" x14ac:dyDescent="0.25">
      <c r="A94" s="1" t="str">
        <f t="shared" si="1"/>
        <v>2</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94" s="1" t="s">
        <v>284</v>
      </c>
      <c r="D94" s="1">
        <v>13</v>
      </c>
      <c r="E94" s="1" t="s">
        <v>285</v>
      </c>
      <c r="F94" s="1" t="s">
        <v>112</v>
      </c>
      <c r="G94" s="1">
        <v>400</v>
      </c>
    </row>
    <row r="95" spans="1:10" x14ac:dyDescent="0.25">
      <c r="A95" s="1" t="str">
        <f t="shared" si="1"/>
        <v>2</v>
      </c>
      <c r="B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95" s="1" t="s">
        <v>286</v>
      </c>
      <c r="D95" s="1">
        <v>434</v>
      </c>
      <c r="E95" s="1" t="s">
        <v>287</v>
      </c>
      <c r="F95" s="1" t="s">
        <v>112</v>
      </c>
      <c r="G95" s="1">
        <v>17951</v>
      </c>
    </row>
    <row r="96" spans="1:10" x14ac:dyDescent="0.2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10" x14ac:dyDescent="0.2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183</v>
      </c>
      <c r="D97" s="1" t="s">
        <v>112</v>
      </c>
      <c r="E97" s="1" t="s">
        <v>184</v>
      </c>
      <c r="F97" s="1" t="s">
        <v>185</v>
      </c>
      <c r="G97" s="1" t="s">
        <v>186</v>
      </c>
      <c r="H97" s="1" t="s">
        <v>187</v>
      </c>
      <c r="I97" s="1" t="s">
        <v>188</v>
      </c>
      <c r="J97" s="1" t="s">
        <v>189</v>
      </c>
    </row>
    <row r="98" spans="1:10" x14ac:dyDescent="0.25">
      <c r="A98" s="1" t="str">
        <f t="shared" si="1"/>
        <v>2</v>
      </c>
      <c r="B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8" s="1" t="s">
        <v>288</v>
      </c>
      <c r="D98" s="1" t="s">
        <v>112</v>
      </c>
      <c r="E98" s="1" t="s">
        <v>289</v>
      </c>
      <c r="F98" s="1" t="s">
        <v>290</v>
      </c>
      <c r="G98" s="1" t="s">
        <v>291</v>
      </c>
      <c r="H98" s="1" t="s">
        <v>292</v>
      </c>
      <c r="I98" s="1">
        <v>8</v>
      </c>
      <c r="J98" s="1">
        <v>8</v>
      </c>
    </row>
    <row r="99" spans="1:10" x14ac:dyDescent="0.2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10" x14ac:dyDescent="0.2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112</v>
      </c>
    </row>
    <row r="101" spans="1:10" x14ac:dyDescent="0.25">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1" s="1" t="s">
        <v>112</v>
      </c>
    </row>
    <row r="102" spans="1:10" x14ac:dyDescent="0.25">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2" s="1" t="s">
        <v>112</v>
      </c>
    </row>
    <row r="103" spans="1:10" x14ac:dyDescent="0.25">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3" s="1" t="s">
        <v>112</v>
      </c>
    </row>
    <row r="104" spans="1:10" x14ac:dyDescent="0.25">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4" s="1" t="s">
        <v>167</v>
      </c>
      <c r="D104" s="1" t="s">
        <v>110</v>
      </c>
      <c r="E104" s="1" t="s">
        <v>111</v>
      </c>
      <c r="F104" s="1" t="s">
        <v>112</v>
      </c>
      <c r="G104" s="1" t="s">
        <v>113</v>
      </c>
    </row>
    <row r="105" spans="1:10" x14ac:dyDescent="0.25">
      <c r="A105" s="1" t="str">
        <f t="shared" si="1"/>
        <v>3</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05" s="1" t="s">
        <v>293</v>
      </c>
      <c r="D105" s="1">
        <v>211</v>
      </c>
      <c r="E105" s="1" t="s">
        <v>294</v>
      </c>
      <c r="F105" s="1" t="s">
        <v>112</v>
      </c>
      <c r="G105" s="1">
        <v>7725</v>
      </c>
    </row>
    <row r="106" spans="1:10" x14ac:dyDescent="0.25">
      <c r="A106" s="1" t="str">
        <f t="shared" si="1"/>
        <v>3</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06" s="1" t="s">
        <v>295</v>
      </c>
      <c r="D106" s="1">
        <v>251</v>
      </c>
      <c r="E106" s="1" t="s">
        <v>296</v>
      </c>
      <c r="F106" s="1" t="s">
        <v>112</v>
      </c>
      <c r="G106" s="1">
        <v>9599</v>
      </c>
    </row>
    <row r="107" spans="1:10" x14ac:dyDescent="0.25">
      <c r="A107" s="1" t="str">
        <f t="shared" si="1"/>
        <v>3</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07" s="1" t="s">
        <v>297</v>
      </c>
      <c r="D107" s="1">
        <v>526</v>
      </c>
      <c r="E107" s="1" t="s">
        <v>298</v>
      </c>
      <c r="F107" s="1" t="s">
        <v>112</v>
      </c>
      <c r="G107" s="1">
        <v>25340</v>
      </c>
    </row>
    <row r="108" spans="1:10" x14ac:dyDescent="0.25">
      <c r="A108" s="1" t="str">
        <f t="shared" si="1"/>
        <v>3</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08" s="1" t="s">
        <v>299</v>
      </c>
      <c r="D108" s="1">
        <v>420</v>
      </c>
      <c r="E108" s="1" t="s">
        <v>300</v>
      </c>
      <c r="F108" s="1" t="s">
        <v>112</v>
      </c>
      <c r="G108" s="1">
        <v>17447</v>
      </c>
    </row>
    <row r="109" spans="1:10" x14ac:dyDescent="0.25">
      <c r="A109" s="1" t="str">
        <f t="shared" si="1"/>
        <v>3</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09" s="1" t="s">
        <v>301</v>
      </c>
      <c r="D109" s="1">
        <v>62</v>
      </c>
      <c r="E109" s="1" t="s">
        <v>302</v>
      </c>
      <c r="F109" s="1" t="s">
        <v>112</v>
      </c>
      <c r="G109" s="1">
        <v>2231</v>
      </c>
    </row>
    <row r="110" spans="1:10" x14ac:dyDescent="0.25">
      <c r="A110" s="1" t="str">
        <f t="shared" si="1"/>
        <v>3</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10" s="1" t="s">
        <v>303</v>
      </c>
    </row>
    <row r="111" spans="1:10" x14ac:dyDescent="0.25">
      <c r="A111" s="1" t="str">
        <f t="shared" si="1"/>
        <v>3</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11" s="1" t="s">
        <v>304</v>
      </c>
      <c r="D111" s="1">
        <v>0</v>
      </c>
      <c r="E111" s="1">
        <v>0</v>
      </c>
      <c r="F111" s="1" t="s">
        <v>112</v>
      </c>
      <c r="G111" s="1">
        <v>0</v>
      </c>
    </row>
    <row r="112" spans="1:10" x14ac:dyDescent="0.25">
      <c r="A112" s="1" t="str">
        <f t="shared" si="1"/>
        <v>3</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12" s="1" t="s">
        <v>305</v>
      </c>
      <c r="D112" s="1">
        <v>27</v>
      </c>
      <c r="E112" s="1" t="s">
        <v>306</v>
      </c>
      <c r="F112" s="1" t="s">
        <v>112</v>
      </c>
      <c r="G112" s="1">
        <v>842</v>
      </c>
    </row>
    <row r="113" spans="1:10" x14ac:dyDescent="0.25">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3" s="1" t="s">
        <v>112</v>
      </c>
    </row>
    <row r="114" spans="1:10" x14ac:dyDescent="0.25">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4" s="1" t="s">
        <v>183</v>
      </c>
      <c r="D114" s="1" t="s">
        <v>112</v>
      </c>
      <c r="E114" s="1" t="s">
        <v>184</v>
      </c>
      <c r="F114" s="1" t="s">
        <v>185</v>
      </c>
      <c r="G114" s="1" t="s">
        <v>186</v>
      </c>
      <c r="H114" s="1" t="s">
        <v>187</v>
      </c>
      <c r="I114" s="1" t="s">
        <v>188</v>
      </c>
      <c r="J114" s="1" t="s">
        <v>189</v>
      </c>
    </row>
    <row r="115" spans="1:10" x14ac:dyDescent="0.25">
      <c r="A115" s="1" t="str">
        <f t="shared" si="1"/>
        <v>3</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15" s="1" t="s">
        <v>307</v>
      </c>
      <c r="D115" s="1" t="s">
        <v>112</v>
      </c>
      <c r="E115" s="1" t="s">
        <v>308</v>
      </c>
      <c r="F115" s="1" t="s">
        <v>309</v>
      </c>
      <c r="G115" s="1">
        <v>7898</v>
      </c>
      <c r="H115" s="1" t="s">
        <v>310</v>
      </c>
      <c r="I115" s="1">
        <v>6</v>
      </c>
      <c r="J115" s="1">
        <v>8</v>
      </c>
    </row>
    <row r="116" spans="1:10" x14ac:dyDescent="0.25">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6" s="1" t="s">
        <v>112</v>
      </c>
    </row>
    <row r="117" spans="1:10" x14ac:dyDescent="0.25">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7" s="1" t="s">
        <v>112</v>
      </c>
    </row>
    <row r="118" spans="1:10" x14ac:dyDescent="0.25">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8" s="1" t="s">
        <v>112</v>
      </c>
    </row>
    <row r="119" spans="1:10" x14ac:dyDescent="0.25">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9" s="1" t="s">
        <v>112</v>
      </c>
    </row>
    <row r="120" spans="1:10" x14ac:dyDescent="0.25">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0" s="1" t="s">
        <v>112</v>
      </c>
    </row>
    <row r="121" spans="1:10" x14ac:dyDescent="0.25">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1" s="1" t="s">
        <v>167</v>
      </c>
      <c r="D121" s="1" t="s">
        <v>110</v>
      </c>
      <c r="E121" s="1" t="s">
        <v>111</v>
      </c>
      <c r="F121" s="1" t="s">
        <v>112</v>
      </c>
      <c r="G121" s="1" t="s">
        <v>113</v>
      </c>
    </row>
    <row r="122" spans="1:10" x14ac:dyDescent="0.25">
      <c r="A122" s="1" t="str">
        <f t="shared" si="1"/>
        <v>4</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22" s="1" t="s">
        <v>311</v>
      </c>
      <c r="D122" s="1">
        <v>119</v>
      </c>
      <c r="E122" s="1" t="s">
        <v>312</v>
      </c>
      <c r="F122" s="1" t="s">
        <v>112</v>
      </c>
      <c r="G122" s="1">
        <v>4226</v>
      </c>
    </row>
    <row r="123" spans="1:10" x14ac:dyDescent="0.25">
      <c r="A123" s="1" t="str">
        <f t="shared" si="1"/>
        <v>4</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23" s="1" t="s">
        <v>313</v>
      </c>
      <c r="D123" s="1">
        <v>525</v>
      </c>
      <c r="E123" s="1" t="s">
        <v>314</v>
      </c>
      <c r="F123" s="1" t="s">
        <v>112</v>
      </c>
      <c r="G123" s="1">
        <v>22487</v>
      </c>
    </row>
    <row r="124" spans="1:10" x14ac:dyDescent="0.25">
      <c r="A124" s="1" t="str">
        <f t="shared" si="1"/>
        <v>4</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24" s="1" t="s">
        <v>315</v>
      </c>
      <c r="D124" s="1">
        <v>460</v>
      </c>
      <c r="E124" s="1" t="s">
        <v>316</v>
      </c>
      <c r="F124" s="1" t="s">
        <v>112</v>
      </c>
      <c r="G124" s="1">
        <v>15514</v>
      </c>
    </row>
    <row r="125" spans="1:10" x14ac:dyDescent="0.25">
      <c r="A125" s="1" t="str">
        <f t="shared" si="1"/>
        <v>4</v>
      </c>
      <c r="B1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25" s="1" t="s">
        <v>317</v>
      </c>
      <c r="D125" s="1">
        <v>87</v>
      </c>
      <c r="E125" s="1" t="s">
        <v>318</v>
      </c>
      <c r="F125" s="1" t="s">
        <v>112</v>
      </c>
      <c r="G125" s="1">
        <v>2959</v>
      </c>
    </row>
    <row r="126" spans="1:10" x14ac:dyDescent="0.25">
      <c r="A126" s="1" t="str">
        <f t="shared" si="1"/>
        <v>4</v>
      </c>
      <c r="B1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26" s="1" t="s">
        <v>319</v>
      </c>
      <c r="D126" s="1">
        <v>158</v>
      </c>
      <c r="E126" s="1" t="s">
        <v>320</v>
      </c>
      <c r="F126" s="1" t="s">
        <v>112</v>
      </c>
      <c r="G126" s="1">
        <v>5217</v>
      </c>
    </row>
    <row r="127" spans="1:10" x14ac:dyDescent="0.25">
      <c r="A127" s="1" t="str">
        <f t="shared" si="1"/>
        <v>4</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27" s="1" t="s">
        <v>321</v>
      </c>
      <c r="D127" s="1">
        <v>1257</v>
      </c>
      <c r="E127" s="1" t="s">
        <v>322</v>
      </c>
      <c r="F127" s="1" t="s">
        <v>112</v>
      </c>
      <c r="G127" s="1">
        <v>47643</v>
      </c>
    </row>
    <row r="128" spans="1:10" x14ac:dyDescent="0.25">
      <c r="A128" s="1" t="str">
        <f t="shared" si="1"/>
        <v>4</v>
      </c>
      <c r="B1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28" s="1" t="s">
        <v>323</v>
      </c>
      <c r="D128" s="1">
        <v>31</v>
      </c>
      <c r="E128" s="1" t="s">
        <v>324</v>
      </c>
      <c r="F128" s="1" t="s">
        <v>112</v>
      </c>
      <c r="G128" s="1">
        <v>968</v>
      </c>
    </row>
    <row r="129" spans="1:10" x14ac:dyDescent="0.25">
      <c r="A129" s="1" t="str">
        <f t="shared" si="1"/>
        <v>4</v>
      </c>
      <c r="B1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29" s="1" t="s">
        <v>325</v>
      </c>
      <c r="D129" s="1">
        <v>97</v>
      </c>
      <c r="E129" s="1" t="s">
        <v>326</v>
      </c>
      <c r="F129" s="1" t="s">
        <v>112</v>
      </c>
      <c r="G129" s="1">
        <v>3271</v>
      </c>
    </row>
    <row r="130" spans="1:10" x14ac:dyDescent="0.2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10" x14ac:dyDescent="0.2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183</v>
      </c>
      <c r="D131" s="1" t="s">
        <v>112</v>
      </c>
      <c r="E131" s="1" t="s">
        <v>184</v>
      </c>
      <c r="F131" s="1" t="s">
        <v>185</v>
      </c>
      <c r="G131" s="1" t="s">
        <v>186</v>
      </c>
      <c r="H131" s="1" t="s">
        <v>187</v>
      </c>
      <c r="I131" s="1" t="s">
        <v>188</v>
      </c>
      <c r="J131" s="1" t="s">
        <v>189</v>
      </c>
    </row>
    <row r="132" spans="1:10" x14ac:dyDescent="0.25">
      <c r="A132" s="1" t="str">
        <f t="shared" si="2"/>
        <v>4</v>
      </c>
      <c r="B1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32" s="1" t="s">
        <v>327</v>
      </c>
      <c r="D132" s="1" t="s">
        <v>112</v>
      </c>
      <c r="E132" s="1" t="s">
        <v>328</v>
      </c>
      <c r="F132" s="1" t="s">
        <v>329</v>
      </c>
      <c r="G132" s="1" t="s">
        <v>330</v>
      </c>
      <c r="H132" s="1" t="s">
        <v>331</v>
      </c>
      <c r="I132" s="1">
        <v>8</v>
      </c>
      <c r="J132" s="1">
        <v>8</v>
      </c>
    </row>
    <row r="133" spans="1:10" x14ac:dyDescent="0.2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112</v>
      </c>
    </row>
    <row r="134" spans="1:10" x14ac:dyDescent="0.25">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4" s="1" t="s">
        <v>112</v>
      </c>
    </row>
    <row r="135" spans="1:10" x14ac:dyDescent="0.25">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5" s="1" t="s">
        <v>112</v>
      </c>
    </row>
    <row r="136" spans="1:10" x14ac:dyDescent="0.25">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6" s="1" t="s">
        <v>112</v>
      </c>
    </row>
    <row r="137" spans="1:10" x14ac:dyDescent="0.25">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7" s="1" t="s">
        <v>112</v>
      </c>
    </row>
    <row r="138" spans="1:10" x14ac:dyDescent="0.25">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8" s="1" t="s">
        <v>167</v>
      </c>
      <c r="D138" s="1" t="s">
        <v>110</v>
      </c>
      <c r="E138" s="1" t="s">
        <v>111</v>
      </c>
      <c r="F138" s="1" t="s">
        <v>112</v>
      </c>
      <c r="G138" s="1" t="s">
        <v>113</v>
      </c>
    </row>
    <row r="139" spans="1:10" x14ac:dyDescent="0.25">
      <c r="A139" s="1" t="str">
        <f t="shared" si="2"/>
        <v>5</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39" s="1" t="s">
        <v>332</v>
      </c>
    </row>
    <row r="140" spans="1:10" x14ac:dyDescent="0.25">
      <c r="A140" s="1" t="str">
        <f t="shared" si="2"/>
        <v>5</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40" s="1" t="s">
        <v>333</v>
      </c>
      <c r="D140" s="1">
        <v>622</v>
      </c>
      <c r="E140" s="1" t="s">
        <v>334</v>
      </c>
      <c r="F140" s="1" t="s">
        <v>112</v>
      </c>
      <c r="G140" s="1">
        <v>22801</v>
      </c>
    </row>
    <row r="141" spans="1:10" x14ac:dyDescent="0.25">
      <c r="A141" s="1" t="str">
        <f t="shared" si="2"/>
        <v>5</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41" s="1" t="s">
        <v>335</v>
      </c>
      <c r="D141" s="1">
        <v>0</v>
      </c>
      <c r="E141" s="1">
        <v>0</v>
      </c>
      <c r="F141" s="1" t="s">
        <v>112</v>
      </c>
      <c r="G141" s="1">
        <v>0</v>
      </c>
    </row>
    <row r="142" spans="1:10" x14ac:dyDescent="0.25">
      <c r="A142" s="1" t="str">
        <f t="shared" si="2"/>
        <v>5</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42" s="1" t="s">
        <v>336</v>
      </c>
      <c r="D142" s="1">
        <v>1741</v>
      </c>
      <c r="E142" s="1" t="s">
        <v>337</v>
      </c>
      <c r="F142" s="1" t="s">
        <v>112</v>
      </c>
      <c r="G142" s="1">
        <v>71554</v>
      </c>
    </row>
    <row r="143" spans="1:10" x14ac:dyDescent="0.25">
      <c r="A143" s="1" t="str">
        <f t="shared" si="2"/>
        <v>5</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43" s="1" t="s">
        <v>338</v>
      </c>
      <c r="D143" s="1">
        <v>257</v>
      </c>
      <c r="E143" s="1" t="s">
        <v>339</v>
      </c>
      <c r="F143" s="1" t="s">
        <v>112</v>
      </c>
      <c r="G143" s="1">
        <v>8531</v>
      </c>
    </row>
    <row r="144" spans="1:10" x14ac:dyDescent="0.25">
      <c r="A144" s="1" t="str">
        <f t="shared" si="2"/>
        <v>5</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44" s="1" t="s">
        <v>340</v>
      </c>
      <c r="D144" s="1">
        <v>152</v>
      </c>
      <c r="E144" s="1" t="s">
        <v>341</v>
      </c>
      <c r="F144" s="1" t="s">
        <v>112</v>
      </c>
      <c r="G144" s="1">
        <v>5071</v>
      </c>
    </row>
    <row r="145" spans="1:10" x14ac:dyDescent="0.25">
      <c r="A145" s="1" t="str">
        <f t="shared" si="2"/>
        <v>5</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45" s="1" t="s">
        <v>342</v>
      </c>
      <c r="D145" s="1">
        <v>3025</v>
      </c>
      <c r="E145" s="1" t="s">
        <v>343</v>
      </c>
      <c r="F145" s="1" t="s">
        <v>112</v>
      </c>
      <c r="G145" s="1">
        <v>129490</v>
      </c>
    </row>
    <row r="146" spans="1:10" x14ac:dyDescent="0.25">
      <c r="A146" s="1" t="str">
        <f t="shared" si="2"/>
        <v>5</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46" s="1" t="s">
        <v>344</v>
      </c>
      <c r="D146" s="1">
        <v>1367</v>
      </c>
      <c r="E146" s="1" t="s">
        <v>345</v>
      </c>
      <c r="F146" s="1" t="s">
        <v>112</v>
      </c>
      <c r="G146" s="1">
        <v>48109</v>
      </c>
    </row>
    <row r="147" spans="1:10" x14ac:dyDescent="0.25">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47" s="1" t="s">
        <v>112</v>
      </c>
    </row>
    <row r="148" spans="1:10" x14ac:dyDescent="0.25">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48" s="1" t="s">
        <v>183</v>
      </c>
      <c r="D148" s="1" t="s">
        <v>112</v>
      </c>
      <c r="E148" s="1" t="s">
        <v>184</v>
      </c>
      <c r="F148" s="1" t="s">
        <v>185</v>
      </c>
      <c r="G148" s="1" t="s">
        <v>186</v>
      </c>
      <c r="H148" s="1" t="s">
        <v>187</v>
      </c>
      <c r="I148" s="1" t="s">
        <v>188</v>
      </c>
      <c r="J148" s="1" t="s">
        <v>189</v>
      </c>
    </row>
    <row r="149" spans="1:10" x14ac:dyDescent="0.25">
      <c r="A149" s="1" t="str">
        <f t="shared" si="2"/>
        <v>5</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49" s="1" t="s">
        <v>346</v>
      </c>
      <c r="D149" s="1" t="s">
        <v>112</v>
      </c>
      <c r="E149" s="1" t="s">
        <v>347</v>
      </c>
      <c r="F149" s="1" t="s">
        <v>348</v>
      </c>
      <c r="G149" s="1" t="s">
        <v>349</v>
      </c>
      <c r="H149" s="1" t="s">
        <v>350</v>
      </c>
      <c r="I149" s="1">
        <v>7</v>
      </c>
      <c r="J149" s="1">
        <v>8</v>
      </c>
    </row>
    <row r="150" spans="1:10" x14ac:dyDescent="0.25">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0" s="1" t="s">
        <v>112</v>
      </c>
    </row>
    <row r="151" spans="1:10" x14ac:dyDescent="0.25">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1" s="1" t="s">
        <v>112</v>
      </c>
    </row>
    <row r="152" spans="1:10" x14ac:dyDescent="0.25">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2" s="1" t="s">
        <v>112</v>
      </c>
    </row>
    <row r="153" spans="1:10" x14ac:dyDescent="0.25">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3" s="1" t="s">
        <v>112</v>
      </c>
    </row>
    <row r="154" spans="1:10" x14ac:dyDescent="0.25">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4" s="1" t="s">
        <v>112</v>
      </c>
    </row>
    <row r="155" spans="1:10" x14ac:dyDescent="0.25">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5" s="1" t="s">
        <v>167</v>
      </c>
      <c r="D155" s="1" t="s">
        <v>110</v>
      </c>
      <c r="E155" s="1" t="s">
        <v>111</v>
      </c>
      <c r="F155" s="1" t="s">
        <v>112</v>
      </c>
      <c r="G155" s="1" t="s">
        <v>113</v>
      </c>
    </row>
    <row r="156" spans="1:10" x14ac:dyDescent="0.25">
      <c r="A156" s="1" t="str">
        <f t="shared" si="2"/>
        <v>6</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56" s="1" t="s">
        <v>351</v>
      </c>
      <c r="D156" s="1">
        <v>1764</v>
      </c>
      <c r="E156" s="1" t="s">
        <v>352</v>
      </c>
      <c r="F156" s="1" t="s">
        <v>112</v>
      </c>
      <c r="G156" s="1">
        <v>72128</v>
      </c>
    </row>
    <row r="157" spans="1:10" x14ac:dyDescent="0.25">
      <c r="A157" s="1" t="str">
        <f t="shared" si="2"/>
        <v>6</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57" s="1" t="s">
        <v>353</v>
      </c>
      <c r="D157" s="1">
        <v>2021</v>
      </c>
      <c r="E157" s="1" t="s">
        <v>354</v>
      </c>
      <c r="F157" s="1" t="s">
        <v>112</v>
      </c>
      <c r="G157" s="1">
        <v>109241</v>
      </c>
    </row>
    <row r="158" spans="1:10" x14ac:dyDescent="0.25">
      <c r="A158" s="1" t="str">
        <f t="shared" si="2"/>
        <v>6</v>
      </c>
      <c r="B1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58" s="1" t="s">
        <v>355</v>
      </c>
      <c r="D158" s="1">
        <v>2177</v>
      </c>
      <c r="E158" s="1" t="s">
        <v>356</v>
      </c>
      <c r="F158" s="1" t="s">
        <v>112</v>
      </c>
      <c r="G158" s="1">
        <v>81161</v>
      </c>
    </row>
    <row r="159" spans="1:10" x14ac:dyDescent="0.25">
      <c r="A159" s="1" t="str">
        <f t="shared" si="2"/>
        <v>6</v>
      </c>
      <c r="B1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59" s="1" t="s">
        <v>357</v>
      </c>
      <c r="D159" s="1">
        <v>951</v>
      </c>
      <c r="E159" s="1" t="s">
        <v>358</v>
      </c>
      <c r="F159" s="1" t="s">
        <v>112</v>
      </c>
      <c r="G159" s="1">
        <v>34302</v>
      </c>
    </row>
    <row r="160" spans="1:10" x14ac:dyDescent="0.25">
      <c r="A160" s="1" t="str">
        <f t="shared" si="2"/>
        <v>6</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60" s="1" t="s">
        <v>359</v>
      </c>
      <c r="D160" s="1">
        <v>442</v>
      </c>
      <c r="E160" s="1" t="s">
        <v>360</v>
      </c>
      <c r="F160" s="1" t="s">
        <v>112</v>
      </c>
      <c r="G160" s="1">
        <v>15204</v>
      </c>
    </row>
    <row r="161" spans="1:10" x14ac:dyDescent="0.25">
      <c r="A161" s="1" t="str">
        <f t="shared" si="2"/>
        <v>6</v>
      </c>
      <c r="B1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61" s="1" t="s">
        <v>361</v>
      </c>
      <c r="D161" s="1">
        <v>3072</v>
      </c>
      <c r="E161" s="1" t="s">
        <v>362</v>
      </c>
      <c r="F161" s="1" t="s">
        <v>112</v>
      </c>
      <c r="G161" s="1">
        <v>172748</v>
      </c>
    </row>
    <row r="162" spans="1:10" x14ac:dyDescent="0.25">
      <c r="A162" s="1" t="str">
        <f t="shared" si="2"/>
        <v>6</v>
      </c>
      <c r="B1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62" s="1" t="s">
        <v>363</v>
      </c>
      <c r="D162" s="1">
        <v>2343</v>
      </c>
      <c r="E162" s="1" t="s">
        <v>364</v>
      </c>
      <c r="F162" s="1" t="s">
        <v>112</v>
      </c>
      <c r="G162" s="1">
        <v>103987</v>
      </c>
    </row>
    <row r="163" spans="1:10" x14ac:dyDescent="0.25">
      <c r="A163" s="1" t="str">
        <f t="shared" si="2"/>
        <v>6</v>
      </c>
      <c r="B1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63" s="1" t="s">
        <v>365</v>
      </c>
      <c r="D163" s="1">
        <v>575</v>
      </c>
      <c r="E163" s="1" t="s">
        <v>366</v>
      </c>
      <c r="F163" s="1" t="s">
        <v>112</v>
      </c>
      <c r="G163" s="1">
        <v>25034</v>
      </c>
    </row>
    <row r="164" spans="1:10" x14ac:dyDescent="0.2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10" x14ac:dyDescent="0.2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183</v>
      </c>
      <c r="D165" s="1" t="s">
        <v>112</v>
      </c>
      <c r="E165" s="1" t="s">
        <v>184</v>
      </c>
      <c r="F165" s="1" t="s">
        <v>185</v>
      </c>
      <c r="G165" s="1" t="s">
        <v>186</v>
      </c>
      <c r="H165" s="1" t="s">
        <v>187</v>
      </c>
      <c r="I165" s="1" t="s">
        <v>188</v>
      </c>
      <c r="J165" s="1" t="s">
        <v>189</v>
      </c>
    </row>
    <row r="166" spans="1:10" x14ac:dyDescent="0.25">
      <c r="A166" s="1" t="str">
        <f t="shared" si="2"/>
        <v>6</v>
      </c>
      <c r="B1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6" s="1" t="s">
        <v>367</v>
      </c>
      <c r="D166" s="1" t="s">
        <v>112</v>
      </c>
      <c r="E166" s="1" t="s">
        <v>368</v>
      </c>
      <c r="F166" s="1" t="s">
        <v>369</v>
      </c>
      <c r="G166" s="1" t="s">
        <v>370</v>
      </c>
      <c r="H166" s="1" t="s">
        <v>371</v>
      </c>
      <c r="I166" s="1">
        <v>8</v>
      </c>
      <c r="J166" s="1">
        <v>8</v>
      </c>
    </row>
    <row r="167" spans="1:10" x14ac:dyDescent="0.25">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7" s="1" t="s">
        <v>112</v>
      </c>
    </row>
    <row r="168" spans="1:10" x14ac:dyDescent="0.25">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8" s="1" t="s">
        <v>112</v>
      </c>
    </row>
    <row r="169" spans="1:10" x14ac:dyDescent="0.25">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9" s="1" t="s">
        <v>112</v>
      </c>
    </row>
    <row r="170" spans="1:10" x14ac:dyDescent="0.25">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70" s="1" t="s">
        <v>112</v>
      </c>
    </row>
    <row r="171" spans="1:10" x14ac:dyDescent="0.25">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71" s="1" t="s">
        <v>112</v>
      </c>
    </row>
    <row r="172" spans="1:10" x14ac:dyDescent="0.25">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72" s="1" t="s">
        <v>167</v>
      </c>
      <c r="D172" s="1" t="s">
        <v>110</v>
      </c>
      <c r="E172" s="1" t="s">
        <v>111</v>
      </c>
      <c r="F172" s="1" t="s">
        <v>112</v>
      </c>
      <c r="G172" s="1" t="s">
        <v>113</v>
      </c>
    </row>
    <row r="173" spans="1:10" x14ac:dyDescent="0.25">
      <c r="A173" s="1" t="str">
        <f t="shared" si="2"/>
        <v>7</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73" s="1" t="s">
        <v>372</v>
      </c>
    </row>
    <row r="174" spans="1:10" x14ac:dyDescent="0.25">
      <c r="A174" s="1" t="str">
        <f t="shared" si="2"/>
        <v>7</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74" s="1" t="s">
        <v>373</v>
      </c>
      <c r="D174" s="1">
        <v>3604</v>
      </c>
      <c r="E174" s="1" t="s">
        <v>374</v>
      </c>
      <c r="F174" s="1" t="s">
        <v>112</v>
      </c>
      <c r="G174" s="1">
        <v>212197</v>
      </c>
    </row>
    <row r="175" spans="1:10" x14ac:dyDescent="0.25">
      <c r="A175" s="1" t="str">
        <f t="shared" si="2"/>
        <v>7</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75" s="1" t="s">
        <v>375</v>
      </c>
      <c r="D175" s="1">
        <v>3009</v>
      </c>
      <c r="E175" s="1" t="s">
        <v>376</v>
      </c>
      <c r="F175" s="1" t="s">
        <v>112</v>
      </c>
      <c r="G175" s="1">
        <v>180227</v>
      </c>
    </row>
    <row r="176" spans="1:10" x14ac:dyDescent="0.25">
      <c r="A176" s="1" t="str">
        <f t="shared" si="2"/>
        <v>7</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76" s="1" t="s">
        <v>377</v>
      </c>
      <c r="D176" s="1">
        <v>2921</v>
      </c>
      <c r="E176" s="1" t="s">
        <v>378</v>
      </c>
      <c r="F176" s="1" t="s">
        <v>112</v>
      </c>
      <c r="G176" s="1">
        <v>147117</v>
      </c>
    </row>
    <row r="177" spans="1:10" x14ac:dyDescent="0.25">
      <c r="A177" s="1" t="str">
        <f t="shared" si="2"/>
        <v>7</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77" s="1" t="s">
        <v>379</v>
      </c>
      <c r="D177" s="1">
        <v>3427</v>
      </c>
      <c r="E177" s="1" t="s">
        <v>380</v>
      </c>
      <c r="F177" s="1" t="s">
        <v>112</v>
      </c>
      <c r="G177" s="1">
        <v>171179</v>
      </c>
    </row>
    <row r="178" spans="1:10" x14ac:dyDescent="0.25">
      <c r="A178" s="1" t="str">
        <f t="shared" si="2"/>
        <v>7</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78" s="1" t="s">
        <v>381</v>
      </c>
      <c r="D178" s="1">
        <v>3438</v>
      </c>
      <c r="E178" s="1" t="s">
        <v>382</v>
      </c>
      <c r="F178" s="1" t="s">
        <v>112</v>
      </c>
      <c r="G178" s="1">
        <v>186014</v>
      </c>
    </row>
    <row r="179" spans="1:10" x14ac:dyDescent="0.25">
      <c r="A179" s="1" t="str">
        <f t="shared" si="2"/>
        <v>7</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79" s="1" t="s">
        <v>383</v>
      </c>
      <c r="D179" s="1">
        <v>955</v>
      </c>
      <c r="E179" s="1" t="s">
        <v>384</v>
      </c>
      <c r="F179" s="1" t="s">
        <v>112</v>
      </c>
      <c r="G179" s="1">
        <v>37059</v>
      </c>
    </row>
    <row r="180" spans="1:10" x14ac:dyDescent="0.25">
      <c r="A180" s="1" t="str">
        <f t="shared" si="2"/>
        <v>7</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2</v>
      </c>
      <c r="C180" s="1" t="s">
        <v>385</v>
      </c>
      <c r="D180" s="1">
        <v>3778</v>
      </c>
      <c r="E180" s="1" t="s">
        <v>386</v>
      </c>
      <c r="F180" s="1" t="s">
        <v>112</v>
      </c>
      <c r="G180" s="1">
        <v>213632</v>
      </c>
    </row>
    <row r="181" spans="1:10" x14ac:dyDescent="0.25">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81" s="1" t="s">
        <v>112</v>
      </c>
    </row>
    <row r="182" spans="1:10" x14ac:dyDescent="0.25">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82" s="1" t="s">
        <v>183</v>
      </c>
      <c r="D182" s="1" t="s">
        <v>112</v>
      </c>
      <c r="E182" s="1" t="s">
        <v>184</v>
      </c>
      <c r="F182" s="1" t="s">
        <v>185</v>
      </c>
      <c r="G182" s="1" t="s">
        <v>186</v>
      </c>
      <c r="H182" s="1" t="s">
        <v>187</v>
      </c>
      <c r="I182" s="1" t="s">
        <v>188</v>
      </c>
      <c r="J182" s="1" t="s">
        <v>189</v>
      </c>
    </row>
    <row r="183" spans="1:10" x14ac:dyDescent="0.25">
      <c r="A183" s="1" t="str">
        <f t="shared" si="2"/>
        <v>7</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83" s="1" t="s">
        <v>387</v>
      </c>
      <c r="D183" s="1" t="s">
        <v>112</v>
      </c>
      <c r="E183" s="1" t="s">
        <v>388</v>
      </c>
      <c r="F183" s="1" t="s">
        <v>389</v>
      </c>
      <c r="G183" s="1" t="s">
        <v>390</v>
      </c>
      <c r="H183" s="1" t="s">
        <v>391</v>
      </c>
      <c r="I183" s="1">
        <v>8</v>
      </c>
      <c r="J183" s="1">
        <v>8</v>
      </c>
    </row>
    <row r="184" spans="1:10" x14ac:dyDescent="0.25">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84" s="1" t="s">
        <v>112</v>
      </c>
    </row>
    <row r="185" spans="1:10" x14ac:dyDescent="0.25">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85" s="1" t="s">
        <v>112</v>
      </c>
    </row>
    <row r="186" spans="1:10" x14ac:dyDescent="0.25">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86" s="1" t="s">
        <v>112</v>
      </c>
    </row>
    <row r="187" spans="1:10" x14ac:dyDescent="0.25">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10" x14ac:dyDescent="0.25">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10" x14ac:dyDescent="0.25">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10" x14ac:dyDescent="0.25">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10" x14ac:dyDescent="0.2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10" x14ac:dyDescent="0.2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25">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2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2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2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2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2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2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25">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25">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25">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25">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25">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25">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25">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25">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25">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25">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25">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25">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25">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25">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25">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25">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25">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25">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25">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25">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25">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25">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25">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25">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2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2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25">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2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2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2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2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2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2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25">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25">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25">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25">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25">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25">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25">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25">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25">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25">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25">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25">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25">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25">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25">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25">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25">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25">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25">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25">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25">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25">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25">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25">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2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2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25">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2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2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2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2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2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2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25">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25">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25">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25">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25">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25">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25">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25">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25">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25">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25">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25">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25">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25">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25">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25">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25">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25">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25">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25">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25">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25">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25">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25">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2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2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25">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2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2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2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2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2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2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25">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25">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25">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25">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25">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25">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25">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25">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25">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25">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25">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25">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25">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25">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25">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25">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25">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25">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25">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25">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25">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25">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25">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25">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2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2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25">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2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2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2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2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2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2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25">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25">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25">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25">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25">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25">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25">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25">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25">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25">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25">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25">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25">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25">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25">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25">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25">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25">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25">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25">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25">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25">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25">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25">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2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2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25">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2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2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2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2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2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2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25">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25">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25">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25">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25">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25">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25">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25">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25">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25">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25">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25">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25">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25">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25">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25">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25">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25">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25">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25">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25">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25">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25">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25">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2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2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25">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2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2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2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2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2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2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25">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25">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25">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25">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25">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25">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25">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25">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25">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25">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25">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25">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25">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25">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25">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25">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25">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25">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25">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25">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25">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25">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25">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25">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2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2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25">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2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2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2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2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2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2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25">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25">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25">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25">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25">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25">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25">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25">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25">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25">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25">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25">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25">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25">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25">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25">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25">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25">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25">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25">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25">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25">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25">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25">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2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2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25">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2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2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2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2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2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2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25">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25">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25">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25">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25">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25">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25">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25">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25">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25">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25">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25">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25">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25">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25">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25">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25">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25">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25">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25">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25">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25">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25">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25">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2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2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25">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2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2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2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2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2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2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25">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25">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25">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25">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25">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25">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25">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25">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25">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25">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25">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25">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25">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25">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25">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25">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25">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25">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25">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25">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25">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25">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25">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25">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2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2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25">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2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2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2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2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2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2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25">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25">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25">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25">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25">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25">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25">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25">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25">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25">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25">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25">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25">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25">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25">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25">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25">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25">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25">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25">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25">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25">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25">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25">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2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2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25">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2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2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2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2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2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2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25">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25">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25">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25">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25">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25">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25">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25">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25">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25">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25">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25">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25">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25">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25">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25">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25">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25">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25">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25">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25">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25">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25">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25">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2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2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25">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2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2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2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2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2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2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25">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25">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25">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25">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25">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25">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25">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25">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25">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25">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25">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25">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25">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25">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25">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25">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25">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25">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25">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25">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25">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25">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25">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25">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2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2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25">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2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2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2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2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2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2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25">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25">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25">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25">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25">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25">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25">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25">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25">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25">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25">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25">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25">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25">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25">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25">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25">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25">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25">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25">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25">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25">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25">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25">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2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2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25">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2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2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2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2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2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2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25">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25">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25">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25">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25">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25">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25">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25">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25">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25">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25">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25">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25">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25">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25">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25">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25">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25">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25">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25">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25">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25">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25">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25">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2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2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25">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2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2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2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2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2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2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2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2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2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2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2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2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2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2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2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2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43" priority="1" operator="containsText" text="ERREUR">
      <formula>NOT(ISERROR(SEARCH("ERREUR",A1)))</formula>
    </cfRule>
    <cfRule type="containsText" dxfId="42" priority="2" operator="containsText" text="OK">
      <formula>NOT(ISERROR(SEARCH("OK",A1)))</formula>
    </cfRule>
  </conditionalFormatting>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4"/>
  <sheetViews>
    <sheetView showGridLines="0" zoomScale="85" zoomScaleNormal="85" zoomScaleSheetLayoutView="40" zoomScalePageLayoutView="30" workbookViewId="0">
      <pane xSplit="1" topLeftCell="B1" activePane="topRight" state="frozen"/>
      <selection pane="topRight" activeCell="F7" sqref="F7"/>
    </sheetView>
  </sheetViews>
  <sheetFormatPr baseColWidth="10"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18.28515625" bestFit="1" customWidth="1"/>
    <col min="10" max="10" width="14.85546875" customWidth="1"/>
    <col min="11" max="11" width="17.7109375" customWidth="1"/>
    <col min="12" max="12" width="25.85546875" bestFit="1" customWidth="1"/>
  </cols>
  <sheetData>
    <row r="1" spans="1:12" s="1" customFormat="1" ht="27" thickBot="1" x14ac:dyDescent="0.45">
      <c r="A1" s="226" t="s">
        <v>40</v>
      </c>
      <c r="B1" s="227"/>
      <c r="C1" s="227"/>
      <c r="D1" s="227"/>
      <c r="E1" s="227"/>
      <c r="F1" s="227"/>
      <c r="G1" s="227"/>
      <c r="H1" s="227"/>
      <c r="I1" s="227"/>
      <c r="J1" s="227"/>
      <c r="K1" s="227"/>
      <c r="L1" s="227"/>
    </row>
    <row r="2" spans="1:12" ht="15.75" thickBot="1" x14ac:dyDescent="0.3">
      <c r="A2"/>
      <c r="B2"/>
      <c r="C2"/>
      <c r="D2"/>
      <c r="E2"/>
      <c r="F2"/>
      <c r="G2"/>
      <c r="H2"/>
    </row>
    <row r="3" spans="1:12" ht="15.75" thickBot="1" x14ac:dyDescent="0.3">
      <c r="A3" s="48" t="s">
        <v>17</v>
      </c>
      <c r="B3" s="234" t="s">
        <v>6</v>
      </c>
      <c r="C3" s="235"/>
      <c r="D3" s="235"/>
      <c r="E3" s="235"/>
      <c r="F3" s="235"/>
      <c r="G3" s="235"/>
      <c r="H3" s="235"/>
      <c r="J3" s="234" t="s">
        <v>3</v>
      </c>
      <c r="K3" s="235"/>
      <c r="L3" s="235"/>
    </row>
    <row r="4" spans="1:12" x14ac:dyDescent="0.25">
      <c r="A4" s="33" t="s">
        <v>41</v>
      </c>
      <c r="B4" s="34" t="str">
        <f>'Page de garde'!A7</f>
        <v>Témoin solvant</v>
      </c>
      <c r="C4" s="34" t="str">
        <f>'Page de garde'!A9</f>
        <v>EE2-33,8ng/L</v>
      </c>
      <c r="D4" s="34" t="str">
        <f>'Page de garde'!A10</f>
        <v>EE2-50,6ng/L</v>
      </c>
      <c r="E4" s="34" t="str">
        <f>'Page de garde'!A11</f>
        <v>EE2-76ng/L</v>
      </c>
      <c r="F4" s="34" t="str">
        <f>'Page de garde'!A12</f>
        <v>EE2-114ng/L</v>
      </c>
      <c r="G4" s="34" t="str">
        <f>'Page de garde'!A13</f>
        <v>EE2-170,9ng/L</v>
      </c>
      <c r="H4" s="34" t="str">
        <f>'Page de garde'!A14</f>
        <v>EE2-488ng/L</v>
      </c>
      <c r="I4" s="3"/>
      <c r="J4" s="35" t="str">
        <f>'Page de garde'!A36</f>
        <v>Testo -30µg/L</v>
      </c>
      <c r="K4" s="35" t="str">
        <f>'Page de garde'!A37</f>
        <v>Testo 30µg/L + EE2 -64ng/L</v>
      </c>
      <c r="L4" s="35" t="str">
        <f>'Page de garde'!A38</f>
        <v>Testo 30µg/L + FAD-10mg/L</v>
      </c>
    </row>
    <row r="5" spans="1:12" ht="16.5" x14ac:dyDescent="0.25">
      <c r="A5" s="230" t="s">
        <v>33</v>
      </c>
      <c r="B5" s="70"/>
      <c r="C5" s="12">
        <f>'Raw data R1'!G88</f>
        <v>16997</v>
      </c>
      <c r="D5" s="31">
        <f>'Raw data R1'!G105</f>
        <v>7725</v>
      </c>
      <c r="E5" s="31">
        <f>'Raw data R1'!G122</f>
        <v>4226</v>
      </c>
      <c r="F5" s="31"/>
      <c r="G5" s="31">
        <f>'Raw data R1'!G156</f>
        <v>72128</v>
      </c>
      <c r="H5" s="31"/>
      <c r="I5" s="3"/>
      <c r="J5" s="31">
        <f>'Raw data R1'!G20</f>
        <v>91890</v>
      </c>
      <c r="K5" s="12">
        <f>'Raw data R1'!G54</f>
        <v>168782</v>
      </c>
      <c r="L5" s="12">
        <f>'Raw data R1'!G71</f>
        <v>3744</v>
      </c>
    </row>
    <row r="6" spans="1:12" ht="16.5" x14ac:dyDescent="0.25">
      <c r="A6" s="231"/>
      <c r="B6" s="70">
        <f>'Raw data R1'!G4</f>
        <v>4209</v>
      </c>
      <c r="C6" s="12">
        <f>'Raw data R1'!G89</f>
        <v>6244</v>
      </c>
      <c r="D6" s="31">
        <f>'Raw data R1'!G106</f>
        <v>9599</v>
      </c>
      <c r="E6" s="31">
        <f>'Raw data R1'!G123</f>
        <v>22487</v>
      </c>
      <c r="F6" s="31">
        <f>'Raw data R1'!G140</f>
        <v>22801</v>
      </c>
      <c r="G6" s="31">
        <f>'Raw data R1'!G157</f>
        <v>109241</v>
      </c>
      <c r="H6" s="31">
        <f>'Raw data R1'!G174</f>
        <v>212197</v>
      </c>
      <c r="I6" s="3"/>
      <c r="J6" s="31">
        <f>'Raw data R1'!G21</f>
        <v>15670</v>
      </c>
      <c r="K6" s="12">
        <f>'Raw data R1'!G55</f>
        <v>170359</v>
      </c>
      <c r="L6" s="12">
        <f>'Raw data R1'!G72</f>
        <v>10945</v>
      </c>
    </row>
    <row r="7" spans="1:12" ht="16.5" x14ac:dyDescent="0.25">
      <c r="A7" s="231"/>
      <c r="B7" s="70">
        <f>'Raw data R1'!G5</f>
        <v>3382</v>
      </c>
      <c r="C7" s="12">
        <f>'Raw data R1'!G90</f>
        <v>20326</v>
      </c>
      <c r="D7" s="31">
        <f>'Raw data R1'!G107</f>
        <v>25340</v>
      </c>
      <c r="E7" s="31">
        <f>'Raw data R1'!G124</f>
        <v>15514</v>
      </c>
      <c r="F7" s="31">
        <f>'Raw data R1'!G141</f>
        <v>0</v>
      </c>
      <c r="G7" s="31">
        <f>'Raw data R1'!G158</f>
        <v>81161</v>
      </c>
      <c r="H7" s="31">
        <f>'Raw data R1'!G175</f>
        <v>180227</v>
      </c>
      <c r="I7" s="3"/>
      <c r="J7" s="31">
        <f>'Raw data R1'!G22</f>
        <v>63291</v>
      </c>
      <c r="K7" s="12">
        <f>'Raw data R1'!G56</f>
        <v>173175</v>
      </c>
      <c r="L7" s="12"/>
    </row>
    <row r="8" spans="1:12" ht="16.5" x14ac:dyDescent="0.25">
      <c r="A8" s="231"/>
      <c r="B8" s="70">
        <f>'Raw data R1'!G6</f>
        <v>1871</v>
      </c>
      <c r="C8" s="12">
        <f>'Raw data R1'!G91</f>
        <v>5217</v>
      </c>
      <c r="D8" s="31">
        <f>'Raw data R1'!G108</f>
        <v>17447</v>
      </c>
      <c r="E8" s="31">
        <f>'Raw data R1'!G125</f>
        <v>2959</v>
      </c>
      <c r="F8" s="31">
        <f>'Raw data R1'!G142</f>
        <v>71554</v>
      </c>
      <c r="G8" s="31">
        <f>'Raw data R1'!G159</f>
        <v>34302</v>
      </c>
      <c r="H8" s="31">
        <f>'Raw data R1'!G176</f>
        <v>147117</v>
      </c>
      <c r="I8" s="3"/>
      <c r="J8" s="31">
        <f>'Raw data R1'!G23</f>
        <v>101274</v>
      </c>
      <c r="K8" s="12">
        <f>'Raw data R1'!G57</f>
        <v>224011</v>
      </c>
      <c r="L8" s="12"/>
    </row>
    <row r="9" spans="1:12" ht="16.5" x14ac:dyDescent="0.25">
      <c r="A9" s="231"/>
      <c r="B9" s="70">
        <f>'Raw data R1'!G7</f>
        <v>311</v>
      </c>
      <c r="C9" s="12">
        <f>'Raw data R1'!G92</f>
        <v>4614</v>
      </c>
      <c r="D9" s="31">
        <f>'Raw data R1'!G109</f>
        <v>2231</v>
      </c>
      <c r="E9" s="31">
        <f>'Raw data R1'!G126</f>
        <v>5217</v>
      </c>
      <c r="F9" s="31">
        <f>'Raw data R1'!G143</f>
        <v>8531</v>
      </c>
      <c r="G9" s="31">
        <f>'Raw data R1'!G160</f>
        <v>15204</v>
      </c>
      <c r="H9" s="31">
        <f>'Raw data R1'!G177</f>
        <v>171179</v>
      </c>
      <c r="I9" s="3"/>
      <c r="J9" s="31">
        <f>'Raw data R1'!G24</f>
        <v>128615</v>
      </c>
      <c r="K9" s="12">
        <f>'Raw data R1'!G58</f>
        <v>122186</v>
      </c>
      <c r="L9" s="12">
        <f>'Raw data R1'!G75</f>
        <v>4775</v>
      </c>
    </row>
    <row r="10" spans="1:12" ht="16.5" x14ac:dyDescent="0.25">
      <c r="A10" s="231"/>
      <c r="B10" s="70">
        <f>'Raw data R1'!G8</f>
        <v>5307</v>
      </c>
      <c r="C10" s="12">
        <f>'Raw data R1'!G93</f>
        <v>15082</v>
      </c>
      <c r="D10" s="31"/>
      <c r="E10" s="31">
        <f>'Raw data R1'!G127</f>
        <v>47643</v>
      </c>
      <c r="F10" s="31">
        <f>'Raw data R1'!G144</f>
        <v>5071</v>
      </c>
      <c r="G10" s="31">
        <f>'Raw data R1'!G161</f>
        <v>172748</v>
      </c>
      <c r="H10" s="31">
        <f>'Raw data R1'!G178</f>
        <v>186014</v>
      </c>
      <c r="I10" s="3"/>
      <c r="J10" s="31">
        <f>'Raw data R1'!G25</f>
        <v>12817</v>
      </c>
      <c r="K10" s="12"/>
      <c r="L10" s="12">
        <f>'Raw data R1'!G76</f>
        <v>2787</v>
      </c>
    </row>
    <row r="11" spans="1:12" ht="16.5" x14ac:dyDescent="0.25">
      <c r="A11" s="231"/>
      <c r="B11" s="70">
        <f>'Raw data R1'!G9</f>
        <v>3551</v>
      </c>
      <c r="C11" s="12">
        <f>'Raw data R1'!G94</f>
        <v>400</v>
      </c>
      <c r="D11" s="31">
        <f>'Raw data R1'!G111</f>
        <v>0</v>
      </c>
      <c r="E11" s="31">
        <f>'Raw data R1'!G128</f>
        <v>968</v>
      </c>
      <c r="F11" s="31">
        <f>'Raw data R1'!G145</f>
        <v>129490</v>
      </c>
      <c r="G11" s="31">
        <f>'Raw data R1'!G162</f>
        <v>103987</v>
      </c>
      <c r="H11" s="31">
        <f>'Raw data R1'!G179</f>
        <v>37059</v>
      </c>
      <c r="I11" s="3"/>
      <c r="J11" s="31">
        <f>'Raw data R1'!G26</f>
        <v>136935</v>
      </c>
      <c r="K11" s="12">
        <f>'Raw data R1'!G60</f>
        <v>176138</v>
      </c>
      <c r="L11" s="12">
        <f>'Raw data R1'!G77</f>
        <v>614</v>
      </c>
    </row>
    <row r="12" spans="1:12" ht="16.5" x14ac:dyDescent="0.25">
      <c r="A12" s="231"/>
      <c r="B12" s="70">
        <f>'Raw data R1'!G10</f>
        <v>3203</v>
      </c>
      <c r="C12" s="12">
        <f>'Raw data R1'!G95</f>
        <v>17951</v>
      </c>
      <c r="D12" s="31">
        <f>'Raw data R1'!G112</f>
        <v>842</v>
      </c>
      <c r="E12" s="31">
        <f>'Raw data R1'!G129</f>
        <v>3271</v>
      </c>
      <c r="F12" s="31">
        <f>'Raw data R1'!G146</f>
        <v>48109</v>
      </c>
      <c r="G12" s="31">
        <f>'Raw data R1'!G163</f>
        <v>25034</v>
      </c>
      <c r="H12" s="31">
        <f>'Raw data R1'!G180</f>
        <v>213632</v>
      </c>
      <c r="I12" s="3"/>
      <c r="J12" s="31">
        <f>'Raw data R1'!G27</f>
        <v>134925</v>
      </c>
      <c r="K12" s="12">
        <f>'Raw data R1'!G61</f>
        <v>165168</v>
      </c>
      <c r="L12" s="12">
        <f>'Raw data R1'!G78</f>
        <v>3902</v>
      </c>
    </row>
    <row r="13" spans="1:12" ht="16.5" x14ac:dyDescent="0.25">
      <c r="A13" s="231"/>
      <c r="B13" s="13"/>
      <c r="C13" s="12"/>
      <c r="D13" s="15"/>
      <c r="E13" s="15"/>
      <c r="F13" s="15"/>
      <c r="G13" s="15"/>
      <c r="H13" s="15"/>
      <c r="I13" s="3"/>
      <c r="J13" s="31"/>
      <c r="K13" s="12"/>
      <c r="L13" s="12"/>
    </row>
    <row r="14" spans="1:12" ht="16.5" x14ac:dyDescent="0.25">
      <c r="A14" s="231"/>
      <c r="B14" s="13"/>
      <c r="C14" s="15"/>
      <c r="D14" s="15"/>
      <c r="E14" s="15"/>
      <c r="F14" s="15"/>
      <c r="G14" s="15"/>
      <c r="H14" s="15"/>
      <c r="I14" s="3"/>
      <c r="J14" s="31">
        <f>'Raw data R1'!G38</f>
        <v>91466</v>
      </c>
      <c r="K14" s="12"/>
      <c r="L14" s="12"/>
    </row>
    <row r="15" spans="1:12" ht="16.5" x14ac:dyDescent="0.25">
      <c r="A15" s="231"/>
      <c r="B15" s="13"/>
      <c r="C15" s="15"/>
      <c r="D15" s="15"/>
      <c r="E15" s="15"/>
      <c r="F15" s="15"/>
      <c r="G15" s="15"/>
      <c r="H15" s="15"/>
      <c r="I15" s="3"/>
      <c r="J15" s="31">
        <f>'Raw data R1'!G39</f>
        <v>15059</v>
      </c>
      <c r="K15" s="12"/>
      <c r="L15" s="12"/>
    </row>
    <row r="16" spans="1:12" ht="16.5" x14ac:dyDescent="0.25">
      <c r="A16" s="231"/>
      <c r="B16" s="13"/>
      <c r="C16" s="15"/>
      <c r="D16" s="15"/>
      <c r="E16" s="15"/>
      <c r="F16" s="15"/>
      <c r="G16" s="15"/>
      <c r="H16" s="15"/>
      <c r="I16" s="3"/>
      <c r="J16" s="31">
        <f>'Raw data R1'!G40</f>
        <v>97160</v>
      </c>
      <c r="K16" s="12"/>
      <c r="L16" s="12"/>
    </row>
    <row r="17" spans="1:12" s="1" customFormat="1" ht="16.5" x14ac:dyDescent="0.25">
      <c r="A17" s="231"/>
      <c r="B17" s="13"/>
      <c r="C17" s="31"/>
      <c r="D17" s="31"/>
      <c r="E17" s="31"/>
      <c r="F17" s="31"/>
      <c r="G17" s="31"/>
      <c r="H17" s="31"/>
      <c r="I17" s="3"/>
      <c r="J17" s="31">
        <f>'Raw data R1'!G41</f>
        <v>31226</v>
      </c>
      <c r="K17" s="12"/>
      <c r="L17" s="12"/>
    </row>
    <row r="18" spans="1:12" s="1" customFormat="1" ht="16.5" x14ac:dyDescent="0.25">
      <c r="A18" s="231"/>
      <c r="B18" s="13"/>
      <c r="C18" s="31"/>
      <c r="D18" s="31"/>
      <c r="E18" s="31"/>
      <c r="F18" s="31"/>
      <c r="G18" s="31"/>
      <c r="H18" s="31"/>
      <c r="I18" s="3"/>
      <c r="J18" s="31">
        <f>'Raw data R1'!G42</f>
        <v>109993</v>
      </c>
      <c r="K18" s="12"/>
      <c r="L18" s="12"/>
    </row>
    <row r="19" spans="1:12" s="1" customFormat="1" ht="16.5" x14ac:dyDescent="0.25">
      <c r="A19" s="231"/>
      <c r="B19" s="13"/>
      <c r="C19" s="31"/>
      <c r="D19" s="31"/>
      <c r="E19" s="31"/>
      <c r="F19" s="31"/>
      <c r="G19" s="31"/>
      <c r="H19" s="31"/>
      <c r="I19" s="3"/>
      <c r="J19" s="31">
        <f>'Raw data R1'!G43</f>
        <v>74636</v>
      </c>
      <c r="K19" s="12"/>
      <c r="L19" s="12"/>
    </row>
    <row r="20" spans="1:12" ht="16.5" x14ac:dyDescent="0.25">
      <c r="A20" s="231"/>
      <c r="B20" s="13"/>
      <c r="C20" s="15"/>
      <c r="D20" s="15"/>
      <c r="E20" s="15"/>
      <c r="F20" s="15"/>
      <c r="G20" s="15"/>
      <c r="H20" s="15"/>
      <c r="I20" s="3"/>
      <c r="J20" s="31">
        <f>'Raw data R1'!G44</f>
        <v>86075</v>
      </c>
      <c r="K20" s="12"/>
      <c r="L20" s="12"/>
    </row>
    <row r="21" spans="1:12" s="1" customFormat="1" ht="16.5" x14ac:dyDescent="0.25">
      <c r="A21" s="64"/>
      <c r="B21" s="65"/>
      <c r="C21" s="6"/>
      <c r="D21" s="6"/>
      <c r="E21" s="6"/>
      <c r="F21" s="6"/>
      <c r="G21" s="6"/>
      <c r="H21" s="6"/>
      <c r="I21" s="3"/>
      <c r="J21" s="6"/>
      <c r="K21" s="32"/>
      <c r="L21" s="32"/>
    </row>
    <row r="22" spans="1:12" s="67" customFormat="1" x14ac:dyDescent="0.25">
      <c r="A22" s="66" t="str">
        <f t="shared" ref="A22:H22" si="0">A4</f>
        <v>Noms des groupes</v>
      </c>
      <c r="B22" s="66" t="str">
        <f t="shared" si="0"/>
        <v>Témoin solvant</v>
      </c>
      <c r="C22" s="66" t="str">
        <f t="shared" si="0"/>
        <v>EE2-33,8ng/L</v>
      </c>
      <c r="D22" s="66" t="str">
        <f t="shared" si="0"/>
        <v>EE2-50,6ng/L</v>
      </c>
      <c r="E22" s="66" t="str">
        <f t="shared" si="0"/>
        <v>EE2-76ng/L</v>
      </c>
      <c r="F22" s="66" t="str">
        <f t="shared" si="0"/>
        <v>EE2-114ng/L</v>
      </c>
      <c r="G22" s="66" t="str">
        <f t="shared" si="0"/>
        <v>EE2-170,9ng/L</v>
      </c>
      <c r="H22" s="66" t="str">
        <f t="shared" si="0"/>
        <v>EE2-488ng/L</v>
      </c>
      <c r="I22" s="66" t="s">
        <v>47</v>
      </c>
      <c r="J22" s="66" t="str">
        <f t="shared" ref="J22:L22" si="1">J4</f>
        <v>Testo -30µg/L</v>
      </c>
      <c r="K22" s="66" t="str">
        <f t="shared" si="1"/>
        <v>Testo 30µg/L + EE2 -64ng/L</v>
      </c>
      <c r="L22" s="66" t="str">
        <f t="shared" si="1"/>
        <v>Testo 30µg/L + FAD-10mg/L</v>
      </c>
    </row>
    <row r="23" spans="1:12" x14ac:dyDescent="0.25">
      <c r="A23" s="4" t="s">
        <v>0</v>
      </c>
      <c r="B23" s="4">
        <f t="shared" ref="B23:H23" si="2">AVERAGE(B5:B20)</f>
        <v>3119.1428571428573</v>
      </c>
      <c r="C23" s="4">
        <f t="shared" si="2"/>
        <v>10853.875</v>
      </c>
      <c r="D23" s="4">
        <f t="shared" si="2"/>
        <v>9026.2857142857138</v>
      </c>
      <c r="E23" s="4">
        <f t="shared" si="2"/>
        <v>12785.625</v>
      </c>
      <c r="F23" s="4">
        <f t="shared" si="2"/>
        <v>40793.714285714283</v>
      </c>
      <c r="G23" s="4">
        <f t="shared" si="2"/>
        <v>76725.625</v>
      </c>
      <c r="H23" s="4">
        <f t="shared" si="2"/>
        <v>163917.85714285713</v>
      </c>
      <c r="I23" s="4" t="s">
        <v>0</v>
      </c>
      <c r="J23" s="4">
        <f t="shared" ref="J23:L23" si="3">AVERAGE(J5:J20)</f>
        <v>79402.133333333331</v>
      </c>
      <c r="K23" s="4">
        <f t="shared" si="3"/>
        <v>171402.71428571429</v>
      </c>
      <c r="L23" s="4">
        <f t="shared" si="3"/>
        <v>4461.166666666667</v>
      </c>
    </row>
    <row r="24" spans="1:12" x14ac:dyDescent="0.25">
      <c r="A24" s="3" t="s">
        <v>1</v>
      </c>
      <c r="B24" s="3">
        <f t="shared" ref="B24:H24" si="4">STDEV(B5:B20)</f>
        <v>1616.6148199835591</v>
      </c>
      <c r="C24" s="3">
        <f t="shared" si="4"/>
        <v>7530.416521158897</v>
      </c>
      <c r="D24" s="3">
        <f t="shared" si="4"/>
        <v>9431.3247870113792</v>
      </c>
      <c r="E24" s="3">
        <f t="shared" si="4"/>
        <v>15918.971035820303</v>
      </c>
      <c r="F24" s="3">
        <f t="shared" si="4"/>
        <v>46853.672256342528</v>
      </c>
      <c r="G24" s="3">
        <f t="shared" si="4"/>
        <v>52533.30614527865</v>
      </c>
      <c r="H24" s="3">
        <f t="shared" si="4"/>
        <v>60532.032755196575</v>
      </c>
      <c r="I24" s="3" t="s">
        <v>1</v>
      </c>
      <c r="J24" s="3">
        <f t="shared" ref="J24:L24" si="5">STDEV(J5:J20)</f>
        <v>43201.261667863801</v>
      </c>
      <c r="K24" s="3">
        <f t="shared" si="5"/>
        <v>29615.05744107367</v>
      </c>
      <c r="L24" s="3">
        <f t="shared" si="5"/>
        <v>3480.4915409560567</v>
      </c>
    </row>
    <row r="25" spans="1:12" ht="15.75" thickBot="1" x14ac:dyDescent="0.3"/>
    <row r="26" spans="1:12" ht="15.75" thickBot="1" x14ac:dyDescent="0.3">
      <c r="B26" s="234" t="s">
        <v>6</v>
      </c>
      <c r="C26" s="235"/>
      <c r="D26" s="235"/>
      <c r="E26" s="235"/>
      <c r="F26" s="235"/>
      <c r="G26" s="235"/>
      <c r="H26" s="235"/>
      <c r="I26" s="1"/>
      <c r="J26" s="234" t="s">
        <v>3</v>
      </c>
      <c r="K26" s="235"/>
      <c r="L26" s="235"/>
    </row>
    <row r="27" spans="1:12" s="1" customFormat="1" x14ac:dyDescent="0.25">
      <c r="A27" s="33" t="s">
        <v>41</v>
      </c>
      <c r="B27" s="34" t="str">
        <f t="shared" ref="B27:H27" si="6">B4</f>
        <v>Témoin solvant</v>
      </c>
      <c r="C27" s="34" t="str">
        <f t="shared" si="6"/>
        <v>EE2-33,8ng/L</v>
      </c>
      <c r="D27" s="34" t="str">
        <f t="shared" si="6"/>
        <v>EE2-50,6ng/L</v>
      </c>
      <c r="E27" s="34" t="str">
        <f t="shared" si="6"/>
        <v>EE2-76ng/L</v>
      </c>
      <c r="F27" s="34" t="str">
        <f t="shared" si="6"/>
        <v>EE2-114ng/L</v>
      </c>
      <c r="G27" s="34" t="str">
        <f t="shared" si="6"/>
        <v>EE2-170,9ng/L</v>
      </c>
      <c r="H27" s="34" t="str">
        <f t="shared" si="6"/>
        <v>EE2-488ng/L</v>
      </c>
      <c r="I27" s="3"/>
      <c r="J27" s="35" t="str">
        <f t="shared" ref="J27:L27" si="7">J4</f>
        <v>Testo -30µg/L</v>
      </c>
      <c r="K27" s="35" t="str">
        <f t="shared" si="7"/>
        <v>Testo 30µg/L + EE2 -64ng/L</v>
      </c>
      <c r="L27" s="35" t="str">
        <f t="shared" si="7"/>
        <v>Testo 30µg/L + FAD-10mg/L</v>
      </c>
    </row>
    <row r="28" spans="1:12" x14ac:dyDescent="0.25">
      <c r="A28" s="232" t="s">
        <v>34</v>
      </c>
      <c r="B28" s="10" t="str">
        <f t="shared" ref="B28:H37" si="8">IF(B5="","",(B5/$J$23))</f>
        <v/>
      </c>
      <c r="C28" s="10">
        <f t="shared" si="8"/>
        <v>0.2140622586126989</v>
      </c>
      <c r="D28" s="10">
        <f t="shared" si="8"/>
        <v>9.7289577442083844E-2</v>
      </c>
      <c r="E28" s="10">
        <f t="shared" si="8"/>
        <v>5.3222751361844185E-2</v>
      </c>
      <c r="F28" s="10" t="str">
        <f t="shared" si="8"/>
        <v/>
      </c>
      <c r="G28" s="10">
        <f t="shared" si="8"/>
        <v>0.90838869148771828</v>
      </c>
      <c r="H28" s="10" t="str">
        <f t="shared" si="8"/>
        <v/>
      </c>
      <c r="I28" s="5"/>
      <c r="J28" s="10">
        <f t="shared" ref="J28:L28" si="9">IF(J5="","",(J5/$J$23))</f>
        <v>1.1572736920586517</v>
      </c>
      <c r="K28" s="10">
        <f t="shared" si="9"/>
        <v>2.1256607714990028</v>
      </c>
      <c r="L28" s="10">
        <f t="shared" si="9"/>
        <v>4.7152385494260443E-2</v>
      </c>
    </row>
    <row r="29" spans="1:12" x14ac:dyDescent="0.25">
      <c r="A29" s="233"/>
      <c r="B29" s="10">
        <f t="shared" si="8"/>
        <v>5.3008651320871313E-2</v>
      </c>
      <c r="C29" s="10">
        <f t="shared" si="8"/>
        <v>7.8637685637329646E-2</v>
      </c>
      <c r="D29" s="10">
        <f t="shared" si="8"/>
        <v>0.12089095842932852</v>
      </c>
      <c r="E29" s="10">
        <f t="shared" si="8"/>
        <v>0.28320397772687889</v>
      </c>
      <c r="F29" s="10">
        <f t="shared" si="8"/>
        <v>0.28715853142484837</v>
      </c>
      <c r="G29" s="10">
        <f t="shared" si="8"/>
        <v>1.3757942691716092</v>
      </c>
      <c r="H29" s="10">
        <f t="shared" si="8"/>
        <v>2.6724344937835425</v>
      </c>
      <c r="I29" s="5"/>
      <c r="J29" s="10">
        <f t="shared" ref="J29:L29" si="10">IF(J6="","",(J6/$J$23))</f>
        <v>0.19734986129675777</v>
      </c>
      <c r="K29" s="10">
        <f t="shared" si="10"/>
        <v>2.1455216988292505</v>
      </c>
      <c r="L29" s="10">
        <f t="shared" si="10"/>
        <v>0.13784264402635699</v>
      </c>
    </row>
    <row r="30" spans="1:12" x14ac:dyDescent="0.25">
      <c r="A30" s="233"/>
      <c r="B30" s="10">
        <f t="shared" si="8"/>
        <v>4.2593314033544022E-2</v>
      </c>
      <c r="C30" s="10">
        <f t="shared" si="8"/>
        <v>0.25598808428320985</v>
      </c>
      <c r="D30" s="10">
        <f t="shared" si="8"/>
        <v>0.31913500225014946</v>
      </c>
      <c r="E30" s="10">
        <f t="shared" si="8"/>
        <v>0.19538517856783025</v>
      </c>
      <c r="F30" s="10">
        <f t="shared" si="8"/>
        <v>0</v>
      </c>
      <c r="G30" s="10">
        <f t="shared" si="8"/>
        <v>1.0221513779646558</v>
      </c>
      <c r="H30" s="10">
        <f t="shared" si="8"/>
        <v>2.2698004755539736</v>
      </c>
      <c r="I30" s="5"/>
      <c r="J30" s="10">
        <f t="shared" ref="J30:L30" si="11">IF(J7="","",(J7/$J$23))</f>
        <v>0.79709445254199718</v>
      </c>
      <c r="K30" s="10">
        <f t="shared" si="11"/>
        <v>2.180986740910404</v>
      </c>
      <c r="L30" s="10" t="str">
        <f t="shared" si="11"/>
        <v/>
      </c>
    </row>
    <row r="31" spans="1:12" x14ac:dyDescent="0.25">
      <c r="A31" s="233"/>
      <c r="B31" s="10">
        <f t="shared" si="8"/>
        <v>2.3563598627072992E-2</v>
      </c>
      <c r="C31" s="10">
        <f t="shared" si="8"/>
        <v>6.5703524338556821E-2</v>
      </c>
      <c r="D31" s="10">
        <f t="shared" si="8"/>
        <v>0.21972961263845137</v>
      </c>
      <c r="E31" s="10">
        <f t="shared" si="8"/>
        <v>3.7266001249336711E-2</v>
      </c>
      <c r="F31" s="10">
        <f t="shared" si="8"/>
        <v>0.90115966657486957</v>
      </c>
      <c r="G31" s="10">
        <f t="shared" si="8"/>
        <v>0.43200350620302397</v>
      </c>
      <c r="H31" s="10">
        <f t="shared" si="8"/>
        <v>1.8528091604591648</v>
      </c>
      <c r="I31" s="5"/>
      <c r="J31" s="10">
        <f t="shared" ref="J31:L31" si="12">IF(J8="","",(J8/$J$23))</f>
        <v>1.2754569146756762</v>
      </c>
      <c r="K31" s="10">
        <f t="shared" si="12"/>
        <v>2.8212214281396304</v>
      </c>
      <c r="L31" s="10" t="str">
        <f t="shared" si="12"/>
        <v/>
      </c>
    </row>
    <row r="32" spans="1:12" x14ac:dyDescent="0.25">
      <c r="A32" s="233"/>
      <c r="B32" s="10">
        <f t="shared" si="8"/>
        <v>3.9167713377978091E-3</v>
      </c>
      <c r="C32" s="10">
        <f t="shared" si="8"/>
        <v>5.8109269944048525E-2</v>
      </c>
      <c r="D32" s="10">
        <f t="shared" si="8"/>
        <v>2.8097481847674959E-2</v>
      </c>
      <c r="E32" s="10">
        <f t="shared" si="8"/>
        <v>6.5703524338556821E-2</v>
      </c>
      <c r="F32" s="10">
        <f t="shared" si="8"/>
        <v>0.10744043820820935</v>
      </c>
      <c r="G32" s="10">
        <f t="shared" si="8"/>
        <v>0.19148100135008966</v>
      </c>
      <c r="H32" s="10">
        <f t="shared" si="8"/>
        <v>2.1558488772761772</v>
      </c>
      <c r="I32" s="5"/>
      <c r="J32" s="10">
        <f t="shared" ref="J32:L32" si="13">IF(J9="","",(J9/$J$23))</f>
        <v>1.6197927511603383</v>
      </c>
      <c r="K32" s="10">
        <f t="shared" si="13"/>
        <v>1.5388251533124215</v>
      </c>
      <c r="L32" s="10">
        <f t="shared" si="13"/>
        <v>6.0136923273262179E-2</v>
      </c>
    </row>
    <row r="33" spans="1:12" x14ac:dyDescent="0.25">
      <c r="A33" s="233"/>
      <c r="B33" s="10">
        <f t="shared" si="8"/>
        <v>6.6836995143707306E-2</v>
      </c>
      <c r="C33" s="10">
        <f t="shared" si="8"/>
        <v>0.18994451870310788</v>
      </c>
      <c r="D33" s="10" t="str">
        <f t="shared" si="8"/>
        <v/>
      </c>
      <c r="E33" s="10">
        <f t="shared" si="8"/>
        <v>0.60002166188649841</v>
      </c>
      <c r="F33" s="10">
        <f t="shared" si="8"/>
        <v>6.3864782810201581E-2</v>
      </c>
      <c r="G33" s="10">
        <f t="shared" si="8"/>
        <v>2.1756090516459676</v>
      </c>
      <c r="H33" s="10">
        <f t="shared" si="8"/>
        <v>2.3426826483251499</v>
      </c>
      <c r="I33" s="5"/>
      <c r="J33" s="10">
        <f t="shared" ref="J33:L33" si="14">IF(J10="","",(J10/$J$23))</f>
        <v>0.1614188367734872</v>
      </c>
      <c r="K33" s="10" t="str">
        <f t="shared" si="14"/>
        <v/>
      </c>
      <c r="L33" s="10">
        <f t="shared" si="14"/>
        <v>3.5099812599493546E-2</v>
      </c>
    </row>
    <row r="34" spans="1:12" x14ac:dyDescent="0.25">
      <c r="A34" s="233"/>
      <c r="B34" s="10">
        <f t="shared" si="8"/>
        <v>4.4721720323215496E-2</v>
      </c>
      <c r="C34" s="10">
        <f t="shared" si="8"/>
        <v>5.0376480228910723E-3</v>
      </c>
      <c r="D34" s="10">
        <f t="shared" si="8"/>
        <v>0</v>
      </c>
      <c r="E34" s="10">
        <f t="shared" si="8"/>
        <v>1.2191108215396396E-2</v>
      </c>
      <c r="F34" s="10">
        <f t="shared" si="8"/>
        <v>1.6308126062104125</v>
      </c>
      <c r="G34" s="10">
        <f t="shared" si="8"/>
        <v>1.3096247623909349</v>
      </c>
      <c r="H34" s="10">
        <f t="shared" si="8"/>
        <v>0.46672549520080064</v>
      </c>
      <c r="I34" s="5"/>
      <c r="J34" s="10">
        <f t="shared" ref="J34:L34" si="15">IF(J11="","",(J11/$J$23))</f>
        <v>1.7245758300364726</v>
      </c>
      <c r="K34" s="10">
        <f t="shared" si="15"/>
        <v>2.2183031186399695</v>
      </c>
      <c r="L34" s="10">
        <f t="shared" si="15"/>
        <v>7.7327897151377965E-3</v>
      </c>
    </row>
    <row r="35" spans="1:12" x14ac:dyDescent="0.25">
      <c r="A35" s="233"/>
      <c r="B35" s="10">
        <f t="shared" si="8"/>
        <v>4.0338966543300263E-2</v>
      </c>
      <c r="C35" s="10">
        <f t="shared" si="8"/>
        <v>0.22607704914729412</v>
      </c>
      <c r="D35" s="10">
        <f t="shared" si="8"/>
        <v>1.0604249088185708E-2</v>
      </c>
      <c r="E35" s="10">
        <f t="shared" si="8"/>
        <v>4.1195366707191747E-2</v>
      </c>
      <c r="F35" s="10">
        <f t="shared" si="8"/>
        <v>0.6058905218331665</v>
      </c>
      <c r="G35" s="10">
        <f t="shared" si="8"/>
        <v>0.31528120151263778</v>
      </c>
      <c r="H35" s="10">
        <f t="shared" si="8"/>
        <v>2.6905070560656643</v>
      </c>
      <c r="I35" s="5"/>
      <c r="J35" s="10">
        <f t="shared" ref="J35:L35" si="16">IF(J12="","",(J12/$J$23))</f>
        <v>1.6992616487214449</v>
      </c>
      <c r="K35" s="10">
        <f t="shared" si="16"/>
        <v>2.0801456216121816</v>
      </c>
      <c r="L35" s="10">
        <f t="shared" si="16"/>
        <v>4.9142256463302413E-2</v>
      </c>
    </row>
    <row r="36" spans="1:12" s="1" customFormat="1" x14ac:dyDescent="0.25">
      <c r="A36" s="233"/>
      <c r="B36" s="10" t="str">
        <f t="shared" si="8"/>
        <v/>
      </c>
      <c r="C36" s="10" t="str">
        <f t="shared" si="8"/>
        <v/>
      </c>
      <c r="D36" s="10" t="str">
        <f t="shared" si="8"/>
        <v/>
      </c>
      <c r="E36" s="10" t="str">
        <f t="shared" si="8"/>
        <v/>
      </c>
      <c r="F36" s="10" t="str">
        <f t="shared" si="8"/>
        <v/>
      </c>
      <c r="G36" s="10" t="str">
        <f t="shared" si="8"/>
        <v/>
      </c>
      <c r="H36" s="10" t="str">
        <f t="shared" si="8"/>
        <v/>
      </c>
      <c r="I36" s="5"/>
      <c r="J36" s="10" t="str">
        <f t="shared" ref="J36:L36" si="17">IF(J13="","",(J13/$J$23))</f>
        <v/>
      </c>
      <c r="K36" s="10" t="str">
        <f t="shared" si="17"/>
        <v/>
      </c>
      <c r="L36" s="10" t="str">
        <f t="shared" si="17"/>
        <v/>
      </c>
    </row>
    <row r="37" spans="1:12" s="1" customFormat="1" x14ac:dyDescent="0.25">
      <c r="A37" s="233"/>
      <c r="B37" s="10" t="str">
        <f t="shared" si="8"/>
        <v/>
      </c>
      <c r="C37" s="10" t="str">
        <f t="shared" si="8"/>
        <v/>
      </c>
      <c r="D37" s="10" t="str">
        <f t="shared" si="8"/>
        <v/>
      </c>
      <c r="E37" s="10" t="str">
        <f t="shared" si="8"/>
        <v/>
      </c>
      <c r="F37" s="10" t="str">
        <f t="shared" si="8"/>
        <v/>
      </c>
      <c r="G37" s="10" t="str">
        <f t="shared" si="8"/>
        <v/>
      </c>
      <c r="H37" s="10" t="str">
        <f t="shared" si="8"/>
        <v/>
      </c>
      <c r="I37" s="5"/>
      <c r="J37" s="10">
        <f t="shared" ref="J37:L37" si="18">IF(J14="","",(J14/$J$23))</f>
        <v>1.1519337851543872</v>
      </c>
      <c r="K37" s="10" t="str">
        <f t="shared" si="18"/>
        <v/>
      </c>
      <c r="L37" s="10" t="str">
        <f t="shared" si="18"/>
        <v/>
      </c>
    </row>
    <row r="38" spans="1:12" s="1" customFormat="1" x14ac:dyDescent="0.25">
      <c r="A38" s="233"/>
      <c r="B38" s="10" t="str">
        <f t="shared" ref="B38:H43" si="19">IF(B15="","",(B15/$J$23))</f>
        <v/>
      </c>
      <c r="C38" s="10" t="str">
        <f t="shared" si="19"/>
        <v/>
      </c>
      <c r="D38" s="10" t="str">
        <f t="shared" si="19"/>
        <v/>
      </c>
      <c r="E38" s="10" t="str">
        <f t="shared" si="19"/>
        <v/>
      </c>
      <c r="F38" s="10" t="str">
        <f t="shared" si="19"/>
        <v/>
      </c>
      <c r="G38" s="10" t="str">
        <f t="shared" si="19"/>
        <v/>
      </c>
      <c r="H38" s="10" t="str">
        <f t="shared" si="19"/>
        <v/>
      </c>
      <c r="I38" s="5"/>
      <c r="J38" s="10">
        <f t="shared" ref="J38:L38" si="20">IF(J15="","",(J15/$J$23))</f>
        <v>0.18965485394179166</v>
      </c>
      <c r="K38" s="10" t="str">
        <f t="shared" si="20"/>
        <v/>
      </c>
      <c r="L38" s="10" t="str">
        <f t="shared" si="20"/>
        <v/>
      </c>
    </row>
    <row r="39" spans="1:12" s="1" customFormat="1" x14ac:dyDescent="0.25">
      <c r="A39" s="233"/>
      <c r="B39" s="10" t="str">
        <f t="shared" si="19"/>
        <v/>
      </c>
      <c r="C39" s="10" t="str">
        <f t="shared" si="19"/>
        <v/>
      </c>
      <c r="D39" s="10" t="str">
        <f t="shared" si="19"/>
        <v/>
      </c>
      <c r="E39" s="10" t="str">
        <f t="shared" si="19"/>
        <v/>
      </c>
      <c r="F39" s="10" t="str">
        <f t="shared" si="19"/>
        <v/>
      </c>
      <c r="G39" s="10" t="str">
        <f t="shared" si="19"/>
        <v/>
      </c>
      <c r="H39" s="10" t="str">
        <f t="shared" si="19"/>
        <v/>
      </c>
      <c r="I39" s="5"/>
      <c r="J39" s="10">
        <f t="shared" ref="J39:L39" si="21">IF(J16="","",(J16/$J$23))</f>
        <v>1.2236447047602417</v>
      </c>
      <c r="K39" s="10" t="str">
        <f t="shared" si="21"/>
        <v/>
      </c>
      <c r="L39" s="10" t="str">
        <f t="shared" si="21"/>
        <v/>
      </c>
    </row>
    <row r="40" spans="1:12" s="1" customFormat="1" x14ac:dyDescent="0.25">
      <c r="A40" s="233"/>
      <c r="B40" s="10" t="str">
        <f t="shared" si="19"/>
        <v/>
      </c>
      <c r="C40" s="10" t="str">
        <f t="shared" si="19"/>
        <v/>
      </c>
      <c r="D40" s="10" t="str">
        <f t="shared" si="19"/>
        <v/>
      </c>
      <c r="E40" s="10" t="str">
        <f t="shared" si="19"/>
        <v/>
      </c>
      <c r="F40" s="10" t="str">
        <f t="shared" si="19"/>
        <v/>
      </c>
      <c r="G40" s="10" t="str">
        <f t="shared" si="19"/>
        <v/>
      </c>
      <c r="H40" s="10" t="str">
        <f t="shared" si="19"/>
        <v/>
      </c>
      <c r="I40" s="5"/>
      <c r="J40" s="10">
        <f t="shared" ref="J40:L40" si="22">IF(J17="","",(J17/$J$23))</f>
        <v>0.3932639929069916</v>
      </c>
      <c r="K40" s="10" t="str">
        <f t="shared" si="22"/>
        <v/>
      </c>
      <c r="L40" s="10" t="str">
        <f t="shared" si="22"/>
        <v/>
      </c>
    </row>
    <row r="41" spans="1:12" s="1" customFormat="1" x14ac:dyDescent="0.25">
      <c r="A41" s="233"/>
      <c r="B41" s="10" t="str">
        <f t="shared" si="19"/>
        <v/>
      </c>
      <c r="C41" s="10" t="str">
        <f t="shared" si="19"/>
        <v/>
      </c>
      <c r="D41" s="10" t="str">
        <f t="shared" si="19"/>
        <v/>
      </c>
      <c r="E41" s="10" t="str">
        <f t="shared" si="19"/>
        <v/>
      </c>
      <c r="F41" s="10" t="str">
        <f t="shared" si="19"/>
        <v/>
      </c>
      <c r="G41" s="10" t="str">
        <f t="shared" si="19"/>
        <v/>
      </c>
      <c r="H41" s="10" t="str">
        <f t="shared" si="19"/>
        <v/>
      </c>
      <c r="I41" s="5"/>
      <c r="J41" s="10">
        <f t="shared" ref="J41:L41" si="23">IF(J18="","",(J18/$J$23))</f>
        <v>1.3852650474546444</v>
      </c>
      <c r="K41" s="10" t="str">
        <f t="shared" si="23"/>
        <v/>
      </c>
      <c r="L41" s="10" t="str">
        <f t="shared" si="23"/>
        <v/>
      </c>
    </row>
    <row r="42" spans="1:12" s="1" customFormat="1" x14ac:dyDescent="0.25">
      <c r="A42" s="233"/>
      <c r="B42" s="10" t="str">
        <f t="shared" si="19"/>
        <v/>
      </c>
      <c r="C42" s="10" t="str">
        <f t="shared" si="19"/>
        <v/>
      </c>
      <c r="D42" s="10" t="str">
        <f t="shared" si="19"/>
        <v/>
      </c>
      <c r="E42" s="10" t="str">
        <f t="shared" si="19"/>
        <v/>
      </c>
      <c r="F42" s="10" t="str">
        <f t="shared" si="19"/>
        <v/>
      </c>
      <c r="G42" s="10" t="str">
        <f t="shared" si="19"/>
        <v/>
      </c>
      <c r="H42" s="10" t="str">
        <f t="shared" si="19"/>
        <v/>
      </c>
      <c r="I42" s="5"/>
      <c r="J42" s="10">
        <f t="shared" ref="J42:L42" si="24">IF(J19="","",(J19/$J$23))</f>
        <v>0.9399747445912453</v>
      </c>
      <c r="K42" s="10" t="str">
        <f t="shared" si="24"/>
        <v/>
      </c>
      <c r="L42" s="10" t="str">
        <f t="shared" si="24"/>
        <v/>
      </c>
    </row>
    <row r="43" spans="1:12" s="1" customFormat="1" x14ac:dyDescent="0.25">
      <c r="A43" s="233"/>
      <c r="B43" s="10" t="str">
        <f t="shared" si="19"/>
        <v/>
      </c>
      <c r="C43" s="10" t="str">
        <f t="shared" si="19"/>
        <v/>
      </c>
      <c r="D43" s="10" t="str">
        <f t="shared" si="19"/>
        <v/>
      </c>
      <c r="E43" s="10" t="str">
        <f t="shared" si="19"/>
        <v/>
      </c>
      <c r="F43" s="10" t="str">
        <f t="shared" si="19"/>
        <v/>
      </c>
      <c r="G43" s="10" t="str">
        <f t="shared" si="19"/>
        <v/>
      </c>
      <c r="H43" s="10" t="str">
        <f t="shared" si="19"/>
        <v/>
      </c>
      <c r="I43" s="5"/>
      <c r="J43" s="10">
        <f t="shared" ref="J43:L43" si="25">IF(J20="","",(J20/$J$23))</f>
        <v>1.0840388839258728</v>
      </c>
      <c r="K43" s="10" t="str">
        <f t="shared" si="25"/>
        <v/>
      </c>
      <c r="L43" s="10" t="str">
        <f t="shared" si="25"/>
        <v/>
      </c>
    </row>
    <row r="44" spans="1:12" x14ac:dyDescent="0.25">
      <c r="A44" s="6"/>
      <c r="B44" s="3"/>
      <c r="C44" s="3"/>
      <c r="D44" s="3"/>
      <c r="E44" s="3"/>
      <c r="F44" s="3"/>
      <c r="G44" s="3"/>
      <c r="H44" s="3"/>
      <c r="I44" s="6"/>
      <c r="J44" s="3"/>
      <c r="K44" s="3"/>
      <c r="L44" s="3"/>
    </row>
    <row r="45" spans="1:12" s="67" customFormat="1" x14ac:dyDescent="0.25">
      <c r="A45" s="68" t="str">
        <f t="shared" ref="A45:H45" si="26">A4</f>
        <v>Noms des groupes</v>
      </c>
      <c r="B45" s="68" t="str">
        <f t="shared" si="26"/>
        <v>Témoin solvant</v>
      </c>
      <c r="C45" s="68" t="str">
        <f t="shared" si="26"/>
        <v>EE2-33,8ng/L</v>
      </c>
      <c r="D45" s="68" t="str">
        <f t="shared" si="26"/>
        <v>EE2-50,6ng/L</v>
      </c>
      <c r="E45" s="68" t="str">
        <f t="shared" si="26"/>
        <v>EE2-76ng/L</v>
      </c>
      <c r="F45" s="68" t="str">
        <f t="shared" si="26"/>
        <v>EE2-114ng/L</v>
      </c>
      <c r="G45" s="68" t="str">
        <f t="shared" si="26"/>
        <v>EE2-170,9ng/L</v>
      </c>
      <c r="H45" s="68" t="str">
        <f t="shared" si="26"/>
        <v>EE2-488ng/L</v>
      </c>
      <c r="I45" s="68" t="str">
        <f>I22</f>
        <v>Nom des groupes</v>
      </c>
      <c r="J45" s="68" t="str">
        <f t="shared" ref="J45:L45" si="27">J4</f>
        <v>Testo -30µg/L</v>
      </c>
      <c r="K45" s="68" t="str">
        <f t="shared" si="27"/>
        <v>Testo 30µg/L + EE2 -64ng/L</v>
      </c>
      <c r="L45" s="68" t="str">
        <f t="shared" si="27"/>
        <v>Testo 30µg/L + FAD-10mg/L</v>
      </c>
    </row>
    <row r="46" spans="1:12" x14ac:dyDescent="0.25">
      <c r="A46" s="7" t="s">
        <v>0</v>
      </c>
      <c r="B46" s="9">
        <f t="shared" ref="B46:H46" si="28">AVERAGE(B28:B43)</f>
        <v>3.9282859618501316E-2</v>
      </c>
      <c r="C46" s="9">
        <f t="shared" si="28"/>
        <v>0.13669500483614211</v>
      </c>
      <c r="D46" s="9">
        <f t="shared" si="28"/>
        <v>0.1136781259565534</v>
      </c>
      <c r="E46" s="9">
        <f t="shared" si="28"/>
        <v>0.16102369625669169</v>
      </c>
      <c r="F46" s="9">
        <f t="shared" si="28"/>
        <v>0.5137609352945296</v>
      </c>
      <c r="G46" s="9">
        <f t="shared" si="28"/>
        <v>0.96629173271582958</v>
      </c>
      <c r="H46" s="9">
        <f t="shared" si="28"/>
        <v>2.0644011723806392</v>
      </c>
      <c r="I46" s="7" t="s">
        <v>0</v>
      </c>
      <c r="J46" s="9">
        <f>AVERAGE(J28:J43)</f>
        <v>1</v>
      </c>
      <c r="K46" s="9">
        <f>AVERAGE(K28:K43)</f>
        <v>2.1586663618489803</v>
      </c>
      <c r="L46" s="9">
        <f>AVERAGE(L28:L43)</f>
        <v>5.6184468595302219E-2</v>
      </c>
    </row>
    <row r="47" spans="1:12" x14ac:dyDescent="0.25">
      <c r="A47" s="7" t="s">
        <v>1</v>
      </c>
      <c r="B47" s="7">
        <f t="shared" ref="B47:H47" si="29">STDEV(B28:B43)</f>
        <v>2.0359841129166466E-2</v>
      </c>
      <c r="C47" s="7">
        <f t="shared" si="29"/>
        <v>9.483896974840593E-2</v>
      </c>
      <c r="D47" s="7">
        <f t="shared" si="29"/>
        <v>0.1187792366663286</v>
      </c>
      <c r="E47" s="7">
        <f t="shared" si="29"/>
        <v>0.20048543241265096</v>
      </c>
      <c r="F47" s="7">
        <f t="shared" si="29"/>
        <v>0.59008077351837573</v>
      </c>
      <c r="G47" s="7">
        <f t="shared" si="29"/>
        <v>0.66161076459673618</v>
      </c>
      <c r="H47" s="7">
        <f t="shared" si="29"/>
        <v>0.76234768782698359</v>
      </c>
      <c r="I47" s="7" t="s">
        <v>1</v>
      </c>
      <c r="J47" s="7">
        <f>STDEV(J28:J43)</f>
        <v>0.544081876068785</v>
      </c>
      <c r="K47" s="7">
        <f>STDEV(K28:K43)</f>
        <v>0.37297558891457594</v>
      </c>
      <c r="L47" s="7">
        <f>STDEV(L28:L43)</f>
        <v>4.3833728324965959E-2</v>
      </c>
    </row>
    <row r="48" spans="1:12" x14ac:dyDescent="0.25">
      <c r="A48" s="7" t="s">
        <v>2</v>
      </c>
      <c r="B48" s="7">
        <f t="shared" ref="B48:H48" si="30" xml:space="preserve"> B47/SQRT(COUNT(B28:B43))</f>
        <v>7.6952966229369927E-3</v>
      </c>
      <c r="C48" s="7">
        <f t="shared" si="30"/>
        <v>3.3530639314921833E-2</v>
      </c>
      <c r="D48" s="7">
        <f t="shared" si="30"/>
        <v>4.4894331591027167E-2</v>
      </c>
      <c r="E48" s="7">
        <f t="shared" si="30"/>
        <v>7.0882304394051368E-2</v>
      </c>
      <c r="F48" s="7">
        <f t="shared" si="30"/>
        <v>0.22302956859575004</v>
      </c>
      <c r="G48" s="7">
        <f t="shared" si="30"/>
        <v>0.23391472907618435</v>
      </c>
      <c r="H48" s="7">
        <f t="shared" si="30"/>
        <v>0.2881403420793287</v>
      </c>
      <c r="I48" s="7" t="s">
        <v>2</v>
      </c>
      <c r="J48" s="7">
        <f xml:space="preserve"> J47/SQRT(COUNT(J28:J43))</f>
        <v>0.14048133633251281</v>
      </c>
      <c r="K48" s="7">
        <f xml:space="preserve"> K47/SQRT(COUNT(K28:K43))</f>
        <v>0.14097152190940387</v>
      </c>
      <c r="L48" s="7">
        <f xml:space="preserve"> L47/SQRT(COUNT(L28:L43))</f>
        <v>1.7895044653324765E-2</v>
      </c>
    </row>
    <row r="49" spans="1:12" s="1" customFormat="1" ht="15.75" thickBot="1" x14ac:dyDescent="0.3">
      <c r="A49" s="7"/>
      <c r="B49" s="7"/>
      <c r="C49" s="7"/>
      <c r="D49" s="7"/>
      <c r="E49" s="7"/>
      <c r="F49" s="7"/>
      <c r="G49" s="7"/>
      <c r="H49" s="7"/>
      <c r="I49" s="7"/>
      <c r="J49" s="7"/>
      <c r="K49" s="7"/>
      <c r="L49" s="7"/>
    </row>
    <row r="50" spans="1:12" ht="27" thickBot="1" x14ac:dyDescent="0.45">
      <c r="A50" s="228" t="s">
        <v>38</v>
      </c>
      <c r="B50" s="229"/>
      <c r="C50" s="229"/>
      <c r="D50" s="229"/>
      <c r="E50" s="229"/>
      <c r="F50" s="229"/>
      <c r="G50" s="229"/>
      <c r="H50" s="229"/>
      <c r="I50" s="229"/>
      <c r="J50" s="229"/>
      <c r="K50" s="229"/>
      <c r="L50" s="229"/>
    </row>
    <row r="51" spans="1:12" ht="15.75" thickBot="1" x14ac:dyDescent="0.3">
      <c r="A51"/>
      <c r="B51"/>
      <c r="C51"/>
      <c r="D51"/>
      <c r="E51"/>
      <c r="F51"/>
      <c r="G51"/>
      <c r="H51"/>
    </row>
    <row r="52" spans="1:12" x14ac:dyDescent="0.25">
      <c r="A52" s="44" t="str">
        <f t="shared" ref="A52:H52" si="31">A27</f>
        <v>Noms des groupes</v>
      </c>
      <c r="B52" s="45" t="str">
        <f t="shared" si="31"/>
        <v>Témoin solvant</v>
      </c>
      <c r="C52" s="45" t="str">
        <f t="shared" si="31"/>
        <v>EE2-33,8ng/L</v>
      </c>
      <c r="D52" s="45" t="str">
        <f t="shared" si="31"/>
        <v>EE2-50,6ng/L</v>
      </c>
      <c r="E52" s="45" t="str">
        <f t="shared" si="31"/>
        <v>EE2-76ng/L</v>
      </c>
      <c r="F52" s="45" t="str">
        <f t="shared" si="31"/>
        <v>EE2-114ng/L</v>
      </c>
      <c r="G52" s="45" t="str">
        <f t="shared" si="31"/>
        <v>EE2-170,9ng/L</v>
      </c>
      <c r="H52" s="45" t="str">
        <f t="shared" si="31"/>
        <v>EE2-488ng/L</v>
      </c>
      <c r="I52" s="46"/>
      <c r="J52" s="45" t="str">
        <f>J27</f>
        <v>Testo -30µg/L</v>
      </c>
      <c r="K52" s="45" t="str">
        <f>K27</f>
        <v>Testo 30µg/L + EE2 -64ng/L</v>
      </c>
      <c r="L52" s="45" t="str">
        <f>L27</f>
        <v>Testo 30µg/L + FAD-10mg/L</v>
      </c>
    </row>
    <row r="53" spans="1:12" s="3" customFormat="1" x14ac:dyDescent="0.25">
      <c r="A53" s="59" t="s">
        <v>32</v>
      </c>
      <c r="B53" s="139">
        <f t="shared" ref="B53:H53" si="32">B46</f>
        <v>3.9282859618501316E-2</v>
      </c>
      <c r="C53" s="139">
        <f t="shared" si="32"/>
        <v>0.13669500483614211</v>
      </c>
      <c r="D53" s="139">
        <f t="shared" si="32"/>
        <v>0.1136781259565534</v>
      </c>
      <c r="E53" s="139">
        <f t="shared" si="32"/>
        <v>0.16102369625669169</v>
      </c>
      <c r="F53" s="139">
        <f t="shared" si="32"/>
        <v>0.5137609352945296</v>
      </c>
      <c r="G53" s="139">
        <f t="shared" si="32"/>
        <v>0.96629173271582958</v>
      </c>
      <c r="H53" s="139">
        <f t="shared" si="32"/>
        <v>2.0644011723806392</v>
      </c>
      <c r="I53" s="139"/>
      <c r="J53" s="139">
        <f t="shared" ref="J53:L53" si="33">J46</f>
        <v>1</v>
      </c>
      <c r="K53" s="139">
        <f t="shared" si="33"/>
        <v>2.1586663618489803</v>
      </c>
      <c r="L53" s="139">
        <f t="shared" si="33"/>
        <v>5.6184468595302219E-2</v>
      </c>
    </row>
    <row r="54" spans="1:12" s="3" customFormat="1" x14ac:dyDescent="0.25">
      <c r="A54" s="59" t="s">
        <v>2</v>
      </c>
      <c r="B54" s="139">
        <f t="shared" ref="B54:H54" si="34">B48</f>
        <v>7.6952966229369927E-3</v>
      </c>
      <c r="C54" s="139">
        <f t="shared" si="34"/>
        <v>3.3530639314921833E-2</v>
      </c>
      <c r="D54" s="139">
        <f t="shared" si="34"/>
        <v>4.4894331591027167E-2</v>
      </c>
      <c r="E54" s="139">
        <f t="shared" si="34"/>
        <v>7.0882304394051368E-2</v>
      </c>
      <c r="F54" s="139">
        <f t="shared" si="34"/>
        <v>0.22302956859575004</v>
      </c>
      <c r="G54" s="139">
        <f t="shared" si="34"/>
        <v>0.23391472907618435</v>
      </c>
      <c r="H54" s="139">
        <f t="shared" si="34"/>
        <v>0.2881403420793287</v>
      </c>
      <c r="I54" s="139"/>
      <c r="J54" s="139">
        <f t="shared" ref="J54:L54" si="35">J48</f>
        <v>0.14048133633251281</v>
      </c>
      <c r="K54" s="139">
        <f t="shared" si="35"/>
        <v>0.14097152190940387</v>
      </c>
      <c r="L54" s="139">
        <f t="shared" si="35"/>
        <v>1.7895044653324765E-2</v>
      </c>
    </row>
    <row r="55" spans="1:12" s="3" customFormat="1" x14ac:dyDescent="0.25">
      <c r="A55" s="59" t="s">
        <v>79</v>
      </c>
      <c r="B55" s="139">
        <f t="shared" ref="B55:H55" si="36">(B53*100/$B$53)-100</f>
        <v>0</v>
      </c>
      <c r="C55" s="139">
        <f t="shared" si="36"/>
        <v>247.97620683337914</v>
      </c>
      <c r="D55" s="139">
        <f t="shared" si="36"/>
        <v>189.38353027388473</v>
      </c>
      <c r="E55" s="139">
        <f t="shared" si="36"/>
        <v>309.90828524319869</v>
      </c>
      <c r="F55" s="139">
        <f t="shared" si="36"/>
        <v>1207.8501419803972</v>
      </c>
      <c r="G55" s="139">
        <f t="shared" si="36"/>
        <v>2359.8304250251899</v>
      </c>
      <c r="H55" s="139">
        <f t="shared" si="36"/>
        <v>5155.2212146194015</v>
      </c>
      <c r="I55" s="139"/>
      <c r="J55" s="139">
        <f>(J53*100/$J$53)-100</f>
        <v>0</v>
      </c>
      <c r="K55" s="139">
        <f t="shared" ref="K55:L55" si="37">(K53*100/$J$53)-100</f>
        <v>115.86663618489803</v>
      </c>
      <c r="L55" s="139">
        <f t="shared" si="37"/>
        <v>-94.381553140469777</v>
      </c>
    </row>
    <row r="56" spans="1:12" s="3" customFormat="1" x14ac:dyDescent="0.25">
      <c r="A56" s="59" t="s">
        <v>81</v>
      </c>
      <c r="B56" s="139">
        <f>[1]!SWTEST(B28:B43)</f>
        <v>0.77863624575307555</v>
      </c>
      <c r="C56" s="139">
        <f>[1]!SWTEST(C28:C43)</f>
        <v>0.25426652410812056</v>
      </c>
      <c r="D56" s="139">
        <f>[1]!SWTEST(D28:D43)</f>
        <v>0.30434094021249014</v>
      </c>
      <c r="E56" s="139">
        <f>[1]!SWTEST(E28:E43)</f>
        <v>9.486994818343697E-3</v>
      </c>
      <c r="F56" s="139">
        <f>[1]!SWTEST(F28:F43)</f>
        <v>0.15069619981108606</v>
      </c>
      <c r="G56" s="139">
        <f>[1]!SWTEST(G28:G43)</f>
        <v>0.59952225234748213</v>
      </c>
      <c r="H56" s="139">
        <f>[1]!SWTEST(H28:H43)</f>
        <v>3.3030430748671069E-2</v>
      </c>
      <c r="I56" s="139"/>
      <c r="J56" s="139">
        <f>[1]!SWTEST(J28:J43)</f>
        <v>0.11878648946384696</v>
      </c>
      <c r="K56" s="139">
        <f>[1]!SWTEST(K28:K43)</f>
        <v>0.16120260978294121</v>
      </c>
      <c r="L56" s="139">
        <f>[1]!SWTEST(L28:L43)</f>
        <v>0.18691747624522848</v>
      </c>
    </row>
    <row r="57" spans="1:12" s="3" customFormat="1" x14ac:dyDescent="0.25">
      <c r="A57" s="59" t="s">
        <v>85</v>
      </c>
      <c r="B57" s="139" t="str">
        <f t="shared" ref="B57:H57" si="38">IF(B56&gt;0.05,"Oui","Non")</f>
        <v>Oui</v>
      </c>
      <c r="C57" s="139" t="str">
        <f t="shared" si="38"/>
        <v>Oui</v>
      </c>
      <c r="D57" s="139" t="str">
        <f t="shared" si="38"/>
        <v>Oui</v>
      </c>
      <c r="E57" s="139" t="str">
        <f t="shared" si="38"/>
        <v>Non</v>
      </c>
      <c r="F57" s="139" t="str">
        <f t="shared" si="38"/>
        <v>Oui</v>
      </c>
      <c r="G57" s="139" t="str">
        <f t="shared" si="38"/>
        <v>Oui</v>
      </c>
      <c r="H57" s="139" t="str">
        <f t="shared" si="38"/>
        <v>Non</v>
      </c>
      <c r="I57" s="139"/>
      <c r="J57" s="139" t="str">
        <f t="shared" ref="J57:L57" si="39">IF(J56&gt;0.05,"Oui","Non")</f>
        <v>Oui</v>
      </c>
      <c r="K57" s="139" t="str">
        <f t="shared" si="39"/>
        <v>Oui</v>
      </c>
      <c r="L57" s="139" t="str">
        <f t="shared" si="39"/>
        <v>Oui</v>
      </c>
    </row>
    <row r="58" spans="1:12" s="3" customFormat="1" x14ac:dyDescent="0.25">
      <c r="A58" s="59"/>
      <c r="B58" s="139"/>
      <c r="C58" s="139"/>
      <c r="D58" s="139"/>
      <c r="E58" s="139"/>
      <c r="F58" s="139"/>
      <c r="G58" s="139"/>
      <c r="H58" s="139"/>
      <c r="I58" s="146"/>
      <c r="J58" s="147"/>
      <c r="K58" s="139"/>
      <c r="L58" s="139"/>
    </row>
    <row r="59" spans="1:12" s="3" customFormat="1" x14ac:dyDescent="0.25">
      <c r="A59" s="59" t="s">
        <v>82</v>
      </c>
      <c r="B59" s="148"/>
      <c r="C59" s="148" t="str">
        <f t="shared" ref="C59:H59" si="40">IF($B57="Non",IF(C$57="Non","Mann Withney",IF(C$57="Oui","Mann Withney","")),IF($B$57="Oui",IF(C$57="Oui","T-Test Welch",IF(C$57="Non","Mann Withney",""))))</f>
        <v>T-Test Welch</v>
      </c>
      <c r="D59" s="148" t="str">
        <f t="shared" si="40"/>
        <v>T-Test Welch</v>
      </c>
      <c r="E59" s="148" t="str">
        <f t="shared" si="40"/>
        <v>Mann Withney</v>
      </c>
      <c r="F59" s="148" t="str">
        <f t="shared" si="40"/>
        <v>T-Test Welch</v>
      </c>
      <c r="G59" s="148" t="str">
        <f t="shared" si="40"/>
        <v>T-Test Welch</v>
      </c>
      <c r="H59" s="148" t="str">
        <f t="shared" si="40"/>
        <v>Mann Withney</v>
      </c>
      <c r="I59" s="148"/>
      <c r="J59" s="148" t="str">
        <f>IF($B57="Non",IF(J$57="Non","Mann Withney",IF(J$57="Oui","Mann Withney","")),IF($B$57="Oui",IF(J$57="Oui","T-Test Welch",IF(J$57="Non","Mann Withney",""))))</f>
        <v>T-Test Welch</v>
      </c>
      <c r="K59" s="148" t="str">
        <f>IF($J57="Non",IF(K$57="Non","Mann Withney",IF(K$57="Oui","Mann Withney","")),IF($J$57="Oui",IF(K$57="Oui","T-Test Welch",IF(K$57="Non","Mann Withney",""))))</f>
        <v>T-Test Welch</v>
      </c>
      <c r="L59" s="148" t="str">
        <f t="shared" ref="L59" si="41">IF($J57="Non",IF(L$57="Non","Mann Withney",IF(L$57="Oui","Mann Withney","")),IF($J$57="Oui",IF(L$57="Oui","T-Test Welch",IF(L$57="Non","Mann Withney",""))))</f>
        <v>T-Test Welch</v>
      </c>
    </row>
    <row r="60" spans="1:12" s="3" customFormat="1" x14ac:dyDescent="0.25">
      <c r="A60" s="59" t="s">
        <v>83</v>
      </c>
      <c r="B60" s="149"/>
      <c r="C60" s="149">
        <f>IF(C59="Mann Withney",[1]!MTEST($B28:$B43,C28:C43,2), IF(C59="T-Test Welch",_xlfn.T.TEST($B28:$B43,C28:C43,2,3),""))</f>
        <v>2.2873601285710619E-2</v>
      </c>
      <c r="D60" s="149">
        <f>IF(D59="Mann Withney",[1]!MTEST($B28:$B43,D28:D43,2), IF(D59="T-Test Welch",_xlfn.T.TEST($B28:$B43,D28:D43,2,3),""))</f>
        <v>0.15077777711921569</v>
      </c>
      <c r="E60" s="149">
        <f>IF(E59="Mann Withney",[1]!MTEST($B28:$B43,E28:E43,2), IF(E59="T-Test Welch",_xlfn.T.TEST($B28:$B43,E28:E43,2,3),""))</f>
        <v>0.20301710604921364</v>
      </c>
      <c r="F60" s="149">
        <f>IF(F59="Mann Withney",[1]!MTEST($B28:$B43,F28:F43,2), IF(F59="T-Test Welch",_xlfn.T.TEST($B28:$B43,F28:F43,2,3),""))</f>
        <v>7.7511201322899709E-2</v>
      </c>
      <c r="G60" s="149">
        <f>IF(G59="Mann Withney",[1]!MTEST($B28:$B43,G28:G43,2), IF(G59="T-Test Welch",_xlfn.T.TEST($B28:$B43,G28:G43,2,3),""))</f>
        <v>5.4318303989873244E-3</v>
      </c>
      <c r="H60" s="149">
        <f>IF(H59="Mann Withney",[1]!MTEST($B28:$B43,H28:H43,2), IF(H59="T-Test Welch",_xlfn.T.TEST($B28:$B43,H28:H43,2,3),""))</f>
        <v>1.7451186995289802E-3</v>
      </c>
      <c r="I60" s="149"/>
      <c r="J60" s="149">
        <f>IF(J59="Mann Withney",[1]!MTEST($B28:$B43,J28:J43,2), IF(J59="T-Test Welch",_xlfn.T.TEST($B28:$B43,J28:J43,2,3),""))</f>
        <v>7.9587432353173857E-6</v>
      </c>
      <c r="K60" s="149">
        <f>IF(K59="Mann Withney",[1]!MTEST($J28:$J43,K28:K43,2), IF(K59="T-Test Welch",_xlfn.T.TEST($J28:$J43,K28:K43,2,3),""))</f>
        <v>2.163373595200191E-5</v>
      </c>
      <c r="L60" s="149">
        <f>IF(L59="Mann Withney",[1]!MTEST($J28:$J43,L28:L43,2), IF(L59="T-Test Welch",_xlfn.T.TEST($J28:$J43,L28:L43,2,3),""))</f>
        <v>9.1316473147259448E-6</v>
      </c>
    </row>
    <row r="61" spans="1:12" s="3" customFormat="1" ht="15.75" thickBot="1" x14ac:dyDescent="0.3">
      <c r="A61" s="60" t="s">
        <v>84</v>
      </c>
      <c r="B61" s="140"/>
      <c r="C61" s="140" t="str">
        <f t="shared" ref="C61:H61" si="42">IF(C60&gt;0.05,"NS",IF(C60&gt;0.01,"*",IF(C60&gt;0.001,"**","***")))</f>
        <v>*</v>
      </c>
      <c r="D61" s="140" t="str">
        <f t="shared" si="42"/>
        <v>NS</v>
      </c>
      <c r="E61" s="140" t="str">
        <f t="shared" si="42"/>
        <v>NS</v>
      </c>
      <c r="F61" s="140" t="str">
        <f t="shared" si="42"/>
        <v>NS</v>
      </c>
      <c r="G61" s="140" t="str">
        <f t="shared" si="42"/>
        <v>**</v>
      </c>
      <c r="H61" s="140" t="str">
        <f t="shared" si="42"/>
        <v>**</v>
      </c>
      <c r="I61" s="140"/>
      <c r="J61" s="140" t="str">
        <f>IF(J60&gt;0.05,"NS",IF(J60&gt;0.01,"*",IF(J60&gt;0.001,"**","***")))</f>
        <v>***</v>
      </c>
      <c r="K61" s="140" t="str">
        <f>IF(K60&gt;0.05,"NS",IF(K60&gt;0.01,"*",IF(K60&gt;0.001,"**","***")))</f>
        <v>***</v>
      </c>
      <c r="L61" s="140" t="str">
        <f t="shared" ref="L61" si="43">IF(L60&gt;0.05,"NS",IF(L60&gt;0.01,"*",IF(L60&gt;0.001,"**","***")))</f>
        <v>***</v>
      </c>
    </row>
    <row r="63" spans="1:12" x14ac:dyDescent="0.25">
      <c r="A63" s="2" t="s">
        <v>39</v>
      </c>
    </row>
    <row r="64" spans="1:12" x14ac:dyDescent="0.25">
      <c r="A64" s="1" t="s">
        <v>23</v>
      </c>
      <c r="B64" s="1">
        <f>B46+(3*B47)</f>
        <v>0.10036238300600071</v>
      </c>
    </row>
    <row r="65" spans="1:12" x14ac:dyDescent="0.25">
      <c r="A65" s="1" t="s">
        <v>24</v>
      </c>
      <c r="B65" s="1">
        <f>B46+(10*B47)</f>
        <v>0.24288127091016598</v>
      </c>
    </row>
    <row r="66" spans="1:12" ht="15.75" thickBot="1" x14ac:dyDescent="0.3"/>
    <row r="67" spans="1:12" s="1" customFormat="1" ht="27" thickBot="1" x14ac:dyDescent="0.45">
      <c r="A67" s="228" t="s">
        <v>52</v>
      </c>
      <c r="B67" s="229"/>
      <c r="C67" s="229"/>
      <c r="D67" s="229"/>
      <c r="E67" s="229"/>
      <c r="F67" s="229"/>
      <c r="G67" s="229"/>
      <c r="H67" s="229"/>
      <c r="I67" s="229"/>
      <c r="J67" s="229"/>
      <c r="K67" s="229"/>
      <c r="L67" s="229"/>
    </row>
    <row r="68" spans="1:12" ht="16.5" x14ac:dyDescent="0.25">
      <c r="A68" s="11"/>
      <c r="B68" s="11"/>
      <c r="C68" s="11"/>
      <c r="D68" s="11"/>
      <c r="E68" s="11"/>
      <c r="F68" s="11"/>
      <c r="I68" s="11"/>
      <c r="J68" s="11"/>
      <c r="K68" s="11"/>
      <c r="L68" s="11"/>
    </row>
    <row r="69" spans="1:12" ht="16.5" x14ac:dyDescent="0.25">
      <c r="A69" s="11"/>
      <c r="B69" s="11"/>
      <c r="C69" s="11"/>
      <c r="D69" s="11"/>
      <c r="E69" s="11"/>
      <c r="F69" s="11"/>
      <c r="I69" s="11"/>
      <c r="J69" s="11"/>
      <c r="K69" s="11"/>
      <c r="L69" s="11"/>
    </row>
    <row r="70" spans="1:12" ht="16.5" x14ac:dyDescent="0.25">
      <c r="A70" s="11"/>
      <c r="B70" s="11"/>
      <c r="C70" s="11"/>
      <c r="D70" s="11"/>
      <c r="E70" s="11"/>
      <c r="F70" s="11"/>
      <c r="I70" s="11"/>
      <c r="J70" s="11"/>
      <c r="K70" s="11"/>
      <c r="L70" s="11"/>
    </row>
    <row r="71" spans="1:12" ht="16.5" x14ac:dyDescent="0.25">
      <c r="A71" s="11"/>
      <c r="B71" s="11"/>
      <c r="C71" s="11"/>
      <c r="D71" s="11"/>
      <c r="E71" s="11"/>
      <c r="F71" s="11"/>
      <c r="I71" s="11"/>
      <c r="J71" s="11"/>
      <c r="K71" s="11"/>
      <c r="L71" s="11"/>
    </row>
    <row r="72" spans="1:12" ht="16.5" x14ac:dyDescent="0.25">
      <c r="A72" s="11"/>
      <c r="B72" s="11"/>
      <c r="C72" s="11"/>
      <c r="D72" s="11"/>
      <c r="E72" s="11"/>
      <c r="F72" s="11"/>
      <c r="I72" s="11"/>
      <c r="J72" s="11"/>
      <c r="K72" s="11"/>
      <c r="L72" s="11"/>
    </row>
    <row r="73" spans="1:12" ht="16.5" x14ac:dyDescent="0.25">
      <c r="A73" s="11"/>
      <c r="B73" s="11"/>
      <c r="C73" s="11"/>
      <c r="D73" s="11"/>
      <c r="E73" s="11"/>
      <c r="F73" s="11"/>
      <c r="I73" s="11"/>
      <c r="J73" s="11"/>
      <c r="K73" s="11"/>
      <c r="L73" s="11"/>
    </row>
    <row r="74" spans="1:12" ht="16.5" x14ac:dyDescent="0.25">
      <c r="A74" s="11"/>
      <c r="B74" s="11"/>
      <c r="C74" s="11"/>
      <c r="D74" s="11"/>
      <c r="E74" s="11"/>
      <c r="F74" s="11"/>
      <c r="I74" s="11"/>
      <c r="J74" s="11"/>
      <c r="K74" s="11"/>
      <c r="L74" s="11"/>
    </row>
  </sheetData>
  <protectedRanges>
    <protectedRange sqref="J51:L51" name="Plage2"/>
    <protectedRange sqref="B51:H51" name="Plage2_1"/>
    <protectedRange sqref="B13:H21 J5:J21" name="Plage1_1"/>
    <protectedRange sqref="B5:H12" name="Plage1_1_1"/>
  </protectedRanges>
  <mergeCells count="9">
    <mergeCell ref="A1:L1"/>
    <mergeCell ref="A67:L67"/>
    <mergeCell ref="A50:L50"/>
    <mergeCell ref="A5:A20"/>
    <mergeCell ref="A28:A43"/>
    <mergeCell ref="B3:H3"/>
    <mergeCell ref="B26:H26"/>
    <mergeCell ref="J26:L26"/>
    <mergeCell ref="J3:L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9"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zoomScale="46" zoomScaleNormal="46" workbookViewId="0">
      <selection activeCell="G19" sqref="G19:G26"/>
    </sheetView>
  </sheetViews>
  <sheetFormatPr baseColWidth="10" defaultColWidth="11.42578125" defaultRowHeight="15" x14ac:dyDescent="0.25"/>
  <cols>
    <col min="1" max="2" width="15" style="1" customWidth="1"/>
    <col min="3" max="3" width="111"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392</v>
      </c>
      <c r="K1" s="116"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1</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2" s="150" t="s">
        <v>1147</v>
      </c>
      <c r="D2" s="1" t="s">
        <v>1148</v>
      </c>
      <c r="E2" s="1" t="s">
        <v>1149</v>
      </c>
      <c r="F2" s="1" t="s">
        <v>112</v>
      </c>
      <c r="G2" s="1">
        <v>16956864</v>
      </c>
      <c r="K2" s="154" t="s">
        <v>120</v>
      </c>
      <c r="L2" s="154"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1</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3" s="1" t="s">
        <v>1150</v>
      </c>
      <c r="D3" s="1" t="s">
        <v>1151</v>
      </c>
      <c r="E3" s="1" t="s">
        <v>1152</v>
      </c>
      <c r="F3" s="1" t="s">
        <v>112</v>
      </c>
      <c r="G3" s="1">
        <v>16716231</v>
      </c>
      <c r="K3" s="116" t="s">
        <v>154</v>
      </c>
      <c r="L3" s="116"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1</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4" s="1" t="s">
        <v>1153</v>
      </c>
      <c r="D4" s="1" t="s">
        <v>1154</v>
      </c>
      <c r="E4" s="1" t="s">
        <v>1155</v>
      </c>
      <c r="F4" s="1" t="s">
        <v>112</v>
      </c>
      <c r="G4" s="1">
        <v>16373960</v>
      </c>
      <c r="K4" s="116" t="s">
        <v>100</v>
      </c>
      <c r="M4" s="1" t="s">
        <v>393</v>
      </c>
      <c r="N4" s="1" t="s">
        <v>394</v>
      </c>
      <c r="O4" s="1" t="s">
        <v>395</v>
      </c>
      <c r="P4" s="1" t="s">
        <v>396</v>
      </c>
      <c r="Q4" s="1" t="s">
        <v>397</v>
      </c>
      <c r="R4" s="1" t="s">
        <v>398</v>
      </c>
      <c r="S4" s="1" t="s">
        <v>399</v>
      </c>
      <c r="T4" s="1" t="s">
        <v>400</v>
      </c>
      <c r="U4" s="1" t="s">
        <v>401</v>
      </c>
      <c r="V4" s="1" t="s">
        <v>402</v>
      </c>
      <c r="W4" s="1" t="s">
        <v>403</v>
      </c>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1</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5" s="1" t="s">
        <v>1156</v>
      </c>
      <c r="D5" s="1" t="s">
        <v>1157</v>
      </c>
      <c r="E5" s="1" t="s">
        <v>1158</v>
      </c>
      <c r="F5" s="1" t="s">
        <v>112</v>
      </c>
      <c r="G5" s="1">
        <v>17499818</v>
      </c>
      <c r="K5" s="143" t="s">
        <v>165</v>
      </c>
      <c r="L5" s="43" t="e">
        <v>#DIV/0!</v>
      </c>
      <c r="M5" s="43"/>
      <c r="N5" s="43"/>
      <c r="O5" s="43"/>
      <c r="P5" s="43"/>
      <c r="Q5" s="43"/>
      <c r="R5" s="43"/>
      <c r="S5" s="43"/>
      <c r="T5" s="43"/>
      <c r="U5" s="43"/>
      <c r="V5" s="43"/>
      <c r="W5" s="4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1</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6" s="1" t="s">
        <v>1159</v>
      </c>
      <c r="D6" s="1" t="s">
        <v>1160</v>
      </c>
      <c r="E6" s="1" t="s">
        <v>1161</v>
      </c>
      <c r="F6" s="1" t="s">
        <v>112</v>
      </c>
      <c r="G6" s="1">
        <v>18479371</v>
      </c>
      <c r="K6" s="143" t="s">
        <v>1447</v>
      </c>
      <c r="L6" s="43"/>
      <c r="M6" s="43">
        <v>16298144.5</v>
      </c>
      <c r="N6" s="43">
        <v>19089658.125</v>
      </c>
      <c r="O6" s="43">
        <v>18590827</v>
      </c>
      <c r="P6" s="43">
        <v>17051835.5</v>
      </c>
      <c r="Q6" s="43">
        <v>13344438.199999999</v>
      </c>
      <c r="R6" s="43">
        <v>15136502.875</v>
      </c>
      <c r="S6" s="43">
        <v>17055131.5</v>
      </c>
      <c r="T6" s="43">
        <v>17432105.375</v>
      </c>
      <c r="U6" s="43">
        <v>17526913.714285713</v>
      </c>
      <c r="V6" s="43">
        <v>19944944.875</v>
      </c>
      <c r="W6" s="43">
        <v>21570333.166666668</v>
      </c>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1</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7" s="1" t="s">
        <v>1162</v>
      </c>
      <c r="D7" s="1" t="s">
        <v>1163</v>
      </c>
      <c r="E7" s="1" t="s">
        <v>1164</v>
      </c>
      <c r="F7" s="1" t="s">
        <v>112</v>
      </c>
      <c r="G7" s="1">
        <v>15633374</v>
      </c>
      <c r="K7" s="143" t="s">
        <v>112</v>
      </c>
      <c r="L7" s="43"/>
      <c r="M7" s="43" t="e">
        <v>#DIV/0!</v>
      </c>
      <c r="N7" s="43" t="e">
        <v>#DIV/0!</v>
      </c>
      <c r="O7" s="43">
        <v>18590827</v>
      </c>
      <c r="P7" s="43" t="e">
        <v>#DIV/0!</v>
      </c>
      <c r="Q7" s="43" t="e">
        <v>#DIV/0!</v>
      </c>
      <c r="R7" s="43" t="e">
        <v>#DIV/0!</v>
      </c>
      <c r="S7" s="43" t="e">
        <v>#DIV/0!</v>
      </c>
      <c r="T7" s="43" t="e">
        <v>#DIV/0!</v>
      </c>
      <c r="U7" s="43" t="e">
        <v>#DIV/0!</v>
      </c>
      <c r="V7" s="43" t="e">
        <v>#DIV/0!</v>
      </c>
      <c r="W7" s="43" t="e">
        <v>#DIV/0!</v>
      </c>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1</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8" s="1" t="s">
        <v>1165</v>
      </c>
      <c r="D8" s="1" t="s">
        <v>1166</v>
      </c>
      <c r="E8" s="1" t="s">
        <v>1167</v>
      </c>
      <c r="F8" s="1" t="s">
        <v>112</v>
      </c>
      <c r="G8" s="1">
        <v>13930755</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1</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9" s="1" t="s">
        <v>1168</v>
      </c>
      <c r="D9" s="1" t="s">
        <v>1169</v>
      </c>
      <c r="E9" s="1" t="s">
        <v>1170</v>
      </c>
      <c r="F9" s="1" t="s">
        <v>112</v>
      </c>
      <c r="G9" s="1">
        <v>14794783</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 s="1" t="s">
        <v>112</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 s="1" t="s">
        <v>183</v>
      </c>
      <c r="D11" s="1" t="s">
        <v>112</v>
      </c>
      <c r="E11" s="1" t="s">
        <v>184</v>
      </c>
      <c r="F11" s="1" t="s">
        <v>185</v>
      </c>
      <c r="G11" s="1" t="s">
        <v>186</v>
      </c>
      <c r="H11" s="1" t="s">
        <v>187</v>
      </c>
      <c r="I11" s="1" t="s">
        <v>188</v>
      </c>
      <c r="J11" s="1" t="s">
        <v>189</v>
      </c>
    </row>
    <row r="12" spans="1:144" x14ac:dyDescent="0.25">
      <c r="A12" s="1" t="str">
        <f t="shared" si="0"/>
        <v>1</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 s="1" t="s">
        <v>1171</v>
      </c>
      <c r="D12" s="1" t="s">
        <v>112</v>
      </c>
      <c r="E12" s="1" t="s">
        <v>1172</v>
      </c>
      <c r="F12" s="1" t="s">
        <v>1173</v>
      </c>
      <c r="G12" s="1" t="s">
        <v>1174</v>
      </c>
      <c r="H12" s="1" t="s">
        <v>1175</v>
      </c>
      <c r="I12" s="1">
        <v>8</v>
      </c>
      <c r="J12" s="1">
        <v>8</v>
      </c>
    </row>
    <row r="13" spans="1:144" x14ac:dyDescent="0.25">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 s="1" t="s">
        <v>112</v>
      </c>
    </row>
    <row r="14" spans="1:144" x14ac:dyDescent="0.25">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 s="1" t="s">
        <v>112</v>
      </c>
    </row>
    <row r="15" spans="1:144" x14ac:dyDescent="0.25">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 s="1" t="s">
        <v>112</v>
      </c>
    </row>
    <row r="16" spans="1:144" x14ac:dyDescent="0.25">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 s="1" t="s">
        <v>112</v>
      </c>
    </row>
    <row r="17" spans="1:10" x14ac:dyDescent="0.25">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7" s="1" t="s">
        <v>112</v>
      </c>
    </row>
    <row r="18" spans="1:10" x14ac:dyDescent="0.25">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8" s="1" t="s">
        <v>167</v>
      </c>
      <c r="D18" s="1" t="s">
        <v>110</v>
      </c>
      <c r="E18" s="1" t="s">
        <v>111</v>
      </c>
      <c r="F18" s="1" t="s">
        <v>112</v>
      </c>
      <c r="G18" s="1" t="s">
        <v>113</v>
      </c>
    </row>
    <row r="19" spans="1:10" x14ac:dyDescent="0.25">
      <c r="A19" s="1" t="str">
        <f t="shared" si="0"/>
        <v>13</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9" s="1" t="s">
        <v>1176</v>
      </c>
      <c r="D19" s="1" t="s">
        <v>1177</v>
      </c>
      <c r="E19" s="1" t="s">
        <v>1178</v>
      </c>
      <c r="F19" s="1" t="s">
        <v>112</v>
      </c>
      <c r="G19" s="1">
        <v>17902307</v>
      </c>
    </row>
    <row r="20" spans="1:10" x14ac:dyDescent="0.25">
      <c r="A20" s="1" t="str">
        <f t="shared" si="0"/>
        <v>13</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20" s="1" t="s">
        <v>1179</v>
      </c>
      <c r="D20" s="1" t="s">
        <v>1180</v>
      </c>
      <c r="E20" s="1" t="s">
        <v>1181</v>
      </c>
      <c r="F20" s="1" t="s">
        <v>112</v>
      </c>
      <c r="G20" s="1">
        <v>21199979</v>
      </c>
    </row>
    <row r="21" spans="1:10" x14ac:dyDescent="0.25">
      <c r="A21" s="1" t="str">
        <f t="shared" si="0"/>
        <v>13</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21" s="1" t="s">
        <v>1182</v>
      </c>
      <c r="D21" s="1" t="s">
        <v>1183</v>
      </c>
      <c r="E21" s="1" t="s">
        <v>1184</v>
      </c>
      <c r="F21" s="1" t="s">
        <v>112</v>
      </c>
      <c r="G21" s="1">
        <v>19895869</v>
      </c>
    </row>
    <row r="22" spans="1:10" x14ac:dyDescent="0.25">
      <c r="A22" s="1" t="str">
        <f t="shared" si="0"/>
        <v>13</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22" s="1" t="s">
        <v>1185</v>
      </c>
      <c r="D22" s="1" t="s">
        <v>1186</v>
      </c>
      <c r="E22" s="1" t="s">
        <v>1187</v>
      </c>
      <c r="F22" s="1" t="s">
        <v>112</v>
      </c>
      <c r="G22" s="1">
        <v>16383088</v>
      </c>
    </row>
    <row r="23" spans="1:10" x14ac:dyDescent="0.25">
      <c r="A23" s="1" t="str">
        <f t="shared" si="0"/>
        <v>13</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23" s="1" t="s">
        <v>1188</v>
      </c>
      <c r="D23" s="1" t="s">
        <v>1189</v>
      </c>
      <c r="E23" s="1" t="s">
        <v>1190</v>
      </c>
      <c r="F23" s="1" t="s">
        <v>112</v>
      </c>
      <c r="G23" s="1">
        <v>21809682</v>
      </c>
    </row>
    <row r="24" spans="1:10" x14ac:dyDescent="0.25">
      <c r="A24" s="1" t="str">
        <f t="shared" si="0"/>
        <v>13</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24" s="1" t="s">
        <v>1191</v>
      </c>
      <c r="D24" s="1" t="s">
        <v>1192</v>
      </c>
      <c r="E24" s="1" t="s">
        <v>1193</v>
      </c>
      <c r="F24" s="1" t="s">
        <v>112</v>
      </c>
      <c r="G24" s="1">
        <v>8030574</v>
      </c>
    </row>
    <row r="25" spans="1:10" x14ac:dyDescent="0.25">
      <c r="A25" s="1" t="str">
        <f t="shared" si="0"/>
        <v>13</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25" s="1" t="s">
        <v>1194</v>
      </c>
      <c r="D25" s="1" t="s">
        <v>1195</v>
      </c>
      <c r="E25" s="1" t="s">
        <v>1196</v>
      </c>
      <c r="F25" s="1" t="s">
        <v>112</v>
      </c>
      <c r="G25" s="1">
        <v>23294683</v>
      </c>
    </row>
    <row r="26" spans="1:10" x14ac:dyDescent="0.25">
      <c r="A26" s="1" t="str">
        <f t="shared" si="0"/>
        <v>13</v>
      </c>
      <c r="B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26" s="1" t="s">
        <v>1197</v>
      </c>
      <c r="D26" s="1" t="s">
        <v>1198</v>
      </c>
      <c r="E26" s="1" t="s">
        <v>1199</v>
      </c>
      <c r="F26" s="1" t="s">
        <v>112</v>
      </c>
      <c r="G26" s="1">
        <v>24201083</v>
      </c>
    </row>
    <row r="27" spans="1:10" x14ac:dyDescent="0.2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112</v>
      </c>
    </row>
    <row r="28" spans="1:10" x14ac:dyDescent="0.25">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 s="1" t="s">
        <v>183</v>
      </c>
      <c r="D28" s="1" t="s">
        <v>112</v>
      </c>
      <c r="E28" s="1" t="s">
        <v>184</v>
      </c>
      <c r="F28" s="1" t="s">
        <v>185</v>
      </c>
      <c r="G28" s="1" t="s">
        <v>186</v>
      </c>
      <c r="H28" s="1" t="s">
        <v>187</v>
      </c>
      <c r="I28" s="1" t="s">
        <v>188</v>
      </c>
      <c r="J28" s="1" t="s">
        <v>189</v>
      </c>
    </row>
    <row r="29" spans="1:10" x14ac:dyDescent="0.25">
      <c r="A29" s="1" t="str">
        <f t="shared" si="0"/>
        <v>13</v>
      </c>
      <c r="B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 s="1" t="s">
        <v>1200</v>
      </c>
      <c r="D29" s="1" t="s">
        <v>112</v>
      </c>
      <c r="E29" s="1" t="s">
        <v>1201</v>
      </c>
      <c r="F29" s="1" t="s">
        <v>1202</v>
      </c>
      <c r="G29" s="1" t="s">
        <v>1203</v>
      </c>
      <c r="H29" s="1" t="s">
        <v>1204</v>
      </c>
      <c r="I29" s="1">
        <v>8</v>
      </c>
      <c r="J29" s="1">
        <v>8</v>
      </c>
    </row>
    <row r="30" spans="1:10" x14ac:dyDescent="0.2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2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2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10" x14ac:dyDescent="0.2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10" x14ac:dyDescent="0.2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112</v>
      </c>
    </row>
    <row r="35" spans="1:10" x14ac:dyDescent="0.2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 s="1" t="s">
        <v>167</v>
      </c>
      <c r="D35" s="1" t="s">
        <v>110</v>
      </c>
      <c r="E35" s="1" t="s">
        <v>111</v>
      </c>
      <c r="F35" s="1" t="s">
        <v>112</v>
      </c>
      <c r="G35" s="1" t="s">
        <v>113</v>
      </c>
    </row>
    <row r="36" spans="1:10" x14ac:dyDescent="0.25">
      <c r="A36" s="1" t="str">
        <f t="shared" si="0"/>
        <v>14</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36" s="1" t="s">
        <v>1205</v>
      </c>
      <c r="D36" s="1" t="s">
        <v>1206</v>
      </c>
      <c r="E36" s="1" t="s">
        <v>1207</v>
      </c>
      <c r="F36" s="1" t="s">
        <v>112</v>
      </c>
      <c r="G36" s="1">
        <v>14568751</v>
      </c>
    </row>
    <row r="37" spans="1:10" x14ac:dyDescent="0.25">
      <c r="A37" s="1" t="str">
        <f t="shared" si="0"/>
        <v>14</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37" s="1" t="s">
        <v>1208</v>
      </c>
      <c r="D37" s="1" t="s">
        <v>1209</v>
      </c>
      <c r="E37" s="1" t="s">
        <v>1210</v>
      </c>
      <c r="F37" s="1" t="s">
        <v>112</v>
      </c>
      <c r="G37" s="1">
        <v>18713255</v>
      </c>
    </row>
    <row r="38" spans="1:10" x14ac:dyDescent="0.25">
      <c r="A38" s="1" t="str">
        <f t="shared" si="0"/>
        <v>14</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38" s="1" t="s">
        <v>1211</v>
      </c>
      <c r="D38" s="1" t="s">
        <v>1212</v>
      </c>
      <c r="E38" s="1" t="s">
        <v>1213</v>
      </c>
      <c r="F38" s="1" t="s">
        <v>112</v>
      </c>
      <c r="G38" s="1">
        <v>19613902</v>
      </c>
    </row>
    <row r="39" spans="1:10" x14ac:dyDescent="0.25">
      <c r="A39" s="1" t="str">
        <f t="shared" si="0"/>
        <v>14</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39" s="1" t="s">
        <v>1214</v>
      </c>
      <c r="D39" s="1" t="s">
        <v>1215</v>
      </c>
      <c r="E39" s="1" t="s">
        <v>1216</v>
      </c>
      <c r="F39" s="1" t="s">
        <v>112</v>
      </c>
      <c r="G39" s="1">
        <v>17611017</v>
      </c>
    </row>
    <row r="40" spans="1:10" x14ac:dyDescent="0.25">
      <c r="A40" s="1" t="str">
        <f t="shared" si="0"/>
        <v>14</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40" s="1" t="s">
        <v>1217</v>
      </c>
      <c r="D40" s="1" t="s">
        <v>1218</v>
      </c>
      <c r="E40" s="1" t="s">
        <v>1219</v>
      </c>
      <c r="F40" s="1" t="s">
        <v>112</v>
      </c>
      <c r="G40" s="1">
        <v>20913859</v>
      </c>
    </row>
    <row r="41" spans="1:10" x14ac:dyDescent="0.25">
      <c r="A41" s="1" t="str">
        <f t="shared" si="0"/>
        <v>14</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41" s="1" t="s">
        <v>1220</v>
      </c>
      <c r="D41" s="1" t="s">
        <v>1221</v>
      </c>
      <c r="E41" s="1" t="s">
        <v>1222</v>
      </c>
      <c r="F41" s="1" t="s">
        <v>112</v>
      </c>
      <c r="G41" s="1">
        <v>16096405</v>
      </c>
    </row>
    <row r="42" spans="1:10" x14ac:dyDescent="0.25">
      <c r="A42" s="1" t="str">
        <f t="shared" si="0"/>
        <v>14</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42" s="1" t="s">
        <v>1223</v>
      </c>
      <c r="D42" s="1" t="s">
        <v>1224</v>
      </c>
      <c r="E42" s="1" t="s">
        <v>1225</v>
      </c>
      <c r="F42" s="1" t="s">
        <v>112</v>
      </c>
      <c r="G42" s="1">
        <v>25730274</v>
      </c>
    </row>
    <row r="43" spans="1:10" x14ac:dyDescent="0.25">
      <c r="A43" s="1" t="str">
        <f t="shared" si="0"/>
        <v>14</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43" s="1" t="s">
        <v>1226</v>
      </c>
      <c r="D43" s="1" t="s">
        <v>1227</v>
      </c>
      <c r="E43" s="1" t="s">
        <v>1228</v>
      </c>
      <c r="F43" s="1" t="s">
        <v>112</v>
      </c>
      <c r="G43" s="1">
        <v>15479153</v>
      </c>
    </row>
    <row r="44" spans="1:10" x14ac:dyDescent="0.25">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4" s="1" t="s">
        <v>112</v>
      </c>
    </row>
    <row r="45" spans="1:10" x14ac:dyDescent="0.25">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 s="1" t="s">
        <v>183</v>
      </c>
      <c r="D45" s="1" t="s">
        <v>112</v>
      </c>
      <c r="E45" s="1" t="s">
        <v>184</v>
      </c>
      <c r="F45" s="1" t="s">
        <v>185</v>
      </c>
      <c r="G45" s="1" t="s">
        <v>186</v>
      </c>
      <c r="H45" s="1" t="s">
        <v>187</v>
      </c>
      <c r="I45" s="1" t="s">
        <v>188</v>
      </c>
      <c r="J45" s="1" t="s">
        <v>189</v>
      </c>
    </row>
    <row r="46" spans="1:10" x14ac:dyDescent="0.25">
      <c r="A46" s="1" t="str">
        <f t="shared" si="0"/>
        <v>14</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6" s="1" t="s">
        <v>1229</v>
      </c>
      <c r="D46" s="1" t="s">
        <v>112</v>
      </c>
      <c r="E46" s="1" t="s">
        <v>1230</v>
      </c>
      <c r="F46" s="1" t="s">
        <v>1231</v>
      </c>
      <c r="G46" s="1">
        <v>18590827</v>
      </c>
      <c r="H46" s="1" t="s">
        <v>1232</v>
      </c>
      <c r="I46" s="1">
        <v>8</v>
      </c>
      <c r="J46" s="1">
        <v>8</v>
      </c>
    </row>
    <row r="47" spans="1:10" x14ac:dyDescent="0.25">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7" s="1" t="s">
        <v>112</v>
      </c>
    </row>
    <row r="48" spans="1:10" x14ac:dyDescent="0.25">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 s="1" t="s">
        <v>112</v>
      </c>
    </row>
    <row r="49" spans="1:10" x14ac:dyDescent="0.25">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 s="1" t="s">
        <v>112</v>
      </c>
    </row>
    <row r="50" spans="1:10" x14ac:dyDescent="0.25">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0" s="1" t="s">
        <v>112</v>
      </c>
    </row>
    <row r="51" spans="1:10" x14ac:dyDescent="0.25">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1" s="1" t="s">
        <v>112</v>
      </c>
    </row>
    <row r="52" spans="1:10" x14ac:dyDescent="0.25">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 s="1" t="s">
        <v>167</v>
      </c>
      <c r="D52" s="1" t="s">
        <v>110</v>
      </c>
      <c r="E52" s="1" t="s">
        <v>111</v>
      </c>
      <c r="F52" s="1" t="s">
        <v>112</v>
      </c>
      <c r="G52" s="1" t="s">
        <v>113</v>
      </c>
    </row>
    <row r="53" spans="1:10" x14ac:dyDescent="0.25">
      <c r="A53" s="1" t="str">
        <f t="shared" si="0"/>
        <v>15</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53" s="1" t="s">
        <v>1233</v>
      </c>
      <c r="D53" s="1" t="s">
        <v>1234</v>
      </c>
      <c r="E53" s="1" t="s">
        <v>1235</v>
      </c>
      <c r="F53" s="1" t="s">
        <v>112</v>
      </c>
      <c r="G53" s="1">
        <v>1135418</v>
      </c>
    </row>
    <row r="54" spans="1:10" x14ac:dyDescent="0.25">
      <c r="A54" s="1" t="str">
        <f t="shared" si="0"/>
        <v>15</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54" s="1" t="s">
        <v>1236</v>
      </c>
      <c r="D54" s="1" t="s">
        <v>1237</v>
      </c>
      <c r="E54" s="1" t="s">
        <v>1238</v>
      </c>
      <c r="F54" s="1" t="s">
        <v>112</v>
      </c>
      <c r="G54" s="1">
        <v>19860634</v>
      </c>
    </row>
    <row r="55" spans="1:10" x14ac:dyDescent="0.25">
      <c r="A55" s="1" t="str">
        <f t="shared" si="0"/>
        <v>15</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55" s="1" t="s">
        <v>1239</v>
      </c>
      <c r="D55" s="1" t="s">
        <v>1240</v>
      </c>
      <c r="E55" s="1" t="s">
        <v>1241</v>
      </c>
      <c r="F55" s="1" t="s">
        <v>112</v>
      </c>
      <c r="G55" s="1">
        <v>12992688</v>
      </c>
    </row>
    <row r="56" spans="1:10" x14ac:dyDescent="0.25">
      <c r="A56" s="1" t="str">
        <f t="shared" si="0"/>
        <v>15</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56" s="1" t="s">
        <v>1242</v>
      </c>
      <c r="D56" s="1" t="s">
        <v>1243</v>
      </c>
      <c r="E56" s="1" t="s">
        <v>1244</v>
      </c>
      <c r="F56" s="1" t="s">
        <v>112</v>
      </c>
      <c r="G56" s="1">
        <v>19736349</v>
      </c>
    </row>
    <row r="57" spans="1:10" x14ac:dyDescent="0.25">
      <c r="A57" s="1" t="str">
        <f t="shared" si="0"/>
        <v>15</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57" s="1" t="s">
        <v>1245</v>
      </c>
      <c r="D57" s="1" t="s">
        <v>1246</v>
      </c>
      <c r="E57" s="1" t="s">
        <v>1247</v>
      </c>
      <c r="F57" s="1" t="s">
        <v>112</v>
      </c>
      <c r="G57" s="1">
        <v>17458937</v>
      </c>
    </row>
    <row r="58" spans="1:10" x14ac:dyDescent="0.25">
      <c r="A58" s="1" t="str">
        <f t="shared" si="0"/>
        <v>15</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58" s="1" t="s">
        <v>1248</v>
      </c>
      <c r="D58" s="1" t="s">
        <v>1249</v>
      </c>
      <c r="E58" s="1" t="s">
        <v>1250</v>
      </c>
      <c r="F58" s="1" t="s">
        <v>112</v>
      </c>
      <c r="G58" s="1">
        <v>15960245</v>
      </c>
    </row>
    <row r="59" spans="1:10" x14ac:dyDescent="0.25">
      <c r="A59" s="1" t="str">
        <f t="shared" si="0"/>
        <v>15</v>
      </c>
      <c r="B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59" s="1" t="s">
        <v>1251</v>
      </c>
      <c r="D59" s="1" t="s">
        <v>1252</v>
      </c>
      <c r="E59" s="1" t="s">
        <v>1253</v>
      </c>
      <c r="F59" s="1" t="s">
        <v>112</v>
      </c>
      <c r="G59" s="1">
        <v>19801001</v>
      </c>
    </row>
    <row r="60" spans="1:10" x14ac:dyDescent="0.25">
      <c r="A60" s="1" t="str">
        <f t="shared" si="0"/>
        <v>15</v>
      </c>
      <c r="B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60" s="1" t="s">
        <v>1254</v>
      </c>
      <c r="D60" s="1" t="s">
        <v>1255</v>
      </c>
      <c r="E60" s="1" t="s">
        <v>1256</v>
      </c>
      <c r="F60" s="1" t="s">
        <v>112</v>
      </c>
      <c r="G60" s="1">
        <v>29469412</v>
      </c>
    </row>
    <row r="61" spans="1:10" x14ac:dyDescent="0.25">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 s="1" t="s">
        <v>112</v>
      </c>
    </row>
    <row r="62" spans="1:10" x14ac:dyDescent="0.2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183</v>
      </c>
      <c r="D62" s="1" t="s">
        <v>112</v>
      </c>
      <c r="E62" s="1" t="s">
        <v>184</v>
      </c>
      <c r="F62" s="1" t="s">
        <v>185</v>
      </c>
      <c r="G62" s="1" t="s">
        <v>186</v>
      </c>
      <c r="H62" s="1" t="s">
        <v>187</v>
      </c>
      <c r="I62" s="1" t="s">
        <v>188</v>
      </c>
      <c r="J62" s="1" t="s">
        <v>189</v>
      </c>
    </row>
    <row r="63" spans="1:10" x14ac:dyDescent="0.25">
      <c r="A63" s="1" t="str">
        <f t="shared" si="0"/>
        <v>15</v>
      </c>
      <c r="B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3" s="1" t="s">
        <v>1257</v>
      </c>
      <c r="D63" s="1" t="s">
        <v>112</v>
      </c>
      <c r="E63" s="1" t="s">
        <v>1258</v>
      </c>
      <c r="F63" s="1" t="s">
        <v>1259</v>
      </c>
      <c r="G63" s="1" t="s">
        <v>1260</v>
      </c>
      <c r="H63" s="1" t="s">
        <v>1261</v>
      </c>
      <c r="I63" s="1">
        <v>8</v>
      </c>
      <c r="J63" s="1">
        <v>8</v>
      </c>
    </row>
    <row r="64" spans="1:10" x14ac:dyDescent="0.2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10" x14ac:dyDescent="0.2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10" x14ac:dyDescent="0.2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10" x14ac:dyDescent="0.2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112</v>
      </c>
    </row>
    <row r="68" spans="1:10" x14ac:dyDescent="0.25">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 s="1" t="s">
        <v>112</v>
      </c>
    </row>
    <row r="69" spans="1:10" x14ac:dyDescent="0.25">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 s="1" t="s">
        <v>167</v>
      </c>
      <c r="D69" s="1" t="s">
        <v>110</v>
      </c>
      <c r="E69" s="1" t="s">
        <v>111</v>
      </c>
      <c r="F69" s="1" t="s">
        <v>112</v>
      </c>
      <c r="G69" s="1" t="s">
        <v>113</v>
      </c>
    </row>
    <row r="70" spans="1:10" x14ac:dyDescent="0.25">
      <c r="A70" s="1" t="str">
        <f t="shared" si="1"/>
        <v>16</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70" s="1" t="s">
        <v>1262</v>
      </c>
      <c r="D70" s="1" t="s">
        <v>1263</v>
      </c>
      <c r="E70" s="1" t="s">
        <v>1264</v>
      </c>
      <c r="F70" s="1" t="s">
        <v>112</v>
      </c>
      <c r="G70" s="1">
        <v>9639774</v>
      </c>
    </row>
    <row r="71" spans="1:10" x14ac:dyDescent="0.25">
      <c r="A71" s="1" t="str">
        <f t="shared" si="1"/>
        <v>16</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71" s="1" t="s">
        <v>1265</v>
      </c>
      <c r="D71" s="1" t="s">
        <v>1266</v>
      </c>
      <c r="E71" s="1" t="s">
        <v>1267</v>
      </c>
      <c r="F71" s="1" t="s">
        <v>112</v>
      </c>
      <c r="G71" s="1">
        <v>4697040</v>
      </c>
    </row>
    <row r="72" spans="1:10" x14ac:dyDescent="0.25">
      <c r="A72" s="1" t="str">
        <f t="shared" si="1"/>
        <v>16</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72" s="1" t="s">
        <v>1268</v>
      </c>
      <c r="D72" s="1" t="s">
        <v>1269</v>
      </c>
      <c r="E72" s="1" t="s">
        <v>1270</v>
      </c>
      <c r="F72" s="1" t="s">
        <v>112</v>
      </c>
      <c r="G72" s="1">
        <v>22821659</v>
      </c>
    </row>
    <row r="73" spans="1:10" x14ac:dyDescent="0.25">
      <c r="A73" s="1" t="str">
        <f t="shared" si="1"/>
        <v>16</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73" s="1" t="s">
        <v>1271</v>
      </c>
      <c r="D73" s="1" t="s">
        <v>1272</v>
      </c>
      <c r="E73" s="1" t="s">
        <v>1273</v>
      </c>
      <c r="F73" s="1" t="s">
        <v>112</v>
      </c>
      <c r="G73" s="1">
        <v>14284296</v>
      </c>
    </row>
    <row r="74" spans="1:10" x14ac:dyDescent="0.25">
      <c r="A74" s="1" t="str">
        <f t="shared" si="1"/>
        <v>16</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74" s="1" t="s">
        <v>1274</v>
      </c>
      <c r="D74" s="1" t="s">
        <v>1275</v>
      </c>
      <c r="E74" s="1" t="s">
        <v>1276</v>
      </c>
      <c r="F74" s="1" t="s">
        <v>112</v>
      </c>
      <c r="G74" s="1">
        <v>15279422</v>
      </c>
    </row>
    <row r="75" spans="1:10" x14ac:dyDescent="0.25">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5" s="1" t="s">
        <v>112</v>
      </c>
    </row>
    <row r="76" spans="1:10" x14ac:dyDescent="0.25">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6" s="1" t="s">
        <v>183</v>
      </c>
      <c r="D76" s="1" t="s">
        <v>112</v>
      </c>
      <c r="E76" s="1" t="s">
        <v>184</v>
      </c>
      <c r="F76" s="1" t="s">
        <v>185</v>
      </c>
      <c r="G76" s="1" t="s">
        <v>186</v>
      </c>
      <c r="H76" s="1" t="s">
        <v>187</v>
      </c>
      <c r="I76" s="1" t="s">
        <v>188</v>
      </c>
      <c r="J76" s="1" t="s">
        <v>189</v>
      </c>
    </row>
    <row r="77" spans="1:10" x14ac:dyDescent="0.25">
      <c r="A77" s="1" t="str">
        <f t="shared" si="1"/>
        <v>16</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77" s="1" t="s">
        <v>1277</v>
      </c>
      <c r="D77" s="1" t="s">
        <v>112</v>
      </c>
      <c r="E77" s="1" t="s">
        <v>1278</v>
      </c>
      <c r="F77" s="1" t="s">
        <v>1279</v>
      </c>
      <c r="G77" s="1" t="s">
        <v>1280</v>
      </c>
      <c r="H77" s="1" t="s">
        <v>1281</v>
      </c>
      <c r="I77" s="1">
        <v>5</v>
      </c>
      <c r="J77" s="1">
        <v>5</v>
      </c>
    </row>
    <row r="78" spans="1:10" x14ac:dyDescent="0.25">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8" s="1" t="s">
        <v>112</v>
      </c>
    </row>
    <row r="79" spans="1:10" x14ac:dyDescent="0.25">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9" s="1" t="s">
        <v>112</v>
      </c>
    </row>
    <row r="80" spans="1:10" x14ac:dyDescent="0.25">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0" s="1" t="s">
        <v>112</v>
      </c>
    </row>
    <row r="81" spans="1:10" x14ac:dyDescent="0.25">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1" s="1" t="s">
        <v>112</v>
      </c>
    </row>
    <row r="82" spans="1:10" x14ac:dyDescent="0.25">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2" s="1" t="s">
        <v>112</v>
      </c>
    </row>
    <row r="83" spans="1:10" x14ac:dyDescent="0.25">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83" s="1" t="s">
        <v>167</v>
      </c>
      <c r="D83" s="1" t="s">
        <v>110</v>
      </c>
      <c r="E83" s="1" t="s">
        <v>111</v>
      </c>
      <c r="F83" s="1" t="s">
        <v>112</v>
      </c>
      <c r="G83" s="1" t="s">
        <v>113</v>
      </c>
    </row>
    <row r="84" spans="1:10" x14ac:dyDescent="0.25">
      <c r="A84" s="1" t="str">
        <f t="shared" si="1"/>
        <v>2</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84" s="1" t="s">
        <v>1282</v>
      </c>
      <c r="D84" s="1" t="s">
        <v>1283</v>
      </c>
      <c r="E84" s="1" t="s">
        <v>1284</v>
      </c>
      <c r="F84" s="1" t="s">
        <v>112</v>
      </c>
      <c r="G84" s="1">
        <v>14616380</v>
      </c>
    </row>
    <row r="85" spans="1:10" x14ac:dyDescent="0.25">
      <c r="A85" s="1" t="str">
        <f t="shared" si="1"/>
        <v>2</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85" s="1" t="s">
        <v>1285</v>
      </c>
      <c r="D85" s="1" t="s">
        <v>1286</v>
      </c>
      <c r="E85" s="1" t="s">
        <v>1287</v>
      </c>
      <c r="F85" s="1" t="s">
        <v>112</v>
      </c>
      <c r="G85" s="1">
        <v>13110160</v>
      </c>
    </row>
    <row r="86" spans="1:10" x14ac:dyDescent="0.25">
      <c r="A86" s="1" t="str">
        <f t="shared" si="1"/>
        <v>2</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86" s="1" t="s">
        <v>1288</v>
      </c>
      <c r="D86" s="1" t="s">
        <v>1289</v>
      </c>
      <c r="E86" s="1" t="s">
        <v>1290</v>
      </c>
      <c r="F86" s="1" t="s">
        <v>112</v>
      </c>
      <c r="G86" s="1">
        <v>14804646</v>
      </c>
    </row>
    <row r="87" spans="1:10" x14ac:dyDescent="0.25">
      <c r="A87" s="1" t="str">
        <f t="shared" si="1"/>
        <v>2</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87" s="1" t="s">
        <v>1291</v>
      </c>
      <c r="D87" s="1" t="s">
        <v>1292</v>
      </c>
      <c r="E87" s="1" t="s">
        <v>1293</v>
      </c>
      <c r="F87" s="1" t="s">
        <v>112</v>
      </c>
      <c r="G87" s="1">
        <v>19872120</v>
      </c>
    </row>
    <row r="88" spans="1:10" x14ac:dyDescent="0.25">
      <c r="A88" s="1" t="str">
        <f t="shared" si="1"/>
        <v>2</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88" s="1" t="s">
        <v>1294</v>
      </c>
      <c r="D88" s="1" t="s">
        <v>1295</v>
      </c>
      <c r="E88" s="1" t="s">
        <v>1296</v>
      </c>
      <c r="F88" s="1" t="s">
        <v>112</v>
      </c>
      <c r="G88" s="1">
        <v>15314787</v>
      </c>
    </row>
    <row r="89" spans="1:10" x14ac:dyDescent="0.25">
      <c r="A89" s="1" t="str">
        <f t="shared" si="1"/>
        <v>2</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89" s="1" t="s">
        <v>1297</v>
      </c>
      <c r="D89" s="1" t="s">
        <v>1298</v>
      </c>
      <c r="E89" s="1" t="s">
        <v>1299</v>
      </c>
      <c r="F89" s="1" t="s">
        <v>112</v>
      </c>
      <c r="G89" s="1">
        <v>17173379</v>
      </c>
    </row>
    <row r="90" spans="1:10" x14ac:dyDescent="0.25">
      <c r="A90" s="1" t="str">
        <f t="shared" si="1"/>
        <v>2</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90" s="1" t="s">
        <v>1300</v>
      </c>
      <c r="D90" s="1" t="s">
        <v>1301</v>
      </c>
      <c r="E90" s="1" t="s">
        <v>1302</v>
      </c>
      <c r="F90" s="1" t="s">
        <v>112</v>
      </c>
      <c r="G90" s="1">
        <v>9884213</v>
      </c>
    </row>
    <row r="91" spans="1:10" x14ac:dyDescent="0.25">
      <c r="A91" s="1" t="str">
        <f t="shared" si="1"/>
        <v>2</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91" s="1" t="s">
        <v>1303</v>
      </c>
      <c r="D91" s="1" t="s">
        <v>1304</v>
      </c>
      <c r="E91" s="1" t="s">
        <v>1305</v>
      </c>
      <c r="F91" s="1" t="s">
        <v>112</v>
      </c>
      <c r="G91" s="1">
        <v>16316338</v>
      </c>
    </row>
    <row r="92" spans="1:10" x14ac:dyDescent="0.2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2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183</v>
      </c>
      <c r="D93" s="1" t="s">
        <v>112</v>
      </c>
      <c r="E93" s="1" t="s">
        <v>184</v>
      </c>
      <c r="F93" s="1" t="s">
        <v>185</v>
      </c>
      <c r="G93" s="1" t="s">
        <v>186</v>
      </c>
      <c r="H93" s="1" t="s">
        <v>187</v>
      </c>
      <c r="I93" s="1" t="s">
        <v>188</v>
      </c>
      <c r="J93" s="1" t="s">
        <v>189</v>
      </c>
    </row>
    <row r="94" spans="1:10" x14ac:dyDescent="0.25">
      <c r="A94" s="1" t="str">
        <f t="shared" si="1"/>
        <v>2</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1306</v>
      </c>
      <c r="D94" s="1" t="s">
        <v>112</v>
      </c>
      <c r="E94" s="1" t="s">
        <v>1307</v>
      </c>
      <c r="F94" s="1" t="s">
        <v>1308</v>
      </c>
      <c r="G94" s="1" t="s">
        <v>1309</v>
      </c>
      <c r="H94" s="1" t="s">
        <v>1310</v>
      </c>
      <c r="I94" s="1">
        <v>8</v>
      </c>
      <c r="J94" s="1">
        <v>8</v>
      </c>
    </row>
    <row r="95" spans="1:10" x14ac:dyDescent="0.2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2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10" x14ac:dyDescent="0.2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10" x14ac:dyDescent="0.2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10" x14ac:dyDescent="0.2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10" x14ac:dyDescent="0.2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167</v>
      </c>
      <c r="D100" s="1" t="s">
        <v>110</v>
      </c>
      <c r="E100" s="1" t="s">
        <v>111</v>
      </c>
      <c r="F100" s="1" t="s">
        <v>112</v>
      </c>
      <c r="G100" s="1" t="s">
        <v>113</v>
      </c>
    </row>
    <row r="101" spans="1:10" x14ac:dyDescent="0.25">
      <c r="A101" s="1" t="str">
        <f t="shared" si="1"/>
        <v>3</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01" s="1" t="s">
        <v>1311</v>
      </c>
      <c r="D101" s="1" t="s">
        <v>1312</v>
      </c>
      <c r="E101" s="1" t="s">
        <v>1313</v>
      </c>
      <c r="F101" s="1" t="s">
        <v>112</v>
      </c>
      <c r="G101" s="1">
        <v>16038783</v>
      </c>
    </row>
    <row r="102" spans="1:10" x14ac:dyDescent="0.25">
      <c r="A102" s="1" t="str">
        <f t="shared" si="1"/>
        <v>3</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02" s="1" t="s">
        <v>1314</v>
      </c>
      <c r="D102" s="1" t="s">
        <v>1315</v>
      </c>
      <c r="E102" s="1" t="s">
        <v>1316</v>
      </c>
      <c r="F102" s="1" t="s">
        <v>112</v>
      </c>
      <c r="G102" s="1">
        <v>23714757</v>
      </c>
    </row>
    <row r="103" spans="1:10" x14ac:dyDescent="0.25">
      <c r="A103" s="1" t="str">
        <f t="shared" si="1"/>
        <v>3</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03" s="1" t="s">
        <v>1317</v>
      </c>
      <c r="D103" s="1" t="s">
        <v>1318</v>
      </c>
      <c r="E103" s="1" t="s">
        <v>1319</v>
      </c>
      <c r="F103" s="1" t="s">
        <v>112</v>
      </c>
      <c r="G103" s="1">
        <v>11712134</v>
      </c>
    </row>
    <row r="104" spans="1:10" x14ac:dyDescent="0.25">
      <c r="A104" s="1" t="str">
        <f t="shared" si="1"/>
        <v>3</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04" s="1" t="s">
        <v>1320</v>
      </c>
      <c r="D104" s="1" t="s">
        <v>1321</v>
      </c>
      <c r="E104" s="1" t="s">
        <v>1322</v>
      </c>
      <c r="F104" s="1" t="s">
        <v>112</v>
      </c>
      <c r="G104" s="1">
        <v>16544685</v>
      </c>
    </row>
    <row r="105" spans="1:10" x14ac:dyDescent="0.25">
      <c r="A105" s="1" t="str">
        <f t="shared" si="1"/>
        <v>3</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05" s="1" t="s">
        <v>1323</v>
      </c>
      <c r="D105" s="1" t="s">
        <v>1324</v>
      </c>
      <c r="E105" s="1" t="s">
        <v>1325</v>
      </c>
      <c r="F105" s="1" t="s">
        <v>112</v>
      </c>
      <c r="G105" s="1">
        <v>17842695</v>
      </c>
    </row>
    <row r="106" spans="1:10" x14ac:dyDescent="0.25">
      <c r="A106" s="1" t="str">
        <f t="shared" si="1"/>
        <v>3</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06" s="1" t="s">
        <v>1326</v>
      </c>
      <c r="D106" s="1" t="s">
        <v>1327</v>
      </c>
      <c r="E106" s="1" t="s">
        <v>1328</v>
      </c>
      <c r="F106" s="1" t="s">
        <v>112</v>
      </c>
      <c r="G106" s="1">
        <v>15021010</v>
      </c>
    </row>
    <row r="107" spans="1:10" x14ac:dyDescent="0.25">
      <c r="A107" s="1" t="str">
        <f t="shared" si="1"/>
        <v>3</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07" s="1" t="s">
        <v>1329</v>
      </c>
      <c r="D107" s="1" t="s">
        <v>1330</v>
      </c>
      <c r="E107" s="1" t="s">
        <v>1331</v>
      </c>
      <c r="F107" s="1" t="s">
        <v>112</v>
      </c>
      <c r="G107" s="1">
        <v>21520556</v>
      </c>
    </row>
    <row r="108" spans="1:10" x14ac:dyDescent="0.25">
      <c r="A108" s="1" t="str">
        <f t="shared" si="1"/>
        <v>3</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08" s="1" t="s">
        <v>1332</v>
      </c>
      <c r="D108" s="1" t="s">
        <v>1333</v>
      </c>
      <c r="E108" s="1" t="s">
        <v>1334</v>
      </c>
      <c r="F108" s="1" t="s">
        <v>112</v>
      </c>
      <c r="G108" s="1">
        <v>14046432</v>
      </c>
    </row>
    <row r="109" spans="1:10" x14ac:dyDescent="0.25">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9" s="1" t="s">
        <v>112</v>
      </c>
    </row>
    <row r="110" spans="1:10" x14ac:dyDescent="0.25">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0" s="1" t="s">
        <v>183</v>
      </c>
      <c r="D110" s="1" t="s">
        <v>112</v>
      </c>
      <c r="E110" s="1" t="s">
        <v>184</v>
      </c>
      <c r="F110" s="1" t="s">
        <v>185</v>
      </c>
      <c r="G110" s="1" t="s">
        <v>186</v>
      </c>
      <c r="H110" s="1" t="s">
        <v>187</v>
      </c>
      <c r="I110" s="1" t="s">
        <v>188</v>
      </c>
      <c r="J110" s="1" t="s">
        <v>189</v>
      </c>
    </row>
    <row r="111" spans="1:10" x14ac:dyDescent="0.25">
      <c r="A111" s="1" t="str">
        <f t="shared" si="1"/>
        <v>3</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11" s="1" t="s">
        <v>1335</v>
      </c>
      <c r="D111" s="1" t="s">
        <v>112</v>
      </c>
      <c r="E111" s="1" t="s">
        <v>1336</v>
      </c>
      <c r="F111" s="1" t="s">
        <v>1337</v>
      </c>
      <c r="G111" s="1" t="s">
        <v>1338</v>
      </c>
      <c r="H111" s="1" t="s">
        <v>1339</v>
      </c>
      <c r="I111" s="1">
        <v>8</v>
      </c>
      <c r="J111" s="1">
        <v>8</v>
      </c>
    </row>
    <row r="112" spans="1:10" x14ac:dyDescent="0.25">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2" s="1" t="s">
        <v>112</v>
      </c>
    </row>
    <row r="113" spans="1:10" x14ac:dyDescent="0.25">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3" s="1" t="s">
        <v>112</v>
      </c>
    </row>
    <row r="114" spans="1:10" x14ac:dyDescent="0.25">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4" s="1" t="s">
        <v>112</v>
      </c>
    </row>
    <row r="115" spans="1:10" x14ac:dyDescent="0.25">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5" s="1" t="s">
        <v>112</v>
      </c>
    </row>
    <row r="116" spans="1:10" x14ac:dyDescent="0.25">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6" s="1" t="s">
        <v>112</v>
      </c>
    </row>
    <row r="117" spans="1:10" x14ac:dyDescent="0.25">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17" s="1" t="s">
        <v>167</v>
      </c>
      <c r="D117" s="1" t="s">
        <v>110</v>
      </c>
      <c r="E117" s="1" t="s">
        <v>111</v>
      </c>
      <c r="F117" s="1" t="s">
        <v>112</v>
      </c>
      <c r="G117" s="1" t="s">
        <v>113</v>
      </c>
    </row>
    <row r="118" spans="1:10" x14ac:dyDescent="0.25">
      <c r="A118" s="1" t="str">
        <f t="shared" si="1"/>
        <v>4</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18" s="1" t="s">
        <v>1340</v>
      </c>
      <c r="D118" s="1" t="s">
        <v>1341</v>
      </c>
      <c r="E118" s="1" t="s">
        <v>1342</v>
      </c>
      <c r="F118" s="1" t="s">
        <v>112</v>
      </c>
      <c r="G118" s="1">
        <v>18885472</v>
      </c>
    </row>
    <row r="119" spans="1:10" x14ac:dyDescent="0.25">
      <c r="A119" s="1" t="str">
        <f t="shared" si="1"/>
        <v>4</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19" s="1" t="s">
        <v>1343</v>
      </c>
      <c r="D119" s="1" t="s">
        <v>1344</v>
      </c>
      <c r="E119" s="1" t="s">
        <v>1345</v>
      </c>
      <c r="F119" s="1" t="s">
        <v>112</v>
      </c>
      <c r="G119" s="1">
        <v>12957021</v>
      </c>
    </row>
    <row r="120" spans="1:10" x14ac:dyDescent="0.25">
      <c r="A120" s="1" t="str">
        <f t="shared" si="1"/>
        <v>4</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20" s="1" t="s">
        <v>1346</v>
      </c>
      <c r="D120" s="1" t="s">
        <v>1347</v>
      </c>
      <c r="E120" s="1" t="s">
        <v>1348</v>
      </c>
      <c r="F120" s="1" t="s">
        <v>112</v>
      </c>
      <c r="G120" s="1">
        <v>19574752</v>
      </c>
    </row>
    <row r="121" spans="1:10" x14ac:dyDescent="0.25">
      <c r="A121" s="1" t="str">
        <f t="shared" si="1"/>
        <v>4</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21" s="1" t="s">
        <v>1349</v>
      </c>
      <c r="D121" s="1" t="s">
        <v>1350</v>
      </c>
      <c r="E121" s="1" t="s">
        <v>1351</v>
      </c>
      <c r="F121" s="1" t="s">
        <v>112</v>
      </c>
      <c r="G121" s="1">
        <v>10039494</v>
      </c>
    </row>
    <row r="122" spans="1:10" x14ac:dyDescent="0.25">
      <c r="A122" s="1" t="str">
        <f t="shared" si="1"/>
        <v>4</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22" s="1" t="s">
        <v>1352</v>
      </c>
      <c r="D122" s="1" t="s">
        <v>1353</v>
      </c>
      <c r="E122" s="1" t="s">
        <v>1354</v>
      </c>
      <c r="F122" s="1" t="s">
        <v>112</v>
      </c>
      <c r="G122" s="1">
        <v>22977545</v>
      </c>
    </row>
    <row r="123" spans="1:10" x14ac:dyDescent="0.25">
      <c r="A123" s="1" t="str">
        <f t="shared" si="1"/>
        <v>4</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23" s="1" t="s">
        <v>1355</v>
      </c>
      <c r="D123" s="1" t="s">
        <v>1356</v>
      </c>
      <c r="E123" s="1" t="s">
        <v>1357</v>
      </c>
      <c r="F123" s="1" t="s">
        <v>112</v>
      </c>
      <c r="G123" s="1">
        <v>17940484</v>
      </c>
    </row>
    <row r="124" spans="1:10" x14ac:dyDescent="0.25">
      <c r="A124" s="1" t="str">
        <f t="shared" si="1"/>
        <v>4</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24" s="1" t="s">
        <v>1358</v>
      </c>
      <c r="D124" s="1" t="s">
        <v>1359</v>
      </c>
      <c r="E124" s="1" t="s">
        <v>1360</v>
      </c>
      <c r="F124" s="1" t="s">
        <v>112</v>
      </c>
      <c r="G124" s="1">
        <v>16010599</v>
      </c>
    </row>
    <row r="125" spans="1:10" x14ac:dyDescent="0.25">
      <c r="A125" s="1" t="str">
        <f t="shared" si="1"/>
        <v>4</v>
      </c>
      <c r="B1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25" s="1" t="s">
        <v>1361</v>
      </c>
      <c r="D125" s="1" t="s">
        <v>1362</v>
      </c>
      <c r="E125" s="1" t="s">
        <v>1363</v>
      </c>
      <c r="F125" s="1" t="s">
        <v>112</v>
      </c>
      <c r="G125" s="1">
        <v>21071476</v>
      </c>
    </row>
    <row r="126" spans="1:10" x14ac:dyDescent="0.2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112</v>
      </c>
    </row>
    <row r="127" spans="1:10" x14ac:dyDescent="0.25">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7" s="1" t="s">
        <v>183</v>
      </c>
      <c r="D127" s="1" t="s">
        <v>112</v>
      </c>
      <c r="E127" s="1" t="s">
        <v>184</v>
      </c>
      <c r="F127" s="1" t="s">
        <v>185</v>
      </c>
      <c r="G127" s="1" t="s">
        <v>186</v>
      </c>
      <c r="H127" s="1" t="s">
        <v>187</v>
      </c>
      <c r="I127" s="1" t="s">
        <v>188</v>
      </c>
      <c r="J127" s="1" t="s">
        <v>189</v>
      </c>
    </row>
    <row r="128" spans="1:10" x14ac:dyDescent="0.25">
      <c r="A128" s="1" t="str">
        <f t="shared" si="1"/>
        <v>4</v>
      </c>
      <c r="B1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8" s="1" t="s">
        <v>1364</v>
      </c>
      <c r="D128" s="1" t="s">
        <v>112</v>
      </c>
      <c r="E128" s="1" t="s">
        <v>1365</v>
      </c>
      <c r="F128" s="1" t="s">
        <v>1366</v>
      </c>
      <c r="G128" s="1" t="s">
        <v>1367</v>
      </c>
      <c r="H128" s="1" t="s">
        <v>1368</v>
      </c>
      <c r="I128" s="1">
        <v>8</v>
      </c>
      <c r="J128" s="1">
        <v>8</v>
      </c>
    </row>
    <row r="129" spans="1:10" x14ac:dyDescent="0.2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10" x14ac:dyDescent="0.2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10" x14ac:dyDescent="0.2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10" x14ac:dyDescent="0.2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10" x14ac:dyDescent="0.2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112</v>
      </c>
    </row>
    <row r="134" spans="1:10" x14ac:dyDescent="0.25">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4" s="1" t="s">
        <v>167</v>
      </c>
      <c r="D134" s="1" t="s">
        <v>110</v>
      </c>
      <c r="E134" s="1" t="s">
        <v>111</v>
      </c>
      <c r="F134" s="1" t="s">
        <v>112</v>
      </c>
      <c r="G134" s="1" t="s">
        <v>113</v>
      </c>
    </row>
    <row r="135" spans="1:10" x14ac:dyDescent="0.25">
      <c r="A135" s="1" t="str">
        <f t="shared" si="2"/>
        <v>5</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35" s="1" t="s">
        <v>1369</v>
      </c>
      <c r="D135" s="1" t="s">
        <v>1370</v>
      </c>
      <c r="E135" s="1" t="s">
        <v>1371</v>
      </c>
      <c r="F135" s="1" t="s">
        <v>112</v>
      </c>
      <c r="G135" s="1">
        <v>12750001</v>
      </c>
    </row>
    <row r="136" spans="1:10" x14ac:dyDescent="0.25">
      <c r="A136" s="1" t="str">
        <f t="shared" si="2"/>
        <v>5</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36" s="1" t="s">
        <v>1372</v>
      </c>
      <c r="D136" s="1" t="s">
        <v>1373</v>
      </c>
      <c r="E136" s="1" t="s">
        <v>1374</v>
      </c>
      <c r="F136" s="1" t="s">
        <v>112</v>
      </c>
      <c r="G136" s="1">
        <v>22493468</v>
      </c>
    </row>
    <row r="137" spans="1:10" x14ac:dyDescent="0.25">
      <c r="A137" s="1" t="str">
        <f t="shared" si="2"/>
        <v>5</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37" s="1" t="s">
        <v>1375</v>
      </c>
      <c r="D137" s="1" t="s">
        <v>1376</v>
      </c>
      <c r="E137" s="1" t="s">
        <v>1377</v>
      </c>
      <c r="F137" s="1" t="s">
        <v>112</v>
      </c>
      <c r="G137" s="1">
        <v>20136480</v>
      </c>
    </row>
    <row r="138" spans="1:10" x14ac:dyDescent="0.25">
      <c r="A138" s="1" t="str">
        <f t="shared" si="2"/>
        <v>5</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38" s="1" t="s">
        <v>1378</v>
      </c>
      <c r="D138" s="1" t="s">
        <v>1379</v>
      </c>
      <c r="E138" s="1" t="s">
        <v>1380</v>
      </c>
      <c r="F138" s="1" t="s">
        <v>112</v>
      </c>
      <c r="G138" s="1">
        <v>20434540</v>
      </c>
    </row>
    <row r="139" spans="1:10" x14ac:dyDescent="0.25">
      <c r="A139" s="1" t="str">
        <f t="shared" si="2"/>
        <v>5</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39" s="1" t="s">
        <v>1381</v>
      </c>
      <c r="D139" s="1" t="s">
        <v>1382</v>
      </c>
      <c r="E139" s="1" t="s">
        <v>1383</v>
      </c>
      <c r="F139" s="1" t="s">
        <v>112</v>
      </c>
      <c r="G139" s="1">
        <v>15504763</v>
      </c>
    </row>
    <row r="140" spans="1:10" x14ac:dyDescent="0.25">
      <c r="A140" s="1" t="str">
        <f t="shared" si="2"/>
        <v>5</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40" s="1" t="s">
        <v>1384</v>
      </c>
      <c r="D140" s="1" t="s">
        <v>1385</v>
      </c>
      <c r="E140" s="1" t="s">
        <v>1386</v>
      </c>
      <c r="F140" s="1" t="s">
        <v>112</v>
      </c>
      <c r="G140" s="1">
        <v>20552618</v>
      </c>
    </row>
    <row r="141" spans="1:10" x14ac:dyDescent="0.25">
      <c r="A141" s="1" t="str">
        <f t="shared" si="2"/>
        <v>5</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41" s="1" t="s">
        <v>1387</v>
      </c>
      <c r="D141" s="1" t="s">
        <v>1388</v>
      </c>
      <c r="E141" s="1" t="s">
        <v>1389</v>
      </c>
      <c r="F141" s="1" t="s">
        <v>112</v>
      </c>
      <c r="G141" s="1">
        <v>10816526</v>
      </c>
    </row>
    <row r="142" spans="1:10" x14ac:dyDescent="0.25">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2" s="1" t="s">
        <v>112</v>
      </c>
    </row>
    <row r="143" spans="1:10" x14ac:dyDescent="0.25">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3" s="1" t="s">
        <v>183</v>
      </c>
      <c r="D143" s="1" t="s">
        <v>112</v>
      </c>
      <c r="E143" s="1" t="s">
        <v>184</v>
      </c>
      <c r="F143" s="1" t="s">
        <v>185</v>
      </c>
      <c r="G143" s="1" t="s">
        <v>186</v>
      </c>
      <c r="H143" s="1" t="s">
        <v>187</v>
      </c>
      <c r="I143" s="1" t="s">
        <v>188</v>
      </c>
      <c r="J143" s="1" t="s">
        <v>189</v>
      </c>
    </row>
    <row r="144" spans="1:10" x14ac:dyDescent="0.25">
      <c r="A144" s="1" t="str">
        <f t="shared" si="2"/>
        <v>5</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44" s="1" t="s">
        <v>1390</v>
      </c>
      <c r="D144" s="1" t="s">
        <v>112</v>
      </c>
      <c r="E144" s="1" t="s">
        <v>1391</v>
      </c>
      <c r="F144" s="1" t="s">
        <v>1392</v>
      </c>
      <c r="G144" s="1" t="s">
        <v>1393</v>
      </c>
      <c r="H144" s="1" t="s">
        <v>1394</v>
      </c>
      <c r="I144" s="1">
        <v>7</v>
      </c>
      <c r="J144" s="1">
        <v>7</v>
      </c>
    </row>
    <row r="145" spans="1:10" x14ac:dyDescent="0.25">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5" s="1" t="s">
        <v>112</v>
      </c>
    </row>
    <row r="146" spans="1:10" x14ac:dyDescent="0.25">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6" s="1" t="s">
        <v>112</v>
      </c>
    </row>
    <row r="147" spans="1:10" x14ac:dyDescent="0.25">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7" s="1" t="s">
        <v>112</v>
      </c>
    </row>
    <row r="148" spans="1:10" x14ac:dyDescent="0.25">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8" s="1" t="s">
        <v>112</v>
      </c>
    </row>
    <row r="149" spans="1:10" x14ac:dyDescent="0.25">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49" s="1" t="s">
        <v>112</v>
      </c>
    </row>
    <row r="150" spans="1:10" x14ac:dyDescent="0.25">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0" s="1" t="s">
        <v>167</v>
      </c>
      <c r="D150" s="1" t="s">
        <v>110</v>
      </c>
      <c r="E150" s="1" t="s">
        <v>111</v>
      </c>
      <c r="F150" s="1" t="s">
        <v>112</v>
      </c>
      <c r="G150" s="1" t="s">
        <v>113</v>
      </c>
    </row>
    <row r="151" spans="1:10" x14ac:dyDescent="0.25">
      <c r="A151" s="1" t="str">
        <f t="shared" si="2"/>
        <v>6</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51" s="1" t="s">
        <v>1395</v>
      </c>
      <c r="D151" s="1" t="s">
        <v>1396</v>
      </c>
      <c r="E151" s="1" t="s">
        <v>1397</v>
      </c>
      <c r="F151" s="1" t="s">
        <v>112</v>
      </c>
      <c r="G151" s="1">
        <v>20350616</v>
      </c>
    </row>
    <row r="152" spans="1:10" x14ac:dyDescent="0.25">
      <c r="A152" s="1" t="str">
        <f t="shared" si="2"/>
        <v>6</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52" s="1" t="s">
        <v>1398</v>
      </c>
      <c r="D152" s="1" t="s">
        <v>1399</v>
      </c>
      <c r="E152" s="1" t="s">
        <v>1400</v>
      </c>
      <c r="F152" s="1" t="s">
        <v>112</v>
      </c>
      <c r="G152" s="1">
        <v>27411912</v>
      </c>
    </row>
    <row r="153" spans="1:10" x14ac:dyDescent="0.25">
      <c r="A153" s="1" t="str">
        <f t="shared" si="2"/>
        <v>6</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53" s="1" t="s">
        <v>1401</v>
      </c>
      <c r="D153" s="1" t="s">
        <v>1402</v>
      </c>
      <c r="E153" s="1" t="s">
        <v>1403</v>
      </c>
      <c r="F153" s="1" t="s">
        <v>112</v>
      </c>
      <c r="G153" s="1">
        <v>17293360</v>
      </c>
    </row>
    <row r="154" spans="1:10" x14ac:dyDescent="0.25">
      <c r="A154" s="1" t="str">
        <f t="shared" si="2"/>
        <v>6</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54" s="1" t="s">
        <v>1404</v>
      </c>
      <c r="D154" s="1" t="s">
        <v>1405</v>
      </c>
      <c r="E154" s="1" t="s">
        <v>1406</v>
      </c>
      <c r="F154" s="1" t="s">
        <v>112</v>
      </c>
      <c r="G154" s="1">
        <v>15776824</v>
      </c>
    </row>
    <row r="155" spans="1:10" x14ac:dyDescent="0.25">
      <c r="A155" s="1" t="str">
        <f t="shared" si="2"/>
        <v>6</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55" s="1" t="s">
        <v>1407</v>
      </c>
      <c r="D155" s="1" t="s">
        <v>1408</v>
      </c>
      <c r="E155" s="1" t="s">
        <v>1409</v>
      </c>
      <c r="F155" s="1" t="s">
        <v>112</v>
      </c>
      <c r="G155" s="1">
        <v>17569769</v>
      </c>
    </row>
    <row r="156" spans="1:10" x14ac:dyDescent="0.25">
      <c r="A156" s="1" t="str">
        <f t="shared" si="2"/>
        <v>6</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56" s="1" t="s">
        <v>1410</v>
      </c>
      <c r="D156" s="1" t="s">
        <v>1411</v>
      </c>
      <c r="E156" s="1" t="s">
        <v>1412</v>
      </c>
      <c r="F156" s="1" t="s">
        <v>112</v>
      </c>
      <c r="G156" s="1">
        <v>20637883</v>
      </c>
    </row>
    <row r="157" spans="1:10" x14ac:dyDescent="0.25">
      <c r="A157" s="1" t="str">
        <f t="shared" si="2"/>
        <v>6</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57" s="1" t="s">
        <v>1413</v>
      </c>
      <c r="D157" s="1" t="s">
        <v>1414</v>
      </c>
      <c r="E157" s="1" t="s">
        <v>1415</v>
      </c>
      <c r="F157" s="1" t="s">
        <v>112</v>
      </c>
      <c r="G157" s="1">
        <v>22499287</v>
      </c>
    </row>
    <row r="158" spans="1:10" x14ac:dyDescent="0.25">
      <c r="A158" s="1" t="str">
        <f t="shared" si="2"/>
        <v>6</v>
      </c>
      <c r="B1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58" s="1" t="s">
        <v>1416</v>
      </c>
      <c r="D158" s="1" t="s">
        <v>1417</v>
      </c>
      <c r="E158" s="1" t="s">
        <v>1418</v>
      </c>
      <c r="F158" s="1" t="s">
        <v>112</v>
      </c>
      <c r="G158" s="1">
        <v>18019908</v>
      </c>
    </row>
    <row r="159" spans="1:10" x14ac:dyDescent="0.2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112</v>
      </c>
    </row>
    <row r="160" spans="1:10" x14ac:dyDescent="0.25">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0" s="1" t="s">
        <v>183</v>
      </c>
      <c r="D160" s="1" t="s">
        <v>112</v>
      </c>
      <c r="E160" s="1" t="s">
        <v>184</v>
      </c>
      <c r="F160" s="1" t="s">
        <v>185</v>
      </c>
      <c r="G160" s="1" t="s">
        <v>186</v>
      </c>
      <c r="H160" s="1" t="s">
        <v>187</v>
      </c>
      <c r="I160" s="1" t="s">
        <v>188</v>
      </c>
      <c r="J160" s="1" t="s">
        <v>189</v>
      </c>
    </row>
    <row r="161" spans="1:10" x14ac:dyDescent="0.25">
      <c r="A161" s="1" t="str">
        <f t="shared" si="2"/>
        <v>6</v>
      </c>
      <c r="B1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1" s="1" t="s">
        <v>1419</v>
      </c>
      <c r="D161" s="1" t="s">
        <v>112</v>
      </c>
      <c r="E161" s="1" t="s">
        <v>1420</v>
      </c>
      <c r="F161" s="1" t="s">
        <v>1421</v>
      </c>
      <c r="G161" s="1" t="s">
        <v>1422</v>
      </c>
      <c r="H161" s="1" t="s">
        <v>1423</v>
      </c>
      <c r="I161" s="1">
        <v>8</v>
      </c>
      <c r="J161" s="1">
        <v>8</v>
      </c>
    </row>
    <row r="162" spans="1:10" x14ac:dyDescent="0.2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10" x14ac:dyDescent="0.2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10" x14ac:dyDescent="0.2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10" x14ac:dyDescent="0.2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10" x14ac:dyDescent="0.2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112</v>
      </c>
    </row>
    <row r="167" spans="1:10" x14ac:dyDescent="0.25">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7" s="1" t="s">
        <v>167</v>
      </c>
      <c r="D167" s="1" t="s">
        <v>110</v>
      </c>
      <c r="E167" s="1" t="s">
        <v>111</v>
      </c>
      <c r="F167" s="1" t="s">
        <v>112</v>
      </c>
      <c r="G167" s="1" t="s">
        <v>113</v>
      </c>
    </row>
    <row r="168" spans="1:10" x14ac:dyDescent="0.25">
      <c r="A168" s="1" t="str">
        <f t="shared" si="2"/>
        <v>7</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68" s="1" t="s">
        <v>1424</v>
      </c>
      <c r="D168" s="1" t="s">
        <v>1425</v>
      </c>
      <c r="E168" s="1" t="s">
        <v>1426</v>
      </c>
      <c r="F168" s="1" t="s">
        <v>112</v>
      </c>
      <c r="G168" s="1">
        <v>21764324</v>
      </c>
    </row>
    <row r="169" spans="1:10" x14ac:dyDescent="0.25">
      <c r="A169" s="1" t="str">
        <f t="shared" si="2"/>
        <v>7</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69" s="1" t="s">
        <v>1427</v>
      </c>
      <c r="D169" s="1" t="s">
        <v>1428</v>
      </c>
      <c r="E169" s="1" t="s">
        <v>1429</v>
      </c>
      <c r="F169" s="1" t="s">
        <v>112</v>
      </c>
      <c r="G169" s="1">
        <v>23878409</v>
      </c>
    </row>
    <row r="170" spans="1:10" x14ac:dyDescent="0.25">
      <c r="A170" s="1" t="str">
        <f t="shared" si="2"/>
        <v>7</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70" s="1" t="s">
        <v>1430</v>
      </c>
      <c r="D170" s="1" t="s">
        <v>1431</v>
      </c>
      <c r="E170" s="1" t="s">
        <v>1432</v>
      </c>
      <c r="F170" s="1" t="s">
        <v>112</v>
      </c>
      <c r="G170" s="1">
        <v>14570221</v>
      </c>
    </row>
    <row r="171" spans="1:10" x14ac:dyDescent="0.25">
      <c r="A171" s="1" t="str">
        <f t="shared" si="2"/>
        <v>7</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71" s="1" t="s">
        <v>1433</v>
      </c>
      <c r="D171" s="1" t="s">
        <v>1434</v>
      </c>
      <c r="E171" s="1" t="s">
        <v>1435</v>
      </c>
      <c r="F171" s="1" t="s">
        <v>112</v>
      </c>
      <c r="G171" s="1">
        <v>26833074</v>
      </c>
    </row>
    <row r="172" spans="1:10" x14ac:dyDescent="0.25">
      <c r="A172" s="1" t="str">
        <f t="shared" si="2"/>
        <v>7</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72" s="1" t="s">
        <v>1436</v>
      </c>
      <c r="D172" s="1" t="s">
        <v>1437</v>
      </c>
      <c r="E172" s="1" t="s">
        <v>1438</v>
      </c>
      <c r="F172" s="1" t="s">
        <v>112</v>
      </c>
      <c r="G172" s="1">
        <v>21107014</v>
      </c>
    </row>
    <row r="173" spans="1:10" x14ac:dyDescent="0.25">
      <c r="A173" s="1" t="str">
        <f t="shared" si="2"/>
        <v>7</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0</v>
      </c>
      <c r="C173" s="1" t="s">
        <v>1439</v>
      </c>
      <c r="D173" s="1" t="s">
        <v>1440</v>
      </c>
      <c r="E173" s="1" t="s">
        <v>1441</v>
      </c>
      <c r="F173" s="1" t="s">
        <v>112</v>
      </c>
      <c r="G173" s="1">
        <v>21268957</v>
      </c>
    </row>
    <row r="174" spans="1:10" x14ac:dyDescent="0.25">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74" s="1" t="s">
        <v>112</v>
      </c>
    </row>
    <row r="175" spans="1:10" x14ac:dyDescent="0.25">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75" s="1" t="s">
        <v>183</v>
      </c>
      <c r="D175" s="1" t="s">
        <v>112</v>
      </c>
      <c r="E175" s="1" t="s">
        <v>184</v>
      </c>
      <c r="F175" s="1" t="s">
        <v>185</v>
      </c>
      <c r="G175" s="1" t="s">
        <v>186</v>
      </c>
      <c r="H175" s="1" t="s">
        <v>187</v>
      </c>
      <c r="I175" s="1" t="s">
        <v>188</v>
      </c>
      <c r="J175" s="1" t="s">
        <v>189</v>
      </c>
    </row>
    <row r="176" spans="1:10" x14ac:dyDescent="0.25">
      <c r="A176" s="1" t="str">
        <f t="shared" si="2"/>
        <v>7</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76" s="1" t="s">
        <v>1442</v>
      </c>
      <c r="D176" s="1" t="s">
        <v>112</v>
      </c>
      <c r="E176" s="1" t="s">
        <v>1443</v>
      </c>
      <c r="F176" s="1" t="s">
        <v>1444</v>
      </c>
      <c r="G176" s="1" t="s">
        <v>1445</v>
      </c>
      <c r="H176" s="1" t="s">
        <v>1446</v>
      </c>
      <c r="I176" s="1">
        <v>6</v>
      </c>
      <c r="J176" s="1">
        <v>6</v>
      </c>
    </row>
    <row r="177" spans="1:2" x14ac:dyDescent="0.25">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25">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25">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25">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25">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25">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25">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25">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25">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25">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25">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25">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25">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25">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2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2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25">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2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2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2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2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2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2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2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25">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25">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25">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25">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25">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25">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25">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25">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25">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25">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25">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25">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25">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25">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25">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25">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25">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25">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25">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25">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25">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25">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25">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2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2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25">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2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2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2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2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2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2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25">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25">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25">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25">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25">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25">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25">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25">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25">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25">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25">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25">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25">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25">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25">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25">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25">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25">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25">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25">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25">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25">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25">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25">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2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2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25">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2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2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2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2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2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2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25">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25">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25">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25">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25">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25">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25">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25">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25">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25">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25">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25">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25">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25">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25">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25">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25">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25">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25">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25">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25">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25">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25">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25">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2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2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25">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2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2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2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2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2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2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25">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25">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25">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25">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25">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25">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25">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25">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25">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25">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25">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25">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25">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25">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25">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25">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25">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25">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25">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25">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25">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25">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25">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25">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2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2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2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2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2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2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2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2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2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25">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25">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25">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25">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25">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25">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25">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25">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25">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25">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25">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25">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25">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25">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25">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25">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25">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25">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25">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25">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25">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25">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25">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25">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2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2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25">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2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2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2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2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2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2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25">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25">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25">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25">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25">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25">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25">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25">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25">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25">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25">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25">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25">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25">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25">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25">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25">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25">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25">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25">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25">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25">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25">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25">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2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2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25">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2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2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2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2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2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2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25">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25">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25">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25">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25">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25">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25">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25">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25">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25">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25">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25">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25">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25">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25">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25">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25">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25">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25">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25">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25">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25">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25">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25">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2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2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25">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2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2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2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2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2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2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2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25">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25">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25">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25">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25">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25">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25">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25">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25">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25">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25">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25">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25">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25">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25">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25">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25">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25">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25">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25">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25">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25">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25">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2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2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2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2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2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2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2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2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2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2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25">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25">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25">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25">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25">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25">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25">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25">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25">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25">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25">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25">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25">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25">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25">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25">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25">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25">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25">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25">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25">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25">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25">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2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2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2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2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2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2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2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2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2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25">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25">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25">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25">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25">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25">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25">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25">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25">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25">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25">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25">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25">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25">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25">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25">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25">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25">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25">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25">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25">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25">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25">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25">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2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2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25">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2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2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2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2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2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2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2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25">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25">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25">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25">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25">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25">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25">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25">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25">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25">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25">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25">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25">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25">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25">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25">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25">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25">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25">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25">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25">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25">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25">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2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2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2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2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2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2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2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2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2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2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25">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25">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25">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25">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25">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25">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25">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25">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25">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25">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25">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25">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25">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25">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25">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25">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25">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25">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25">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25">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25">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25">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25">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2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2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2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2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2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2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2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2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2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25">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25">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25">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25">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25">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25">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25">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25">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25">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25">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25">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25">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25">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25">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25">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25">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25">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25">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25">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25">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25">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25">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25">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25">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2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2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25">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2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2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2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2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2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2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25">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25">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25">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25">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25">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25">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25">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25">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25">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25">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25">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25">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25">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25">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25">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25">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25">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25">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25">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25">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25">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25">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25">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25">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2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2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25">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2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2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2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2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2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2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25">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25">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25">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25">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25">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25">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25">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25">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25">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25">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25">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25">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25">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25">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25">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25">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25">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25">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25">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25">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25">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25">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25">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25">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2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2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25">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2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2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2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2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2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2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2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2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2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2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2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2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2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2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2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2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2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2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2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2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2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2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2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2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2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2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2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2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2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2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2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2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2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2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2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2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2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2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2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2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2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2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2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2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2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2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2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2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2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2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2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2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2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2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2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2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2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2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2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2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2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2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2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2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2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2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2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2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2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2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2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2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2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2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2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2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2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2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2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2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2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2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2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2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2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2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2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2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2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2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2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2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2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2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2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2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2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2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2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2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2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2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2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2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2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2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2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2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2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2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2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2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2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2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2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2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2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2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2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2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2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2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2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2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2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2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2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2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2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2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2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2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2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2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2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2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2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2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2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2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2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2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2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2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2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2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2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2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2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2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2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2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2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2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2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2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2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2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2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2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2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2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2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2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2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2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2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2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2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2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2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2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2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2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2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2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2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2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2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2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2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2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2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2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2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2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2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2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2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2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2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2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2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2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2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2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2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2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2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2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2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2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2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2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2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2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2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2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2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2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2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2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2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2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2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2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2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2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2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2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2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2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2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2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2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2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2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2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2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2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2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2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2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2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2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2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2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2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2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2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2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2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2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2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2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2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2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2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2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2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2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2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2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2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2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2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2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2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2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2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2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2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2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2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2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2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2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2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2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2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2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2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2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2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2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2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2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2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2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2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2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2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2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2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2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2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2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2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2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2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2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2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2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2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2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2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2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2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2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2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2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2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2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2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2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2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2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2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2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2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2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2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2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2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2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2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2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2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2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2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2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2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25">
      <c r="A1011" s="1" t="str">
        <f t="shared" si="15"/>
        <v/>
      </c>
      <c r="B10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25">
      <c r="A1012" s="1" t="str">
        <f t="shared" si="15"/>
        <v/>
      </c>
      <c r="B10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25">
      <c r="A1013" s="1" t="str">
        <f t="shared" si="15"/>
        <v/>
      </c>
      <c r="B10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25">
      <c r="A1014" s="1" t="str">
        <f t="shared" si="15"/>
        <v/>
      </c>
      <c r="B10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25">
      <c r="A1015" s="1" t="str">
        <f t="shared" si="15"/>
        <v/>
      </c>
      <c r="B10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25">
      <c r="A1016" s="1" t="str">
        <f t="shared" si="15"/>
        <v/>
      </c>
      <c r="B10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25">
      <c r="A1017" s="1" t="str">
        <f t="shared" si="15"/>
        <v/>
      </c>
      <c r="B10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25">
      <c r="A1018" s="1" t="str">
        <f t="shared" si="15"/>
        <v/>
      </c>
      <c r="B10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25">
      <c r="A1019" s="1" t="str">
        <f t="shared" si="15"/>
        <v/>
      </c>
      <c r="B10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25">
      <c r="A1020" s="1" t="str">
        <f t="shared" si="15"/>
        <v/>
      </c>
      <c r="B10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25">
      <c r="A1021" s="1" t="str">
        <f t="shared" si="15"/>
        <v/>
      </c>
      <c r="B10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25">
      <c r="A1022" s="1" t="str">
        <f t="shared" si="15"/>
        <v/>
      </c>
      <c r="B10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25">
      <c r="A1023" s="1" t="str">
        <f t="shared" si="15"/>
        <v/>
      </c>
      <c r="B10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25">
      <c r="A1024" s="1" t="str">
        <f t="shared" si="15"/>
        <v/>
      </c>
      <c r="B10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25">
      <c r="A1025" s="1" t="str">
        <f t="shared" si="15"/>
        <v/>
      </c>
      <c r="B10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25">
      <c r="A1026" s="1" t="str">
        <f t="shared" ref="A1026:A1089" si="16">IFERROR(LEFT(RIGHT(C1026,LEN(C1026)-SEARCH("@",C1026)),SEARCH("/",RIGHT(C1026,LEN(C1026)-SEARCH("@",C1026)-1))),"")</f>
        <v/>
      </c>
      <c r="B10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25">
      <c r="A1027" s="1" t="str">
        <f t="shared" si="16"/>
        <v/>
      </c>
      <c r="B10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25">
      <c r="A1028" s="1" t="str">
        <f t="shared" si="16"/>
        <v/>
      </c>
      <c r="B10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25">
      <c r="A1029" s="1" t="str">
        <f t="shared" si="16"/>
        <v/>
      </c>
      <c r="B10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25">
      <c r="A1030" s="1" t="str">
        <f t="shared" si="16"/>
        <v/>
      </c>
      <c r="B10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25">
      <c r="A1031" s="1" t="str">
        <f t="shared" si="16"/>
        <v/>
      </c>
      <c r="B10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25">
      <c r="A1032" s="1" t="str">
        <f t="shared" si="16"/>
        <v/>
      </c>
      <c r="B10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25">
      <c r="A1033" s="1" t="str">
        <f t="shared" si="16"/>
        <v/>
      </c>
      <c r="B10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25">
      <c r="A1034" s="1" t="str">
        <f t="shared" si="16"/>
        <v/>
      </c>
      <c r="B10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25">
      <c r="A1035" s="1" t="str">
        <f t="shared" si="16"/>
        <v/>
      </c>
      <c r="B10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25">
      <c r="A1036" s="1" t="str">
        <f t="shared" si="16"/>
        <v/>
      </c>
      <c r="B10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25">
      <c r="A1037" s="1" t="str">
        <f t="shared" si="16"/>
        <v/>
      </c>
      <c r="B10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25">
      <c r="A1038" s="1" t="str">
        <f t="shared" si="16"/>
        <v/>
      </c>
      <c r="B10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25">
      <c r="A1039" s="1" t="str">
        <f t="shared" si="16"/>
        <v/>
      </c>
      <c r="B10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25">
      <c r="A1040" s="1" t="str">
        <f t="shared" si="16"/>
        <v/>
      </c>
      <c r="B10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25">
      <c r="A1041" s="1" t="str">
        <f t="shared" si="16"/>
        <v/>
      </c>
      <c r="B10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25">
      <c r="A1042" s="1" t="str">
        <f t="shared" si="16"/>
        <v/>
      </c>
      <c r="B10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25">
      <c r="A1043" s="1" t="str">
        <f t="shared" si="16"/>
        <v/>
      </c>
      <c r="B10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25">
      <c r="A1044" s="1" t="str">
        <f t="shared" si="16"/>
        <v/>
      </c>
      <c r="B10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25">
      <c r="A1045" s="1" t="str">
        <f t="shared" si="16"/>
        <v/>
      </c>
      <c r="B10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25">
      <c r="A1046" s="1" t="str">
        <f t="shared" si="16"/>
        <v/>
      </c>
      <c r="B10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25">
      <c r="A1047" s="1" t="str">
        <f t="shared" si="16"/>
        <v/>
      </c>
      <c r="B10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25">
      <c r="A1048" s="1" t="str">
        <f t="shared" si="16"/>
        <v/>
      </c>
      <c r="B10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25">
      <c r="A1049" s="1" t="str">
        <f t="shared" si="16"/>
        <v/>
      </c>
      <c r="B10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25">
      <c r="A1050" s="1" t="str">
        <f t="shared" si="16"/>
        <v/>
      </c>
      <c r="B10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25">
      <c r="A1051" s="1" t="str">
        <f t="shared" si="16"/>
        <v/>
      </c>
      <c r="B10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25">
      <c r="A1052" s="1" t="str">
        <f t="shared" si="16"/>
        <v/>
      </c>
      <c r="B10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25">
      <c r="A1053" s="1" t="str">
        <f t="shared" si="16"/>
        <v/>
      </c>
      <c r="B10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25">
      <c r="A1054" s="1" t="str">
        <f t="shared" si="16"/>
        <v/>
      </c>
      <c r="B10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25">
      <c r="A1055" s="1" t="str">
        <f t="shared" si="16"/>
        <v/>
      </c>
      <c r="B10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25">
      <c r="A1056" s="1" t="str">
        <f t="shared" si="16"/>
        <v/>
      </c>
      <c r="B10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25">
      <c r="A1057" s="1" t="str">
        <f t="shared" si="16"/>
        <v/>
      </c>
      <c r="B10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25">
      <c r="A1058" s="1" t="str">
        <f t="shared" si="16"/>
        <v/>
      </c>
      <c r="B10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25">
      <c r="A1059" s="1" t="str">
        <f t="shared" si="16"/>
        <v/>
      </c>
      <c r="B10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25">
      <c r="A1060" s="1" t="str">
        <f t="shared" si="16"/>
        <v/>
      </c>
      <c r="B10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25">
      <c r="A1061" s="1" t="str">
        <f t="shared" si="16"/>
        <v/>
      </c>
      <c r="B10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25">
      <c r="A1062" s="1" t="str">
        <f t="shared" si="16"/>
        <v/>
      </c>
      <c r="B10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25">
      <c r="A1063" s="1" t="str">
        <f t="shared" si="16"/>
        <v/>
      </c>
      <c r="B10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25">
      <c r="A1064" s="1" t="str">
        <f t="shared" si="16"/>
        <v/>
      </c>
      <c r="B10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25">
      <c r="A1065" s="1" t="str">
        <f t="shared" si="16"/>
        <v/>
      </c>
      <c r="B10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25">
      <c r="A1066" s="1" t="str">
        <f t="shared" si="16"/>
        <v/>
      </c>
      <c r="B10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25">
      <c r="A1067" s="1" t="str">
        <f t="shared" si="16"/>
        <v/>
      </c>
      <c r="B10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25">
      <c r="A1068" s="1" t="str">
        <f t="shared" si="16"/>
        <v/>
      </c>
      <c r="B10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25">
      <c r="A1069" s="1" t="str">
        <f t="shared" si="16"/>
        <v/>
      </c>
      <c r="B10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25">
      <c r="A1070" s="1" t="str">
        <f t="shared" si="16"/>
        <v/>
      </c>
      <c r="B10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25">
      <c r="A1071" s="1" t="str">
        <f t="shared" si="16"/>
        <v/>
      </c>
      <c r="B10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25">
      <c r="A1072" s="1" t="str">
        <f t="shared" si="16"/>
        <v/>
      </c>
      <c r="B10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25">
      <c r="A1073" s="1" t="str">
        <f t="shared" si="16"/>
        <v/>
      </c>
      <c r="B10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25">
      <c r="A1074" s="1" t="str">
        <f t="shared" si="16"/>
        <v/>
      </c>
      <c r="B10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25">
      <c r="A1075" s="1" t="str">
        <f t="shared" si="16"/>
        <v/>
      </c>
      <c r="B10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25">
      <c r="A1076" s="1" t="str">
        <f t="shared" si="16"/>
        <v/>
      </c>
      <c r="B10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25">
      <c r="A1077" s="1" t="str">
        <f t="shared" si="16"/>
        <v/>
      </c>
      <c r="B10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25">
      <c r="A1078" s="1" t="str">
        <f t="shared" si="16"/>
        <v/>
      </c>
      <c r="B10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25">
      <c r="A1079" s="1" t="str">
        <f t="shared" si="16"/>
        <v/>
      </c>
      <c r="B10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25">
      <c r="A1080" s="1" t="str">
        <f t="shared" si="16"/>
        <v/>
      </c>
      <c r="B10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25">
      <c r="A1081" s="1" t="str">
        <f t="shared" si="16"/>
        <v/>
      </c>
      <c r="B10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25">
      <c r="A1082" s="1" t="str">
        <f t="shared" si="16"/>
        <v/>
      </c>
      <c r="B10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25">
      <c r="A1083" s="1" t="str">
        <f t="shared" si="16"/>
        <v/>
      </c>
      <c r="B10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25">
      <c r="A1084" s="1" t="str">
        <f t="shared" si="16"/>
        <v/>
      </c>
      <c r="B10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25">
      <c r="A1085" s="1" t="str">
        <f t="shared" si="16"/>
        <v/>
      </c>
      <c r="B10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25">
      <c r="A1086" s="1" t="str">
        <f t="shared" si="16"/>
        <v/>
      </c>
      <c r="B10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25">
      <c r="A1087" s="1" t="str">
        <f t="shared" si="16"/>
        <v/>
      </c>
      <c r="B10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25">
      <c r="A1088" s="1" t="str">
        <f t="shared" si="16"/>
        <v/>
      </c>
      <c r="B10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25">
      <c r="A1089" s="1" t="str">
        <f t="shared" si="16"/>
        <v/>
      </c>
      <c r="B10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25">
      <c r="A1090" s="1" t="str">
        <f t="shared" ref="A1090:A1153" si="17">IFERROR(LEFT(RIGHT(C1090,LEN(C1090)-SEARCH("@",C1090)),SEARCH("/",RIGHT(C1090,LEN(C1090)-SEARCH("@",C1090)-1))),"")</f>
        <v/>
      </c>
      <c r="B10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25">
      <c r="A1091" s="1" t="str">
        <f t="shared" si="17"/>
        <v/>
      </c>
      <c r="B10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25">
      <c r="A1092" s="1" t="str">
        <f t="shared" si="17"/>
        <v/>
      </c>
      <c r="B10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25">
      <c r="A1093" s="1" t="str">
        <f t="shared" si="17"/>
        <v/>
      </c>
      <c r="B10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25">
      <c r="A1094" s="1" t="str">
        <f t="shared" si="17"/>
        <v/>
      </c>
      <c r="B10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25">
      <c r="A1095" s="1" t="str">
        <f t="shared" si="17"/>
        <v/>
      </c>
      <c r="B10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25">
      <c r="A1096" s="1" t="str">
        <f t="shared" si="17"/>
        <v/>
      </c>
      <c r="B10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25">
      <c r="A1097" s="1" t="str">
        <f t="shared" si="17"/>
        <v/>
      </c>
      <c r="B10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25">
      <c r="A1098" s="1" t="str">
        <f t="shared" si="17"/>
        <v/>
      </c>
      <c r="B10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25">
      <c r="A1099" s="1" t="str">
        <f t="shared" si="17"/>
        <v/>
      </c>
      <c r="B10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25">
      <c r="A1100" s="1" t="str">
        <f t="shared" si="17"/>
        <v/>
      </c>
      <c r="B11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25">
      <c r="A1101" s="1" t="str">
        <f t="shared" si="17"/>
        <v/>
      </c>
      <c r="B11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25">
      <c r="A1102" s="1" t="str">
        <f t="shared" si="17"/>
        <v/>
      </c>
      <c r="B11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25">
      <c r="A1103" s="1" t="str">
        <f t="shared" si="17"/>
        <v/>
      </c>
      <c r="B11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25">
      <c r="A1104" s="1" t="str">
        <f t="shared" si="17"/>
        <v/>
      </c>
      <c r="B11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25">
      <c r="A1105" s="1" t="str">
        <f t="shared" si="17"/>
        <v/>
      </c>
      <c r="B11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25">
      <c r="A1106" s="1" t="str">
        <f t="shared" si="17"/>
        <v/>
      </c>
      <c r="B11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25">
      <c r="A1107" s="1" t="str">
        <f t="shared" si="17"/>
        <v/>
      </c>
      <c r="B11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25">
      <c r="A1108" s="1" t="str">
        <f t="shared" si="17"/>
        <v/>
      </c>
      <c r="B11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25">
      <c r="A1109" s="1" t="str">
        <f t="shared" si="17"/>
        <v/>
      </c>
      <c r="B11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25">
      <c r="A1110" s="1" t="str">
        <f t="shared" si="17"/>
        <v/>
      </c>
      <c r="B11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25">
      <c r="A1111" s="1" t="str">
        <f t="shared" si="17"/>
        <v/>
      </c>
      <c r="B11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25">
      <c r="A1112" s="1" t="str">
        <f t="shared" si="17"/>
        <v/>
      </c>
      <c r="B11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25">
      <c r="A1113" s="1" t="str">
        <f t="shared" si="17"/>
        <v/>
      </c>
      <c r="B11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25">
      <c r="A1114" s="1" t="str">
        <f t="shared" si="17"/>
        <v/>
      </c>
      <c r="B11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25">
      <c r="A1115" s="1" t="str">
        <f t="shared" si="17"/>
        <v/>
      </c>
      <c r="B11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25">
      <c r="A1116" s="1" t="str">
        <f t="shared" si="17"/>
        <v/>
      </c>
      <c r="B11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25">
      <c r="A1117" s="1" t="str">
        <f t="shared" si="17"/>
        <v/>
      </c>
      <c r="B11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25">
      <c r="A1118" s="1" t="str">
        <f t="shared" si="17"/>
        <v/>
      </c>
      <c r="B11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25">
      <c r="A1119" s="1" t="str">
        <f t="shared" si="17"/>
        <v/>
      </c>
      <c r="B11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25">
      <c r="A1120" s="1" t="str">
        <f t="shared" si="17"/>
        <v/>
      </c>
      <c r="B11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25">
      <c r="A1121" s="1" t="str">
        <f t="shared" si="17"/>
        <v/>
      </c>
      <c r="B11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25">
      <c r="A1122" s="1" t="str">
        <f t="shared" si="17"/>
        <v/>
      </c>
      <c r="B11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25">
      <c r="A1123" s="1" t="str">
        <f t="shared" si="17"/>
        <v/>
      </c>
      <c r="B11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25">
      <c r="A1124" s="1" t="str">
        <f t="shared" si="17"/>
        <v/>
      </c>
      <c r="B11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25">
      <c r="A1125" s="1" t="str">
        <f t="shared" si="17"/>
        <v/>
      </c>
      <c r="B11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25">
      <c r="A1126" s="1" t="str">
        <f t="shared" si="17"/>
        <v/>
      </c>
      <c r="B11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25">
      <c r="A1127" s="1" t="str">
        <f t="shared" si="17"/>
        <v/>
      </c>
      <c r="B11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25">
      <c r="A1128" s="1" t="str">
        <f t="shared" si="17"/>
        <v/>
      </c>
      <c r="B11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25">
      <c r="A1129" s="1" t="str">
        <f t="shared" si="17"/>
        <v/>
      </c>
      <c r="B11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25">
      <c r="A1130" s="1" t="str">
        <f t="shared" si="17"/>
        <v/>
      </c>
      <c r="B11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25">
      <c r="A1131" s="1" t="str">
        <f t="shared" si="17"/>
        <v/>
      </c>
      <c r="B11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25">
      <c r="A1132" s="1" t="str">
        <f t="shared" si="17"/>
        <v/>
      </c>
      <c r="B11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25">
      <c r="A1133" s="1" t="str">
        <f t="shared" si="17"/>
        <v/>
      </c>
      <c r="B11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25">
      <c r="A1134" s="1" t="str">
        <f t="shared" si="17"/>
        <v/>
      </c>
      <c r="B11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25">
      <c r="A1135" s="1" t="str">
        <f t="shared" si="17"/>
        <v/>
      </c>
      <c r="B11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25">
      <c r="A1136" s="1" t="str">
        <f t="shared" si="17"/>
        <v/>
      </c>
      <c r="B11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25">
      <c r="A1137" s="1" t="str">
        <f t="shared" si="17"/>
        <v/>
      </c>
      <c r="B11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25">
      <c r="A1138" s="1" t="str">
        <f t="shared" si="17"/>
        <v/>
      </c>
      <c r="B11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25">
      <c r="A1139" s="1" t="str">
        <f t="shared" si="17"/>
        <v/>
      </c>
      <c r="B11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25">
      <c r="A1140" s="1" t="str">
        <f t="shared" si="17"/>
        <v/>
      </c>
      <c r="B11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25">
      <c r="A1141" s="1" t="str">
        <f t="shared" si="17"/>
        <v/>
      </c>
      <c r="B11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25">
      <c r="A1142" s="1" t="str">
        <f t="shared" si="17"/>
        <v/>
      </c>
      <c r="B11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25">
      <c r="A1143" s="1" t="str">
        <f t="shared" si="17"/>
        <v/>
      </c>
      <c r="B11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25">
      <c r="A1144" s="1" t="str">
        <f t="shared" si="17"/>
        <v/>
      </c>
      <c r="B11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25">
      <c r="A1145" s="1" t="str">
        <f t="shared" si="17"/>
        <v/>
      </c>
      <c r="B11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25">
      <c r="A1146" s="1" t="str">
        <f t="shared" si="17"/>
        <v/>
      </c>
      <c r="B11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25">
      <c r="A1147" s="1" t="str">
        <f t="shared" si="17"/>
        <v/>
      </c>
      <c r="B11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25">
      <c r="A1148" s="1" t="str">
        <f t="shared" si="17"/>
        <v/>
      </c>
      <c r="B11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25">
      <c r="A1149" s="1" t="str">
        <f t="shared" si="17"/>
        <v/>
      </c>
      <c r="B11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25">
      <c r="A1150" s="1" t="str">
        <f t="shared" si="17"/>
        <v/>
      </c>
      <c r="B11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25">
      <c r="A1151" s="1" t="str">
        <f t="shared" si="17"/>
        <v/>
      </c>
      <c r="B11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25">
      <c r="A1152" s="1" t="str">
        <f t="shared" si="17"/>
        <v/>
      </c>
      <c r="B11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25">
      <c r="A1153" s="1" t="str">
        <f t="shared" si="17"/>
        <v/>
      </c>
      <c r="B11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25">
      <c r="A1154" s="1" t="str">
        <f t="shared" ref="A1154:A1217" si="18">IFERROR(LEFT(RIGHT(C1154,LEN(C1154)-SEARCH("@",C1154)),SEARCH("/",RIGHT(C1154,LEN(C1154)-SEARCH("@",C1154)-1))),"")</f>
        <v/>
      </c>
      <c r="B11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25">
      <c r="A1155" s="1" t="str">
        <f t="shared" si="18"/>
        <v/>
      </c>
      <c r="B11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25">
      <c r="A1156" s="1" t="str">
        <f t="shared" si="18"/>
        <v/>
      </c>
      <c r="B11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25">
      <c r="A1157" s="1" t="str">
        <f t="shared" si="18"/>
        <v/>
      </c>
      <c r="B11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25">
      <c r="A1158" s="1" t="str">
        <f t="shared" si="18"/>
        <v/>
      </c>
      <c r="B11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25">
      <c r="A1159" s="1" t="str">
        <f t="shared" si="18"/>
        <v/>
      </c>
      <c r="B11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25">
      <c r="A1160" s="1" t="str">
        <f t="shared" si="18"/>
        <v/>
      </c>
      <c r="B11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25">
      <c r="A1161" s="1" t="str">
        <f t="shared" si="18"/>
        <v/>
      </c>
      <c r="B11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25">
      <c r="A1162" s="1" t="str">
        <f t="shared" si="18"/>
        <v/>
      </c>
      <c r="B11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25">
      <c r="A1163" s="1" t="str">
        <f t="shared" si="18"/>
        <v/>
      </c>
      <c r="B11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25">
      <c r="A1164" s="1" t="str">
        <f t="shared" si="18"/>
        <v/>
      </c>
      <c r="B11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25">
      <c r="A1165" s="1" t="str">
        <f t="shared" si="18"/>
        <v/>
      </c>
      <c r="B11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25">
      <c r="A1166" s="1" t="str">
        <f t="shared" si="18"/>
        <v/>
      </c>
      <c r="B11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25">
      <c r="A1167" s="1" t="str">
        <f t="shared" si="18"/>
        <v/>
      </c>
      <c r="B11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25">
      <c r="A1168" s="1" t="str">
        <f t="shared" si="18"/>
        <v/>
      </c>
      <c r="B11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25">
      <c r="A1169" s="1" t="str">
        <f t="shared" si="18"/>
        <v/>
      </c>
      <c r="B11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25">
      <c r="A1170" s="1" t="str">
        <f t="shared" si="18"/>
        <v/>
      </c>
      <c r="B11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25">
      <c r="A1171" s="1" t="str">
        <f t="shared" si="18"/>
        <v/>
      </c>
      <c r="B11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25">
      <c r="A1172" s="1" t="str">
        <f t="shared" si="18"/>
        <v/>
      </c>
      <c r="B11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25">
      <c r="A1173" s="1" t="str">
        <f t="shared" si="18"/>
        <v/>
      </c>
      <c r="B11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25">
      <c r="A1174" s="1" t="str">
        <f t="shared" si="18"/>
        <v/>
      </c>
      <c r="B11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25">
      <c r="A1175" s="1" t="str">
        <f t="shared" si="18"/>
        <v/>
      </c>
      <c r="B11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25">
      <c r="A1176" s="1" t="str">
        <f t="shared" si="18"/>
        <v/>
      </c>
      <c r="B11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25">
      <c r="A1177" s="1" t="str">
        <f t="shared" si="18"/>
        <v/>
      </c>
      <c r="B11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25">
      <c r="A1178" s="1" t="str">
        <f t="shared" si="18"/>
        <v/>
      </c>
      <c r="B11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25">
      <c r="A1179" s="1" t="str">
        <f t="shared" si="18"/>
        <v/>
      </c>
      <c r="B11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25">
      <c r="A1180" s="1" t="str">
        <f t="shared" si="18"/>
        <v/>
      </c>
      <c r="B11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25">
      <c r="A1181" s="1" t="str">
        <f t="shared" si="18"/>
        <v/>
      </c>
      <c r="B11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25">
      <c r="A1182" s="1" t="str">
        <f t="shared" si="18"/>
        <v/>
      </c>
      <c r="B11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25">
      <c r="A1183" s="1" t="str">
        <f t="shared" si="18"/>
        <v/>
      </c>
      <c r="B11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25">
      <c r="A1184" s="1" t="str">
        <f t="shared" si="18"/>
        <v/>
      </c>
      <c r="B11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25">
      <c r="A1185" s="1" t="str">
        <f t="shared" si="18"/>
        <v/>
      </c>
      <c r="B11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25">
      <c r="A1186" s="1" t="str">
        <f t="shared" si="18"/>
        <v/>
      </c>
      <c r="B11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25">
      <c r="A1187" s="1" t="str">
        <f t="shared" si="18"/>
        <v/>
      </c>
      <c r="B11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25">
      <c r="A1188" s="1" t="str">
        <f t="shared" si="18"/>
        <v/>
      </c>
      <c r="B11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25">
      <c r="A1189" s="1" t="str">
        <f t="shared" si="18"/>
        <v/>
      </c>
      <c r="B11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25">
      <c r="A1190" s="1" t="str">
        <f t="shared" si="18"/>
        <v/>
      </c>
      <c r="B11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25">
      <c r="A1191" s="1" t="str">
        <f t="shared" si="18"/>
        <v/>
      </c>
      <c r="B11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25">
      <c r="A1192" s="1" t="str">
        <f t="shared" si="18"/>
        <v/>
      </c>
      <c r="B11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25">
      <c r="A1193" s="1" t="str">
        <f t="shared" si="18"/>
        <v/>
      </c>
      <c r="B11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25">
      <c r="A1194" s="1" t="str">
        <f t="shared" si="18"/>
        <v/>
      </c>
      <c r="B11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25">
      <c r="A1195" s="1" t="str">
        <f t="shared" si="18"/>
        <v/>
      </c>
      <c r="B11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25">
      <c r="A1196" s="1" t="str">
        <f t="shared" si="18"/>
        <v/>
      </c>
      <c r="B11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25">
      <c r="A1197" s="1" t="str">
        <f t="shared" si="18"/>
        <v/>
      </c>
      <c r="B11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25">
      <c r="A1198" s="1" t="str">
        <f t="shared" si="18"/>
        <v/>
      </c>
      <c r="B11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25">
      <c r="A1199" s="1" t="str">
        <f t="shared" si="18"/>
        <v/>
      </c>
      <c r="B11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25">
      <c r="A1200" s="1" t="str">
        <f t="shared" si="18"/>
        <v/>
      </c>
      <c r="B12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25">
      <c r="A1201" s="1" t="str">
        <f t="shared" si="18"/>
        <v/>
      </c>
      <c r="B12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25">
      <c r="A1202" s="1" t="str">
        <f t="shared" si="18"/>
        <v/>
      </c>
      <c r="B12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25">
      <c r="A1203" s="1" t="str">
        <f t="shared" si="18"/>
        <v/>
      </c>
      <c r="B12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25">
      <c r="A1204" s="1" t="str">
        <f t="shared" si="18"/>
        <v/>
      </c>
      <c r="B12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25">
      <c r="A1205" s="1" t="str">
        <f t="shared" si="18"/>
        <v/>
      </c>
      <c r="B12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25">
      <c r="A1206" s="1" t="str">
        <f t="shared" si="18"/>
        <v/>
      </c>
      <c r="B12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25">
      <c r="A1207" s="1" t="str">
        <f t="shared" si="18"/>
        <v/>
      </c>
      <c r="B12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25">
      <c r="A1208" s="1" t="str">
        <f t="shared" si="18"/>
        <v/>
      </c>
      <c r="B12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25">
      <c r="A1209" s="1" t="str">
        <f t="shared" si="18"/>
        <v/>
      </c>
      <c r="B12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25">
      <c r="A1210" s="1" t="str">
        <f t="shared" si="18"/>
        <v/>
      </c>
      <c r="B12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25">
      <c r="A1211" s="1" t="str">
        <f t="shared" si="18"/>
        <v/>
      </c>
      <c r="B12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25">
      <c r="A1212" s="1" t="str">
        <f t="shared" si="18"/>
        <v/>
      </c>
      <c r="B12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25">
      <c r="A1213" s="1" t="str">
        <f t="shared" si="18"/>
        <v/>
      </c>
      <c r="B12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25">
      <c r="A1214" s="1" t="str">
        <f t="shared" si="18"/>
        <v/>
      </c>
      <c r="B12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25">
      <c r="A1215" s="1" t="str">
        <f t="shared" si="18"/>
        <v/>
      </c>
      <c r="B12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25">
      <c r="A1216" s="1" t="str">
        <f t="shared" si="18"/>
        <v/>
      </c>
      <c r="B12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25">
      <c r="A1217" s="1" t="str">
        <f t="shared" si="18"/>
        <v/>
      </c>
      <c r="B12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25">
      <c r="A1218" s="1" t="str">
        <f t="shared" ref="A1218:A1281" si="19">IFERROR(LEFT(RIGHT(C1218,LEN(C1218)-SEARCH("@",C1218)),SEARCH("/",RIGHT(C1218,LEN(C1218)-SEARCH("@",C1218)-1))),"")</f>
        <v/>
      </c>
      <c r="B12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25">
      <c r="A1219" s="1" t="str">
        <f t="shared" si="19"/>
        <v/>
      </c>
      <c r="B12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25">
      <c r="A1220" s="1" t="str">
        <f t="shared" si="19"/>
        <v/>
      </c>
      <c r="B12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25">
      <c r="A1221" s="1" t="str">
        <f t="shared" si="19"/>
        <v/>
      </c>
      <c r="B12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25">
      <c r="A1222" s="1" t="str">
        <f t="shared" si="19"/>
        <v/>
      </c>
      <c r="B12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25">
      <c r="A1223" s="1" t="str">
        <f t="shared" si="19"/>
        <v/>
      </c>
      <c r="B12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25">
      <c r="A1224" s="1" t="str">
        <f t="shared" si="19"/>
        <v/>
      </c>
      <c r="B12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25">
      <c r="A1225" s="1" t="str">
        <f t="shared" si="19"/>
        <v/>
      </c>
      <c r="B12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25">
      <c r="A1226" s="1" t="str">
        <f t="shared" si="19"/>
        <v/>
      </c>
      <c r="B12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25">
      <c r="A1227" s="1" t="str">
        <f t="shared" si="19"/>
        <v/>
      </c>
      <c r="B12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25">
      <c r="A1228" s="1" t="str">
        <f t="shared" si="19"/>
        <v/>
      </c>
      <c r="B12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25">
      <c r="A1229" s="1" t="str">
        <f t="shared" si="19"/>
        <v/>
      </c>
      <c r="B12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25">
      <c r="A1230" s="1" t="str">
        <f t="shared" si="19"/>
        <v/>
      </c>
      <c r="B12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25">
      <c r="A1231" s="1" t="str">
        <f t="shared" si="19"/>
        <v/>
      </c>
      <c r="B12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25">
      <c r="A1232" s="1" t="str">
        <f t="shared" si="19"/>
        <v/>
      </c>
      <c r="B12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25">
      <c r="A1233" s="1" t="str">
        <f t="shared" si="19"/>
        <v/>
      </c>
      <c r="B12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25">
      <c r="A1234" s="1" t="str">
        <f t="shared" si="19"/>
        <v/>
      </c>
      <c r="B12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25">
      <c r="A1235" s="1" t="str">
        <f t="shared" si="19"/>
        <v/>
      </c>
      <c r="B12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25">
      <c r="A1236" s="1" t="str">
        <f t="shared" si="19"/>
        <v/>
      </c>
      <c r="B12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25">
      <c r="A1237" s="1" t="str">
        <f t="shared" si="19"/>
        <v/>
      </c>
      <c r="B12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25">
      <c r="A1238" s="1" t="str">
        <f t="shared" si="19"/>
        <v/>
      </c>
      <c r="B12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25">
      <c r="A1239" s="1" t="str">
        <f t="shared" si="19"/>
        <v/>
      </c>
      <c r="B12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25">
      <c r="A1240" s="1" t="str">
        <f t="shared" si="19"/>
        <v/>
      </c>
      <c r="B12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25">
      <c r="A1241" s="1" t="str">
        <f t="shared" si="19"/>
        <v/>
      </c>
      <c r="B12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25">
      <c r="A1242" s="1" t="str">
        <f t="shared" si="19"/>
        <v/>
      </c>
      <c r="B12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25">
      <c r="A1243" s="1" t="str">
        <f t="shared" si="19"/>
        <v/>
      </c>
      <c r="B12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25">
      <c r="A1244" s="1" t="str">
        <f t="shared" si="19"/>
        <v/>
      </c>
      <c r="B12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25">
      <c r="A1245" s="1" t="str">
        <f t="shared" si="19"/>
        <v/>
      </c>
      <c r="B12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25">
      <c r="A1246" s="1" t="str">
        <f t="shared" si="19"/>
        <v/>
      </c>
      <c r="B12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25">
      <c r="A1247" s="1" t="str">
        <f t="shared" si="19"/>
        <v/>
      </c>
      <c r="B12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25">
      <c r="A1248" s="1" t="str">
        <f t="shared" si="19"/>
        <v/>
      </c>
      <c r="B12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25">
      <c r="A1249" s="1" t="str">
        <f t="shared" si="19"/>
        <v/>
      </c>
      <c r="B12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25">
      <c r="A1250" s="1" t="str">
        <f t="shared" si="19"/>
        <v/>
      </c>
      <c r="B12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25">
      <c r="A1251" s="1" t="str">
        <f t="shared" si="19"/>
        <v/>
      </c>
      <c r="B12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25">
      <c r="A1252" s="1" t="str">
        <f t="shared" si="19"/>
        <v/>
      </c>
      <c r="B12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25">
      <c r="A1253" s="1" t="str">
        <f t="shared" si="19"/>
        <v/>
      </c>
      <c r="B12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25">
      <c r="A1254" s="1" t="str">
        <f t="shared" si="19"/>
        <v/>
      </c>
      <c r="B12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25">
      <c r="A1255" s="1" t="str">
        <f t="shared" si="19"/>
        <v/>
      </c>
      <c r="B12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25">
      <c r="A1256" s="1" t="str">
        <f t="shared" si="19"/>
        <v/>
      </c>
      <c r="B12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25">
      <c r="A1257" s="1" t="str">
        <f t="shared" si="19"/>
        <v/>
      </c>
      <c r="B12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25">
      <c r="A1258" s="1" t="str">
        <f t="shared" si="19"/>
        <v/>
      </c>
      <c r="B12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25">
      <c r="A1259" s="1" t="str">
        <f t="shared" si="19"/>
        <v/>
      </c>
      <c r="B12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25">
      <c r="A1260" s="1" t="str">
        <f t="shared" si="19"/>
        <v/>
      </c>
      <c r="B12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25">
      <c r="A1261" s="1" t="str">
        <f t="shared" si="19"/>
        <v/>
      </c>
      <c r="B12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25">
      <c r="A1262" s="1" t="str">
        <f t="shared" si="19"/>
        <v/>
      </c>
      <c r="B12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25">
      <c r="A1263" s="1" t="str">
        <f t="shared" si="19"/>
        <v/>
      </c>
      <c r="B12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25">
      <c r="A1264" s="1" t="str">
        <f t="shared" si="19"/>
        <v/>
      </c>
      <c r="B12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25">
      <c r="A1265" s="1" t="str">
        <f t="shared" si="19"/>
        <v/>
      </c>
      <c r="B12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25">
      <c r="A1266" s="1" t="str">
        <f t="shared" si="19"/>
        <v/>
      </c>
      <c r="B12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25">
      <c r="A1267" s="1" t="str">
        <f t="shared" si="19"/>
        <v/>
      </c>
      <c r="B12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25">
      <c r="A1268" s="1" t="str">
        <f t="shared" si="19"/>
        <v/>
      </c>
      <c r="B12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25">
      <c r="A1269" s="1" t="str">
        <f t="shared" si="19"/>
        <v/>
      </c>
      <c r="B12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25">
      <c r="A1270" s="1" t="str">
        <f t="shared" si="19"/>
        <v/>
      </c>
      <c r="B12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25">
      <c r="A1271" s="1" t="str">
        <f t="shared" si="19"/>
        <v/>
      </c>
      <c r="B12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25">
      <c r="A1272" s="1" t="str">
        <f t="shared" si="19"/>
        <v/>
      </c>
      <c r="B12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25">
      <c r="A1273" s="1" t="str">
        <f t="shared" si="19"/>
        <v/>
      </c>
      <c r="B12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25">
      <c r="A1274" s="1" t="str">
        <f t="shared" si="19"/>
        <v/>
      </c>
      <c r="B12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25">
      <c r="A1275" s="1" t="str">
        <f t="shared" si="19"/>
        <v/>
      </c>
      <c r="B12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25">
      <c r="A1276" s="1" t="str">
        <f t="shared" si="19"/>
        <v/>
      </c>
      <c r="B12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25">
      <c r="A1277" s="1" t="str">
        <f t="shared" si="19"/>
        <v/>
      </c>
      <c r="B12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25">
      <c r="A1278" s="1" t="str">
        <f t="shared" si="19"/>
        <v/>
      </c>
      <c r="B12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25">
      <c r="A1279" s="1" t="str">
        <f t="shared" si="19"/>
        <v/>
      </c>
      <c r="B12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25">
      <c r="A1280" s="1" t="str">
        <f t="shared" si="19"/>
        <v/>
      </c>
      <c r="B12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25">
      <c r="A1281" s="1" t="str">
        <f t="shared" si="19"/>
        <v/>
      </c>
      <c r="B12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25">
      <c r="A1282" s="1" t="str">
        <f t="shared" ref="A1282:A1345" si="20">IFERROR(LEFT(RIGHT(C1282,LEN(C1282)-SEARCH("@",C1282)),SEARCH("/",RIGHT(C1282,LEN(C1282)-SEARCH("@",C1282)-1))),"")</f>
        <v/>
      </c>
      <c r="B12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25">
      <c r="A1283" s="1" t="str">
        <f t="shared" si="20"/>
        <v/>
      </c>
      <c r="B12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25">
      <c r="A1284" s="1" t="str">
        <f t="shared" si="20"/>
        <v/>
      </c>
      <c r="B12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25">
      <c r="A1285" s="1" t="str">
        <f t="shared" si="20"/>
        <v/>
      </c>
      <c r="B12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25">
      <c r="A1286" s="1" t="str">
        <f t="shared" si="20"/>
        <v/>
      </c>
      <c r="B12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25">
      <c r="A1287" s="1" t="str">
        <f t="shared" si="20"/>
        <v/>
      </c>
      <c r="B12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25">
      <c r="A1288" s="1" t="str">
        <f t="shared" si="20"/>
        <v/>
      </c>
      <c r="B12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25">
      <c r="A1289" s="1" t="str">
        <f t="shared" si="20"/>
        <v/>
      </c>
      <c r="B12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25">
      <c r="A1290" s="1" t="str">
        <f t="shared" si="20"/>
        <v/>
      </c>
      <c r="B12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25">
      <c r="A1291" s="1" t="str">
        <f t="shared" si="20"/>
        <v/>
      </c>
      <c r="B12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25">
      <c r="A1292" s="1" t="str">
        <f t="shared" si="20"/>
        <v/>
      </c>
      <c r="B12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25">
      <c r="A1293" s="1" t="str">
        <f t="shared" si="20"/>
        <v/>
      </c>
      <c r="B12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25">
      <c r="A1294" s="1" t="str">
        <f t="shared" si="20"/>
        <v/>
      </c>
      <c r="B12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25">
      <c r="A1295" s="1" t="str">
        <f t="shared" si="20"/>
        <v/>
      </c>
      <c r="B12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25">
      <c r="A1296" s="1" t="str">
        <f t="shared" si="20"/>
        <v/>
      </c>
      <c r="B12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25">
      <c r="A1297" s="1" t="str">
        <f t="shared" si="20"/>
        <v/>
      </c>
      <c r="B12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25">
      <c r="A1298" s="1" t="str">
        <f t="shared" si="20"/>
        <v/>
      </c>
      <c r="B12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25">
      <c r="A1299" s="1" t="str">
        <f t="shared" si="20"/>
        <v/>
      </c>
      <c r="B12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25">
      <c r="A1300" s="1" t="str">
        <f t="shared" si="20"/>
        <v/>
      </c>
      <c r="B13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25">
      <c r="A1301" s="1" t="str">
        <f t="shared" si="20"/>
        <v/>
      </c>
      <c r="B13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25">
      <c r="A1302" s="1" t="str">
        <f t="shared" si="20"/>
        <v/>
      </c>
      <c r="B13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25">
      <c r="A1303" s="1" t="str">
        <f t="shared" si="20"/>
        <v/>
      </c>
      <c r="B13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25">
      <c r="A1304" s="1" t="str">
        <f t="shared" si="20"/>
        <v/>
      </c>
      <c r="B13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25">
      <c r="A1305" s="1" t="str">
        <f t="shared" si="20"/>
        <v/>
      </c>
      <c r="B13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25">
      <c r="A1306" s="1" t="str">
        <f t="shared" si="20"/>
        <v/>
      </c>
      <c r="B13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25">
      <c r="A1307" s="1" t="str">
        <f t="shared" si="20"/>
        <v/>
      </c>
      <c r="B13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25">
      <c r="A1308" s="1" t="str">
        <f t="shared" si="20"/>
        <v/>
      </c>
      <c r="B13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25">
      <c r="A1309" s="1" t="str">
        <f t="shared" si="20"/>
        <v/>
      </c>
      <c r="B13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25">
      <c r="A1310" s="1" t="str">
        <f t="shared" si="20"/>
        <v/>
      </c>
      <c r="B13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25">
      <c r="A1311" s="1" t="str">
        <f t="shared" si="20"/>
        <v/>
      </c>
      <c r="B13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25">
      <c r="A1312" s="1" t="str">
        <f t="shared" si="20"/>
        <v/>
      </c>
      <c r="B13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25">
      <c r="A1313" s="1" t="str">
        <f t="shared" si="20"/>
        <v/>
      </c>
      <c r="B13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25">
      <c r="A1314" s="1" t="str">
        <f t="shared" si="20"/>
        <v/>
      </c>
      <c r="B13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25">
      <c r="A1315" s="1" t="str">
        <f t="shared" si="20"/>
        <v/>
      </c>
      <c r="B13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25">
      <c r="A1316" s="1" t="str">
        <f t="shared" si="20"/>
        <v/>
      </c>
      <c r="B13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25">
      <c r="A1317" s="1" t="str">
        <f t="shared" si="20"/>
        <v/>
      </c>
      <c r="B13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25">
      <c r="A1318" s="1" t="str">
        <f t="shared" si="20"/>
        <v/>
      </c>
      <c r="B13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25">
      <c r="A1319" s="1" t="str">
        <f t="shared" si="20"/>
        <v/>
      </c>
      <c r="B13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25">
      <c r="A1320" s="1" t="str">
        <f t="shared" si="20"/>
        <v/>
      </c>
      <c r="B13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25">
      <c r="A1321" s="1" t="str">
        <f t="shared" si="20"/>
        <v/>
      </c>
      <c r="B13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25">
      <c r="A1322" s="1" t="str">
        <f t="shared" si="20"/>
        <v/>
      </c>
      <c r="B13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25">
      <c r="A1323" s="1" t="str">
        <f t="shared" si="20"/>
        <v/>
      </c>
      <c r="B13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25">
      <c r="A1324" s="1" t="str">
        <f t="shared" si="20"/>
        <v/>
      </c>
      <c r="B13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25">
      <c r="A1325" s="1" t="str">
        <f t="shared" si="20"/>
        <v/>
      </c>
      <c r="B13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25">
      <c r="A1326" s="1" t="str">
        <f t="shared" si="20"/>
        <v/>
      </c>
      <c r="B13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25">
      <c r="A1327" s="1" t="str">
        <f t="shared" si="20"/>
        <v/>
      </c>
      <c r="B13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25">
      <c r="A1328" s="1" t="str">
        <f t="shared" si="20"/>
        <v/>
      </c>
      <c r="B13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25">
      <c r="A1329" s="1" t="str">
        <f t="shared" si="20"/>
        <v/>
      </c>
      <c r="B13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25">
      <c r="A1330" s="1" t="str">
        <f t="shared" si="20"/>
        <v/>
      </c>
      <c r="B13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25">
      <c r="A1331" s="1" t="str">
        <f t="shared" si="20"/>
        <v/>
      </c>
      <c r="B13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25">
      <c r="A1332" s="1" t="str">
        <f t="shared" si="20"/>
        <v/>
      </c>
      <c r="B13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25">
      <c r="A1333" s="1" t="str">
        <f t="shared" si="20"/>
        <v/>
      </c>
      <c r="B13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25">
      <c r="A1334" s="1" t="str">
        <f t="shared" si="20"/>
        <v/>
      </c>
      <c r="B13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25">
      <c r="A1335" s="1" t="str">
        <f t="shared" si="20"/>
        <v/>
      </c>
      <c r="B13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25">
      <c r="A1336" s="1" t="str">
        <f t="shared" si="20"/>
        <v/>
      </c>
      <c r="B13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25">
      <c r="A1337" s="1" t="str">
        <f t="shared" si="20"/>
        <v/>
      </c>
      <c r="B13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25">
      <c r="A1338" s="1" t="str">
        <f t="shared" si="20"/>
        <v/>
      </c>
      <c r="B13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25">
      <c r="A1339" s="1" t="str">
        <f t="shared" si="20"/>
        <v/>
      </c>
      <c r="B13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25">
      <c r="A1340" s="1" t="str">
        <f t="shared" si="20"/>
        <v/>
      </c>
      <c r="B13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25">
      <c r="A1341" s="1" t="str">
        <f t="shared" si="20"/>
        <v/>
      </c>
      <c r="B13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25">
      <c r="A1342" s="1" t="str">
        <f t="shared" si="20"/>
        <v/>
      </c>
      <c r="B13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25">
      <c r="A1343" s="1" t="str">
        <f t="shared" si="20"/>
        <v/>
      </c>
      <c r="B13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25">
      <c r="A1344" s="1" t="str">
        <f t="shared" si="20"/>
        <v/>
      </c>
      <c r="B13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25">
      <c r="A1345" s="1" t="str">
        <f t="shared" si="20"/>
        <v/>
      </c>
      <c r="B13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25">
      <c r="A1346" s="1" t="str">
        <f t="shared" ref="A1346:A1409" si="21">IFERROR(LEFT(RIGHT(C1346,LEN(C1346)-SEARCH("@",C1346)),SEARCH("/",RIGHT(C1346,LEN(C1346)-SEARCH("@",C1346)-1))),"")</f>
        <v/>
      </c>
      <c r="B13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25">
      <c r="A1347" s="1" t="str">
        <f t="shared" si="21"/>
        <v/>
      </c>
      <c r="B13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25">
      <c r="A1348" s="1" t="str">
        <f t="shared" si="21"/>
        <v/>
      </c>
      <c r="B13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25">
      <c r="A1349" s="1" t="str">
        <f t="shared" si="21"/>
        <v/>
      </c>
      <c r="B13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25">
      <c r="A1350" s="1" t="str">
        <f t="shared" si="21"/>
        <v/>
      </c>
      <c r="B13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25">
      <c r="A1351" s="1" t="str">
        <f t="shared" si="21"/>
        <v/>
      </c>
      <c r="B13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25">
      <c r="A1352" s="1" t="str">
        <f t="shared" si="21"/>
        <v/>
      </c>
      <c r="B13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25">
      <c r="A1353" s="1" t="str">
        <f t="shared" si="21"/>
        <v/>
      </c>
      <c r="B13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25">
      <c r="A1354" s="1" t="str">
        <f t="shared" si="21"/>
        <v/>
      </c>
      <c r="B13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25">
      <c r="A1355" s="1" t="str">
        <f t="shared" si="21"/>
        <v/>
      </c>
      <c r="B13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25">
      <c r="A1356" s="1" t="str">
        <f t="shared" si="21"/>
        <v/>
      </c>
      <c r="B13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25">
      <c r="A1357" s="1" t="str">
        <f t="shared" si="21"/>
        <v/>
      </c>
      <c r="B13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25">
      <c r="A1358" s="1" t="str">
        <f t="shared" si="21"/>
        <v/>
      </c>
      <c r="B13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25">
      <c r="A1359" s="1" t="str">
        <f t="shared" si="21"/>
        <v/>
      </c>
      <c r="B13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25">
      <c r="A1360" s="1" t="str">
        <f t="shared" si="21"/>
        <v/>
      </c>
      <c r="B13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25">
      <c r="A1361" s="1" t="str">
        <f t="shared" si="21"/>
        <v/>
      </c>
      <c r="B13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25">
      <c r="A1362" s="1" t="str">
        <f t="shared" si="21"/>
        <v/>
      </c>
      <c r="B13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25">
      <c r="A1363" s="1" t="str">
        <f t="shared" si="21"/>
        <v/>
      </c>
      <c r="B13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25">
      <c r="A1364" s="1" t="str">
        <f t="shared" si="21"/>
        <v/>
      </c>
      <c r="B13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25">
      <c r="A1365" s="1" t="str">
        <f t="shared" si="21"/>
        <v/>
      </c>
      <c r="B13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25">
      <c r="A1366" s="1" t="str">
        <f t="shared" si="21"/>
        <v/>
      </c>
      <c r="B13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25">
      <c r="A1367" s="1" t="str">
        <f t="shared" si="21"/>
        <v/>
      </c>
      <c r="B13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25">
      <c r="A1368" s="1" t="str">
        <f t="shared" si="21"/>
        <v/>
      </c>
      <c r="B13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25">
      <c r="A1369" s="1" t="str">
        <f t="shared" si="21"/>
        <v/>
      </c>
      <c r="B13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25">
      <c r="A1370" s="1" t="str">
        <f t="shared" si="21"/>
        <v/>
      </c>
      <c r="B13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25">
      <c r="A1371" s="1" t="str">
        <f t="shared" si="21"/>
        <v/>
      </c>
      <c r="B13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25">
      <c r="A1372" s="1" t="str">
        <f t="shared" si="21"/>
        <v/>
      </c>
      <c r="B13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25">
      <c r="A1373" s="1" t="str">
        <f t="shared" si="21"/>
        <v/>
      </c>
      <c r="B13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25">
      <c r="A1374" s="1" t="str">
        <f t="shared" si="21"/>
        <v/>
      </c>
      <c r="B13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25">
      <c r="A1375" s="1" t="str">
        <f t="shared" si="21"/>
        <v/>
      </c>
      <c r="B13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25">
      <c r="A1376" s="1" t="str">
        <f t="shared" si="21"/>
        <v/>
      </c>
      <c r="B13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25">
      <c r="A1377" s="1" t="str">
        <f t="shared" si="21"/>
        <v/>
      </c>
      <c r="B13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25">
      <c r="A1378" s="1" t="str">
        <f t="shared" si="21"/>
        <v/>
      </c>
      <c r="B13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25">
      <c r="A1379" s="1" t="str">
        <f t="shared" si="21"/>
        <v/>
      </c>
      <c r="B13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25">
      <c r="A1380" s="1" t="str">
        <f t="shared" si="21"/>
        <v/>
      </c>
      <c r="B13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25">
      <c r="A1381" s="1" t="str">
        <f t="shared" si="21"/>
        <v/>
      </c>
      <c r="B13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25">
      <c r="A1382" s="1" t="str">
        <f t="shared" si="21"/>
        <v/>
      </c>
      <c r="B13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25">
      <c r="A1383" s="1" t="str">
        <f t="shared" si="21"/>
        <v/>
      </c>
      <c r="B13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25">
      <c r="A1384" s="1" t="str">
        <f t="shared" si="21"/>
        <v/>
      </c>
      <c r="B13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25">
      <c r="A1385" s="1" t="str">
        <f t="shared" si="21"/>
        <v/>
      </c>
      <c r="B13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25">
      <c r="A1386" s="1" t="str">
        <f t="shared" si="21"/>
        <v/>
      </c>
      <c r="B13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25">
      <c r="A1387" s="1" t="str">
        <f t="shared" si="21"/>
        <v/>
      </c>
      <c r="B13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25">
      <c r="A1388" s="1" t="str">
        <f t="shared" si="21"/>
        <v/>
      </c>
      <c r="B13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25">
      <c r="A1389" s="1" t="str">
        <f t="shared" si="21"/>
        <v/>
      </c>
      <c r="B13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25">
      <c r="A1390" s="1" t="str">
        <f t="shared" si="21"/>
        <v/>
      </c>
      <c r="B13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25">
      <c r="A1391" s="1" t="str">
        <f t="shared" si="21"/>
        <v/>
      </c>
      <c r="B13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25">
      <c r="A1392" s="1" t="str">
        <f t="shared" si="21"/>
        <v/>
      </c>
      <c r="B13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25">
      <c r="A1393" s="1" t="str">
        <f t="shared" si="21"/>
        <v/>
      </c>
      <c r="B13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25">
      <c r="A1394" s="1" t="str">
        <f t="shared" si="21"/>
        <v/>
      </c>
      <c r="B13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25">
      <c r="A1395" s="1" t="str">
        <f t="shared" si="21"/>
        <v/>
      </c>
      <c r="B13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25">
      <c r="A1396" s="1" t="str">
        <f t="shared" si="21"/>
        <v/>
      </c>
      <c r="B13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25">
      <c r="A1397" s="1" t="str">
        <f t="shared" si="21"/>
        <v/>
      </c>
      <c r="B13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25">
      <c r="A1398" s="1" t="str">
        <f t="shared" si="21"/>
        <v/>
      </c>
      <c r="B13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25">
      <c r="A1399" s="1" t="str">
        <f t="shared" si="21"/>
        <v/>
      </c>
      <c r="B13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25">
      <c r="A1400" s="1" t="str">
        <f t="shared" si="21"/>
        <v/>
      </c>
      <c r="B14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25">
      <c r="A1401" s="1" t="str">
        <f t="shared" si="21"/>
        <v/>
      </c>
      <c r="B14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25">
      <c r="A1402" s="1" t="str">
        <f t="shared" si="21"/>
        <v/>
      </c>
      <c r="B14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25">
      <c r="A1403" s="1" t="str">
        <f t="shared" si="21"/>
        <v/>
      </c>
      <c r="B14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25">
      <c r="A1404" s="1" t="str">
        <f t="shared" si="21"/>
        <v/>
      </c>
      <c r="B14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25">
      <c r="A1405" s="1" t="str">
        <f t="shared" si="21"/>
        <v/>
      </c>
      <c r="B14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25">
      <c r="A1406" s="1" t="str">
        <f t="shared" si="21"/>
        <v/>
      </c>
      <c r="B14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25">
      <c r="A1407" s="1" t="str">
        <f t="shared" si="21"/>
        <v/>
      </c>
      <c r="B14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25">
      <c r="A1408" s="1" t="str">
        <f t="shared" si="21"/>
        <v/>
      </c>
      <c r="B14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25">
      <c r="A1409" s="1" t="str">
        <f t="shared" si="21"/>
        <v/>
      </c>
      <c r="B14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25">
      <c r="A1410" s="1" t="str">
        <f t="shared" ref="A1410:A1473" si="22">IFERROR(LEFT(RIGHT(C1410,LEN(C1410)-SEARCH("@",C1410)),SEARCH("/",RIGHT(C1410,LEN(C1410)-SEARCH("@",C1410)-1))),"")</f>
        <v/>
      </c>
      <c r="B14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25">
      <c r="A1411" s="1" t="str">
        <f t="shared" si="22"/>
        <v/>
      </c>
      <c r="B14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25">
      <c r="A1412" s="1" t="str">
        <f t="shared" si="22"/>
        <v/>
      </c>
      <c r="B14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25">
      <c r="A1413" s="1" t="str">
        <f t="shared" si="22"/>
        <v/>
      </c>
      <c r="B14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25">
      <c r="A1414" s="1" t="str">
        <f t="shared" si="22"/>
        <v/>
      </c>
      <c r="B14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25">
      <c r="A1415" s="1" t="str">
        <f t="shared" si="22"/>
        <v/>
      </c>
      <c r="B14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25">
      <c r="A1416" s="1" t="str">
        <f t="shared" si="22"/>
        <v/>
      </c>
      <c r="B14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25">
      <c r="A1417" s="1" t="str">
        <f t="shared" si="22"/>
        <v/>
      </c>
      <c r="B14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25">
      <c r="A1418" s="1" t="str">
        <f t="shared" si="22"/>
        <v/>
      </c>
      <c r="B14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25">
      <c r="A1419" s="1" t="str">
        <f t="shared" si="22"/>
        <v/>
      </c>
      <c r="B14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25">
      <c r="A1420" s="1" t="str">
        <f t="shared" si="22"/>
        <v/>
      </c>
      <c r="B14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25">
      <c r="A1421" s="1" t="str">
        <f t="shared" si="22"/>
        <v/>
      </c>
      <c r="B14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25">
      <c r="A1422" s="1" t="str">
        <f t="shared" si="22"/>
        <v/>
      </c>
      <c r="B14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25">
      <c r="A1423" s="1" t="str">
        <f t="shared" si="22"/>
        <v/>
      </c>
      <c r="B14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25">
      <c r="A1424" s="1" t="str">
        <f t="shared" si="22"/>
        <v/>
      </c>
      <c r="B14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25">
      <c r="A1425" s="1" t="str">
        <f t="shared" si="22"/>
        <v/>
      </c>
      <c r="B14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25">
      <c r="A1426" s="1" t="str">
        <f t="shared" si="22"/>
        <v/>
      </c>
      <c r="B14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25">
      <c r="A1427" s="1" t="str">
        <f t="shared" si="22"/>
        <v/>
      </c>
      <c r="B14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25">
      <c r="A1428" s="1" t="str">
        <f t="shared" si="22"/>
        <v/>
      </c>
      <c r="B14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25">
      <c r="A1429" s="1" t="str">
        <f t="shared" si="22"/>
        <v/>
      </c>
      <c r="B14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25">
      <c r="A1430" s="1" t="str">
        <f t="shared" si="22"/>
        <v/>
      </c>
      <c r="B14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25">
      <c r="A1431" s="1" t="str">
        <f t="shared" si="22"/>
        <v/>
      </c>
      <c r="B14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25">
      <c r="A1432" s="1" t="str">
        <f t="shared" si="22"/>
        <v/>
      </c>
      <c r="B14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25">
      <c r="A1433" s="1" t="str">
        <f t="shared" si="22"/>
        <v/>
      </c>
      <c r="B14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25">
      <c r="A1434" s="1" t="str">
        <f t="shared" si="22"/>
        <v/>
      </c>
      <c r="B14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25">
      <c r="A1435" s="1" t="str">
        <f t="shared" si="22"/>
        <v/>
      </c>
      <c r="B14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25">
      <c r="A1436" s="1" t="str">
        <f t="shared" si="22"/>
        <v/>
      </c>
      <c r="B14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25">
      <c r="A1437" s="1" t="str">
        <f t="shared" si="22"/>
        <v/>
      </c>
      <c r="B14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25">
      <c r="A1438" s="1" t="str">
        <f t="shared" si="22"/>
        <v/>
      </c>
      <c r="B14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25">
      <c r="A1439" s="1" t="str">
        <f t="shared" si="22"/>
        <v/>
      </c>
      <c r="B14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25">
      <c r="A1440" s="1" t="str">
        <f t="shared" si="22"/>
        <v/>
      </c>
      <c r="B14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25">
      <c r="A1441" s="1" t="str">
        <f t="shared" si="22"/>
        <v/>
      </c>
      <c r="B14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25">
      <c r="A1442" s="1" t="str">
        <f t="shared" si="22"/>
        <v/>
      </c>
      <c r="B14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25">
      <c r="A1443" s="1" t="str">
        <f t="shared" si="22"/>
        <v/>
      </c>
      <c r="B14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25">
      <c r="A1444" s="1" t="str">
        <f t="shared" si="22"/>
        <v/>
      </c>
      <c r="B14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25">
      <c r="A1445" s="1" t="str">
        <f t="shared" si="22"/>
        <v/>
      </c>
      <c r="B14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25">
      <c r="A1446" s="1" t="str">
        <f t="shared" si="22"/>
        <v/>
      </c>
      <c r="B14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25">
      <c r="A1447" s="1" t="str">
        <f t="shared" si="22"/>
        <v/>
      </c>
      <c r="B14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25">
      <c r="A1448" s="1" t="str">
        <f t="shared" si="22"/>
        <v/>
      </c>
      <c r="B14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25">
      <c r="A1449" s="1" t="str">
        <f t="shared" si="22"/>
        <v/>
      </c>
      <c r="B14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25">
      <c r="A1450" s="1" t="str">
        <f t="shared" si="22"/>
        <v/>
      </c>
      <c r="B14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25">
      <c r="A1451" s="1" t="str">
        <f t="shared" si="22"/>
        <v/>
      </c>
      <c r="B14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25">
      <c r="A1452" s="1" t="str">
        <f t="shared" si="22"/>
        <v/>
      </c>
      <c r="B14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25">
      <c r="A1453" s="1" t="str">
        <f t="shared" si="22"/>
        <v/>
      </c>
      <c r="B14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25">
      <c r="A1454" s="1" t="str">
        <f t="shared" si="22"/>
        <v/>
      </c>
      <c r="B14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25">
      <c r="A1455" s="1" t="str">
        <f t="shared" si="22"/>
        <v/>
      </c>
      <c r="B14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25">
      <c r="A1456" s="1" t="str">
        <f t="shared" si="22"/>
        <v/>
      </c>
      <c r="B14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25">
      <c r="A1457" s="1" t="str">
        <f t="shared" si="22"/>
        <v/>
      </c>
      <c r="B14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25">
      <c r="A1458" s="1" t="str">
        <f t="shared" si="22"/>
        <v/>
      </c>
      <c r="B14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25">
      <c r="A1459" s="1" t="str">
        <f t="shared" si="22"/>
        <v/>
      </c>
      <c r="B14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25">
      <c r="A1460" s="1" t="str">
        <f t="shared" si="22"/>
        <v/>
      </c>
      <c r="B14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25">
      <c r="A1461" s="1" t="str">
        <f t="shared" si="22"/>
        <v/>
      </c>
      <c r="B14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25">
      <c r="A1462" s="1" t="str">
        <f t="shared" si="22"/>
        <v/>
      </c>
      <c r="B14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25">
      <c r="A1463" s="1" t="str">
        <f t="shared" si="22"/>
        <v/>
      </c>
      <c r="B14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25">
      <c r="A1464" s="1" t="str">
        <f t="shared" si="22"/>
        <v/>
      </c>
      <c r="B14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25">
      <c r="A1465" s="1" t="str">
        <f t="shared" si="22"/>
        <v/>
      </c>
      <c r="B14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25">
      <c r="A1466" s="1" t="str">
        <f t="shared" si="22"/>
        <v/>
      </c>
      <c r="B14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25">
      <c r="A1467" s="1" t="str">
        <f t="shared" si="22"/>
        <v/>
      </c>
      <c r="B14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25">
      <c r="A1468" s="1" t="str">
        <f t="shared" si="22"/>
        <v/>
      </c>
      <c r="B14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25">
      <c r="A1469" s="1" t="str">
        <f t="shared" si="22"/>
        <v/>
      </c>
      <c r="B14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25">
      <c r="A1470" s="1" t="str">
        <f t="shared" si="22"/>
        <v/>
      </c>
      <c r="B14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25">
      <c r="A1471" s="1" t="str">
        <f t="shared" si="22"/>
        <v/>
      </c>
      <c r="B14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25">
      <c r="A1472" s="1" t="str">
        <f t="shared" si="22"/>
        <v/>
      </c>
      <c r="B14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25">
      <c r="A1473" s="1" t="str">
        <f t="shared" si="22"/>
        <v/>
      </c>
      <c r="B14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25">
      <c r="A1474" s="1" t="str">
        <f t="shared" ref="A1474:A1531" si="23">IFERROR(LEFT(RIGHT(C1474,LEN(C1474)-SEARCH("@",C1474)),SEARCH("/",RIGHT(C1474,LEN(C1474)-SEARCH("@",C1474)-1))),"")</f>
        <v/>
      </c>
      <c r="B14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25">
      <c r="A1475" s="1" t="str">
        <f t="shared" si="23"/>
        <v/>
      </c>
      <c r="B14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25">
      <c r="A1476" s="1" t="str">
        <f t="shared" si="23"/>
        <v/>
      </c>
      <c r="B14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25">
      <c r="A1477" s="1" t="str">
        <f t="shared" si="23"/>
        <v/>
      </c>
      <c r="B14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25">
      <c r="A1478" s="1" t="str">
        <f t="shared" si="23"/>
        <v/>
      </c>
      <c r="B14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25">
      <c r="A1479" s="1" t="str">
        <f t="shared" si="23"/>
        <v/>
      </c>
      <c r="B14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25">
      <c r="A1480" s="1" t="str">
        <f t="shared" si="23"/>
        <v/>
      </c>
      <c r="B14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25">
      <c r="A1481" s="1" t="str">
        <f t="shared" si="23"/>
        <v/>
      </c>
      <c r="B14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25">
      <c r="A1482" s="1" t="str">
        <f t="shared" si="23"/>
        <v/>
      </c>
      <c r="B14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25">
      <c r="A1483" s="1" t="str">
        <f t="shared" si="23"/>
        <v/>
      </c>
      <c r="B14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25">
      <c r="A1484" s="1" t="str">
        <f t="shared" si="23"/>
        <v/>
      </c>
      <c r="B14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25">
      <c r="A1485" s="1" t="str">
        <f t="shared" si="23"/>
        <v/>
      </c>
      <c r="B14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25">
      <c r="A1486" s="1" t="str">
        <f t="shared" si="23"/>
        <v/>
      </c>
      <c r="B14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25">
      <c r="A1487" s="1" t="str">
        <f t="shared" si="23"/>
        <v/>
      </c>
      <c r="B14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25">
      <c r="A1488" s="1" t="str">
        <f t="shared" si="23"/>
        <v/>
      </c>
      <c r="B14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25">
      <c r="A1489" s="1" t="str">
        <f t="shared" si="23"/>
        <v/>
      </c>
      <c r="B14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25">
      <c r="A1490" s="1" t="str">
        <f t="shared" si="23"/>
        <v/>
      </c>
      <c r="B14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25">
      <c r="A1491" s="1" t="str">
        <f t="shared" si="23"/>
        <v/>
      </c>
      <c r="B14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25">
      <c r="A1492" s="1" t="str">
        <f t="shared" si="23"/>
        <v/>
      </c>
      <c r="B14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25">
      <c r="A1493" s="1" t="str">
        <f t="shared" si="23"/>
        <v/>
      </c>
      <c r="B14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25">
      <c r="A1494" s="1" t="str">
        <f t="shared" si="23"/>
        <v/>
      </c>
      <c r="B14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25">
      <c r="A1495" s="1" t="str">
        <f t="shared" si="23"/>
        <v/>
      </c>
      <c r="B14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25">
      <c r="A1496" s="1" t="str">
        <f t="shared" si="23"/>
        <v/>
      </c>
      <c r="B14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25">
      <c r="A1497" s="1" t="str">
        <f t="shared" si="23"/>
        <v/>
      </c>
      <c r="B14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25">
      <c r="A1498" s="1" t="str">
        <f t="shared" si="23"/>
        <v/>
      </c>
      <c r="B14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25">
      <c r="A1499" s="1" t="str">
        <f t="shared" si="23"/>
        <v/>
      </c>
      <c r="B14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25">
      <c r="A1500" s="1" t="str">
        <f t="shared" si="23"/>
        <v/>
      </c>
      <c r="B15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25">
      <c r="A1501" s="1" t="str">
        <f t="shared" si="23"/>
        <v/>
      </c>
      <c r="B15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25">
      <c r="A1502" s="1" t="str">
        <f t="shared" si="23"/>
        <v/>
      </c>
      <c r="B15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25">
      <c r="A1503" s="1" t="str">
        <f t="shared" si="23"/>
        <v/>
      </c>
      <c r="B15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25">
      <c r="A1504" s="1" t="str">
        <f t="shared" si="23"/>
        <v/>
      </c>
      <c r="B15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25">
      <c r="A1505" s="1" t="str">
        <f t="shared" si="23"/>
        <v/>
      </c>
      <c r="B15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25">
      <c r="A1506" s="1" t="str">
        <f t="shared" si="23"/>
        <v/>
      </c>
      <c r="B15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25">
      <c r="A1507" s="1" t="str">
        <f t="shared" si="23"/>
        <v/>
      </c>
      <c r="B15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25">
      <c r="A1508" s="1" t="str">
        <f t="shared" si="23"/>
        <v/>
      </c>
      <c r="B15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25">
      <c r="A1509" s="1" t="str">
        <f t="shared" si="23"/>
        <v/>
      </c>
      <c r="B15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25">
      <c r="A1510" s="1" t="str">
        <f t="shared" si="23"/>
        <v/>
      </c>
      <c r="B15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25">
      <c r="A1511" s="1" t="str">
        <f t="shared" si="23"/>
        <v/>
      </c>
      <c r="B15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25">
      <c r="A1512" s="1" t="str">
        <f t="shared" si="23"/>
        <v/>
      </c>
      <c r="B15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25">
      <c r="A1513" s="1" t="str">
        <f t="shared" si="23"/>
        <v/>
      </c>
      <c r="B15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25">
      <c r="A1514" s="1" t="str">
        <f t="shared" si="23"/>
        <v/>
      </c>
      <c r="B15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25">
      <c r="A1515" s="1" t="str">
        <f t="shared" si="23"/>
        <v/>
      </c>
      <c r="B15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25">
      <c r="A1516" s="1" t="str">
        <f t="shared" si="23"/>
        <v/>
      </c>
      <c r="B15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25">
      <c r="A1517" s="1" t="str">
        <f t="shared" si="23"/>
        <v/>
      </c>
      <c r="B15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25">
      <c r="A1518" s="1" t="str">
        <f t="shared" si="23"/>
        <v/>
      </c>
      <c r="B15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25">
      <c r="A1519" s="1" t="str">
        <f t="shared" si="23"/>
        <v/>
      </c>
      <c r="B15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25">
      <c r="A1520" s="1" t="str">
        <f t="shared" si="23"/>
        <v/>
      </c>
      <c r="B15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25">
      <c r="A1521" s="1" t="str">
        <f t="shared" si="23"/>
        <v/>
      </c>
      <c r="B15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25">
      <c r="A1522" s="1" t="str">
        <f t="shared" si="23"/>
        <v/>
      </c>
      <c r="B15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25">
      <c r="A1523" s="1" t="str">
        <f t="shared" si="23"/>
        <v/>
      </c>
      <c r="B15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25">
      <c r="A1524" s="1" t="str">
        <f t="shared" si="23"/>
        <v/>
      </c>
      <c r="B15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25">
      <c r="A1525" s="1" t="str">
        <f t="shared" si="23"/>
        <v/>
      </c>
      <c r="B15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25">
      <c r="A1526" s="1" t="str">
        <f t="shared" si="23"/>
        <v/>
      </c>
      <c r="B15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25">
      <c r="A1527" s="1" t="str">
        <f t="shared" si="23"/>
        <v/>
      </c>
      <c r="B15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25">
      <c r="A1528" s="1" t="str">
        <f t="shared" si="23"/>
        <v/>
      </c>
      <c r="B15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25">
      <c r="A1529" s="1" t="str">
        <f t="shared" si="23"/>
        <v/>
      </c>
      <c r="B15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25">
      <c r="A1530" s="1" t="str">
        <f t="shared" si="23"/>
        <v/>
      </c>
      <c r="B15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25">
      <c r="A1531" s="1" t="str">
        <f t="shared" si="23"/>
        <v/>
      </c>
      <c r="B15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B14:J19 K5:K6 B3:J10 B20:XFD1531 A3:A1531">
    <cfRule type="containsText" dxfId="39" priority="1" operator="containsText" text="ERREUR">
      <formula>NOT(ISERROR(SEARCH("ERREUR",A1)))</formula>
    </cfRule>
    <cfRule type="containsText" dxfId="38" priority="2" operator="containsText" text="OK">
      <formula>NOT(ISERROR(SEARCH("OK",A1)))</formula>
    </cfRule>
  </conditionalFormatting>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74"/>
  <sheetViews>
    <sheetView showGridLines="0" zoomScale="53" zoomScaleNormal="53" zoomScaleSheetLayoutView="40" zoomScalePageLayoutView="30" workbookViewId="0">
      <selection activeCell="P24" sqref="P24"/>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11.7109375" style="1" customWidth="1"/>
    <col min="10" max="10" width="14.85546875" style="1" customWidth="1"/>
    <col min="11" max="11" width="17.7109375" style="1" customWidth="1"/>
    <col min="12" max="13" width="25.85546875" style="1" bestFit="1" customWidth="1"/>
    <col min="14" max="31" width="25.85546875" style="1" customWidth="1"/>
    <col min="32" max="32" width="25.85546875" style="1" bestFit="1" customWidth="1"/>
    <col min="33" max="16384" width="9.140625" style="1"/>
  </cols>
  <sheetData>
    <row r="1" spans="1:32" ht="27" thickBot="1" x14ac:dyDescent="0.45">
      <c r="A1" s="197" t="s">
        <v>43</v>
      </c>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9"/>
    </row>
    <row r="2" spans="1:32" customFormat="1" ht="15.75" customHeight="1" thickBot="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15.75" customHeight="1" thickBot="1" x14ac:dyDescent="0.3">
      <c r="A3" s="151" t="s">
        <v>18</v>
      </c>
      <c r="B3" s="195" t="s">
        <v>6</v>
      </c>
      <c r="C3" s="196"/>
      <c r="D3" s="196"/>
      <c r="E3" s="196"/>
      <c r="F3" s="196"/>
      <c r="G3" s="196"/>
      <c r="H3" s="196"/>
      <c r="J3" s="195" t="s">
        <v>3</v>
      </c>
      <c r="K3" s="196"/>
      <c r="L3" s="196"/>
    </row>
    <row r="4" spans="1:32" x14ac:dyDescent="0.25">
      <c r="A4" s="33" t="s">
        <v>41</v>
      </c>
      <c r="B4" s="34" t="str">
        <f>'Page de garde'!A7</f>
        <v>Témoin solvant</v>
      </c>
      <c r="C4" s="34" t="str">
        <f>'Page de garde'!A9</f>
        <v>EE2-33,8ng/L</v>
      </c>
      <c r="D4" s="34" t="str">
        <f>'Page de garde'!A10</f>
        <v>EE2-50,6ng/L</v>
      </c>
      <c r="E4" s="34" t="str">
        <f>'Page de garde'!A11</f>
        <v>EE2-76ng/L</v>
      </c>
      <c r="F4" s="34" t="str">
        <f>'Page de garde'!A12</f>
        <v>EE2-114ng/L</v>
      </c>
      <c r="G4" s="34" t="str">
        <f>'Page de garde'!A13</f>
        <v>EE2-170,9ng/L</v>
      </c>
      <c r="H4" s="34" t="str">
        <f>'Page de garde'!A14</f>
        <v>EE2-488ng/L</v>
      </c>
      <c r="I4" s="3"/>
      <c r="J4" s="35" t="str">
        <f>'Page de garde'!A36</f>
        <v>Testo -30µg/L</v>
      </c>
      <c r="K4" s="35" t="str">
        <f>'Page de garde'!A37</f>
        <v>Testo 30µg/L + EE2 -64ng/L</v>
      </c>
      <c r="L4" s="35" t="str">
        <f>'Page de garde'!A38</f>
        <v>Testo 30µg/L + FAD-10mg/L</v>
      </c>
    </row>
    <row r="5" spans="1:32" x14ac:dyDescent="0.25">
      <c r="A5" s="202" t="s">
        <v>33</v>
      </c>
      <c r="B5" s="31">
        <v>16956864</v>
      </c>
      <c r="C5" s="31">
        <v>14616380</v>
      </c>
      <c r="D5" s="31">
        <v>16038783</v>
      </c>
      <c r="E5" s="31">
        <v>18885472</v>
      </c>
      <c r="F5" s="31">
        <v>12750001</v>
      </c>
      <c r="G5" s="194">
        <v>20350616</v>
      </c>
      <c r="H5" s="31">
        <v>21764324</v>
      </c>
      <c r="I5" s="3"/>
      <c r="J5" s="31">
        <v>17902307</v>
      </c>
      <c r="K5" s="194">
        <v>1135418</v>
      </c>
      <c r="L5" s="194">
        <v>9639774</v>
      </c>
    </row>
    <row r="6" spans="1:32" ht="16.5" x14ac:dyDescent="0.25">
      <c r="A6" s="202"/>
      <c r="B6" s="13">
        <v>16716231</v>
      </c>
      <c r="C6" s="12">
        <v>13110160</v>
      </c>
      <c r="D6" s="31">
        <v>23714757</v>
      </c>
      <c r="E6" s="31">
        <v>12957021</v>
      </c>
      <c r="F6" s="31">
        <v>22493468</v>
      </c>
      <c r="G6" s="194">
        <v>18019908</v>
      </c>
      <c r="H6" s="194">
        <v>23878409</v>
      </c>
      <c r="I6" s="3"/>
      <c r="J6" s="31">
        <v>21199979</v>
      </c>
      <c r="K6" s="194">
        <v>19860634</v>
      </c>
      <c r="L6" s="194">
        <v>4697040</v>
      </c>
    </row>
    <row r="7" spans="1:32" ht="16.5" x14ac:dyDescent="0.25">
      <c r="A7" s="202"/>
      <c r="B7" s="13">
        <v>16373960</v>
      </c>
      <c r="C7" s="12">
        <v>14804646</v>
      </c>
      <c r="D7" s="31">
        <v>11712134</v>
      </c>
      <c r="E7" s="31">
        <v>19574752</v>
      </c>
      <c r="F7" s="31"/>
      <c r="G7" s="31">
        <v>27411912</v>
      </c>
      <c r="H7" s="31">
        <v>14570221</v>
      </c>
      <c r="I7" s="3"/>
      <c r="J7" s="31">
        <v>19895869</v>
      </c>
      <c r="K7" s="194">
        <v>12992688</v>
      </c>
      <c r="L7" s="194">
        <v>22821659</v>
      </c>
    </row>
    <row r="8" spans="1:32" ht="16.5" x14ac:dyDescent="0.25">
      <c r="A8" s="202"/>
      <c r="B8" s="13">
        <v>17499818</v>
      </c>
      <c r="C8" s="12">
        <v>19872120</v>
      </c>
      <c r="D8" s="31">
        <v>16544685</v>
      </c>
      <c r="E8" s="31">
        <v>21071476</v>
      </c>
      <c r="F8" s="31">
        <v>10816526</v>
      </c>
      <c r="G8" s="31">
        <v>17293360</v>
      </c>
      <c r="H8" s="31">
        <v>26833074</v>
      </c>
      <c r="I8" s="3"/>
      <c r="J8" s="31">
        <v>16383088</v>
      </c>
      <c r="K8" s="194">
        <v>19736349</v>
      </c>
      <c r="L8" s="194">
        <v>14284296</v>
      </c>
    </row>
    <row r="9" spans="1:32" ht="16.5" x14ac:dyDescent="0.25">
      <c r="A9" s="202"/>
      <c r="B9" s="13">
        <v>18479371</v>
      </c>
      <c r="C9" s="12">
        <v>15314787</v>
      </c>
      <c r="D9" s="31">
        <v>17842695</v>
      </c>
      <c r="E9" s="31">
        <v>10039494</v>
      </c>
      <c r="F9" s="31">
        <v>20136480</v>
      </c>
      <c r="G9" s="31">
        <v>15776824</v>
      </c>
      <c r="H9" s="31">
        <v>21107014</v>
      </c>
      <c r="I9" s="3"/>
      <c r="J9" s="31">
        <v>21809682</v>
      </c>
      <c r="K9" s="194">
        <v>17458937</v>
      </c>
      <c r="L9" s="194">
        <v>15279422</v>
      </c>
    </row>
    <row r="10" spans="1:32" ht="16.5" x14ac:dyDescent="0.25">
      <c r="A10" s="202"/>
      <c r="B10" s="13">
        <v>15633374</v>
      </c>
      <c r="C10" s="12">
        <v>17173379</v>
      </c>
      <c r="D10" s="31">
        <v>15021010</v>
      </c>
      <c r="E10" s="31">
        <v>22977545</v>
      </c>
      <c r="F10" s="31">
        <v>20434540</v>
      </c>
      <c r="G10" s="31">
        <v>17569769</v>
      </c>
      <c r="H10" s="31">
        <v>21268957</v>
      </c>
      <c r="I10" s="3"/>
      <c r="J10" s="31">
        <v>8030574</v>
      </c>
      <c r="K10" s="194">
        <v>15960245</v>
      </c>
      <c r="L10" s="12"/>
    </row>
    <row r="11" spans="1:32" ht="16.5" x14ac:dyDescent="0.25">
      <c r="A11" s="202"/>
      <c r="B11" s="13">
        <v>13930755</v>
      </c>
      <c r="C11" s="12">
        <v>9884213</v>
      </c>
      <c r="D11" s="31">
        <v>21520556</v>
      </c>
      <c r="E11" s="31">
        <v>17940484</v>
      </c>
      <c r="F11" s="31">
        <v>15504763</v>
      </c>
      <c r="G11" s="31">
        <v>20637883</v>
      </c>
      <c r="H11" s="31"/>
      <c r="I11" s="3"/>
      <c r="J11" s="31">
        <v>23294683</v>
      </c>
      <c r="K11" s="194">
        <v>19801001</v>
      </c>
      <c r="L11" s="12"/>
    </row>
    <row r="12" spans="1:32" ht="16.5" x14ac:dyDescent="0.25">
      <c r="A12" s="202"/>
      <c r="B12" s="13">
        <v>14794783</v>
      </c>
      <c r="C12" s="12">
        <v>16316338</v>
      </c>
      <c r="D12" s="31">
        <v>14046432</v>
      </c>
      <c r="E12" s="31">
        <v>16010599</v>
      </c>
      <c r="F12" s="31">
        <v>20552618</v>
      </c>
      <c r="G12" s="31">
        <v>22499287</v>
      </c>
      <c r="H12" s="31"/>
      <c r="I12" s="3"/>
      <c r="J12" s="31">
        <v>24201083</v>
      </c>
      <c r="K12" s="194">
        <v>29469412</v>
      </c>
      <c r="L12" s="12"/>
    </row>
    <row r="13" spans="1:32" ht="16.5" x14ac:dyDescent="0.25">
      <c r="A13" s="202"/>
      <c r="B13" s="13"/>
      <c r="C13" s="12"/>
      <c r="D13" s="31"/>
      <c r="E13" s="31"/>
      <c r="F13" s="31"/>
      <c r="G13" s="31"/>
      <c r="H13" s="31"/>
      <c r="I13" s="3"/>
      <c r="J13" s="31">
        <v>14568751</v>
      </c>
      <c r="K13" s="12"/>
      <c r="L13" s="12"/>
    </row>
    <row r="14" spans="1:32" ht="16.5" x14ac:dyDescent="0.25">
      <c r="A14" s="202"/>
      <c r="B14" s="13"/>
      <c r="C14" s="31"/>
      <c r="D14" s="31"/>
      <c r="E14" s="31"/>
      <c r="F14" s="31"/>
      <c r="G14" s="31"/>
      <c r="H14" s="31"/>
      <c r="I14" s="3"/>
      <c r="J14" s="31">
        <v>18713255</v>
      </c>
      <c r="K14" s="12"/>
      <c r="L14" s="12"/>
    </row>
    <row r="15" spans="1:32" ht="16.5" x14ac:dyDescent="0.25">
      <c r="A15" s="202"/>
      <c r="B15" s="13"/>
      <c r="C15" s="31"/>
      <c r="D15" s="31"/>
      <c r="E15" s="31"/>
      <c r="F15" s="31"/>
      <c r="G15" s="31"/>
      <c r="H15" s="31"/>
      <c r="I15" s="3"/>
      <c r="J15" s="31">
        <v>19613902</v>
      </c>
      <c r="K15" s="12"/>
      <c r="L15" s="12"/>
    </row>
    <row r="16" spans="1:32" ht="16.5" x14ac:dyDescent="0.25">
      <c r="A16" s="202"/>
      <c r="B16" s="13"/>
      <c r="C16" s="31"/>
      <c r="D16" s="31"/>
      <c r="E16" s="31"/>
      <c r="F16" s="31"/>
      <c r="G16" s="31"/>
      <c r="H16" s="31"/>
      <c r="I16" s="3"/>
      <c r="J16" s="31">
        <v>17611017</v>
      </c>
      <c r="K16" s="12"/>
      <c r="L16" s="12"/>
    </row>
    <row r="17" spans="1:12" ht="16.5" x14ac:dyDescent="0.25">
      <c r="A17" s="202"/>
      <c r="B17" s="13"/>
      <c r="C17" s="31"/>
      <c r="D17" s="31"/>
      <c r="E17" s="31"/>
      <c r="F17" s="31"/>
      <c r="G17" s="31"/>
      <c r="H17" s="31"/>
      <c r="I17" s="3"/>
      <c r="J17" s="31">
        <v>20913859</v>
      </c>
      <c r="K17" s="12"/>
      <c r="L17" s="12"/>
    </row>
    <row r="18" spans="1:12" ht="16.5" x14ac:dyDescent="0.25">
      <c r="A18" s="202"/>
      <c r="B18" s="13"/>
      <c r="C18" s="31"/>
      <c r="D18" s="31"/>
      <c r="E18" s="31"/>
      <c r="F18" s="31"/>
      <c r="G18" s="31"/>
      <c r="H18" s="31"/>
      <c r="I18" s="3"/>
      <c r="J18" s="31">
        <v>16096405</v>
      </c>
      <c r="K18" s="12"/>
      <c r="L18" s="12"/>
    </row>
    <row r="19" spans="1:12" ht="16.5" x14ac:dyDescent="0.25">
      <c r="A19" s="202"/>
      <c r="B19" s="13"/>
      <c r="C19" s="31"/>
      <c r="D19" s="31"/>
      <c r="E19" s="31"/>
      <c r="F19" s="31"/>
      <c r="G19" s="31"/>
      <c r="H19" s="31"/>
      <c r="I19" s="3"/>
      <c r="J19" s="31">
        <v>25730274</v>
      </c>
      <c r="K19" s="12"/>
      <c r="L19" s="12"/>
    </row>
    <row r="20" spans="1:12" ht="16.5" x14ac:dyDescent="0.25">
      <c r="A20" s="202"/>
      <c r="B20" s="13"/>
      <c r="C20" s="31"/>
      <c r="D20" s="31"/>
      <c r="E20" s="31"/>
      <c r="F20" s="31"/>
      <c r="G20" s="31"/>
      <c r="H20" s="31"/>
      <c r="I20" s="3"/>
      <c r="J20" s="31">
        <v>15479153</v>
      </c>
      <c r="K20" s="12"/>
      <c r="L20" s="12"/>
    </row>
    <row r="21" spans="1:12" x14ac:dyDescent="0.25">
      <c r="A21" s="3"/>
      <c r="B21" s="6"/>
      <c r="C21" s="6"/>
      <c r="D21" s="6"/>
      <c r="E21" s="6"/>
      <c r="F21" s="6"/>
      <c r="G21" s="6"/>
      <c r="H21" s="6"/>
      <c r="I21" s="3"/>
      <c r="J21" s="6"/>
    </row>
    <row r="22" spans="1:12" x14ac:dyDescent="0.25">
      <c r="A22" s="3" t="str">
        <f>A4</f>
        <v>Noms des groupes</v>
      </c>
      <c r="B22" s="3" t="str">
        <f t="shared" ref="B22:L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
        <v>41</v>
      </c>
      <c r="J22" s="3" t="str">
        <f t="shared" si="0"/>
        <v>Testo -30µg/L</v>
      </c>
      <c r="K22" s="3" t="str">
        <f t="shared" si="0"/>
        <v>Testo 30µg/L + EE2 -64ng/L</v>
      </c>
      <c r="L22" s="3" t="str">
        <f t="shared" si="0"/>
        <v>Testo 30µg/L + FAD-10mg/L</v>
      </c>
    </row>
    <row r="23" spans="1:12" x14ac:dyDescent="0.25">
      <c r="A23" s="4" t="s">
        <v>0</v>
      </c>
      <c r="B23" s="4">
        <f t="shared" ref="B23:H23" si="1">AVERAGE(B5:B20)</f>
        <v>16298144.5</v>
      </c>
      <c r="C23" s="4">
        <f t="shared" si="1"/>
        <v>15136502.875</v>
      </c>
      <c r="D23" s="4">
        <f t="shared" si="1"/>
        <v>17055131.5</v>
      </c>
      <c r="E23" s="4">
        <f t="shared" si="1"/>
        <v>17432105.375</v>
      </c>
      <c r="F23" s="4">
        <f t="shared" si="1"/>
        <v>17526913.714285713</v>
      </c>
      <c r="G23" s="4">
        <f t="shared" si="1"/>
        <v>19944944.875</v>
      </c>
      <c r="H23" s="4">
        <f t="shared" si="1"/>
        <v>21570333.166666668</v>
      </c>
      <c r="I23" s="4" t="s">
        <v>0</v>
      </c>
      <c r="J23" s="4">
        <f>AVERAGE(J5:J20)</f>
        <v>18840242.5625</v>
      </c>
      <c r="K23" s="4">
        <f>AVERAGE(K5:K20)</f>
        <v>17051835.5</v>
      </c>
      <c r="L23" s="4">
        <f>AVERAGE(L5:L20)</f>
        <v>13344438.199999999</v>
      </c>
    </row>
    <row r="24" spans="1:12" x14ac:dyDescent="0.25">
      <c r="A24" s="3" t="s">
        <v>1</v>
      </c>
      <c r="B24" s="3">
        <f t="shared" ref="B24:H24" si="2">STDEV(B5:B20)</f>
        <v>1469828.590500558</v>
      </c>
      <c r="C24" s="3">
        <f t="shared" si="2"/>
        <v>2929456.3421337367</v>
      </c>
      <c r="D24" s="3">
        <f t="shared" si="2"/>
        <v>3926866.2383611766</v>
      </c>
      <c r="E24" s="3">
        <f t="shared" si="2"/>
        <v>4270435.5848854575</v>
      </c>
      <c r="F24" s="3">
        <f t="shared" si="2"/>
        <v>4491157.359777052</v>
      </c>
      <c r="G24" s="3">
        <f t="shared" si="2"/>
        <v>3716302.9906721045</v>
      </c>
      <c r="H24" s="3">
        <f t="shared" si="2"/>
        <v>4058776.9134215545</v>
      </c>
      <c r="I24" s="3" t="s">
        <v>1</v>
      </c>
      <c r="J24" s="3">
        <f>STDEV(J5:J20)</f>
        <v>4311353.1215423774</v>
      </c>
      <c r="K24" s="3">
        <f>STDEV(K5:K20)</f>
        <v>8000146.4695259714</v>
      </c>
      <c r="L24" s="3">
        <f>STDEV(L5:L20)</f>
        <v>6762899.5546762478</v>
      </c>
    </row>
    <row r="25" spans="1:12" ht="15.75" thickBot="1" x14ac:dyDescent="0.3"/>
    <row r="26" spans="1:12" ht="15.75" thickBot="1" x14ac:dyDescent="0.3">
      <c r="B26" s="195" t="s">
        <v>6</v>
      </c>
      <c r="C26" s="196"/>
      <c r="D26" s="196"/>
      <c r="E26" s="196"/>
      <c r="F26" s="196"/>
      <c r="G26" s="196"/>
      <c r="H26" s="196"/>
      <c r="J26" s="195" t="s">
        <v>3</v>
      </c>
      <c r="K26" s="196"/>
      <c r="L26" s="196"/>
    </row>
    <row r="27" spans="1:12" x14ac:dyDescent="0.25">
      <c r="A27" s="33" t="s">
        <v>41</v>
      </c>
      <c r="B27" s="34" t="str">
        <f>B4</f>
        <v>Témoin solvant</v>
      </c>
      <c r="C27" s="34" t="str">
        <f t="shared" ref="C27:H27" si="3">C4</f>
        <v>EE2-33,8ng/L</v>
      </c>
      <c r="D27" s="34" t="str">
        <f t="shared" si="3"/>
        <v>EE2-50,6ng/L</v>
      </c>
      <c r="E27" s="34" t="str">
        <f t="shared" si="3"/>
        <v>EE2-76ng/L</v>
      </c>
      <c r="F27" s="34" t="str">
        <f t="shared" si="3"/>
        <v>EE2-114ng/L</v>
      </c>
      <c r="G27" s="34" t="str">
        <f t="shared" si="3"/>
        <v>EE2-170,9ng/L</v>
      </c>
      <c r="H27" s="34" t="str">
        <f t="shared" si="3"/>
        <v>EE2-488ng/L</v>
      </c>
      <c r="I27" s="3"/>
      <c r="J27" s="35" t="str">
        <f>J4</f>
        <v>Testo -30µg/L</v>
      </c>
      <c r="K27" s="35" t="str">
        <f t="shared" ref="K27:L27" si="4">K4</f>
        <v>Testo 30µg/L + EE2 -64ng/L</v>
      </c>
      <c r="L27" s="35" t="str">
        <f t="shared" si="4"/>
        <v>Testo 30µg/L + FAD-10mg/L</v>
      </c>
    </row>
    <row r="28" spans="1:12" ht="15" customHeight="1" x14ac:dyDescent="0.25">
      <c r="A28" s="203" t="s">
        <v>34</v>
      </c>
      <c r="B28" s="10">
        <f t="shared" ref="B28:H37" si="5">IF(B5="","",(B5/$J$23))</f>
        <v>0.90003427205079012</v>
      </c>
      <c r="C28" s="10">
        <f t="shared" si="5"/>
        <v>0.77580635979139345</v>
      </c>
      <c r="D28" s="10">
        <f t="shared" si="5"/>
        <v>0.85130448542758774</v>
      </c>
      <c r="E28" s="10">
        <f t="shared" si="5"/>
        <v>1.0024006823346332</v>
      </c>
      <c r="F28" s="10">
        <f t="shared" si="5"/>
        <v>0.67674293245979011</v>
      </c>
      <c r="G28" s="10">
        <f t="shared" si="5"/>
        <v>1.0801674093361344</v>
      </c>
      <c r="H28" s="10">
        <f t="shared" si="5"/>
        <v>1.1552040228675267</v>
      </c>
      <c r="I28" s="5"/>
      <c r="J28" s="10">
        <f t="shared" ref="J28:L37" si="6">IF(J5="","",(J5/$J$23))</f>
        <v>0.95021637543208248</v>
      </c>
      <c r="K28" s="10">
        <f t="shared" si="6"/>
        <v>6.0265572284082955E-2</v>
      </c>
      <c r="L28" s="10">
        <f t="shared" si="6"/>
        <v>0.51165869908634831</v>
      </c>
    </row>
    <row r="29" spans="1:12" x14ac:dyDescent="0.25">
      <c r="A29" s="203"/>
      <c r="B29" s="10">
        <f t="shared" si="5"/>
        <v>0.88726198426300118</v>
      </c>
      <c r="C29" s="10">
        <f t="shared" si="5"/>
        <v>0.69585940608295183</v>
      </c>
      <c r="D29" s="10">
        <f t="shared" si="5"/>
        <v>1.2587288577272531</v>
      </c>
      <c r="E29" s="10">
        <f t="shared" si="5"/>
        <v>0.68773111370603668</v>
      </c>
      <c r="F29" s="10">
        <f t="shared" si="5"/>
        <v>1.1939054354200012</v>
      </c>
      <c r="G29" s="10">
        <f t="shared" si="5"/>
        <v>0.95645838636213687</v>
      </c>
      <c r="H29" s="10">
        <f t="shared" si="5"/>
        <v>1.2674151577818891</v>
      </c>
      <c r="I29" s="5"/>
      <c r="J29" s="10">
        <f t="shared" si="6"/>
        <v>1.1252497906898962</v>
      </c>
      <c r="K29" s="10">
        <f t="shared" si="6"/>
        <v>1.0541602070204239</v>
      </c>
      <c r="L29" s="10">
        <f t="shared" si="6"/>
        <v>0.24930889209192472</v>
      </c>
    </row>
    <row r="30" spans="1:12" x14ac:dyDescent="0.25">
      <c r="A30" s="203"/>
      <c r="B30" s="10">
        <f t="shared" si="5"/>
        <v>0.86909496763014404</v>
      </c>
      <c r="C30" s="10">
        <f t="shared" si="5"/>
        <v>0.78579911860941043</v>
      </c>
      <c r="D30" s="10">
        <f t="shared" si="5"/>
        <v>0.62165515975426289</v>
      </c>
      <c r="E30" s="10">
        <f t="shared" si="5"/>
        <v>1.0389861985621132</v>
      </c>
      <c r="F30" s="10" t="str">
        <f t="shared" si="5"/>
        <v/>
      </c>
      <c r="G30" s="10">
        <f t="shared" si="5"/>
        <v>1.4549659808818611</v>
      </c>
      <c r="H30" s="10">
        <f t="shared" si="5"/>
        <v>0.77335633825653938</v>
      </c>
      <c r="I30" s="5"/>
      <c r="J30" s="10">
        <f t="shared" si="6"/>
        <v>1.056030405871798</v>
      </c>
      <c r="K30" s="10">
        <f t="shared" si="6"/>
        <v>0.6896242421985006</v>
      </c>
      <c r="L30" s="10">
        <f t="shared" si="6"/>
        <v>1.2113251156025291</v>
      </c>
    </row>
    <row r="31" spans="1:12" x14ac:dyDescent="0.25">
      <c r="A31" s="203"/>
      <c r="B31" s="10">
        <f t="shared" si="5"/>
        <v>0.92885311544937277</v>
      </c>
      <c r="C31" s="10">
        <f t="shared" si="5"/>
        <v>1.0547698594684694</v>
      </c>
      <c r="D31" s="10">
        <f t="shared" si="5"/>
        <v>0.87815668747975018</v>
      </c>
      <c r="E31" s="10">
        <f t="shared" si="5"/>
        <v>1.1184291247895657</v>
      </c>
      <c r="F31" s="10">
        <f t="shared" si="5"/>
        <v>0.57411819216857818</v>
      </c>
      <c r="G31" s="10">
        <f t="shared" si="5"/>
        <v>0.91789476396769187</v>
      </c>
      <c r="H31" s="10">
        <f t="shared" si="5"/>
        <v>1.4242424910923968</v>
      </c>
      <c r="I31" s="5"/>
      <c r="J31" s="10">
        <f t="shared" si="6"/>
        <v>0.8695794624539086</v>
      </c>
      <c r="K31" s="10">
        <f t="shared" si="6"/>
        <v>1.0475634235879547</v>
      </c>
      <c r="L31" s="10">
        <f t="shared" si="6"/>
        <v>0.75818004744969425</v>
      </c>
    </row>
    <row r="32" spans="1:12" x14ac:dyDescent="0.25">
      <c r="A32" s="203"/>
      <c r="B32" s="10">
        <f t="shared" si="5"/>
        <v>0.98084570507503521</v>
      </c>
      <c r="C32" s="10">
        <f t="shared" si="5"/>
        <v>0.81287631776476499</v>
      </c>
      <c r="D32" s="10">
        <f t="shared" si="5"/>
        <v>0.94705229727320295</v>
      </c>
      <c r="E32" s="10">
        <f t="shared" si="5"/>
        <v>0.53287498643901809</v>
      </c>
      <c r="F32" s="10">
        <f t="shared" si="5"/>
        <v>1.0688015259463834</v>
      </c>
      <c r="G32" s="10">
        <f t="shared" si="5"/>
        <v>0.83740025892248915</v>
      </c>
      <c r="H32" s="10">
        <f t="shared" si="5"/>
        <v>1.1203154062364264</v>
      </c>
      <c r="I32" s="5"/>
      <c r="J32" s="10">
        <f t="shared" si="6"/>
        <v>1.1576115290261937</v>
      </c>
      <c r="K32" s="10">
        <f t="shared" si="6"/>
        <v>0.92668323892764637</v>
      </c>
      <c r="L32" s="10">
        <f t="shared" si="6"/>
        <v>0.81099921878991466</v>
      </c>
    </row>
    <row r="33" spans="1:12" x14ac:dyDescent="0.25">
      <c r="A33" s="203"/>
      <c r="B33" s="10">
        <f t="shared" si="5"/>
        <v>0.82978623805603136</v>
      </c>
      <c r="C33" s="10">
        <f t="shared" si="5"/>
        <v>0.91152642770015291</v>
      </c>
      <c r="D33" s="10">
        <f t="shared" si="5"/>
        <v>0.79728325949996648</v>
      </c>
      <c r="E33" s="10">
        <f t="shared" si="5"/>
        <v>1.2195992128962803</v>
      </c>
      <c r="F33" s="10">
        <f t="shared" si="5"/>
        <v>1.0846219167407813</v>
      </c>
      <c r="G33" s="10">
        <f t="shared" si="5"/>
        <v>0.93256596573609007</v>
      </c>
      <c r="H33" s="10">
        <f t="shared" si="5"/>
        <v>1.1289109962062889</v>
      </c>
      <c r="I33" s="5"/>
      <c r="J33" s="10">
        <f t="shared" si="6"/>
        <v>0.42624578602741647</v>
      </c>
      <c r="K33" s="10">
        <f t="shared" si="6"/>
        <v>0.84713585544634096</v>
      </c>
      <c r="L33" s="10" t="str">
        <f t="shared" si="6"/>
        <v/>
      </c>
    </row>
    <row r="34" spans="1:12" x14ac:dyDescent="0.25">
      <c r="A34" s="203"/>
      <c r="B34" s="10">
        <f t="shared" si="5"/>
        <v>0.73941484318933648</v>
      </c>
      <c r="C34" s="10">
        <f t="shared" si="5"/>
        <v>0.52463300125836687</v>
      </c>
      <c r="D34" s="10">
        <f t="shared" si="5"/>
        <v>1.1422653359482191</v>
      </c>
      <c r="E34" s="10">
        <f t="shared" si="5"/>
        <v>0.95224272938550714</v>
      </c>
      <c r="F34" s="10">
        <f t="shared" si="5"/>
        <v>0.82295983974542841</v>
      </c>
      <c r="G34" s="10">
        <f t="shared" si="5"/>
        <v>1.0954149306484016</v>
      </c>
      <c r="H34" s="10" t="str">
        <f t="shared" si="5"/>
        <v/>
      </c>
      <c r="I34" s="5"/>
      <c r="J34" s="10">
        <f t="shared" si="6"/>
        <v>1.2364322233497254</v>
      </c>
      <c r="K34" s="10">
        <f t="shared" si="6"/>
        <v>1.0509950142262134</v>
      </c>
      <c r="L34" s="10" t="str">
        <f t="shared" si="6"/>
        <v/>
      </c>
    </row>
    <row r="35" spans="1:12" x14ac:dyDescent="0.25">
      <c r="A35" s="203"/>
      <c r="B35" s="10">
        <f t="shared" si="5"/>
        <v>0.78527561154906977</v>
      </c>
      <c r="C35" s="10">
        <f t="shared" si="5"/>
        <v>0.86603651443832097</v>
      </c>
      <c r="D35" s="10">
        <f t="shared" si="5"/>
        <v>0.74555473229194524</v>
      </c>
      <c r="E35" s="10">
        <f t="shared" si="5"/>
        <v>0.84980853865797989</v>
      </c>
      <c r="F35" s="10">
        <f t="shared" si="5"/>
        <v>1.0908892458162056</v>
      </c>
      <c r="G35" s="10">
        <f t="shared" si="5"/>
        <v>1.1942142955623638</v>
      </c>
      <c r="H35" s="10" t="str">
        <f t="shared" si="5"/>
        <v/>
      </c>
      <c r="I35" s="5"/>
      <c r="J35" s="10">
        <f t="shared" si="6"/>
        <v>1.2845420073396681</v>
      </c>
      <c r="K35" s="10">
        <f t="shared" si="6"/>
        <v>1.5641737043585902</v>
      </c>
      <c r="L35" s="10" t="str">
        <f t="shared" si="6"/>
        <v/>
      </c>
    </row>
    <row r="36" spans="1:12" x14ac:dyDescent="0.25">
      <c r="A36" s="203"/>
      <c r="B36" s="10" t="str">
        <f t="shared" si="5"/>
        <v/>
      </c>
      <c r="C36" s="10" t="str">
        <f t="shared" si="5"/>
        <v/>
      </c>
      <c r="D36" s="10" t="str">
        <f t="shared" si="5"/>
        <v/>
      </c>
      <c r="E36" s="10" t="str">
        <f t="shared" si="5"/>
        <v/>
      </c>
      <c r="F36" s="10" t="str">
        <f t="shared" si="5"/>
        <v/>
      </c>
      <c r="G36" s="10" t="str">
        <f t="shared" si="5"/>
        <v/>
      </c>
      <c r="H36" s="10" t="str">
        <f t="shared" si="5"/>
        <v/>
      </c>
      <c r="I36" s="5"/>
      <c r="J36" s="10">
        <f t="shared" si="6"/>
        <v>0.77327831378338707</v>
      </c>
      <c r="K36" s="10" t="str">
        <f t="shared" si="6"/>
        <v/>
      </c>
      <c r="L36" s="10" t="str">
        <f t="shared" si="6"/>
        <v/>
      </c>
    </row>
    <row r="37" spans="1:12" x14ac:dyDescent="0.25">
      <c r="A37" s="203"/>
      <c r="B37" s="10" t="str">
        <f t="shared" si="5"/>
        <v/>
      </c>
      <c r="C37" s="10" t="str">
        <f t="shared" si="5"/>
        <v/>
      </c>
      <c r="D37" s="10" t="str">
        <f t="shared" si="5"/>
        <v/>
      </c>
      <c r="E37" s="10" t="str">
        <f t="shared" si="5"/>
        <v/>
      </c>
      <c r="F37" s="10" t="str">
        <f t="shared" si="5"/>
        <v/>
      </c>
      <c r="G37" s="10" t="str">
        <f t="shared" si="5"/>
        <v/>
      </c>
      <c r="H37" s="10" t="str">
        <f t="shared" si="5"/>
        <v/>
      </c>
      <c r="I37" s="5"/>
      <c r="J37" s="10">
        <f t="shared" si="6"/>
        <v>0.9932597702986713</v>
      </c>
      <c r="K37" s="10" t="str">
        <f t="shared" si="6"/>
        <v/>
      </c>
      <c r="L37" s="10" t="str">
        <f t="shared" si="6"/>
        <v/>
      </c>
    </row>
    <row r="38" spans="1:12" x14ac:dyDescent="0.25">
      <c r="A38" s="203"/>
      <c r="B38" s="10" t="str">
        <f t="shared" ref="B38:H43" si="7">IF(B15="","",(B15/$J$23))</f>
        <v/>
      </c>
      <c r="C38" s="10" t="str">
        <f t="shared" si="7"/>
        <v/>
      </c>
      <c r="D38" s="10" t="str">
        <f t="shared" si="7"/>
        <v/>
      </c>
      <c r="E38" s="10" t="str">
        <f t="shared" si="7"/>
        <v/>
      </c>
      <c r="F38" s="10" t="str">
        <f t="shared" si="7"/>
        <v/>
      </c>
      <c r="G38" s="10" t="str">
        <f t="shared" si="7"/>
        <v/>
      </c>
      <c r="H38" s="10" t="str">
        <f t="shared" si="7"/>
        <v/>
      </c>
      <c r="I38" s="5"/>
      <c r="J38" s="10">
        <f t="shared" ref="J38:L38" si="8">IF(J15="","",(J15/$J$23))</f>
        <v>1.0410641972858623</v>
      </c>
      <c r="K38" s="10" t="str">
        <f t="shared" si="8"/>
        <v/>
      </c>
      <c r="L38" s="10" t="str">
        <f t="shared" si="8"/>
        <v/>
      </c>
    </row>
    <row r="39" spans="1:12" x14ac:dyDescent="0.25">
      <c r="A39" s="203"/>
      <c r="B39" s="10" t="str">
        <f t="shared" si="7"/>
        <v/>
      </c>
      <c r="C39" s="10" t="str">
        <f t="shared" si="7"/>
        <v/>
      </c>
      <c r="D39" s="10" t="str">
        <f t="shared" si="7"/>
        <v/>
      </c>
      <c r="E39" s="10" t="str">
        <f t="shared" si="7"/>
        <v/>
      </c>
      <c r="F39" s="10" t="str">
        <f t="shared" si="7"/>
        <v/>
      </c>
      <c r="G39" s="10" t="str">
        <f t="shared" si="7"/>
        <v/>
      </c>
      <c r="H39" s="10" t="str">
        <f t="shared" si="7"/>
        <v/>
      </c>
      <c r="I39" s="5"/>
      <c r="J39" s="10">
        <f t="shared" ref="J39:L39" si="9">IF(J16="","",(J16/$J$23))</f>
        <v>0.93475532183716814</v>
      </c>
      <c r="K39" s="10" t="str">
        <f t="shared" si="9"/>
        <v/>
      </c>
      <c r="L39" s="10" t="str">
        <f t="shared" si="9"/>
        <v/>
      </c>
    </row>
    <row r="40" spans="1:12" x14ac:dyDescent="0.25">
      <c r="A40" s="203"/>
      <c r="B40" s="10" t="str">
        <f t="shared" si="7"/>
        <v/>
      </c>
      <c r="C40" s="10" t="str">
        <f t="shared" si="7"/>
        <v/>
      </c>
      <c r="D40" s="10" t="str">
        <f t="shared" si="7"/>
        <v/>
      </c>
      <c r="E40" s="10" t="str">
        <f t="shared" si="7"/>
        <v/>
      </c>
      <c r="F40" s="10" t="str">
        <f t="shared" si="7"/>
        <v/>
      </c>
      <c r="G40" s="10" t="str">
        <f t="shared" si="7"/>
        <v/>
      </c>
      <c r="H40" s="10" t="str">
        <f t="shared" si="7"/>
        <v/>
      </c>
      <c r="I40" s="5"/>
      <c r="J40" s="10">
        <f t="shared" ref="J40:L40" si="10">IF(J17="","",(J17/$J$23))</f>
        <v>1.110063149697837</v>
      </c>
      <c r="K40" s="10" t="str">
        <f t="shared" si="10"/>
        <v/>
      </c>
      <c r="L40" s="10" t="str">
        <f t="shared" si="10"/>
        <v/>
      </c>
    </row>
    <row r="41" spans="1:12" x14ac:dyDescent="0.25">
      <c r="A41" s="203"/>
      <c r="B41" s="10" t="str">
        <f t="shared" si="7"/>
        <v/>
      </c>
      <c r="C41" s="10" t="str">
        <f t="shared" si="7"/>
        <v/>
      </c>
      <c r="D41" s="10" t="str">
        <f t="shared" si="7"/>
        <v/>
      </c>
      <c r="E41" s="10" t="str">
        <f t="shared" si="7"/>
        <v/>
      </c>
      <c r="F41" s="10" t="str">
        <f t="shared" si="7"/>
        <v/>
      </c>
      <c r="G41" s="10" t="str">
        <f t="shared" si="7"/>
        <v/>
      </c>
      <c r="H41" s="10" t="str">
        <f t="shared" si="7"/>
        <v/>
      </c>
      <c r="I41" s="5"/>
      <c r="J41" s="10">
        <f t="shared" ref="J41:L41" si="11">IF(J18="","",(J18/$J$23))</f>
        <v>0.85436293861941093</v>
      </c>
      <c r="K41" s="10" t="str">
        <f t="shared" si="11"/>
        <v/>
      </c>
      <c r="L41" s="10" t="str">
        <f t="shared" si="11"/>
        <v/>
      </c>
    </row>
    <row r="42" spans="1:12" x14ac:dyDescent="0.25">
      <c r="A42" s="203"/>
      <c r="B42" s="10" t="str">
        <f t="shared" si="7"/>
        <v/>
      </c>
      <c r="C42" s="10" t="str">
        <f t="shared" si="7"/>
        <v/>
      </c>
      <c r="D42" s="10" t="str">
        <f t="shared" si="7"/>
        <v/>
      </c>
      <c r="E42" s="10" t="str">
        <f t="shared" si="7"/>
        <v/>
      </c>
      <c r="F42" s="10" t="str">
        <f t="shared" si="7"/>
        <v/>
      </c>
      <c r="G42" s="10" t="str">
        <f t="shared" si="7"/>
        <v/>
      </c>
      <c r="H42" s="10" t="str">
        <f t="shared" si="7"/>
        <v/>
      </c>
      <c r="I42" s="5"/>
      <c r="J42" s="10">
        <f t="shared" ref="J42:L42" si="12">IF(J19="","",(J19/$J$23))</f>
        <v>1.3657082128663278</v>
      </c>
      <c r="K42" s="10" t="str">
        <f t="shared" si="12"/>
        <v/>
      </c>
      <c r="L42" s="10" t="str">
        <f t="shared" si="12"/>
        <v/>
      </c>
    </row>
    <row r="43" spans="1:12" x14ac:dyDescent="0.25">
      <c r="A43" s="203"/>
      <c r="B43" s="10" t="str">
        <f t="shared" si="7"/>
        <v/>
      </c>
      <c r="C43" s="10" t="str">
        <f t="shared" si="7"/>
        <v/>
      </c>
      <c r="D43" s="10" t="str">
        <f t="shared" si="7"/>
        <v/>
      </c>
      <c r="E43" s="10" t="str">
        <f t="shared" si="7"/>
        <v/>
      </c>
      <c r="F43" s="10" t="str">
        <f t="shared" si="7"/>
        <v/>
      </c>
      <c r="G43" s="10" t="str">
        <f t="shared" si="7"/>
        <v/>
      </c>
      <c r="H43" s="10" t="str">
        <f t="shared" si="7"/>
        <v/>
      </c>
      <c r="I43" s="5"/>
      <c r="J43" s="10">
        <f t="shared" ref="J43:L43" si="13">IF(J20="","",(J20/$J$23))</f>
        <v>0.82160051542064638</v>
      </c>
      <c r="K43" s="10" t="str">
        <f t="shared" si="13"/>
        <v/>
      </c>
      <c r="L43" s="10" t="str">
        <f t="shared" si="13"/>
        <v/>
      </c>
    </row>
    <row r="44" spans="1:12" x14ac:dyDescent="0.25">
      <c r="A44" s="6"/>
      <c r="B44" s="3"/>
      <c r="C44" s="3"/>
      <c r="D44" s="3"/>
      <c r="E44" s="3"/>
      <c r="F44" s="3"/>
      <c r="G44" s="3"/>
      <c r="H44" s="3"/>
      <c r="I44" s="6"/>
      <c r="J44" s="3"/>
      <c r="K44" s="3"/>
      <c r="L44" s="3"/>
    </row>
    <row r="45" spans="1:12" x14ac:dyDescent="0.25">
      <c r="A45" s="6" t="str">
        <f>A4</f>
        <v>Noms des groupes</v>
      </c>
      <c r="B45" s="6" t="str">
        <f t="shared" ref="B45:L45" si="14">B4</f>
        <v>Témoin solvant</v>
      </c>
      <c r="C45" s="6" t="str">
        <f t="shared" si="14"/>
        <v>EE2-33,8ng/L</v>
      </c>
      <c r="D45" s="6" t="str">
        <f t="shared" si="14"/>
        <v>EE2-50,6ng/L</v>
      </c>
      <c r="E45" s="6" t="str">
        <f t="shared" si="14"/>
        <v>EE2-76ng/L</v>
      </c>
      <c r="F45" s="6" t="str">
        <f t="shared" si="14"/>
        <v>EE2-114ng/L</v>
      </c>
      <c r="G45" s="6" t="str">
        <f t="shared" si="14"/>
        <v>EE2-170,9ng/L</v>
      </c>
      <c r="H45" s="6" t="str">
        <f t="shared" si="14"/>
        <v>EE2-488ng/L</v>
      </c>
      <c r="I45" s="6"/>
      <c r="J45" s="6" t="str">
        <f t="shared" si="14"/>
        <v>Testo -30µg/L</v>
      </c>
      <c r="K45" s="6" t="str">
        <f t="shared" si="14"/>
        <v>Testo 30µg/L + EE2 -64ng/L</v>
      </c>
      <c r="L45" s="6" t="str">
        <f t="shared" si="14"/>
        <v>Testo 30µg/L + FAD-10mg/L</v>
      </c>
    </row>
    <row r="46" spans="1:12" x14ac:dyDescent="0.25">
      <c r="A46" s="7" t="s">
        <v>0</v>
      </c>
      <c r="B46" s="9">
        <f t="shared" ref="B46:H46" si="15">AVERAGE(B28:B43)</f>
        <v>0.86507084215784757</v>
      </c>
      <c r="C46" s="9">
        <f t="shared" si="15"/>
        <v>0.80341337563922877</v>
      </c>
      <c r="D46" s="9">
        <f t="shared" si="15"/>
        <v>0.90525010192527355</v>
      </c>
      <c r="E46" s="9">
        <f t="shared" si="15"/>
        <v>0.92525907334639168</v>
      </c>
      <c r="F46" s="9">
        <f t="shared" si="15"/>
        <v>0.93029129832816693</v>
      </c>
      <c r="G46" s="9">
        <f t="shared" si="15"/>
        <v>1.0586352489271462</v>
      </c>
      <c r="H46" s="9">
        <f t="shared" si="15"/>
        <v>1.1449074020735113</v>
      </c>
      <c r="I46" s="7" t="s">
        <v>0</v>
      </c>
      <c r="J46" s="9">
        <f t="shared" ref="J46:L46" si="16">AVERAGE(J28:J43)</f>
        <v>0.99999999999999989</v>
      </c>
      <c r="K46" s="9">
        <f t="shared" si="16"/>
        <v>0.90507515725621912</v>
      </c>
      <c r="L46" s="9">
        <f t="shared" si="16"/>
        <v>0.70829439460408228</v>
      </c>
    </row>
    <row r="47" spans="1:12" x14ac:dyDescent="0.25">
      <c r="A47" s="7" t="s">
        <v>1</v>
      </c>
      <c r="B47" s="7">
        <f t="shared" ref="B47:H47" si="17">STDEV(B28:B43)</f>
        <v>7.8015375100644116E-2</v>
      </c>
      <c r="C47" s="7">
        <f t="shared" si="17"/>
        <v>0.15548931137248681</v>
      </c>
      <c r="D47" s="7">
        <f t="shared" si="17"/>
        <v>0.20842970706636635</v>
      </c>
      <c r="E47" s="7">
        <f t="shared" si="17"/>
        <v>0.2266656371710109</v>
      </c>
      <c r="F47" s="7">
        <f t="shared" si="17"/>
        <v>0.23838107948335754</v>
      </c>
      <c r="G47" s="7">
        <f t="shared" si="17"/>
        <v>0.19725345776965228</v>
      </c>
      <c r="H47" s="7">
        <f t="shared" si="17"/>
        <v>0.21543124511041209</v>
      </c>
      <c r="I47" s="7" t="s">
        <v>1</v>
      </c>
      <c r="J47" s="7">
        <f t="shared" ref="J47:L47" si="18">STDEV(J28:J43)</f>
        <v>0.22883745298076943</v>
      </c>
      <c r="K47" s="7">
        <f t="shared" si="18"/>
        <v>0.42463075743247725</v>
      </c>
      <c r="L47" s="7">
        <f t="shared" si="18"/>
        <v>0.35896032294919905</v>
      </c>
    </row>
    <row r="48" spans="1:12" x14ac:dyDescent="0.25">
      <c r="A48" s="7" t="s">
        <v>2</v>
      </c>
      <c r="B48" s="7">
        <f t="shared" ref="B48:H48" si="19" xml:space="preserve"> B47/SQRT(COUNT(B28:B43))</f>
        <v>2.7582600385238791E-2</v>
      </c>
      <c r="C48" s="7">
        <f t="shared" si="19"/>
        <v>5.4973773236755986E-2</v>
      </c>
      <c r="D48" s="7">
        <f t="shared" si="19"/>
        <v>7.3691029633676644E-2</v>
      </c>
      <c r="E48" s="7">
        <f t="shared" si="19"/>
        <v>8.0138404552795681E-2</v>
      </c>
      <c r="F48" s="7">
        <f t="shared" si="19"/>
        <v>9.0099579082297945E-2</v>
      </c>
      <c r="G48" s="7">
        <f t="shared" si="19"/>
        <v>6.9739628800707693E-2</v>
      </c>
      <c r="H48" s="7">
        <f t="shared" si="19"/>
        <v>8.7949437528827196E-2</v>
      </c>
      <c r="I48" s="7" t="s">
        <v>2</v>
      </c>
      <c r="J48" s="7">
        <f t="shared" ref="J48:L48" si="20" xml:space="preserve"> J47/SQRT(COUNT(J28:J43))</f>
        <v>5.7209363245192359E-2</v>
      </c>
      <c r="K48" s="7">
        <f t="shared" si="20"/>
        <v>0.15012964404044229</v>
      </c>
      <c r="L48" s="7">
        <f t="shared" si="20"/>
        <v>0.16053193666793736</v>
      </c>
    </row>
    <row r="49" spans="1:12" ht="15.75" thickBot="1" x14ac:dyDescent="0.3">
      <c r="A49" s="7"/>
      <c r="B49" s="7"/>
      <c r="C49" s="7"/>
      <c r="D49" s="7"/>
      <c r="E49" s="7"/>
      <c r="F49" s="7"/>
      <c r="G49" s="7"/>
      <c r="H49" s="7"/>
      <c r="I49" s="7"/>
      <c r="J49" s="7"/>
      <c r="K49" s="7"/>
      <c r="L49" s="7"/>
    </row>
    <row r="50" spans="1:12" ht="27" thickBot="1" x14ac:dyDescent="0.45">
      <c r="A50" s="200" t="s">
        <v>44</v>
      </c>
      <c r="B50" s="201"/>
      <c r="C50" s="201"/>
      <c r="D50" s="201"/>
      <c r="E50" s="201"/>
      <c r="F50" s="201"/>
      <c r="G50" s="201"/>
      <c r="H50" s="201"/>
      <c r="I50" s="201"/>
      <c r="J50" s="201"/>
      <c r="K50" s="201"/>
      <c r="L50" s="201"/>
    </row>
    <row r="51" spans="1:12" customFormat="1" ht="15.75" thickBot="1" x14ac:dyDescent="0.3">
      <c r="A51" s="1"/>
      <c r="B51" s="1"/>
      <c r="C51" s="1"/>
      <c r="D51" s="1"/>
      <c r="E51" s="1"/>
      <c r="F51" s="1"/>
      <c r="G51" s="1"/>
      <c r="H51" s="1"/>
      <c r="I51" s="1"/>
      <c r="J51" s="1"/>
      <c r="K51" s="1"/>
      <c r="L51" s="1"/>
    </row>
    <row r="52" spans="1:12" x14ac:dyDescent="0.25">
      <c r="A52" s="44" t="str">
        <f t="shared" ref="A52:H52" si="21">A27</f>
        <v>Noms des groupes</v>
      </c>
      <c r="B52" s="45" t="str">
        <f t="shared" si="21"/>
        <v>Témoin solvant</v>
      </c>
      <c r="C52" s="45" t="str">
        <f t="shared" si="21"/>
        <v>EE2-33,8ng/L</v>
      </c>
      <c r="D52" s="45" t="str">
        <f t="shared" si="21"/>
        <v>EE2-50,6ng/L</v>
      </c>
      <c r="E52" s="45" t="str">
        <f t="shared" si="21"/>
        <v>EE2-76ng/L</v>
      </c>
      <c r="F52" s="45" t="str">
        <f t="shared" si="21"/>
        <v>EE2-114ng/L</v>
      </c>
      <c r="G52" s="45" t="str">
        <f t="shared" si="21"/>
        <v>EE2-170,9ng/L</v>
      </c>
      <c r="H52" s="45" t="str">
        <f t="shared" si="21"/>
        <v>EE2-488ng/L</v>
      </c>
      <c r="I52" s="46"/>
      <c r="J52" s="45" t="str">
        <f>J27</f>
        <v>Testo -30µg/L</v>
      </c>
      <c r="K52" s="45" t="str">
        <f>K27</f>
        <v>Testo 30µg/L + EE2 -64ng/L</v>
      </c>
      <c r="L52" s="45" t="str">
        <f>L27</f>
        <v>Testo 30µg/L + FAD-10mg/L</v>
      </c>
    </row>
    <row r="53" spans="1:12" s="3" customFormat="1" x14ac:dyDescent="0.25">
      <c r="A53" s="59" t="s">
        <v>32</v>
      </c>
      <c r="B53" s="139">
        <f t="shared" ref="B53" si="22">B46</f>
        <v>0.86507084215784757</v>
      </c>
      <c r="C53" s="139">
        <f t="shared" ref="C53:L53" si="23">C46</f>
        <v>0.80341337563922877</v>
      </c>
      <c r="D53" s="139">
        <f t="shared" si="23"/>
        <v>0.90525010192527355</v>
      </c>
      <c r="E53" s="139">
        <f t="shared" si="23"/>
        <v>0.92525907334639168</v>
      </c>
      <c r="F53" s="139">
        <f t="shared" si="23"/>
        <v>0.93029129832816693</v>
      </c>
      <c r="G53" s="139">
        <f t="shared" si="23"/>
        <v>1.0586352489271462</v>
      </c>
      <c r="H53" s="139">
        <f t="shared" si="23"/>
        <v>1.1449074020735113</v>
      </c>
      <c r="I53" s="139"/>
      <c r="J53" s="139">
        <f t="shared" si="23"/>
        <v>0.99999999999999989</v>
      </c>
      <c r="K53" s="139">
        <f t="shared" si="23"/>
        <v>0.90507515725621912</v>
      </c>
      <c r="L53" s="139">
        <f t="shared" si="23"/>
        <v>0.70829439460408228</v>
      </c>
    </row>
    <row r="54" spans="1:12" s="3" customFormat="1" x14ac:dyDescent="0.25">
      <c r="A54" s="59" t="s">
        <v>2</v>
      </c>
      <c r="B54" s="139">
        <f t="shared" ref="B54" si="24">B48</f>
        <v>2.7582600385238791E-2</v>
      </c>
      <c r="C54" s="139">
        <f t="shared" ref="C54:L54" si="25">C48</f>
        <v>5.4973773236755986E-2</v>
      </c>
      <c r="D54" s="139">
        <f t="shared" si="25"/>
        <v>7.3691029633676644E-2</v>
      </c>
      <c r="E54" s="139">
        <f t="shared" si="25"/>
        <v>8.0138404552795681E-2</v>
      </c>
      <c r="F54" s="139">
        <f t="shared" si="25"/>
        <v>9.0099579082297945E-2</v>
      </c>
      <c r="G54" s="139">
        <f t="shared" si="25"/>
        <v>6.9739628800707693E-2</v>
      </c>
      <c r="H54" s="139">
        <f t="shared" si="25"/>
        <v>8.7949437528827196E-2</v>
      </c>
      <c r="I54" s="139"/>
      <c r="J54" s="139">
        <f t="shared" si="25"/>
        <v>5.7209363245192359E-2</v>
      </c>
      <c r="K54" s="139">
        <f t="shared" si="25"/>
        <v>0.15012964404044229</v>
      </c>
      <c r="L54" s="139">
        <f t="shared" si="25"/>
        <v>0.16053193666793736</v>
      </c>
    </row>
    <row r="55" spans="1:12" s="3" customFormat="1" x14ac:dyDescent="0.25">
      <c r="A55" s="59" t="s">
        <v>79</v>
      </c>
      <c r="B55" s="139">
        <f>(B53*100/$B53)-100</f>
        <v>0</v>
      </c>
      <c r="C55" s="139">
        <f t="shared" ref="C55:H55" si="26">(C53*100/$B53)-100</f>
        <v>-7.1274470845438884</v>
      </c>
      <c r="D55" s="139">
        <f t="shared" si="26"/>
        <v>4.6446207419501206</v>
      </c>
      <c r="E55" s="139">
        <f t="shared" si="26"/>
        <v>6.9576071987826538</v>
      </c>
      <c r="F55" s="139">
        <f t="shared" si="26"/>
        <v>7.5393196709338071</v>
      </c>
      <c r="G55" s="139">
        <f t="shared" si="26"/>
        <v>22.375555542534329</v>
      </c>
      <c r="H55" s="139">
        <f t="shared" si="26"/>
        <v>32.348398105481692</v>
      </c>
      <c r="I55" s="139"/>
      <c r="J55" s="139">
        <f>(J53*100/$J53)-100</f>
        <v>0</v>
      </c>
      <c r="K55" s="139">
        <f t="shared" ref="K55:L55" si="27">(K53*100/$J53)-100</f>
        <v>-9.4924842743780715</v>
      </c>
      <c r="L55" s="139">
        <f t="shared" si="27"/>
        <v>-29.170560539591762</v>
      </c>
    </row>
    <row r="56" spans="1:12" s="3" customFormat="1" x14ac:dyDescent="0.25">
      <c r="A56" s="59" t="s">
        <v>81</v>
      </c>
      <c r="B56" s="139">
        <f>[1]!SWTEST(B28:B43)</f>
        <v>0.98225630121799357</v>
      </c>
      <c r="C56" s="139">
        <f>[1]!SWTEST(C28:C43)</f>
        <v>0.93718581772281473</v>
      </c>
      <c r="D56" s="139">
        <f>[1]!SWTEST(D28:D43)</f>
        <v>0.75392206682745466</v>
      </c>
      <c r="E56" s="139">
        <f>[1]!SWTEST(E28:E43)</f>
        <v>0.81371684032973679</v>
      </c>
      <c r="F56" s="139">
        <f>[1]!SWTEST(F28:F43)</f>
        <v>0.23897947905692252</v>
      </c>
      <c r="G56" s="139">
        <f>[1]!SWTEST(G28:G43)</f>
        <v>0.32242809227527858</v>
      </c>
      <c r="H56" s="139">
        <f>[1]!SWTEST(H28:H43)</f>
        <v>0.50724708373034355</v>
      </c>
      <c r="I56" s="139"/>
      <c r="J56" s="139">
        <f>[1]!SWTEST(J28:J43)</f>
        <v>0.66365043510577981</v>
      </c>
      <c r="K56" s="139">
        <f>[1]!SWTEST(K28:K43)</f>
        <v>0.30947734407522298</v>
      </c>
      <c r="L56" s="139">
        <f>[1]!SWTEST(L28:L43)</f>
        <v>0.94785043417725845</v>
      </c>
    </row>
    <row r="57" spans="1:12" s="3" customFormat="1" x14ac:dyDescent="0.25">
      <c r="A57" s="59" t="s">
        <v>85</v>
      </c>
      <c r="B57" s="139" t="str">
        <f>IF(B56&gt;0.05,"Oui","Non")</f>
        <v>Oui</v>
      </c>
      <c r="C57" s="139" t="str">
        <f t="shared" ref="C57:L57" si="28">IF(C56&gt;0.05,"Oui","Non")</f>
        <v>Oui</v>
      </c>
      <c r="D57" s="139" t="str">
        <f t="shared" si="28"/>
        <v>Oui</v>
      </c>
      <c r="E57" s="139" t="str">
        <f t="shared" si="28"/>
        <v>Oui</v>
      </c>
      <c r="F57" s="139" t="str">
        <f t="shared" si="28"/>
        <v>Oui</v>
      </c>
      <c r="G57" s="139" t="str">
        <f t="shared" si="28"/>
        <v>Oui</v>
      </c>
      <c r="H57" s="139" t="str">
        <f t="shared" si="28"/>
        <v>Oui</v>
      </c>
      <c r="I57" s="139"/>
      <c r="J57" s="139" t="str">
        <f t="shared" si="28"/>
        <v>Oui</v>
      </c>
      <c r="K57" s="139" t="str">
        <f t="shared" si="28"/>
        <v>Oui</v>
      </c>
      <c r="L57" s="139" t="str">
        <f t="shared" si="28"/>
        <v>Oui</v>
      </c>
    </row>
    <row r="58" spans="1:12" s="3" customFormat="1" x14ac:dyDescent="0.25">
      <c r="A58" s="59"/>
      <c r="B58" s="139"/>
      <c r="C58" s="139"/>
      <c r="D58" s="139"/>
      <c r="E58" s="139"/>
      <c r="F58" s="139"/>
      <c r="G58" s="139"/>
      <c r="H58" s="139"/>
      <c r="I58" s="146"/>
      <c r="J58" s="147"/>
      <c r="K58" s="139"/>
      <c r="L58" s="139"/>
    </row>
    <row r="59" spans="1:12" s="3" customFormat="1" x14ac:dyDescent="0.25">
      <c r="A59" s="59" t="s">
        <v>82</v>
      </c>
      <c r="B59" s="148"/>
      <c r="C59" s="148" t="str">
        <f t="shared" ref="C59:J59" si="29">IF($B57="Non",IF(C57="Non","MW",IF(C57="Oui","MW","")),IF($B57="Oui",IF(C57="Oui","T-Test Welch",IF(C57="Non","MW",""))))</f>
        <v>T-Test Welch</v>
      </c>
      <c r="D59" s="148" t="str">
        <f t="shared" si="29"/>
        <v>T-Test Welch</v>
      </c>
      <c r="E59" s="148" t="str">
        <f t="shared" si="29"/>
        <v>T-Test Welch</v>
      </c>
      <c r="F59" s="148" t="str">
        <f t="shared" si="29"/>
        <v>T-Test Welch</v>
      </c>
      <c r="G59" s="148" t="str">
        <f t="shared" si="29"/>
        <v>T-Test Welch</v>
      </c>
      <c r="H59" s="148" t="str">
        <f t="shared" si="29"/>
        <v>T-Test Welch</v>
      </c>
      <c r="I59" s="148"/>
      <c r="J59" s="148" t="str">
        <f t="shared" si="29"/>
        <v>T-Test Welch</v>
      </c>
      <c r="K59" s="148" t="str">
        <f>IF($J57="Non",IF(K57="Non","MW",IF(K57="Oui","MW","")),IF($J57="Oui",IF(K57="Oui","T-Test Welch",IF(K57="Non","MW",""))))</f>
        <v>T-Test Welch</v>
      </c>
      <c r="L59" s="148" t="str">
        <f t="shared" ref="L59" si="30">IF($J57="Non",IF(L57="Non","MW",IF(L57="Oui","MW","")),IF($J57="Oui",IF(L57="Oui","T-Test Welch",IF(L57="Non","MW",""))))</f>
        <v>T-Test Welch</v>
      </c>
    </row>
    <row r="60" spans="1:12" s="3" customFormat="1" x14ac:dyDescent="0.25">
      <c r="A60" s="59" t="s">
        <v>83</v>
      </c>
      <c r="B60" s="149"/>
      <c r="C60" s="149">
        <f>IF(C59="MW",[1]!MTEST($B28:$B43,C28:C43,2), IF(C59="T-Test Welch",_xlfn.T.TEST($B28:$B43,C28:C43,2,3),""))</f>
        <v>0.33905348388839185</v>
      </c>
      <c r="D60" s="149">
        <f>IF(D59="MW",[1]!MTEST($B28:$B43,D28:D43,2), IF(D59="T-Test Welch",_xlfn.T.TEST($B28:$B43,D28:D43,2,3),""))</f>
        <v>0.6219941789945671</v>
      </c>
      <c r="E60" s="149">
        <f>IF(E59="MW",[1]!MTEST($B28:$B43,E28:E43,2), IF(E59="T-Test Welch",_xlfn.T.TEST($B28:$B43,E28:E43,2,3),""))</f>
        <v>0.4963295873599789</v>
      </c>
      <c r="F60" s="149">
        <f>IF(F59="MW",[1]!MTEST($B28:$B43,F28:F43,2), IF(F59="T-Test Welch",_xlfn.T.TEST($B28:$B43,F28:F43,2,3),""))</f>
        <v>0.51075936725615123</v>
      </c>
      <c r="G60" s="149">
        <f>IF(G59="MW",[1]!MTEST($B28:$B43,G28:G43,2), IF(G59="T-Test Welch",_xlfn.T.TEST($B28:$B43,G28:G43,2,3),""))</f>
        <v>2.9301721751374108E-2</v>
      </c>
      <c r="H60" s="149">
        <f>IF(H59="MW",[1]!MTEST($B28:$B43,H28:H43,2), IF(H59="T-Test Welch",_xlfn.T.TEST($B28:$B43,H28:H43,2,3),""))</f>
        <v>2.2966108763514931E-2</v>
      </c>
      <c r="I60" s="149"/>
      <c r="J60" s="149">
        <f>IF(J59="MW",[1]!MTEST($B28:$B43,J28:J43,2), IF(J59="T-Test Welch",_xlfn.T.TEST($B28:$B43,J28:J43,2,3),""))</f>
        <v>4.602108383966233E-2</v>
      </c>
      <c r="K60" s="149">
        <f>IF(K59="MW",[1]!MTEST($J28:$J43,K28:K43,2), IF(K59="T-Test Welch",_xlfn.T.TEST($J28:$J43,K28:K43,2,3),""))</f>
        <v>0.56902295081577325</v>
      </c>
      <c r="L60" s="149">
        <f>IF(L59="MW",[1]!MTEST($J28:$J43,L28:L43,2), IF(L59="T-Test Welch",_xlfn.T.TEST($J28:$J43,L28:L43,2,3),""))</f>
        <v>0.1469569396180484</v>
      </c>
    </row>
    <row r="61" spans="1:12" s="3" customFormat="1" ht="15.75" thickBot="1" x14ac:dyDescent="0.3">
      <c r="A61" s="60" t="s">
        <v>84</v>
      </c>
      <c r="B61" s="140"/>
      <c r="C61" s="140" t="str">
        <f t="shared" ref="C61:J61" si="31">IF(C60&gt;0.05,"NS",IF(C60&gt;0.01,"*",IF(C60&gt;0.001,"**","***")))</f>
        <v>NS</v>
      </c>
      <c r="D61" s="140" t="str">
        <f t="shared" si="31"/>
        <v>NS</v>
      </c>
      <c r="E61" s="140" t="str">
        <f t="shared" si="31"/>
        <v>NS</v>
      </c>
      <c r="F61" s="140" t="str">
        <f t="shared" si="31"/>
        <v>NS</v>
      </c>
      <c r="G61" s="140" t="str">
        <f t="shared" si="31"/>
        <v>*</v>
      </c>
      <c r="H61" s="140" t="str">
        <f t="shared" si="31"/>
        <v>*</v>
      </c>
      <c r="I61" s="140"/>
      <c r="J61" s="140" t="str">
        <f t="shared" si="31"/>
        <v>*</v>
      </c>
      <c r="K61" s="140" t="str">
        <f>IF(K60&gt;0.05,"NS",IF(K60&gt;0.01,"*",IF(K60&gt;0.001,"**","***")))</f>
        <v>NS</v>
      </c>
      <c r="L61" s="140" t="str">
        <f t="shared" ref="L61" si="32">IF(L60&gt;0.05,"NS",IF(L60&gt;0.01,"*",IF(L60&gt;0.001,"**","***")))</f>
        <v>NS</v>
      </c>
    </row>
    <row r="63" spans="1:12" x14ac:dyDescent="0.25">
      <c r="A63" s="2" t="s">
        <v>39</v>
      </c>
    </row>
    <row r="64" spans="1:12" x14ac:dyDescent="0.25">
      <c r="A64" s="1" t="s">
        <v>23</v>
      </c>
      <c r="B64" s="1">
        <f>B46+(3*B47)</f>
        <v>1.0991169674597798</v>
      </c>
    </row>
    <row r="65" spans="1:32" x14ac:dyDescent="0.25">
      <c r="A65" s="1" t="s">
        <v>24</v>
      </c>
      <c r="B65" s="1">
        <f>B46+(10*B47)</f>
        <v>1.6452245931642886</v>
      </c>
    </row>
    <row r="66" spans="1:32" ht="15.75" thickBot="1" x14ac:dyDescent="0.3"/>
    <row r="67" spans="1:32" ht="27" thickBot="1" x14ac:dyDescent="0.45">
      <c r="A67" s="200" t="s">
        <v>45</v>
      </c>
      <c r="B67" s="201"/>
      <c r="C67" s="201"/>
      <c r="D67" s="201"/>
      <c r="E67" s="201"/>
      <c r="F67" s="201"/>
      <c r="G67" s="201"/>
      <c r="H67" s="201"/>
      <c r="I67" s="201"/>
      <c r="J67" s="201"/>
      <c r="K67" s="201"/>
      <c r="L67" s="201"/>
    </row>
    <row r="68" spans="1:32" ht="16.5" x14ac:dyDescent="0.25">
      <c r="A68" s="11"/>
      <c r="B68" s="11"/>
      <c r="C68" s="11"/>
      <c r="D68" s="11"/>
      <c r="E68" s="11"/>
      <c r="F68" s="11"/>
      <c r="I68" s="11"/>
      <c r="J68" s="11"/>
      <c r="K68" s="11"/>
      <c r="L68" s="11"/>
      <c r="M68" s="11"/>
      <c r="N68" s="11"/>
      <c r="O68" s="11"/>
      <c r="P68" s="11"/>
      <c r="Q68" s="11"/>
      <c r="R68" s="11"/>
      <c r="S68" s="11"/>
      <c r="T68" s="11"/>
      <c r="U68" s="11"/>
      <c r="V68" s="11"/>
      <c r="W68" s="11"/>
      <c r="X68" s="11"/>
      <c r="Y68" s="11"/>
      <c r="Z68" s="11"/>
      <c r="AA68" s="11"/>
      <c r="AB68" s="11"/>
      <c r="AC68" s="11"/>
      <c r="AD68" s="11"/>
      <c r="AE68" s="11"/>
      <c r="AF68" s="11"/>
    </row>
    <row r="69" spans="1:32" ht="16.5" x14ac:dyDescent="0.25">
      <c r="A69" s="11"/>
      <c r="B69" s="11"/>
      <c r="C69" s="11"/>
      <c r="D69" s="11"/>
      <c r="E69" s="11"/>
      <c r="F69" s="11"/>
      <c r="I69" s="11"/>
      <c r="J69" s="11"/>
      <c r="K69" s="11"/>
      <c r="L69" s="11"/>
      <c r="M69" s="11"/>
      <c r="N69" s="11"/>
      <c r="O69" s="11"/>
      <c r="P69" s="11"/>
      <c r="Q69" s="11"/>
      <c r="R69" s="11"/>
      <c r="S69" s="11"/>
      <c r="T69" s="11"/>
      <c r="U69" s="11"/>
      <c r="V69" s="11"/>
      <c r="W69" s="11"/>
      <c r="X69" s="11"/>
      <c r="Y69" s="11"/>
      <c r="Z69" s="11"/>
      <c r="AA69" s="11"/>
      <c r="AB69" s="11"/>
      <c r="AC69" s="11"/>
      <c r="AD69" s="11"/>
      <c r="AE69" s="11"/>
      <c r="AF69" s="11"/>
    </row>
    <row r="70" spans="1:32" ht="16.5" x14ac:dyDescent="0.25">
      <c r="A70" s="11"/>
      <c r="B70" s="11"/>
      <c r="C70" s="11"/>
      <c r="D70" s="11"/>
      <c r="E70" s="11"/>
      <c r="F70" s="11"/>
      <c r="I70" s="11"/>
      <c r="J70" s="11"/>
      <c r="K70" s="11"/>
      <c r="L70" s="11"/>
      <c r="M70" s="11"/>
      <c r="N70" s="11"/>
      <c r="O70" s="11"/>
      <c r="P70" s="11"/>
      <c r="Q70" s="11"/>
      <c r="R70" s="11"/>
      <c r="S70" s="11"/>
      <c r="T70" s="11"/>
      <c r="U70" s="11"/>
      <c r="V70" s="11"/>
      <c r="W70" s="11"/>
      <c r="X70" s="11"/>
      <c r="Y70" s="11"/>
      <c r="Z70" s="11"/>
      <c r="AA70" s="11"/>
      <c r="AB70" s="11"/>
      <c r="AC70" s="11"/>
      <c r="AD70" s="11"/>
      <c r="AE70" s="11"/>
      <c r="AF70" s="11"/>
    </row>
    <row r="71" spans="1:32" ht="16.5" x14ac:dyDescent="0.25">
      <c r="A71" s="11"/>
      <c r="B71" s="11"/>
      <c r="C71" s="11"/>
      <c r="D71" s="11"/>
      <c r="E71" s="11"/>
      <c r="F71" s="11"/>
      <c r="I71" s="11"/>
      <c r="J71" s="11"/>
      <c r="K71" s="11"/>
      <c r="L71" s="11"/>
      <c r="M71" s="11"/>
      <c r="N71" s="11"/>
      <c r="O71" s="11"/>
      <c r="P71" s="11"/>
      <c r="Q71" s="11"/>
      <c r="R71" s="11"/>
      <c r="S71" s="11"/>
      <c r="T71" s="11"/>
      <c r="U71" s="11"/>
      <c r="V71" s="11"/>
      <c r="W71" s="11"/>
      <c r="X71" s="11"/>
      <c r="Y71" s="11"/>
      <c r="Z71" s="11"/>
      <c r="AA71" s="11"/>
      <c r="AB71" s="11"/>
      <c r="AC71" s="11"/>
      <c r="AD71" s="11"/>
      <c r="AE71" s="11"/>
      <c r="AF71" s="11"/>
    </row>
    <row r="72" spans="1:32" ht="16.5" x14ac:dyDescent="0.25">
      <c r="A72" s="11"/>
      <c r="B72" s="11"/>
      <c r="C72" s="11"/>
      <c r="D72" s="11"/>
      <c r="E72" s="11"/>
      <c r="F72" s="11"/>
      <c r="I72" s="11"/>
      <c r="J72" s="11"/>
      <c r="K72" s="11"/>
      <c r="L72" s="11"/>
      <c r="M72" s="11"/>
      <c r="N72" s="11"/>
      <c r="O72" s="11"/>
      <c r="P72" s="11"/>
      <c r="Q72" s="11"/>
      <c r="R72" s="11"/>
      <c r="S72" s="11"/>
      <c r="T72" s="11"/>
      <c r="U72" s="11"/>
      <c r="V72" s="11"/>
      <c r="W72" s="11"/>
      <c r="X72" s="11"/>
      <c r="Y72" s="11"/>
      <c r="Z72" s="11"/>
      <c r="AA72" s="11"/>
      <c r="AB72" s="11"/>
      <c r="AC72" s="11"/>
      <c r="AD72" s="11"/>
      <c r="AE72" s="11"/>
      <c r="AF72" s="11"/>
    </row>
    <row r="73" spans="1:32" ht="16.5" x14ac:dyDescent="0.25">
      <c r="A73" s="11"/>
      <c r="B73" s="11"/>
      <c r="C73" s="11"/>
      <c r="D73" s="11"/>
      <c r="E73" s="11"/>
      <c r="F73" s="11"/>
      <c r="I73" s="11"/>
      <c r="J73" s="11"/>
      <c r="K73" s="11"/>
      <c r="L73" s="11"/>
      <c r="M73" s="11"/>
      <c r="N73" s="11"/>
      <c r="O73" s="11"/>
      <c r="P73" s="11"/>
      <c r="Q73" s="11"/>
      <c r="R73" s="11"/>
      <c r="S73" s="11"/>
      <c r="T73" s="11"/>
      <c r="U73" s="11"/>
      <c r="V73" s="11"/>
      <c r="W73" s="11"/>
      <c r="X73" s="11"/>
      <c r="Y73" s="11"/>
      <c r="Z73" s="11"/>
      <c r="AA73" s="11"/>
      <c r="AB73" s="11"/>
      <c r="AC73" s="11"/>
      <c r="AD73" s="11"/>
      <c r="AE73" s="11"/>
      <c r="AF73" s="11"/>
    </row>
    <row r="74" spans="1:32" ht="16.5" x14ac:dyDescent="0.25">
      <c r="A74" s="11"/>
      <c r="B74" s="11"/>
      <c r="C74" s="11"/>
      <c r="D74" s="11"/>
      <c r="E74" s="11"/>
      <c r="F74" s="11"/>
      <c r="I74" s="11"/>
      <c r="J74" s="11"/>
      <c r="K74" s="11"/>
      <c r="L74" s="11"/>
      <c r="M74" s="11"/>
      <c r="N74" s="11"/>
      <c r="O74" s="11"/>
      <c r="P74" s="11"/>
      <c r="Q74" s="11"/>
      <c r="R74" s="11"/>
      <c r="S74" s="11"/>
      <c r="T74" s="11"/>
      <c r="U74" s="11"/>
      <c r="V74" s="11"/>
      <c r="W74" s="11"/>
      <c r="X74" s="11"/>
      <c r="Y74" s="11"/>
      <c r="Z74" s="11"/>
      <c r="AA74" s="11"/>
      <c r="AB74" s="11"/>
      <c r="AC74" s="11"/>
      <c r="AD74" s="11"/>
      <c r="AE74" s="11"/>
      <c r="AF74" s="11"/>
    </row>
  </sheetData>
  <protectedRanges>
    <protectedRange sqref="J51:L51" name="Plage2"/>
    <protectedRange sqref="B51:H51" name="Plage2_1"/>
    <protectedRange sqref="J5:J20 B5:H20" name="Plage1_1"/>
  </protectedRanges>
  <conditionalFormatting sqref="K5:K12">
    <cfRule type="containsText" dxfId="35" priority="1" operator="containsText" text="ERREUR">
      <formula>NOT(ISERROR(SEARCH("ERREUR",K5)))</formula>
    </cfRule>
    <cfRule type="containsText" dxfId="34" priority="2" operator="containsText" text="OK">
      <formula>NOT(ISERROR(SEARCH("OK",K5)))</formula>
    </cfRule>
  </conditionalFormatting>
  <conditionalFormatting sqref="G5">
    <cfRule type="containsText" dxfId="33" priority="9" operator="containsText" text="ERREUR">
      <formula>NOT(ISERROR(SEARCH("ERREUR",G5)))</formula>
    </cfRule>
    <cfRule type="containsText" dxfId="32" priority="10" operator="containsText" text="OK">
      <formula>NOT(ISERROR(SEARCH("OK",G5)))</formula>
    </cfRule>
  </conditionalFormatting>
  <conditionalFormatting sqref="G6">
    <cfRule type="containsText" dxfId="31" priority="7" operator="containsText" text="ERREUR">
      <formula>NOT(ISERROR(SEARCH("ERREUR",G6)))</formula>
    </cfRule>
    <cfRule type="containsText" dxfId="30" priority="8" operator="containsText" text="OK">
      <formula>NOT(ISERROR(SEARCH("OK",G6)))</formula>
    </cfRule>
  </conditionalFormatting>
  <conditionalFormatting sqref="H6">
    <cfRule type="containsText" dxfId="29" priority="5" operator="containsText" text="ERREUR">
      <formula>NOT(ISERROR(SEARCH("ERREUR",H6)))</formula>
    </cfRule>
    <cfRule type="containsText" dxfId="28" priority="6" operator="containsText" text="OK">
      <formula>NOT(ISERROR(SEARCH("OK",H6)))</formula>
    </cfRule>
  </conditionalFormatting>
  <conditionalFormatting sqref="L5:L9">
    <cfRule type="containsText" dxfId="27" priority="3" operator="containsText" text="ERREUR">
      <formula>NOT(ISERROR(SEARCH("ERREUR",L5)))</formula>
    </cfRule>
    <cfRule type="containsText" dxfId="26" priority="4" operator="containsText" text="OK">
      <formula>NOT(ISERROR(SEARCH("OK",L5)))</formula>
    </cfRule>
  </conditionalFormatting>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9"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G1" zoomScale="80" zoomScaleNormal="80" workbookViewId="0">
      <selection activeCell="K8" sqref="K8"/>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K1" s="116"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0" t="s">
        <v>167</v>
      </c>
      <c r="D2" s="1" t="s">
        <v>110</v>
      </c>
      <c r="E2" s="1" t="s">
        <v>111</v>
      </c>
      <c r="F2" s="1" t="s">
        <v>112</v>
      </c>
      <c r="G2" s="1" t="s">
        <v>113</v>
      </c>
      <c r="K2" s="154" t="s">
        <v>120</v>
      </c>
      <c r="L2" s="154"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1</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405</v>
      </c>
      <c r="D3" s="1" t="s">
        <v>406</v>
      </c>
      <c r="E3" s="1" t="s">
        <v>407</v>
      </c>
      <c r="F3" s="1" t="s">
        <v>112</v>
      </c>
      <c r="G3" s="1">
        <v>295746</v>
      </c>
      <c r="K3" s="116" t="s">
        <v>154</v>
      </c>
      <c r="L3" s="116"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1</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408</v>
      </c>
      <c r="D4" s="1" t="s">
        <v>409</v>
      </c>
      <c r="E4" s="1" t="s">
        <v>410</v>
      </c>
      <c r="F4" s="1" t="s">
        <v>112</v>
      </c>
      <c r="G4" s="1">
        <v>165274</v>
      </c>
      <c r="K4" s="116" t="s">
        <v>100</v>
      </c>
      <c r="L4" s="3" t="s">
        <v>393</v>
      </c>
      <c r="M4" s="3" t="s">
        <v>394</v>
      </c>
      <c r="N4" s="3" t="s">
        <v>395</v>
      </c>
      <c r="O4" s="3" t="s">
        <v>396</v>
      </c>
      <c r="P4" s="3" t="s">
        <v>397</v>
      </c>
      <c r="Q4" s="3" t="s">
        <v>398</v>
      </c>
      <c r="R4" s="3" t="s">
        <v>399</v>
      </c>
      <c r="S4" s="3" t="s">
        <v>400</v>
      </c>
      <c r="T4" s="3" t="s">
        <v>401</v>
      </c>
      <c r="U4" s="3" t="s">
        <v>402</v>
      </c>
      <c r="V4" s="3" t="s">
        <v>403</v>
      </c>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1</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 s="1" t="s">
        <v>411</v>
      </c>
      <c r="D5" s="1" t="s">
        <v>412</v>
      </c>
      <c r="E5" s="1" t="s">
        <v>413</v>
      </c>
      <c r="F5" s="1" t="s">
        <v>112</v>
      </c>
      <c r="G5" s="1">
        <v>181734</v>
      </c>
      <c r="K5" s="143" t="s">
        <v>164</v>
      </c>
      <c r="L5" s="43">
        <v>214251.33333333334</v>
      </c>
      <c r="M5" s="43">
        <v>216515</v>
      </c>
      <c r="N5" s="43"/>
      <c r="O5" s="43">
        <v>3389909.3333333335</v>
      </c>
      <c r="P5" s="43">
        <v>32351</v>
      </c>
      <c r="Q5" s="43">
        <v>120125</v>
      </c>
      <c r="R5" s="43">
        <v>103686.66666666667</v>
      </c>
      <c r="S5" s="43">
        <v>1907497.3333333333</v>
      </c>
      <c r="T5" s="43">
        <v>312249.33333333331</v>
      </c>
      <c r="U5" s="43">
        <v>2808534</v>
      </c>
      <c r="V5" s="43">
        <v>4625524</v>
      </c>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1</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414</v>
      </c>
      <c r="D6" s="1" t="s">
        <v>415</v>
      </c>
      <c r="E6" s="1" t="s">
        <v>416</v>
      </c>
      <c r="F6" s="1" t="s">
        <v>112</v>
      </c>
      <c r="G6" s="1">
        <v>348869</v>
      </c>
      <c r="K6" s="143" t="s">
        <v>1140</v>
      </c>
      <c r="L6" s="43">
        <v>236458</v>
      </c>
      <c r="M6" s="43">
        <v>94544.5</v>
      </c>
      <c r="N6" s="43">
        <v>2715237</v>
      </c>
      <c r="O6" s="43">
        <v>3131122</v>
      </c>
      <c r="P6" s="43">
        <v>36179.333333333336</v>
      </c>
      <c r="Q6" s="43">
        <v>197322.66666666666</v>
      </c>
      <c r="R6" s="43">
        <v>81674.333333333328</v>
      </c>
      <c r="S6" s="43">
        <v>322343.33333333331</v>
      </c>
      <c r="T6" s="43">
        <v>610835.66666666663</v>
      </c>
      <c r="U6" s="43">
        <v>3444294</v>
      </c>
      <c r="V6" s="43">
        <v>3449831.3333333335</v>
      </c>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1</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417</v>
      </c>
      <c r="D7" s="1">
        <v>0</v>
      </c>
      <c r="E7" s="1">
        <v>0</v>
      </c>
      <c r="F7" s="1" t="s">
        <v>112</v>
      </c>
      <c r="G7" s="1">
        <v>0</v>
      </c>
      <c r="K7" s="143" t="s">
        <v>1141</v>
      </c>
      <c r="L7" s="43">
        <v>249198</v>
      </c>
      <c r="M7" s="43">
        <v>255982.66666666666</v>
      </c>
      <c r="N7" s="43">
        <v>3035553.6666666665</v>
      </c>
      <c r="O7" s="43">
        <v>1108294</v>
      </c>
      <c r="P7" s="43">
        <v>32856</v>
      </c>
      <c r="Q7" s="43">
        <v>3061</v>
      </c>
      <c r="R7" s="43">
        <v>215181.33333333334</v>
      </c>
      <c r="S7" s="43">
        <v>151647</v>
      </c>
      <c r="T7" s="43">
        <v>2582184</v>
      </c>
      <c r="U7" s="43">
        <v>3299099.6666666665</v>
      </c>
      <c r="V7" s="43">
        <v>5851585.666666667</v>
      </c>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1</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 s="1" t="s">
        <v>418</v>
      </c>
      <c r="D8" s="1" t="s">
        <v>419</v>
      </c>
      <c r="E8" s="1" t="s">
        <v>420</v>
      </c>
      <c r="F8" s="1" t="s">
        <v>112</v>
      </c>
      <c r="G8" s="1">
        <v>360505</v>
      </c>
      <c r="K8" s="143" t="s">
        <v>1142</v>
      </c>
      <c r="L8" s="43">
        <v>245</v>
      </c>
      <c r="M8" s="43">
        <v>2719771.6666666665</v>
      </c>
      <c r="N8" s="43">
        <v>778215</v>
      </c>
      <c r="O8" s="43">
        <v>2240251</v>
      </c>
      <c r="P8" s="43">
        <v>289718</v>
      </c>
      <c r="Q8" s="43">
        <v>2898.3333333333335</v>
      </c>
      <c r="R8" s="43">
        <v>399418</v>
      </c>
      <c r="S8" s="43">
        <v>75567.666666666672</v>
      </c>
      <c r="T8" s="43">
        <v>2912876.5</v>
      </c>
      <c r="U8" s="43">
        <v>2392396.5</v>
      </c>
      <c r="V8" s="43">
        <v>4740681.666666667</v>
      </c>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1</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421</v>
      </c>
      <c r="D9" s="1" t="s">
        <v>422</v>
      </c>
      <c r="E9" s="1" t="s">
        <v>423</v>
      </c>
      <c r="F9" s="1" t="s">
        <v>112</v>
      </c>
      <c r="G9" s="1">
        <v>249198</v>
      </c>
      <c r="K9" s="143" t="s">
        <v>1143</v>
      </c>
      <c r="L9" s="43">
        <v>23115</v>
      </c>
      <c r="M9" s="43">
        <v>2842060.3333333335</v>
      </c>
      <c r="N9" s="43">
        <v>1510797.3333333333</v>
      </c>
      <c r="O9" s="43">
        <v>2939538.6666666665</v>
      </c>
      <c r="P9" s="43">
        <v>36778</v>
      </c>
      <c r="Q9" s="43">
        <v>1979265</v>
      </c>
      <c r="R9" s="43">
        <v>144238.5</v>
      </c>
      <c r="S9" s="43">
        <v>443441.66666666669</v>
      </c>
      <c r="T9" s="43">
        <v>1623525.6666666667</v>
      </c>
      <c r="U9" s="43">
        <v>1470422</v>
      </c>
      <c r="V9" s="43">
        <v>3312305</v>
      </c>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1</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424</v>
      </c>
      <c r="K10" s="143" t="s">
        <v>1144</v>
      </c>
      <c r="L10" s="43">
        <v>16864</v>
      </c>
      <c r="M10" s="43">
        <v>100514</v>
      </c>
      <c r="N10" s="43">
        <v>355177.33333333331</v>
      </c>
      <c r="O10" s="43">
        <v>2716401</v>
      </c>
      <c r="P10" s="43">
        <v>0</v>
      </c>
      <c r="Q10" s="43">
        <v>24175</v>
      </c>
      <c r="R10" s="43"/>
      <c r="S10" s="43">
        <v>939062</v>
      </c>
      <c r="T10" s="43">
        <v>568967.33333333337</v>
      </c>
      <c r="U10" s="43">
        <v>2953144</v>
      </c>
      <c r="V10" s="43">
        <v>4245998.666666667</v>
      </c>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1</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1" s="1" t="s">
        <v>425</v>
      </c>
      <c r="K11" s="143" t="s">
        <v>1145</v>
      </c>
      <c r="L11" s="43">
        <v>102237.66666666667</v>
      </c>
      <c r="M11" s="43">
        <v>1379684.5</v>
      </c>
      <c r="N11" s="43">
        <v>801077.33333333337</v>
      </c>
      <c r="O11" s="43">
        <v>3585263</v>
      </c>
      <c r="P11" s="43">
        <v>12675</v>
      </c>
      <c r="Q11" s="43">
        <v>180241.66666666666</v>
      </c>
      <c r="R11" s="43">
        <v>214323.33333333334</v>
      </c>
      <c r="S11" s="43"/>
      <c r="T11" s="43">
        <v>1554317</v>
      </c>
      <c r="U11" s="43">
        <v>1770320.6666666667</v>
      </c>
      <c r="V11" s="43">
        <v>1794409</v>
      </c>
      <c r="W11"/>
    </row>
    <row r="12" spans="1:144" x14ac:dyDescent="0.25">
      <c r="A12" s="1" t="str">
        <f t="shared" si="0"/>
        <v>1</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426</v>
      </c>
      <c r="D12" s="1">
        <v>0</v>
      </c>
      <c r="E12" s="1">
        <v>0</v>
      </c>
      <c r="F12" s="1" t="s">
        <v>112</v>
      </c>
      <c r="G12" s="1">
        <v>0</v>
      </c>
      <c r="K12" s="143" t="s">
        <v>1146</v>
      </c>
      <c r="L12" s="43">
        <v>26691.333333333332</v>
      </c>
      <c r="M12" s="43">
        <v>1256675</v>
      </c>
      <c r="N12" s="43">
        <v>305904.66666666669</v>
      </c>
      <c r="O12" s="43">
        <v>664211</v>
      </c>
      <c r="P12" s="43">
        <v>15076</v>
      </c>
      <c r="Q12" s="43">
        <v>4564</v>
      </c>
      <c r="R12" s="43">
        <v>150212.33333333334</v>
      </c>
      <c r="S12" s="43">
        <v>786384</v>
      </c>
      <c r="T12" s="43">
        <v>3225594.3333333335</v>
      </c>
      <c r="U12" s="43">
        <v>4220367.333333333</v>
      </c>
      <c r="V12" s="43">
        <v>1061458</v>
      </c>
      <c r="W12"/>
    </row>
    <row r="13" spans="1:144" x14ac:dyDescent="0.25">
      <c r="A13" s="1" t="str">
        <f t="shared" si="0"/>
        <v>1</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427</v>
      </c>
      <c r="D13" s="1">
        <v>0</v>
      </c>
      <c r="E13" s="1">
        <v>0</v>
      </c>
      <c r="F13" s="1" t="s">
        <v>112</v>
      </c>
      <c r="G13" s="1">
        <v>0</v>
      </c>
      <c r="K13"/>
      <c r="L13"/>
      <c r="M13"/>
      <c r="N13"/>
      <c r="O13"/>
      <c r="P13"/>
      <c r="Q13"/>
      <c r="R13"/>
      <c r="S13"/>
      <c r="T13"/>
      <c r="U13"/>
      <c r="V13"/>
      <c r="W13"/>
    </row>
    <row r="14" spans="1:144" x14ac:dyDescent="0.25">
      <c r="A14" s="1" t="str">
        <f t="shared" si="0"/>
        <v>1</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 s="1" t="s">
        <v>428</v>
      </c>
      <c r="D14" s="1" t="s">
        <v>429</v>
      </c>
      <c r="E14" s="1">
        <v>34</v>
      </c>
      <c r="F14" s="1" t="s">
        <v>112</v>
      </c>
      <c r="G14" s="1">
        <v>735</v>
      </c>
      <c r="K14"/>
      <c r="L14"/>
      <c r="M14"/>
      <c r="N14"/>
      <c r="O14"/>
      <c r="P14"/>
      <c r="Q14"/>
      <c r="R14"/>
      <c r="S14"/>
      <c r="T14"/>
      <c r="U14"/>
      <c r="V14"/>
      <c r="W14"/>
    </row>
    <row r="15" spans="1:144" x14ac:dyDescent="0.25">
      <c r="A15" s="1" t="str">
        <f t="shared" si="0"/>
        <v>1</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430</v>
      </c>
      <c r="D15" s="1" t="s">
        <v>431</v>
      </c>
      <c r="E15" s="1" t="s">
        <v>432</v>
      </c>
      <c r="F15" s="1" t="s">
        <v>112</v>
      </c>
      <c r="G15" s="1">
        <v>53988</v>
      </c>
    </row>
    <row r="16" spans="1:144" x14ac:dyDescent="0.25">
      <c r="A16" s="1" t="str">
        <f t="shared" si="0"/>
        <v>1</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433</v>
      </c>
      <c r="D16" s="1" t="s">
        <v>434</v>
      </c>
      <c r="E16" s="1" t="s">
        <v>435</v>
      </c>
      <c r="F16" s="1" t="s">
        <v>112</v>
      </c>
      <c r="G16" s="1">
        <v>5883</v>
      </c>
    </row>
    <row r="17" spans="1:7" x14ac:dyDescent="0.25">
      <c r="A17" s="1" t="str">
        <f t="shared" si="0"/>
        <v>1</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 s="1" t="s">
        <v>436</v>
      </c>
      <c r="D17" s="1" t="s">
        <v>437</v>
      </c>
      <c r="E17" s="1" t="s">
        <v>438</v>
      </c>
      <c r="F17" s="1" t="s">
        <v>112</v>
      </c>
      <c r="G17" s="1">
        <v>9474</v>
      </c>
    </row>
    <row r="18" spans="1:7" x14ac:dyDescent="0.25">
      <c r="A18" s="1" t="str">
        <f t="shared" si="0"/>
        <v>1</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439</v>
      </c>
      <c r="D18" s="1" t="s">
        <v>440</v>
      </c>
      <c r="E18" s="1" t="s">
        <v>441</v>
      </c>
      <c r="F18" s="1" t="s">
        <v>112</v>
      </c>
      <c r="G18" s="1">
        <v>16287</v>
      </c>
    </row>
    <row r="19" spans="1:7" x14ac:dyDescent="0.25">
      <c r="A19" s="1" t="str">
        <f t="shared" si="0"/>
        <v>1</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442</v>
      </c>
      <c r="D19" s="1" t="s">
        <v>443</v>
      </c>
      <c r="E19" s="1" t="s">
        <v>444</v>
      </c>
      <c r="F19" s="1" t="s">
        <v>112</v>
      </c>
      <c r="G19" s="1">
        <v>8955</v>
      </c>
    </row>
    <row r="20" spans="1:7" x14ac:dyDescent="0.25">
      <c r="A20" s="1" t="str">
        <f t="shared" si="0"/>
        <v>1</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0" s="1" t="s">
        <v>445</v>
      </c>
      <c r="D20" s="1" t="s">
        <v>446</v>
      </c>
      <c r="E20" s="1" t="s">
        <v>447</v>
      </c>
      <c r="F20" s="1" t="s">
        <v>112</v>
      </c>
      <c r="G20" s="1">
        <v>25350</v>
      </c>
    </row>
    <row r="21" spans="1:7" x14ac:dyDescent="0.25">
      <c r="A21" s="1" t="str">
        <f t="shared" si="0"/>
        <v>1</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448</v>
      </c>
      <c r="D21" s="1" t="s">
        <v>449</v>
      </c>
      <c r="E21" s="1" t="s">
        <v>450</v>
      </c>
      <c r="F21" s="1" t="s">
        <v>112</v>
      </c>
      <c r="G21" s="1">
        <v>119116</v>
      </c>
    </row>
    <row r="22" spans="1:7" x14ac:dyDescent="0.25">
      <c r="A22" s="1" t="str">
        <f t="shared" si="0"/>
        <v>1</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451</v>
      </c>
      <c r="D22" s="1" t="s">
        <v>452</v>
      </c>
      <c r="E22" s="1" t="s">
        <v>453</v>
      </c>
      <c r="F22" s="1" t="s">
        <v>112</v>
      </c>
      <c r="G22" s="1">
        <v>132808</v>
      </c>
    </row>
    <row r="23" spans="1:7" x14ac:dyDescent="0.25">
      <c r="A23" s="1" t="str">
        <f t="shared" si="0"/>
        <v>1</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 s="1" t="s">
        <v>454</v>
      </c>
      <c r="D23" s="1" t="s">
        <v>455</v>
      </c>
      <c r="E23" s="1" t="s">
        <v>456</v>
      </c>
      <c r="F23" s="1" t="s">
        <v>112</v>
      </c>
      <c r="G23" s="1">
        <v>54789</v>
      </c>
    </row>
    <row r="24" spans="1:7" x14ac:dyDescent="0.25">
      <c r="A24" s="1" t="str">
        <f t="shared" si="0"/>
        <v>1</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457</v>
      </c>
      <c r="D24" s="1" t="s">
        <v>458</v>
      </c>
      <c r="E24" s="1" t="s">
        <v>459</v>
      </c>
      <c r="F24" s="1" t="s">
        <v>112</v>
      </c>
      <c r="G24" s="1">
        <v>22820</v>
      </c>
    </row>
    <row r="25" spans="1:7" x14ac:dyDescent="0.25">
      <c r="A25" s="1" t="str">
        <f t="shared" si="0"/>
        <v>1</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460</v>
      </c>
      <c r="D25" s="1" t="s">
        <v>461</v>
      </c>
      <c r="E25" s="1" t="s">
        <v>462</v>
      </c>
      <c r="F25" s="1" t="s">
        <v>112</v>
      </c>
      <c r="G25" s="1">
        <v>57254</v>
      </c>
    </row>
    <row r="26" spans="1:7" x14ac:dyDescent="0.25">
      <c r="A26" s="1" t="str">
        <f t="shared" si="0"/>
        <v>1</v>
      </c>
      <c r="B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6" s="1" t="s">
        <v>463</v>
      </c>
      <c r="D26" s="1">
        <v>0</v>
      </c>
      <c r="E26" s="1">
        <v>0</v>
      </c>
      <c r="F26" s="1" t="s">
        <v>112</v>
      </c>
      <c r="G26" s="1">
        <v>0</v>
      </c>
    </row>
    <row r="27" spans="1:7" x14ac:dyDescent="0.2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112</v>
      </c>
    </row>
    <row r="28" spans="1:7" x14ac:dyDescent="0.25">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 s="1" t="s">
        <v>183</v>
      </c>
      <c r="D28" s="1" t="s">
        <v>112</v>
      </c>
      <c r="E28" s="1" t="s">
        <v>184</v>
      </c>
      <c r="F28" s="1" t="s">
        <v>185</v>
      </c>
      <c r="G28" s="1" t="s">
        <v>186</v>
      </c>
    </row>
    <row r="29" spans="1:7" x14ac:dyDescent="0.25">
      <c r="A29" s="1" t="str">
        <f t="shared" si="0"/>
        <v>1</v>
      </c>
      <c r="B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 s="1" t="s">
        <v>464</v>
      </c>
      <c r="D29" s="1" t="s">
        <v>112</v>
      </c>
      <c r="E29" s="1" t="s">
        <v>465</v>
      </c>
      <c r="F29" s="1" t="s">
        <v>466</v>
      </c>
      <c r="G29" s="1" t="s">
        <v>467</v>
      </c>
    </row>
    <row r="30" spans="1:7" x14ac:dyDescent="0.2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7" x14ac:dyDescent="0.2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7" x14ac:dyDescent="0.2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2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2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112</v>
      </c>
    </row>
    <row r="35" spans="1:7" x14ac:dyDescent="0.2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 s="1" t="s">
        <v>167</v>
      </c>
      <c r="D35" s="1" t="s">
        <v>110</v>
      </c>
      <c r="E35" s="1" t="s">
        <v>111</v>
      </c>
      <c r="F35" s="1" t="s">
        <v>112</v>
      </c>
      <c r="G35" s="1" t="s">
        <v>113</v>
      </c>
    </row>
    <row r="36" spans="1:7" x14ac:dyDescent="0.25">
      <c r="A36" s="1" t="str">
        <f t="shared" si="0"/>
        <v>13</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468</v>
      </c>
    </row>
    <row r="37" spans="1:7" x14ac:dyDescent="0.25">
      <c r="A37" s="1" t="str">
        <f t="shared" si="0"/>
        <v>13</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469</v>
      </c>
      <c r="D37" s="1" t="s">
        <v>470</v>
      </c>
      <c r="E37" s="1" t="s">
        <v>471</v>
      </c>
      <c r="F37" s="1" t="s">
        <v>112</v>
      </c>
      <c r="G37" s="1">
        <v>420074</v>
      </c>
    </row>
    <row r="38" spans="1:7" x14ac:dyDescent="0.25">
      <c r="A38" s="1" t="str">
        <f t="shared" si="0"/>
        <v>13</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8" s="1" t="s">
        <v>472</v>
      </c>
      <c r="D38" s="1" t="s">
        <v>473</v>
      </c>
      <c r="E38" s="1" t="s">
        <v>474</v>
      </c>
      <c r="F38" s="1" t="s">
        <v>112</v>
      </c>
      <c r="G38" s="1">
        <v>12956</v>
      </c>
    </row>
    <row r="39" spans="1:7" x14ac:dyDescent="0.25">
      <c r="A39" s="1" t="str">
        <f t="shared" si="0"/>
        <v>13</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475</v>
      </c>
      <c r="D39" s="1" t="s">
        <v>476</v>
      </c>
      <c r="E39" s="1" t="s">
        <v>477</v>
      </c>
      <c r="F39" s="1" t="s">
        <v>112</v>
      </c>
      <c r="G39" s="1">
        <v>71444</v>
      </c>
    </row>
    <row r="40" spans="1:7" x14ac:dyDescent="0.25">
      <c r="A40" s="1" t="str">
        <f t="shared" si="0"/>
        <v>13</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478</v>
      </c>
    </row>
    <row r="41" spans="1:7" x14ac:dyDescent="0.25">
      <c r="A41" s="1" t="str">
        <f t="shared" si="0"/>
        <v>13</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 s="1" t="s">
        <v>479</v>
      </c>
      <c r="D41" s="1" t="s">
        <v>480</v>
      </c>
      <c r="E41" s="1" t="s">
        <v>481</v>
      </c>
      <c r="F41" s="1" t="s">
        <v>112</v>
      </c>
      <c r="G41" s="1">
        <v>117645</v>
      </c>
    </row>
    <row r="42" spans="1:7" x14ac:dyDescent="0.25">
      <c r="A42" s="1" t="str">
        <f t="shared" si="0"/>
        <v>13</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482</v>
      </c>
      <c r="D42" s="1" t="s">
        <v>483</v>
      </c>
      <c r="E42" s="1" t="s">
        <v>484</v>
      </c>
      <c r="F42" s="1" t="s">
        <v>112</v>
      </c>
      <c r="G42" s="1">
        <v>319928</v>
      </c>
    </row>
    <row r="43" spans="1:7" x14ac:dyDescent="0.25">
      <c r="A43" s="1" t="str">
        <f t="shared" si="0"/>
        <v>13</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485</v>
      </c>
      <c r="D43" s="1" t="s">
        <v>486</v>
      </c>
      <c r="E43" s="1" t="s">
        <v>487</v>
      </c>
      <c r="F43" s="1" t="s">
        <v>112</v>
      </c>
      <c r="G43" s="1">
        <v>234338</v>
      </c>
    </row>
    <row r="44" spans="1:7" x14ac:dyDescent="0.25">
      <c r="A44" s="1" t="str">
        <f t="shared" si="0"/>
        <v>13</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4" s="1" t="s">
        <v>488</v>
      </c>
      <c r="D44" s="1" t="s">
        <v>489</v>
      </c>
      <c r="E44" s="1" t="s">
        <v>490</v>
      </c>
      <c r="F44" s="1" t="s">
        <v>112</v>
      </c>
      <c r="G44" s="1">
        <v>213682</v>
      </c>
    </row>
    <row r="45" spans="1:7" x14ac:dyDescent="0.25">
      <c r="A45" s="1" t="str">
        <f t="shared" si="0"/>
        <v>13</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491</v>
      </c>
      <c r="D45" s="1" t="s">
        <v>492</v>
      </c>
      <c r="E45" s="1" t="s">
        <v>493</v>
      </c>
      <c r="F45" s="1" t="s">
        <v>112</v>
      </c>
      <c r="G45" s="1">
        <v>2704126</v>
      </c>
    </row>
    <row r="46" spans="1:7" x14ac:dyDescent="0.25">
      <c r="A46" s="1" t="str">
        <f t="shared" si="0"/>
        <v>13</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494</v>
      </c>
      <c r="D46" s="1" t="s">
        <v>495</v>
      </c>
      <c r="E46" s="1" t="s">
        <v>496</v>
      </c>
      <c r="F46" s="1" t="s">
        <v>112</v>
      </c>
      <c r="G46" s="1">
        <v>2997860</v>
      </c>
    </row>
    <row r="47" spans="1:7" x14ac:dyDescent="0.25">
      <c r="A47" s="1" t="str">
        <f t="shared" si="0"/>
        <v>13</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 s="1" t="s">
        <v>497</v>
      </c>
      <c r="D47" s="1" t="s">
        <v>498</v>
      </c>
      <c r="E47" s="1" t="s">
        <v>499</v>
      </c>
      <c r="F47" s="1" t="s">
        <v>112</v>
      </c>
      <c r="G47" s="1">
        <v>2457329</v>
      </c>
    </row>
    <row r="48" spans="1:7" x14ac:dyDescent="0.25">
      <c r="A48" s="1" t="str">
        <f t="shared" si="0"/>
        <v>13</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500</v>
      </c>
      <c r="D48" s="1" t="s">
        <v>501</v>
      </c>
      <c r="E48" s="1" t="s">
        <v>502</v>
      </c>
      <c r="F48" s="1" t="s">
        <v>112</v>
      </c>
      <c r="G48" s="1">
        <v>2800769</v>
      </c>
    </row>
    <row r="49" spans="1:7" x14ac:dyDescent="0.25">
      <c r="A49" s="1" t="str">
        <f t="shared" si="0"/>
        <v>13</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503</v>
      </c>
      <c r="D49" s="1" t="s">
        <v>504</v>
      </c>
      <c r="E49" s="1" t="s">
        <v>505</v>
      </c>
      <c r="F49" s="1" t="s">
        <v>112</v>
      </c>
      <c r="G49" s="1">
        <v>2704624</v>
      </c>
    </row>
    <row r="50" spans="1:7" x14ac:dyDescent="0.25">
      <c r="A50" s="1" t="str">
        <f t="shared" si="0"/>
        <v>13</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 s="1" t="s">
        <v>506</v>
      </c>
      <c r="D50" s="1" t="s">
        <v>507</v>
      </c>
      <c r="E50" s="1" t="s">
        <v>508</v>
      </c>
      <c r="F50" s="1" t="s">
        <v>112</v>
      </c>
      <c r="G50" s="1">
        <v>3020788</v>
      </c>
    </row>
    <row r="51" spans="1:7" x14ac:dyDescent="0.25">
      <c r="A51" s="1" t="str">
        <f t="shared" si="0"/>
        <v>13</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509</v>
      </c>
      <c r="D51" s="1" t="s">
        <v>510</v>
      </c>
      <c r="E51" s="1" t="s">
        <v>511</v>
      </c>
      <c r="F51" s="1" t="s">
        <v>112</v>
      </c>
      <c r="G51" s="1">
        <v>150695</v>
      </c>
    </row>
    <row r="52" spans="1:7" x14ac:dyDescent="0.25">
      <c r="A52" s="1" t="str">
        <f t="shared" si="0"/>
        <v>13</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512</v>
      </c>
      <c r="D52" s="1" t="s">
        <v>431</v>
      </c>
      <c r="E52" s="1" t="s">
        <v>513</v>
      </c>
      <c r="F52" s="1" t="s">
        <v>112</v>
      </c>
      <c r="G52" s="1">
        <v>50333</v>
      </c>
    </row>
    <row r="53" spans="1:7" x14ac:dyDescent="0.25">
      <c r="A53" s="1" t="str">
        <f t="shared" si="0"/>
        <v>13</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3" s="1" t="s">
        <v>514</v>
      </c>
    </row>
    <row r="54" spans="1:7" x14ac:dyDescent="0.25">
      <c r="A54" s="1" t="str">
        <f t="shared" si="0"/>
        <v>13</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515</v>
      </c>
      <c r="D54" s="1" t="s">
        <v>516</v>
      </c>
      <c r="E54" s="1" t="s">
        <v>517</v>
      </c>
      <c r="F54" s="1" t="s">
        <v>112</v>
      </c>
      <c r="G54" s="1">
        <v>1149131</v>
      </c>
    </row>
    <row r="55" spans="1:7" x14ac:dyDescent="0.25">
      <c r="A55" s="1" t="str">
        <f t="shared" si="0"/>
        <v>13</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518</v>
      </c>
      <c r="D55" s="1" t="s">
        <v>519</v>
      </c>
      <c r="E55" s="1" t="s">
        <v>520</v>
      </c>
      <c r="F55" s="1" t="s">
        <v>112</v>
      </c>
      <c r="G55" s="1">
        <v>1610238</v>
      </c>
    </row>
    <row r="56" spans="1:7" x14ac:dyDescent="0.25">
      <c r="A56" s="1" t="str">
        <f t="shared" si="0"/>
        <v>13</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 s="1" t="s">
        <v>521</v>
      </c>
    </row>
    <row r="57" spans="1:7" x14ac:dyDescent="0.25">
      <c r="A57" s="1" t="str">
        <f t="shared" si="0"/>
        <v>13</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522</v>
      </c>
      <c r="D57" s="1" t="s">
        <v>523</v>
      </c>
      <c r="E57" s="1" t="s">
        <v>524</v>
      </c>
      <c r="F57" s="1" t="s">
        <v>112</v>
      </c>
      <c r="G57" s="1">
        <v>1125425</v>
      </c>
    </row>
    <row r="58" spans="1:7" x14ac:dyDescent="0.25">
      <c r="A58" s="1" t="str">
        <f t="shared" si="0"/>
        <v>13</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525</v>
      </c>
      <c r="D58" s="1" t="s">
        <v>526</v>
      </c>
      <c r="E58" s="1" t="s">
        <v>527</v>
      </c>
      <c r="F58" s="1" t="s">
        <v>112</v>
      </c>
      <c r="G58" s="1">
        <v>1152181</v>
      </c>
    </row>
    <row r="59" spans="1:7" x14ac:dyDescent="0.25">
      <c r="A59" s="1" t="str">
        <f t="shared" si="0"/>
        <v>13</v>
      </c>
      <c r="B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9" s="1" t="s">
        <v>528</v>
      </c>
      <c r="D59" s="1" t="s">
        <v>529</v>
      </c>
      <c r="E59" s="1" t="s">
        <v>530</v>
      </c>
      <c r="F59" s="1" t="s">
        <v>112</v>
      </c>
      <c r="G59" s="1">
        <v>1492419</v>
      </c>
    </row>
    <row r="60" spans="1:7" x14ac:dyDescent="0.2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112</v>
      </c>
    </row>
    <row r="61" spans="1:7" x14ac:dyDescent="0.25">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 s="1" t="s">
        <v>183</v>
      </c>
      <c r="D61" s="1" t="s">
        <v>112</v>
      </c>
      <c r="E61" s="1" t="s">
        <v>184</v>
      </c>
      <c r="F61" s="1" t="s">
        <v>185</v>
      </c>
      <c r="G61" s="1" t="s">
        <v>186</v>
      </c>
    </row>
    <row r="62" spans="1:7" x14ac:dyDescent="0.25">
      <c r="A62" s="1" t="str">
        <f t="shared" si="0"/>
        <v>13</v>
      </c>
      <c r="B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 s="1" t="s">
        <v>531</v>
      </c>
      <c r="D62" s="1" t="s">
        <v>112</v>
      </c>
      <c r="E62" s="1" t="s">
        <v>532</v>
      </c>
      <c r="F62" s="1" t="s">
        <v>533</v>
      </c>
      <c r="G62" s="1" t="s">
        <v>534</v>
      </c>
    </row>
    <row r="63" spans="1:7" x14ac:dyDescent="0.2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7" x14ac:dyDescent="0.2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2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2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2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112</v>
      </c>
    </row>
    <row r="68" spans="1:7" x14ac:dyDescent="0.25">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 s="1" t="s">
        <v>167</v>
      </c>
      <c r="D68" s="1" t="s">
        <v>110</v>
      </c>
      <c r="E68" s="1" t="s">
        <v>111</v>
      </c>
      <c r="F68" s="1" t="s">
        <v>112</v>
      </c>
      <c r="G68" s="1" t="s">
        <v>113</v>
      </c>
    </row>
    <row r="69" spans="1:7" x14ac:dyDescent="0.25">
      <c r="A69" s="1" t="str">
        <f t="shared" si="1"/>
        <v>14</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535</v>
      </c>
    </row>
    <row r="70" spans="1:7" x14ac:dyDescent="0.25">
      <c r="A70" s="1" t="str">
        <f t="shared" si="1"/>
        <v>14</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536</v>
      </c>
    </row>
    <row r="71" spans="1:7" x14ac:dyDescent="0.25">
      <c r="A71" s="1" t="str">
        <f t="shared" si="1"/>
        <v>14</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1" s="1" t="s">
        <v>537</v>
      </c>
    </row>
    <row r="72" spans="1:7" x14ac:dyDescent="0.25">
      <c r="A72" s="1" t="str">
        <f t="shared" si="1"/>
        <v>14</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538</v>
      </c>
      <c r="D72" s="1" t="s">
        <v>539</v>
      </c>
      <c r="E72" s="1" t="s">
        <v>540</v>
      </c>
      <c r="F72" s="1" t="s">
        <v>112</v>
      </c>
      <c r="G72" s="1">
        <v>2892090</v>
      </c>
    </row>
    <row r="73" spans="1:7" x14ac:dyDescent="0.25">
      <c r="A73" s="1" t="str">
        <f t="shared" si="1"/>
        <v>14</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541</v>
      </c>
      <c r="D73" s="1" t="s">
        <v>542</v>
      </c>
      <c r="E73" s="1" t="s">
        <v>543</v>
      </c>
      <c r="F73" s="1" t="s">
        <v>112</v>
      </c>
      <c r="G73" s="1">
        <v>2425620</v>
      </c>
    </row>
    <row r="74" spans="1:7" x14ac:dyDescent="0.25">
      <c r="A74" s="1" t="str">
        <f t="shared" si="1"/>
        <v>14</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4" s="1" t="s">
        <v>544</v>
      </c>
      <c r="D74" s="1" t="s">
        <v>545</v>
      </c>
      <c r="E74" s="1" t="s">
        <v>546</v>
      </c>
      <c r="F74" s="1" t="s">
        <v>112</v>
      </c>
      <c r="G74" s="1">
        <v>2828001</v>
      </c>
    </row>
    <row r="75" spans="1:7" x14ac:dyDescent="0.25">
      <c r="A75" s="1" t="str">
        <f t="shared" si="1"/>
        <v>14</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547</v>
      </c>
      <c r="D75" s="1" t="s">
        <v>548</v>
      </c>
      <c r="E75" s="1" t="s">
        <v>549</v>
      </c>
      <c r="F75" s="1" t="s">
        <v>112</v>
      </c>
      <c r="G75" s="1">
        <v>2976100</v>
      </c>
    </row>
    <row r="76" spans="1:7" x14ac:dyDescent="0.25">
      <c r="A76" s="1" t="str">
        <f t="shared" si="1"/>
        <v>14</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550</v>
      </c>
      <c r="D76" s="1" t="s">
        <v>551</v>
      </c>
      <c r="E76" s="1" t="s">
        <v>552</v>
      </c>
      <c r="F76" s="1" t="s">
        <v>112</v>
      </c>
      <c r="G76" s="1">
        <v>3040082</v>
      </c>
    </row>
    <row r="77" spans="1:7" x14ac:dyDescent="0.25">
      <c r="A77" s="1" t="str">
        <f t="shared" si="1"/>
        <v>14</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7" s="1" t="s">
        <v>553</v>
      </c>
      <c r="D77" s="1" t="s">
        <v>554</v>
      </c>
      <c r="E77" s="1" t="s">
        <v>555</v>
      </c>
      <c r="F77" s="1" t="s">
        <v>112</v>
      </c>
      <c r="G77" s="1">
        <v>3090479</v>
      </c>
    </row>
    <row r="78" spans="1:7" x14ac:dyDescent="0.25">
      <c r="A78" s="1" t="str">
        <f t="shared" si="1"/>
        <v>14</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556</v>
      </c>
      <c r="D78" s="1" t="s">
        <v>557</v>
      </c>
      <c r="E78" s="1" t="s">
        <v>558</v>
      </c>
      <c r="F78" s="1" t="s">
        <v>112</v>
      </c>
      <c r="G78" s="1">
        <v>919552</v>
      </c>
    </row>
    <row r="79" spans="1:7" x14ac:dyDescent="0.25">
      <c r="A79" s="1" t="str">
        <f t="shared" si="1"/>
        <v>14</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559</v>
      </c>
      <c r="D79" s="1" t="s">
        <v>560</v>
      </c>
      <c r="E79" s="1" t="s">
        <v>561</v>
      </c>
      <c r="F79" s="1" t="s">
        <v>112</v>
      </c>
      <c r="G79" s="1">
        <v>720146</v>
      </c>
    </row>
    <row r="80" spans="1:7" x14ac:dyDescent="0.25">
      <c r="A80" s="1" t="str">
        <f t="shared" si="1"/>
        <v>14</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80" s="1" t="s">
        <v>562</v>
      </c>
      <c r="D80" s="1" t="s">
        <v>563</v>
      </c>
      <c r="E80" s="1" t="s">
        <v>564</v>
      </c>
      <c r="F80" s="1" t="s">
        <v>112</v>
      </c>
      <c r="G80" s="1">
        <v>694947</v>
      </c>
    </row>
    <row r="81" spans="1:7" x14ac:dyDescent="0.25">
      <c r="A81" s="1" t="str">
        <f t="shared" si="1"/>
        <v>14</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565</v>
      </c>
      <c r="D81" s="1" t="s">
        <v>566</v>
      </c>
      <c r="E81" s="1" t="s">
        <v>567</v>
      </c>
      <c r="F81" s="1" t="s">
        <v>112</v>
      </c>
      <c r="G81" s="1">
        <v>1454437</v>
      </c>
    </row>
    <row r="82" spans="1:7" x14ac:dyDescent="0.25">
      <c r="A82" s="1" t="str">
        <f t="shared" si="1"/>
        <v>14</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568</v>
      </c>
      <c r="D82" s="1" t="s">
        <v>569</v>
      </c>
      <c r="E82" s="1" t="s">
        <v>570</v>
      </c>
      <c r="F82" s="1" t="s">
        <v>112</v>
      </c>
      <c r="G82" s="1">
        <v>1907713</v>
      </c>
    </row>
    <row r="83" spans="1:7" x14ac:dyDescent="0.25">
      <c r="A83" s="1" t="str">
        <f t="shared" si="1"/>
        <v>14</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3" s="1" t="s">
        <v>571</v>
      </c>
      <c r="D83" s="1" t="s">
        <v>572</v>
      </c>
      <c r="E83" s="1" t="s">
        <v>573</v>
      </c>
      <c r="F83" s="1" t="s">
        <v>112</v>
      </c>
      <c r="G83" s="1">
        <v>1170242</v>
      </c>
    </row>
    <row r="84" spans="1:7" x14ac:dyDescent="0.25">
      <c r="A84" s="1" t="str">
        <f t="shared" si="1"/>
        <v>14</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574</v>
      </c>
      <c r="D84" s="1" t="s">
        <v>575</v>
      </c>
      <c r="E84" s="1" t="s">
        <v>576</v>
      </c>
      <c r="F84" s="1" t="s">
        <v>112</v>
      </c>
      <c r="G84" s="1">
        <v>209983</v>
      </c>
    </row>
    <row r="85" spans="1:7" x14ac:dyDescent="0.25">
      <c r="A85" s="1" t="str">
        <f t="shared" si="1"/>
        <v>14</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577</v>
      </c>
      <c r="D85" s="1" t="s">
        <v>578</v>
      </c>
      <c r="E85" s="1" t="s">
        <v>579</v>
      </c>
      <c r="F85" s="1" t="s">
        <v>112</v>
      </c>
      <c r="G85" s="1">
        <v>526688</v>
      </c>
    </row>
    <row r="86" spans="1:7" x14ac:dyDescent="0.25">
      <c r="A86" s="1" t="str">
        <f t="shared" si="1"/>
        <v>14</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6" s="1" t="s">
        <v>580</v>
      </c>
      <c r="D86" s="1" t="s">
        <v>581</v>
      </c>
      <c r="E86" s="1" t="s">
        <v>582</v>
      </c>
      <c r="F86" s="1" t="s">
        <v>112</v>
      </c>
      <c r="G86" s="1">
        <v>328861</v>
      </c>
    </row>
    <row r="87" spans="1:7" x14ac:dyDescent="0.25">
      <c r="A87" s="1" t="str">
        <f t="shared" si="1"/>
        <v>14</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583</v>
      </c>
      <c r="D87" s="1" t="s">
        <v>584</v>
      </c>
      <c r="E87" s="1" t="s">
        <v>585</v>
      </c>
      <c r="F87" s="1" t="s">
        <v>112</v>
      </c>
      <c r="G87" s="1">
        <v>569212</v>
      </c>
    </row>
    <row r="88" spans="1:7" x14ac:dyDescent="0.25">
      <c r="A88" s="1" t="str">
        <f t="shared" si="1"/>
        <v>14</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586</v>
      </c>
      <c r="D88" s="1" t="s">
        <v>587</v>
      </c>
      <c r="E88" s="1" t="s">
        <v>588</v>
      </c>
      <c r="F88" s="1" t="s">
        <v>112</v>
      </c>
      <c r="G88" s="1">
        <v>840667</v>
      </c>
    </row>
    <row r="89" spans="1:7" x14ac:dyDescent="0.25">
      <c r="A89" s="1" t="str">
        <f t="shared" si="1"/>
        <v>14</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9" s="1" t="s">
        <v>589</v>
      </c>
      <c r="D89" s="1" t="s">
        <v>590</v>
      </c>
      <c r="E89" s="1" t="s">
        <v>591</v>
      </c>
      <c r="F89" s="1" t="s">
        <v>112</v>
      </c>
      <c r="G89" s="1">
        <v>993353</v>
      </c>
    </row>
    <row r="90" spans="1:7" x14ac:dyDescent="0.25">
      <c r="A90" s="1" t="str">
        <f t="shared" si="1"/>
        <v>14</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592</v>
      </c>
      <c r="D90" s="1" t="s">
        <v>593</v>
      </c>
      <c r="E90" s="1" t="s">
        <v>594</v>
      </c>
      <c r="F90" s="1" t="s">
        <v>112</v>
      </c>
      <c r="G90" s="1">
        <v>361998</v>
      </c>
    </row>
    <row r="91" spans="1:7" x14ac:dyDescent="0.25">
      <c r="A91" s="1" t="str">
        <f t="shared" si="1"/>
        <v>14</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595</v>
      </c>
      <c r="D91" s="1" t="s">
        <v>596</v>
      </c>
      <c r="E91" s="1" t="s">
        <v>597</v>
      </c>
      <c r="F91" s="1" t="s">
        <v>112</v>
      </c>
      <c r="G91" s="1">
        <v>262544</v>
      </c>
    </row>
    <row r="92" spans="1:7" x14ac:dyDescent="0.25">
      <c r="A92" s="1" t="str">
        <f t="shared" si="1"/>
        <v>14</v>
      </c>
      <c r="B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2" s="1" t="s">
        <v>598</v>
      </c>
      <c r="D92" s="1" t="s">
        <v>599</v>
      </c>
      <c r="E92" s="1" t="s">
        <v>600</v>
      </c>
      <c r="F92" s="1" t="s">
        <v>112</v>
      </c>
      <c r="G92" s="1">
        <v>293172</v>
      </c>
    </row>
    <row r="93" spans="1:7" x14ac:dyDescent="0.2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112</v>
      </c>
    </row>
    <row r="94" spans="1:7" x14ac:dyDescent="0.25">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4" s="1" t="s">
        <v>183</v>
      </c>
      <c r="D94" s="1" t="s">
        <v>112</v>
      </c>
      <c r="E94" s="1" t="s">
        <v>184</v>
      </c>
      <c r="F94" s="1" t="s">
        <v>185</v>
      </c>
      <c r="G94" s="1" t="s">
        <v>186</v>
      </c>
    </row>
    <row r="95" spans="1:7" x14ac:dyDescent="0.25">
      <c r="A95" s="1" t="str">
        <f t="shared" si="1"/>
        <v>14</v>
      </c>
      <c r="B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5" s="1" t="s">
        <v>601</v>
      </c>
      <c r="D95" s="1" t="s">
        <v>112</v>
      </c>
      <c r="E95" s="1" t="s">
        <v>602</v>
      </c>
      <c r="F95" s="1" t="s">
        <v>603</v>
      </c>
      <c r="G95" s="1" t="s">
        <v>604</v>
      </c>
    </row>
    <row r="96" spans="1:7" x14ac:dyDescent="0.2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2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2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2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2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112</v>
      </c>
    </row>
    <row r="101" spans="1:7" x14ac:dyDescent="0.25">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1" s="1" t="s">
        <v>167</v>
      </c>
      <c r="D101" s="1" t="s">
        <v>110</v>
      </c>
      <c r="E101" s="1" t="s">
        <v>111</v>
      </c>
      <c r="F101" s="1" t="s">
        <v>112</v>
      </c>
      <c r="G101" s="1" t="s">
        <v>113</v>
      </c>
    </row>
    <row r="102" spans="1:7" x14ac:dyDescent="0.25">
      <c r="A102" s="1" t="str">
        <f t="shared" si="1"/>
        <v>15</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605</v>
      </c>
      <c r="D102" s="1" t="s">
        <v>606</v>
      </c>
      <c r="E102" s="1" t="s">
        <v>607</v>
      </c>
      <c r="F102" s="1" t="s">
        <v>112</v>
      </c>
      <c r="G102" s="1">
        <v>3519660</v>
      </c>
    </row>
    <row r="103" spans="1:7" x14ac:dyDescent="0.25">
      <c r="A103" s="1" t="str">
        <f t="shared" si="1"/>
        <v>15</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608</v>
      </c>
      <c r="D103" s="1" t="s">
        <v>609</v>
      </c>
      <c r="E103" s="1" t="s">
        <v>610</v>
      </c>
      <c r="F103" s="1" t="s">
        <v>112</v>
      </c>
      <c r="G103" s="1">
        <v>3101446</v>
      </c>
    </row>
    <row r="104" spans="1:7" x14ac:dyDescent="0.25">
      <c r="A104" s="1" t="str">
        <f t="shared" si="1"/>
        <v>15</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4" s="1" t="s">
        <v>611</v>
      </c>
      <c r="D104" s="1" t="s">
        <v>612</v>
      </c>
      <c r="E104" s="1" t="s">
        <v>613</v>
      </c>
      <c r="F104" s="1" t="s">
        <v>112</v>
      </c>
      <c r="G104" s="1">
        <v>3548622</v>
      </c>
    </row>
    <row r="105" spans="1:7" x14ac:dyDescent="0.25">
      <c r="A105" s="1" t="str">
        <f t="shared" si="1"/>
        <v>15</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614</v>
      </c>
      <c r="D105" s="1" t="s">
        <v>615</v>
      </c>
      <c r="E105" s="1" t="s">
        <v>616</v>
      </c>
      <c r="F105" s="1" t="s">
        <v>112</v>
      </c>
      <c r="G105" s="1">
        <v>3174447</v>
      </c>
    </row>
    <row r="106" spans="1:7" x14ac:dyDescent="0.25">
      <c r="A106" s="1" t="str">
        <f t="shared" si="1"/>
        <v>15</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617</v>
      </c>
      <c r="D106" s="1" t="s">
        <v>618</v>
      </c>
      <c r="E106" s="1" t="s">
        <v>619</v>
      </c>
      <c r="F106" s="1" t="s">
        <v>112</v>
      </c>
      <c r="G106" s="1">
        <v>3353650</v>
      </c>
    </row>
    <row r="107" spans="1:7" x14ac:dyDescent="0.25">
      <c r="A107" s="1" t="str">
        <f t="shared" si="1"/>
        <v>15</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7" s="1" t="s">
        <v>620</v>
      </c>
      <c r="D107" s="1" t="s">
        <v>551</v>
      </c>
      <c r="E107" s="1" t="s">
        <v>621</v>
      </c>
      <c r="F107" s="1" t="s">
        <v>112</v>
      </c>
      <c r="G107" s="1">
        <v>2865269</v>
      </c>
    </row>
    <row r="108" spans="1:7" x14ac:dyDescent="0.25">
      <c r="A108" s="1" t="str">
        <f t="shared" si="1"/>
        <v>15</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622</v>
      </c>
      <c r="D108" s="1" t="s">
        <v>623</v>
      </c>
      <c r="E108" s="1" t="s">
        <v>624</v>
      </c>
      <c r="F108" s="1" t="s">
        <v>112</v>
      </c>
      <c r="G108" s="1">
        <v>1288493</v>
      </c>
    </row>
    <row r="109" spans="1:7" x14ac:dyDescent="0.25">
      <c r="A109" s="1" t="str">
        <f t="shared" si="1"/>
        <v>15</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625</v>
      </c>
      <c r="D109" s="1" t="s">
        <v>626</v>
      </c>
      <c r="E109" s="1" t="s">
        <v>627</v>
      </c>
      <c r="F109" s="1" t="s">
        <v>112</v>
      </c>
      <c r="G109" s="1">
        <v>1001853</v>
      </c>
    </row>
    <row r="110" spans="1:7" x14ac:dyDescent="0.25">
      <c r="A110" s="1" t="str">
        <f t="shared" si="1"/>
        <v>15</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10" s="1" t="s">
        <v>628</v>
      </c>
      <c r="D110" s="1" t="s">
        <v>629</v>
      </c>
      <c r="E110" s="1" t="s">
        <v>630</v>
      </c>
      <c r="F110" s="1" t="s">
        <v>112</v>
      </c>
      <c r="G110" s="1">
        <v>1034536</v>
      </c>
    </row>
    <row r="111" spans="1:7" x14ac:dyDescent="0.25">
      <c r="A111" s="1" t="str">
        <f t="shared" si="1"/>
        <v>15</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631</v>
      </c>
      <c r="D111" s="1" t="s">
        <v>632</v>
      </c>
      <c r="E111" s="1" t="s">
        <v>633</v>
      </c>
      <c r="F111" s="1" t="s">
        <v>112</v>
      </c>
      <c r="G111" s="1">
        <v>2240251</v>
      </c>
    </row>
    <row r="112" spans="1:7" x14ac:dyDescent="0.25">
      <c r="A112" s="1" t="str">
        <f t="shared" si="1"/>
        <v>15</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634</v>
      </c>
    </row>
    <row r="113" spans="1:7" x14ac:dyDescent="0.25">
      <c r="A113" s="1" t="str">
        <f t="shared" si="1"/>
        <v>15</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3" s="1" t="s">
        <v>635</v>
      </c>
    </row>
    <row r="114" spans="1:7" x14ac:dyDescent="0.25">
      <c r="A114" s="1" t="str">
        <f t="shared" si="1"/>
        <v>15</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636</v>
      </c>
      <c r="D114" s="1" t="s">
        <v>637</v>
      </c>
      <c r="E114" s="1" t="s">
        <v>638</v>
      </c>
      <c r="F114" s="1" t="s">
        <v>112</v>
      </c>
      <c r="G114" s="1">
        <v>2976274</v>
      </c>
    </row>
    <row r="115" spans="1:7" x14ac:dyDescent="0.25">
      <c r="A115" s="1" t="str">
        <f t="shared" si="1"/>
        <v>15</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639</v>
      </c>
      <c r="D115" s="1" t="s">
        <v>640</v>
      </c>
      <c r="E115" s="1" t="s">
        <v>641</v>
      </c>
      <c r="F115" s="1" t="s">
        <v>112</v>
      </c>
      <c r="G115" s="1">
        <v>3015553</v>
      </c>
    </row>
    <row r="116" spans="1:7" x14ac:dyDescent="0.25">
      <c r="A116" s="1" t="str">
        <f t="shared" si="1"/>
        <v>15</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6" s="1" t="s">
        <v>642</v>
      </c>
      <c r="D116" s="1" t="s">
        <v>643</v>
      </c>
      <c r="E116" s="1" t="s">
        <v>644</v>
      </c>
      <c r="F116" s="1" t="s">
        <v>112</v>
      </c>
      <c r="G116" s="1">
        <v>2826789</v>
      </c>
    </row>
    <row r="117" spans="1:7" x14ac:dyDescent="0.25">
      <c r="A117" s="1" t="str">
        <f t="shared" si="1"/>
        <v>15</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645</v>
      </c>
      <c r="D117" s="1" t="s">
        <v>646</v>
      </c>
      <c r="E117" s="1" t="s">
        <v>647</v>
      </c>
      <c r="F117" s="1" t="s">
        <v>112</v>
      </c>
      <c r="G117" s="1">
        <v>2647802</v>
      </c>
    </row>
    <row r="118" spans="1:7" x14ac:dyDescent="0.25">
      <c r="A118" s="1" t="str">
        <f t="shared" si="1"/>
        <v>15</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648</v>
      </c>
      <c r="D118" s="1" t="s">
        <v>649</v>
      </c>
      <c r="E118" s="1" t="s">
        <v>650</v>
      </c>
      <c r="F118" s="1" t="s">
        <v>112</v>
      </c>
      <c r="G118" s="1">
        <v>2785000</v>
      </c>
    </row>
    <row r="119" spans="1:7" x14ac:dyDescent="0.25">
      <c r="A119" s="1" t="str">
        <f t="shared" si="1"/>
        <v>15</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9" s="1" t="s">
        <v>651</v>
      </c>
    </row>
    <row r="120" spans="1:7" x14ac:dyDescent="0.25">
      <c r="A120" s="1" t="str">
        <f t="shared" si="1"/>
        <v>15</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652</v>
      </c>
      <c r="D120" s="1" t="s">
        <v>653</v>
      </c>
      <c r="E120" s="1" t="s">
        <v>654</v>
      </c>
      <c r="F120" s="1" t="s">
        <v>112</v>
      </c>
      <c r="G120" s="1">
        <v>3404567</v>
      </c>
    </row>
    <row r="121" spans="1:7" x14ac:dyDescent="0.25">
      <c r="A121" s="1" t="str">
        <f t="shared" si="1"/>
        <v>15</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655</v>
      </c>
      <c r="D121" s="1" t="s">
        <v>656</v>
      </c>
      <c r="E121" s="1" t="s">
        <v>657</v>
      </c>
      <c r="F121" s="1" t="s">
        <v>112</v>
      </c>
      <c r="G121" s="1">
        <v>3348870</v>
      </c>
    </row>
    <row r="122" spans="1:7" x14ac:dyDescent="0.25">
      <c r="A122" s="1" t="str">
        <f t="shared" si="1"/>
        <v>15</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2" s="1" t="s">
        <v>658</v>
      </c>
      <c r="D122" s="1" t="s">
        <v>659</v>
      </c>
      <c r="E122" s="1" t="s">
        <v>660</v>
      </c>
      <c r="F122" s="1" t="s">
        <v>112</v>
      </c>
      <c r="G122" s="1">
        <v>4002352</v>
      </c>
    </row>
    <row r="123" spans="1:7" x14ac:dyDescent="0.25">
      <c r="A123" s="1" t="str">
        <f t="shared" si="1"/>
        <v>15</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661</v>
      </c>
      <c r="D123" s="1" t="s">
        <v>662</v>
      </c>
      <c r="E123" s="1" t="s">
        <v>663</v>
      </c>
      <c r="F123" s="1" t="s">
        <v>112</v>
      </c>
      <c r="G123" s="1">
        <v>667088</v>
      </c>
    </row>
    <row r="124" spans="1:7" x14ac:dyDescent="0.25">
      <c r="A124" s="1" t="str">
        <f t="shared" si="1"/>
        <v>15</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664</v>
      </c>
      <c r="D124" s="1" t="s">
        <v>665</v>
      </c>
      <c r="E124" s="1" t="s">
        <v>666</v>
      </c>
      <c r="F124" s="1" t="s">
        <v>112</v>
      </c>
      <c r="G124" s="1">
        <v>620605</v>
      </c>
    </row>
    <row r="125" spans="1:7" x14ac:dyDescent="0.25">
      <c r="A125" s="1" t="str">
        <f t="shared" si="1"/>
        <v>15</v>
      </c>
      <c r="B1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5" s="1" t="s">
        <v>667</v>
      </c>
      <c r="D125" s="1" t="s">
        <v>668</v>
      </c>
      <c r="E125" s="1" t="s">
        <v>669</v>
      </c>
      <c r="F125" s="1" t="s">
        <v>112</v>
      </c>
      <c r="G125" s="1">
        <v>704940</v>
      </c>
    </row>
    <row r="126" spans="1:7" x14ac:dyDescent="0.2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112</v>
      </c>
    </row>
    <row r="127" spans="1:7" x14ac:dyDescent="0.25">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7" s="1" t="s">
        <v>183</v>
      </c>
      <c r="D127" s="1" t="s">
        <v>112</v>
      </c>
      <c r="E127" s="1" t="s">
        <v>184</v>
      </c>
      <c r="F127" s="1" t="s">
        <v>185</v>
      </c>
      <c r="G127" s="1" t="s">
        <v>186</v>
      </c>
    </row>
    <row r="128" spans="1:7" x14ac:dyDescent="0.25">
      <c r="A128" s="1" t="str">
        <f t="shared" si="1"/>
        <v>15</v>
      </c>
      <c r="B1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8" s="1" t="s">
        <v>670</v>
      </c>
      <c r="D128" s="1" t="s">
        <v>112</v>
      </c>
      <c r="E128" s="1" t="s">
        <v>671</v>
      </c>
      <c r="F128" s="1" t="s">
        <v>672</v>
      </c>
      <c r="G128" s="1" t="s">
        <v>673</v>
      </c>
    </row>
    <row r="129" spans="1:7" x14ac:dyDescent="0.2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2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2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2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2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112</v>
      </c>
    </row>
    <row r="134" spans="1:7" x14ac:dyDescent="0.25">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4" s="1" t="s">
        <v>167</v>
      </c>
      <c r="D134" s="1" t="s">
        <v>110</v>
      </c>
      <c r="E134" s="1" t="s">
        <v>111</v>
      </c>
      <c r="F134" s="1" t="s">
        <v>112</v>
      </c>
      <c r="G134" s="1" t="s">
        <v>113</v>
      </c>
    </row>
    <row r="135" spans="1:7" x14ac:dyDescent="0.25">
      <c r="A135" s="1" t="str">
        <f t="shared" si="2"/>
        <v>16</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674</v>
      </c>
      <c r="D135" s="1" t="s">
        <v>675</v>
      </c>
      <c r="E135" s="1" t="s">
        <v>676</v>
      </c>
      <c r="F135" s="1" t="s">
        <v>112</v>
      </c>
      <c r="G135" s="1">
        <v>56194</v>
      </c>
    </row>
    <row r="136" spans="1:7" x14ac:dyDescent="0.25">
      <c r="A136" s="1" t="str">
        <f t="shared" si="2"/>
        <v>16</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677</v>
      </c>
      <c r="D136" s="1" t="s">
        <v>678</v>
      </c>
      <c r="E136" s="1" t="s">
        <v>679</v>
      </c>
      <c r="F136" s="1" t="s">
        <v>112</v>
      </c>
      <c r="G136" s="1">
        <v>1406</v>
      </c>
    </row>
    <row r="137" spans="1:7" x14ac:dyDescent="0.25">
      <c r="A137" s="1" t="str">
        <f t="shared" si="2"/>
        <v>16</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7" s="1" t="s">
        <v>680</v>
      </c>
      <c r="D137" s="1" t="s">
        <v>681</v>
      </c>
      <c r="E137" s="1" t="s">
        <v>682</v>
      </c>
      <c r="F137" s="1" t="s">
        <v>112</v>
      </c>
      <c r="G137" s="1">
        <v>39453</v>
      </c>
    </row>
    <row r="138" spans="1:7" x14ac:dyDescent="0.25">
      <c r="A138" s="1" t="str">
        <f t="shared" si="2"/>
        <v>16</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683</v>
      </c>
      <c r="D138" s="1" t="s">
        <v>429</v>
      </c>
      <c r="E138" s="1">
        <v>30</v>
      </c>
      <c r="F138" s="1" t="s">
        <v>112</v>
      </c>
      <c r="G138" s="1">
        <v>649</v>
      </c>
    </row>
    <row r="139" spans="1:7" x14ac:dyDescent="0.25">
      <c r="A139" s="1" t="str">
        <f t="shared" si="2"/>
        <v>16</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684</v>
      </c>
      <c r="D139" s="1" t="s">
        <v>685</v>
      </c>
      <c r="E139" s="1" t="s">
        <v>686</v>
      </c>
      <c r="F139" s="1" t="s">
        <v>112</v>
      </c>
      <c r="G139" s="1">
        <v>40296</v>
      </c>
    </row>
    <row r="140" spans="1:7" x14ac:dyDescent="0.25">
      <c r="A140" s="1" t="str">
        <f t="shared" si="2"/>
        <v>16</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40" s="1" t="s">
        <v>687</v>
      </c>
      <c r="D140" s="1" t="s">
        <v>688</v>
      </c>
      <c r="E140" s="1" t="s">
        <v>689</v>
      </c>
      <c r="F140" s="1" t="s">
        <v>112</v>
      </c>
      <c r="G140" s="1">
        <v>67593</v>
      </c>
    </row>
    <row r="141" spans="1:7" x14ac:dyDescent="0.25">
      <c r="A141" s="1" t="str">
        <f t="shared" si="2"/>
        <v>16</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690</v>
      </c>
      <c r="D141" s="1" t="s">
        <v>691</v>
      </c>
      <c r="E141" s="1" t="s">
        <v>692</v>
      </c>
      <c r="F141" s="1" t="s">
        <v>112</v>
      </c>
      <c r="G141" s="1">
        <v>16633</v>
      </c>
    </row>
    <row r="142" spans="1:7" x14ac:dyDescent="0.25">
      <c r="A142" s="1" t="str">
        <f t="shared" si="2"/>
        <v>16</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693</v>
      </c>
      <c r="D142" s="1" t="s">
        <v>429</v>
      </c>
      <c r="E142" s="1">
        <v>31</v>
      </c>
      <c r="F142" s="1" t="s">
        <v>112</v>
      </c>
      <c r="G142" s="1">
        <v>671</v>
      </c>
    </row>
    <row r="143" spans="1:7" x14ac:dyDescent="0.25">
      <c r="A143" s="1" t="str">
        <f t="shared" si="2"/>
        <v>16</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3" s="1" t="s">
        <v>694</v>
      </c>
      <c r="D143" s="1" t="s">
        <v>695</v>
      </c>
      <c r="E143" s="1" t="s">
        <v>696</v>
      </c>
      <c r="F143" s="1" t="s">
        <v>112</v>
      </c>
      <c r="G143" s="1">
        <v>81264</v>
      </c>
    </row>
    <row r="144" spans="1:7" x14ac:dyDescent="0.25">
      <c r="A144" s="1" t="str">
        <f t="shared" si="2"/>
        <v>16</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697</v>
      </c>
      <c r="D144" s="1" t="s">
        <v>698</v>
      </c>
      <c r="E144" s="1" t="s">
        <v>699</v>
      </c>
      <c r="F144" s="1" t="s">
        <v>112</v>
      </c>
      <c r="G144" s="1">
        <v>174964</v>
      </c>
    </row>
    <row r="145" spans="1:7" x14ac:dyDescent="0.25">
      <c r="A145" s="1" t="str">
        <f t="shared" si="2"/>
        <v>16</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700</v>
      </c>
      <c r="D145" s="1" t="s">
        <v>701</v>
      </c>
      <c r="E145" s="1" t="s">
        <v>702</v>
      </c>
      <c r="F145" s="1" t="s">
        <v>112</v>
      </c>
      <c r="G145" s="1">
        <v>275457</v>
      </c>
    </row>
    <row r="146" spans="1:7" x14ac:dyDescent="0.25">
      <c r="A146" s="1" t="str">
        <f t="shared" si="2"/>
        <v>16</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6" s="1" t="s">
        <v>703</v>
      </c>
      <c r="D146" s="1" t="s">
        <v>704</v>
      </c>
      <c r="E146" s="1" t="s">
        <v>705</v>
      </c>
      <c r="F146" s="1" t="s">
        <v>112</v>
      </c>
      <c r="G146" s="1">
        <v>418733</v>
      </c>
    </row>
    <row r="147" spans="1:7" x14ac:dyDescent="0.25">
      <c r="A147" s="1" t="str">
        <f t="shared" si="2"/>
        <v>16</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706</v>
      </c>
      <c r="D147" s="1" t="s">
        <v>707</v>
      </c>
      <c r="E147" s="1" t="s">
        <v>708</v>
      </c>
      <c r="F147" s="1" t="s">
        <v>112</v>
      </c>
      <c r="G147" s="1">
        <v>83383</v>
      </c>
    </row>
    <row r="148" spans="1:7" x14ac:dyDescent="0.25">
      <c r="A148" s="1" t="str">
        <f t="shared" si="2"/>
        <v>16</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709</v>
      </c>
      <c r="D148" s="1" t="s">
        <v>710</v>
      </c>
      <c r="E148" s="1" t="s">
        <v>711</v>
      </c>
      <c r="F148" s="1" t="s">
        <v>112</v>
      </c>
      <c r="G148" s="1">
        <v>19640</v>
      </c>
    </row>
    <row r="149" spans="1:7" x14ac:dyDescent="0.25">
      <c r="A149" s="1" t="str">
        <f t="shared" si="2"/>
        <v>16</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9" s="1" t="s">
        <v>712</v>
      </c>
      <c r="D149" s="1" t="s">
        <v>713</v>
      </c>
      <c r="E149" s="1" t="s">
        <v>714</v>
      </c>
      <c r="F149" s="1" t="s">
        <v>112</v>
      </c>
      <c r="G149" s="1">
        <v>7311</v>
      </c>
    </row>
    <row r="150" spans="1:7" x14ac:dyDescent="0.25">
      <c r="A150" s="1" t="str">
        <f t="shared" si="2"/>
        <v>16</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715</v>
      </c>
      <c r="D150" s="1">
        <v>0</v>
      </c>
      <c r="E150" s="1">
        <v>0</v>
      </c>
      <c r="F150" s="1" t="s">
        <v>112</v>
      </c>
      <c r="G150" s="1">
        <v>0</v>
      </c>
    </row>
    <row r="151" spans="1:7" x14ac:dyDescent="0.25">
      <c r="A151" s="1" t="str">
        <f t="shared" si="2"/>
        <v>16</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716</v>
      </c>
      <c r="D151" s="1">
        <v>0</v>
      </c>
      <c r="E151" s="1">
        <v>0</v>
      </c>
      <c r="F151" s="1" t="s">
        <v>112</v>
      </c>
      <c r="G151" s="1">
        <v>0</v>
      </c>
    </row>
    <row r="152" spans="1:7" x14ac:dyDescent="0.25">
      <c r="A152" s="1" t="str">
        <f t="shared" si="2"/>
        <v>16</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2" s="1" t="s">
        <v>717</v>
      </c>
      <c r="D152" s="1">
        <v>0</v>
      </c>
      <c r="E152" s="1">
        <v>0</v>
      </c>
      <c r="F152" s="1" t="s">
        <v>112</v>
      </c>
      <c r="G152" s="1">
        <v>0</v>
      </c>
    </row>
    <row r="153" spans="1:7" x14ac:dyDescent="0.25">
      <c r="A153" s="1" t="str">
        <f t="shared" si="2"/>
        <v>16</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718</v>
      </c>
      <c r="D153" s="1" t="s">
        <v>719</v>
      </c>
      <c r="E153" s="1" t="s">
        <v>720</v>
      </c>
      <c r="F153" s="1" t="s">
        <v>112</v>
      </c>
      <c r="G153" s="1">
        <v>22473</v>
      </c>
    </row>
    <row r="154" spans="1:7" x14ac:dyDescent="0.25">
      <c r="A154" s="1" t="str">
        <f t="shared" si="2"/>
        <v>16</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721</v>
      </c>
      <c r="D154" s="1" t="s">
        <v>722</v>
      </c>
      <c r="E154" s="1" t="s">
        <v>723</v>
      </c>
      <c r="F154" s="1" t="s">
        <v>112</v>
      </c>
      <c r="G154" s="1">
        <v>15552</v>
      </c>
    </row>
    <row r="155" spans="1:7" x14ac:dyDescent="0.25">
      <c r="A155" s="1" t="str">
        <f t="shared" si="2"/>
        <v>16</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5" s="1" t="s">
        <v>724</v>
      </c>
      <c r="D155" s="1">
        <v>0</v>
      </c>
      <c r="E155" s="1">
        <v>0</v>
      </c>
      <c r="F155" s="1" t="s">
        <v>112</v>
      </c>
      <c r="G155" s="1">
        <v>0</v>
      </c>
    </row>
    <row r="156" spans="1:7" x14ac:dyDescent="0.25">
      <c r="A156" s="1" t="str">
        <f t="shared" si="2"/>
        <v>16</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725</v>
      </c>
      <c r="D156" s="1" t="s">
        <v>429</v>
      </c>
      <c r="E156" s="1">
        <v>31</v>
      </c>
      <c r="F156" s="1" t="s">
        <v>112</v>
      </c>
      <c r="G156" s="1">
        <v>671</v>
      </c>
    </row>
    <row r="157" spans="1:7" x14ac:dyDescent="0.25">
      <c r="A157" s="1" t="str">
        <f t="shared" si="2"/>
        <v>16</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726</v>
      </c>
      <c r="D157" s="1" t="s">
        <v>458</v>
      </c>
      <c r="E157" s="1" t="s">
        <v>727</v>
      </c>
      <c r="F157" s="1" t="s">
        <v>112</v>
      </c>
      <c r="G157" s="1">
        <v>22365</v>
      </c>
    </row>
    <row r="158" spans="1:7" x14ac:dyDescent="0.25">
      <c r="A158" s="1" t="str">
        <f t="shared" si="2"/>
        <v>16</v>
      </c>
      <c r="B1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8" s="1" t="s">
        <v>728</v>
      </c>
      <c r="D158" s="1" t="s">
        <v>729</v>
      </c>
      <c r="E158" s="1" t="s">
        <v>730</v>
      </c>
      <c r="F158" s="1" t="s">
        <v>112</v>
      </c>
      <c r="G158" s="1">
        <v>22192</v>
      </c>
    </row>
    <row r="159" spans="1:7" x14ac:dyDescent="0.2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112</v>
      </c>
    </row>
    <row r="160" spans="1:7" x14ac:dyDescent="0.25">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0" s="1" t="s">
        <v>183</v>
      </c>
      <c r="D160" s="1" t="s">
        <v>112</v>
      </c>
      <c r="E160" s="1" t="s">
        <v>184</v>
      </c>
      <c r="F160" s="1" t="s">
        <v>185</v>
      </c>
      <c r="G160" s="1" t="s">
        <v>186</v>
      </c>
    </row>
    <row r="161" spans="1:7" x14ac:dyDescent="0.25">
      <c r="A161" s="1" t="str">
        <f t="shared" si="2"/>
        <v>16</v>
      </c>
      <c r="B1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1" s="1" t="s">
        <v>731</v>
      </c>
      <c r="D161" s="1" t="s">
        <v>112</v>
      </c>
      <c r="E161" s="1" t="s">
        <v>732</v>
      </c>
      <c r="F161" s="1" t="s">
        <v>733</v>
      </c>
      <c r="G161" s="1" t="s">
        <v>734</v>
      </c>
    </row>
    <row r="162" spans="1:7" x14ac:dyDescent="0.2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2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2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2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2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112</v>
      </c>
    </row>
    <row r="167" spans="1:7" x14ac:dyDescent="0.25">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7" s="1" t="s">
        <v>167</v>
      </c>
      <c r="D167" s="1" t="s">
        <v>110</v>
      </c>
      <c r="E167" s="1" t="s">
        <v>111</v>
      </c>
      <c r="F167" s="1" t="s">
        <v>112</v>
      </c>
      <c r="G167" s="1" t="s">
        <v>113</v>
      </c>
    </row>
    <row r="168" spans="1:7" x14ac:dyDescent="0.25">
      <c r="A168" s="1" t="str">
        <f t="shared" si="2"/>
        <v>2</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735</v>
      </c>
      <c r="D168" s="1" t="s">
        <v>736</v>
      </c>
      <c r="E168" s="1" t="s">
        <v>737</v>
      </c>
      <c r="F168" s="1" t="s">
        <v>112</v>
      </c>
      <c r="G168" s="1">
        <v>177733</v>
      </c>
    </row>
    <row r="169" spans="1:7" x14ac:dyDescent="0.25">
      <c r="A169" s="1" t="str">
        <f t="shared" si="2"/>
        <v>2</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738</v>
      </c>
      <c r="D169" s="1" t="s">
        <v>739</v>
      </c>
      <c r="E169" s="1" t="s">
        <v>740</v>
      </c>
      <c r="F169" s="1" t="s">
        <v>112</v>
      </c>
      <c r="G169" s="1">
        <v>159520</v>
      </c>
    </row>
    <row r="170" spans="1:7" x14ac:dyDescent="0.25">
      <c r="A170" s="1" t="str">
        <f t="shared" si="2"/>
        <v>2</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70" s="1" t="s">
        <v>741</v>
      </c>
      <c r="D170" s="1" t="s">
        <v>742</v>
      </c>
      <c r="E170" s="1" t="s">
        <v>743</v>
      </c>
      <c r="F170" s="1" t="s">
        <v>112</v>
      </c>
      <c r="G170" s="1">
        <v>23122</v>
      </c>
    </row>
    <row r="171" spans="1:7" x14ac:dyDescent="0.25">
      <c r="A171" s="1" t="str">
        <f t="shared" si="2"/>
        <v>2</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744</v>
      </c>
      <c r="D171" s="1" t="s">
        <v>745</v>
      </c>
      <c r="E171" s="1" t="s">
        <v>746</v>
      </c>
      <c r="F171" s="1" t="s">
        <v>112</v>
      </c>
      <c r="G171" s="1">
        <v>84227</v>
      </c>
    </row>
    <row r="172" spans="1:7" x14ac:dyDescent="0.25">
      <c r="A172" s="1" t="str">
        <f t="shared" si="2"/>
        <v>2</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747</v>
      </c>
      <c r="D172" s="1" t="s">
        <v>748</v>
      </c>
      <c r="E172" s="1" t="s">
        <v>749</v>
      </c>
      <c r="F172" s="1" t="s">
        <v>112</v>
      </c>
      <c r="G172" s="1">
        <v>212233</v>
      </c>
    </row>
    <row r="173" spans="1:7" x14ac:dyDescent="0.25">
      <c r="A173" s="1" t="str">
        <f t="shared" si="2"/>
        <v>2</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3" s="1" t="s">
        <v>750</v>
      </c>
      <c r="D173" s="1" t="s">
        <v>751</v>
      </c>
      <c r="E173" s="1" t="s">
        <v>752</v>
      </c>
      <c r="F173" s="1" t="s">
        <v>112</v>
      </c>
      <c r="G173" s="1">
        <v>295508</v>
      </c>
    </row>
    <row r="174" spans="1:7" x14ac:dyDescent="0.25">
      <c r="A174" s="1" t="str">
        <f t="shared" si="2"/>
        <v>2</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753</v>
      </c>
      <c r="D174" s="1" t="s">
        <v>754</v>
      </c>
      <c r="E174" s="1">
        <v>31</v>
      </c>
      <c r="F174" s="1" t="s">
        <v>112</v>
      </c>
      <c r="G174" s="1">
        <v>4694</v>
      </c>
    </row>
    <row r="175" spans="1:7" x14ac:dyDescent="0.25">
      <c r="A175" s="1" t="str">
        <f t="shared" si="2"/>
        <v>2</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755</v>
      </c>
      <c r="D175" s="1" t="s">
        <v>678</v>
      </c>
      <c r="E175" s="1">
        <v>33</v>
      </c>
      <c r="F175" s="1" t="s">
        <v>112</v>
      </c>
      <c r="G175" s="1">
        <v>1428</v>
      </c>
    </row>
    <row r="176" spans="1:7" x14ac:dyDescent="0.25">
      <c r="A176" s="1" t="str">
        <f t="shared" si="2"/>
        <v>2</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6" s="1" t="s">
        <v>756</v>
      </c>
    </row>
    <row r="177" spans="1:7" x14ac:dyDescent="0.25">
      <c r="A177" s="1" t="str">
        <f t="shared" si="2"/>
        <v>2</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757</v>
      </c>
      <c r="D177" s="1" t="s">
        <v>758</v>
      </c>
      <c r="E177" s="1" t="s">
        <v>759</v>
      </c>
      <c r="F177" s="1" t="s">
        <v>112</v>
      </c>
      <c r="G177" s="1">
        <v>3266</v>
      </c>
    </row>
    <row r="178" spans="1:7" x14ac:dyDescent="0.25">
      <c r="A178" s="1" t="str">
        <f t="shared" si="2"/>
        <v>2</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760</v>
      </c>
      <c r="D178" s="1">
        <v>0</v>
      </c>
      <c r="E178" s="1">
        <v>0</v>
      </c>
      <c r="F178" s="1" t="s">
        <v>112</v>
      </c>
      <c r="G178" s="1">
        <v>0</v>
      </c>
    </row>
    <row r="179" spans="1:7" x14ac:dyDescent="0.25">
      <c r="A179" s="1" t="str">
        <f t="shared" si="2"/>
        <v>2</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9" s="1" t="s">
        <v>761</v>
      </c>
      <c r="D179" s="1" t="s">
        <v>762</v>
      </c>
      <c r="E179" s="1" t="s">
        <v>441</v>
      </c>
      <c r="F179" s="1" t="s">
        <v>112</v>
      </c>
      <c r="G179" s="1">
        <v>5429</v>
      </c>
    </row>
    <row r="180" spans="1:7" x14ac:dyDescent="0.25">
      <c r="A180" s="1" t="str">
        <f t="shared" si="2"/>
        <v>2</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763</v>
      </c>
      <c r="D180" s="1" t="s">
        <v>764</v>
      </c>
      <c r="E180" s="1" t="s">
        <v>765</v>
      </c>
      <c r="F180" s="1" t="s">
        <v>112</v>
      </c>
      <c r="G180" s="1">
        <v>1923784</v>
      </c>
    </row>
    <row r="181" spans="1:7" x14ac:dyDescent="0.25">
      <c r="A181" s="1" t="str">
        <f t="shared" si="2"/>
        <v>2</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766</v>
      </c>
      <c r="D181" s="1" t="s">
        <v>767</v>
      </c>
      <c r="E181" s="1" t="s">
        <v>768</v>
      </c>
      <c r="F181" s="1" t="s">
        <v>112</v>
      </c>
      <c r="G181" s="1">
        <v>2080450</v>
      </c>
    </row>
    <row r="182" spans="1:7" x14ac:dyDescent="0.25">
      <c r="A182" s="1" t="str">
        <f t="shared" si="2"/>
        <v>2</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2" s="1" t="s">
        <v>769</v>
      </c>
      <c r="D182" s="1" t="s">
        <v>770</v>
      </c>
      <c r="E182" s="1" t="s">
        <v>771</v>
      </c>
      <c r="F182" s="1" t="s">
        <v>112</v>
      </c>
      <c r="G182" s="1">
        <v>1933561</v>
      </c>
    </row>
    <row r="183" spans="1:7" x14ac:dyDescent="0.25">
      <c r="A183" s="1" t="str">
        <f t="shared" si="2"/>
        <v>2</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772</v>
      </c>
      <c r="D183" s="1" t="s">
        <v>473</v>
      </c>
      <c r="E183" s="1" t="s">
        <v>773</v>
      </c>
      <c r="F183" s="1" t="s">
        <v>112</v>
      </c>
      <c r="G183" s="1">
        <v>12502</v>
      </c>
    </row>
    <row r="184" spans="1:7" x14ac:dyDescent="0.25">
      <c r="A184" s="1" t="str">
        <f t="shared" si="2"/>
        <v>2</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774</v>
      </c>
      <c r="D184" s="1" t="s">
        <v>758</v>
      </c>
      <c r="E184" s="1">
        <v>32</v>
      </c>
      <c r="F184" s="1" t="s">
        <v>112</v>
      </c>
      <c r="G184" s="1">
        <v>3461</v>
      </c>
    </row>
    <row r="185" spans="1:7" x14ac:dyDescent="0.25">
      <c r="A185" s="1" t="str">
        <f t="shared" si="2"/>
        <v>2</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5" s="1" t="s">
        <v>775</v>
      </c>
      <c r="D185" s="1" t="s">
        <v>776</v>
      </c>
      <c r="E185" s="1" t="s">
        <v>777</v>
      </c>
      <c r="F185" s="1" t="s">
        <v>112</v>
      </c>
      <c r="G185" s="1">
        <v>56562</v>
      </c>
    </row>
    <row r="186" spans="1:7" x14ac:dyDescent="0.25">
      <c r="A186" s="1" t="str">
        <f t="shared" si="2"/>
        <v>2</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778</v>
      </c>
      <c r="D186" s="1" t="s">
        <v>779</v>
      </c>
      <c r="E186" s="1" t="s">
        <v>780</v>
      </c>
      <c r="F186" s="1" t="s">
        <v>112</v>
      </c>
      <c r="G186" s="1">
        <v>60585</v>
      </c>
    </row>
    <row r="187" spans="1:7" x14ac:dyDescent="0.25">
      <c r="A187" s="1" t="str">
        <f t="shared" si="2"/>
        <v>2</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781</v>
      </c>
      <c r="D187" s="1" t="s">
        <v>782</v>
      </c>
      <c r="E187" s="1" t="s">
        <v>783</v>
      </c>
      <c r="F187" s="1" t="s">
        <v>112</v>
      </c>
      <c r="G187" s="1">
        <v>267756</v>
      </c>
    </row>
    <row r="188" spans="1:7" x14ac:dyDescent="0.25">
      <c r="A188" s="1" t="str">
        <f t="shared" si="2"/>
        <v>2</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8" s="1" t="s">
        <v>784</v>
      </c>
      <c r="D188" s="1" t="s">
        <v>785</v>
      </c>
      <c r="E188" s="1" t="s">
        <v>786</v>
      </c>
      <c r="F188" s="1" t="s">
        <v>112</v>
      </c>
      <c r="G188" s="1">
        <v>212384</v>
      </c>
    </row>
    <row r="189" spans="1:7" x14ac:dyDescent="0.25">
      <c r="A189" s="1" t="str">
        <f t="shared" si="2"/>
        <v>2</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787</v>
      </c>
      <c r="D189" s="1" t="s">
        <v>429</v>
      </c>
      <c r="E189" s="1">
        <v>30</v>
      </c>
      <c r="F189" s="1" t="s">
        <v>112</v>
      </c>
      <c r="G189" s="1">
        <v>649</v>
      </c>
    </row>
    <row r="190" spans="1:7" x14ac:dyDescent="0.25">
      <c r="A190" s="1" t="str">
        <f t="shared" si="2"/>
        <v>2</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788</v>
      </c>
      <c r="D190" s="1">
        <v>0</v>
      </c>
      <c r="E190" s="1">
        <v>0</v>
      </c>
      <c r="F190" s="1" t="s">
        <v>112</v>
      </c>
      <c r="G190" s="1">
        <v>0</v>
      </c>
    </row>
    <row r="191" spans="1:7" x14ac:dyDescent="0.25">
      <c r="A191" s="1" t="str">
        <f t="shared" si="2"/>
        <v>2</v>
      </c>
      <c r="B1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1" s="1" t="s">
        <v>789</v>
      </c>
      <c r="D191" s="1" t="s">
        <v>790</v>
      </c>
      <c r="E191" s="1" t="s">
        <v>791</v>
      </c>
      <c r="F191" s="1" t="s">
        <v>112</v>
      </c>
      <c r="G191" s="1">
        <v>13043</v>
      </c>
    </row>
    <row r="192" spans="1:7" x14ac:dyDescent="0.2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112</v>
      </c>
    </row>
    <row r="193" spans="1:7" x14ac:dyDescent="0.25">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3" s="1" t="s">
        <v>183</v>
      </c>
      <c r="D193" s="1" t="s">
        <v>112</v>
      </c>
      <c r="E193" s="1" t="s">
        <v>184</v>
      </c>
      <c r="F193" s="1" t="s">
        <v>185</v>
      </c>
      <c r="G193" s="1" t="s">
        <v>186</v>
      </c>
    </row>
    <row r="194" spans="1:7" x14ac:dyDescent="0.25">
      <c r="A194" s="1" t="str">
        <f t="shared" ref="A194:A257" si="3">IFERROR(LEFT(RIGHT(C194,LEN(C194)-SEARCH("@",C194)),SEARCH("/",RIGHT(C194,LEN(C194)-SEARCH("@",C194)-1))),"")</f>
        <v>2</v>
      </c>
      <c r="B1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4" s="1" t="s">
        <v>792</v>
      </c>
      <c r="D194" s="1" t="s">
        <v>112</v>
      </c>
      <c r="E194" s="1" t="s">
        <v>793</v>
      </c>
      <c r="F194" s="1" t="s">
        <v>794</v>
      </c>
      <c r="G194" s="1" t="s">
        <v>795</v>
      </c>
    </row>
    <row r="195" spans="1:7" x14ac:dyDescent="0.2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7" x14ac:dyDescent="0.2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7" x14ac:dyDescent="0.2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7" x14ac:dyDescent="0.2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7" x14ac:dyDescent="0.2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112</v>
      </c>
    </row>
    <row r="200" spans="1:7" x14ac:dyDescent="0.25">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0" s="1" t="s">
        <v>167</v>
      </c>
      <c r="D200" s="1" t="s">
        <v>110</v>
      </c>
      <c r="E200" s="1" t="s">
        <v>111</v>
      </c>
      <c r="F200" s="1" t="s">
        <v>112</v>
      </c>
      <c r="G200" s="1" t="s">
        <v>113</v>
      </c>
    </row>
    <row r="201" spans="1:7" x14ac:dyDescent="0.25">
      <c r="A201" s="1" t="str">
        <f t="shared" si="3"/>
        <v>3</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796</v>
      </c>
      <c r="D201" s="1" t="s">
        <v>797</v>
      </c>
      <c r="E201" s="1" t="s">
        <v>798</v>
      </c>
      <c r="F201" s="1" t="s">
        <v>112</v>
      </c>
      <c r="G201" s="1">
        <v>159499</v>
      </c>
    </row>
    <row r="202" spans="1:7" x14ac:dyDescent="0.25">
      <c r="A202" s="1" t="str">
        <f t="shared" si="3"/>
        <v>3</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799</v>
      </c>
      <c r="D202" s="1" t="s">
        <v>800</v>
      </c>
      <c r="E202" s="1" t="s">
        <v>801</v>
      </c>
      <c r="F202" s="1" t="s">
        <v>112</v>
      </c>
      <c r="G202" s="1">
        <v>80485</v>
      </c>
    </row>
    <row r="203" spans="1:7" x14ac:dyDescent="0.25">
      <c r="A203" s="1" t="str">
        <f t="shared" si="3"/>
        <v>3</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3" s="1" t="s">
        <v>802</v>
      </c>
      <c r="D203" s="1" t="s">
        <v>803</v>
      </c>
      <c r="E203" s="1" t="s">
        <v>804</v>
      </c>
      <c r="F203" s="1" t="s">
        <v>112</v>
      </c>
      <c r="G203" s="1">
        <v>71076</v>
      </c>
    </row>
    <row r="204" spans="1:7" x14ac:dyDescent="0.25">
      <c r="A204" s="1" t="str">
        <f t="shared" si="3"/>
        <v>3</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805</v>
      </c>
      <c r="D204" s="1" t="s">
        <v>806</v>
      </c>
      <c r="E204" s="1" t="s">
        <v>807</v>
      </c>
      <c r="F204" s="1" t="s">
        <v>112</v>
      </c>
      <c r="G204" s="1">
        <v>52171</v>
      </c>
    </row>
    <row r="205" spans="1:7" x14ac:dyDescent="0.25">
      <c r="A205" s="1" t="str">
        <f t="shared" si="3"/>
        <v>3</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808</v>
      </c>
      <c r="D205" s="1" t="s">
        <v>809</v>
      </c>
      <c r="E205" s="1" t="s">
        <v>810</v>
      </c>
      <c r="F205" s="1" t="s">
        <v>112</v>
      </c>
      <c r="G205" s="1">
        <v>103629</v>
      </c>
    </row>
    <row r="206" spans="1:7" x14ac:dyDescent="0.25">
      <c r="A206" s="1" t="str">
        <f t="shared" si="3"/>
        <v>3</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6" s="1" t="s">
        <v>811</v>
      </c>
      <c r="D206" s="1" t="s">
        <v>812</v>
      </c>
      <c r="E206" s="1" t="s">
        <v>813</v>
      </c>
      <c r="F206" s="1" t="s">
        <v>112</v>
      </c>
      <c r="G206" s="1">
        <v>89223</v>
      </c>
    </row>
    <row r="207" spans="1:7" x14ac:dyDescent="0.25">
      <c r="A207" s="1" t="str">
        <f t="shared" si="3"/>
        <v>3</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814</v>
      </c>
      <c r="D207" s="1" t="s">
        <v>815</v>
      </c>
      <c r="E207" s="1" t="s">
        <v>816</v>
      </c>
      <c r="F207" s="1" t="s">
        <v>112</v>
      </c>
      <c r="G207" s="1">
        <v>274267</v>
      </c>
    </row>
    <row r="208" spans="1:7" x14ac:dyDescent="0.25">
      <c r="A208" s="1" t="str">
        <f t="shared" si="3"/>
        <v>3</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817</v>
      </c>
      <c r="D208" s="1" t="s">
        <v>818</v>
      </c>
      <c r="E208" s="1" t="s">
        <v>727</v>
      </c>
      <c r="F208" s="1" t="s">
        <v>112</v>
      </c>
      <c r="G208" s="1">
        <v>2033</v>
      </c>
    </row>
    <row r="209" spans="1:7" x14ac:dyDescent="0.25">
      <c r="A209" s="1" t="str">
        <f t="shared" si="3"/>
        <v>3</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9" s="1" t="s">
        <v>819</v>
      </c>
      <c r="D209" s="1" t="s">
        <v>820</v>
      </c>
      <c r="E209" s="1" t="s">
        <v>821</v>
      </c>
      <c r="F209" s="1" t="s">
        <v>112</v>
      </c>
      <c r="G209" s="1">
        <v>369244</v>
      </c>
    </row>
    <row r="210" spans="1:7" x14ac:dyDescent="0.25">
      <c r="A210" s="1" t="str">
        <f t="shared" si="3"/>
        <v>3</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822</v>
      </c>
      <c r="D210" s="1" t="s">
        <v>823</v>
      </c>
      <c r="E210" s="1" t="s">
        <v>824</v>
      </c>
      <c r="F210" s="1" t="s">
        <v>112</v>
      </c>
      <c r="G210" s="1">
        <v>364594</v>
      </c>
    </row>
    <row r="211" spans="1:7" x14ac:dyDescent="0.25">
      <c r="A211" s="1" t="str">
        <f t="shared" si="3"/>
        <v>3</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825</v>
      </c>
    </row>
    <row r="212" spans="1:7" x14ac:dyDescent="0.25">
      <c r="A212" s="1" t="str">
        <f t="shared" si="3"/>
        <v>3</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2" s="1" t="s">
        <v>826</v>
      </c>
      <c r="D212" s="1" t="s">
        <v>827</v>
      </c>
      <c r="E212" s="1" t="s">
        <v>828</v>
      </c>
      <c r="F212" s="1" t="s">
        <v>112</v>
      </c>
      <c r="G212" s="1">
        <v>434242</v>
      </c>
    </row>
    <row r="213" spans="1:7" x14ac:dyDescent="0.25">
      <c r="A213" s="1" t="str">
        <f t="shared" si="3"/>
        <v>3</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829</v>
      </c>
      <c r="D213" s="1" t="s">
        <v>830</v>
      </c>
      <c r="E213" s="1" t="s">
        <v>831</v>
      </c>
      <c r="F213" s="1" t="s">
        <v>112</v>
      </c>
      <c r="G213" s="1">
        <v>78754</v>
      </c>
    </row>
    <row r="214" spans="1:7" x14ac:dyDescent="0.25">
      <c r="A214" s="1" t="str">
        <f t="shared" si="3"/>
        <v>3</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832</v>
      </c>
      <c r="D214" s="1" t="s">
        <v>833</v>
      </c>
      <c r="E214" s="1" t="s">
        <v>834</v>
      </c>
      <c r="F214" s="1" t="s">
        <v>112</v>
      </c>
      <c r="G214" s="1">
        <v>209723</v>
      </c>
    </row>
    <row r="215" spans="1:7" x14ac:dyDescent="0.25">
      <c r="A215" s="1" t="str">
        <f t="shared" si="3"/>
        <v>3</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5" s="1" t="s">
        <v>835</v>
      </c>
    </row>
    <row r="216" spans="1:7" x14ac:dyDescent="0.25">
      <c r="A216" s="1" t="str">
        <f t="shared" si="3"/>
        <v>3</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836</v>
      </c>
    </row>
    <row r="217" spans="1:7" x14ac:dyDescent="0.25">
      <c r="A217" s="1" t="str">
        <f t="shared" si="3"/>
        <v>3</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837</v>
      </c>
    </row>
    <row r="218" spans="1:7" x14ac:dyDescent="0.25">
      <c r="A218" s="1" t="str">
        <f t="shared" si="3"/>
        <v>3</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8" s="1" t="s">
        <v>838</v>
      </c>
    </row>
    <row r="219" spans="1:7" x14ac:dyDescent="0.25">
      <c r="A219" s="1" t="str">
        <f t="shared" si="3"/>
        <v>3</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839</v>
      </c>
      <c r="D219" s="1" t="s">
        <v>840</v>
      </c>
      <c r="E219" s="1" t="s">
        <v>841</v>
      </c>
      <c r="F219" s="1" t="s">
        <v>112</v>
      </c>
      <c r="G219" s="1">
        <v>207106</v>
      </c>
    </row>
    <row r="220" spans="1:7" x14ac:dyDescent="0.25">
      <c r="A220" s="1" t="str">
        <f t="shared" si="3"/>
        <v>3</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842</v>
      </c>
      <c r="D220" s="1" t="s">
        <v>843</v>
      </c>
      <c r="E220" s="1" t="s">
        <v>844</v>
      </c>
      <c r="F220" s="1" t="s">
        <v>112</v>
      </c>
      <c r="G220" s="1">
        <v>124869</v>
      </c>
    </row>
    <row r="221" spans="1:7" x14ac:dyDescent="0.25">
      <c r="A221" s="1" t="str">
        <f t="shared" si="3"/>
        <v>3</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1" s="1" t="s">
        <v>845</v>
      </c>
      <c r="D221" s="1" t="s">
        <v>846</v>
      </c>
      <c r="E221" s="1" t="s">
        <v>847</v>
      </c>
      <c r="F221" s="1" t="s">
        <v>112</v>
      </c>
      <c r="G221" s="1">
        <v>310995</v>
      </c>
    </row>
    <row r="222" spans="1:7" x14ac:dyDescent="0.25">
      <c r="A222" s="1" t="str">
        <f t="shared" si="3"/>
        <v>3</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848</v>
      </c>
      <c r="D222" s="1" t="s">
        <v>849</v>
      </c>
      <c r="E222" s="1" t="s">
        <v>850</v>
      </c>
      <c r="F222" s="1" t="s">
        <v>112</v>
      </c>
      <c r="G222" s="1">
        <v>93095</v>
      </c>
    </row>
    <row r="223" spans="1:7" x14ac:dyDescent="0.25">
      <c r="A223" s="1" t="str">
        <f t="shared" si="3"/>
        <v>3</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851</v>
      </c>
      <c r="D223" s="1" t="s">
        <v>852</v>
      </c>
      <c r="E223" s="1" t="s">
        <v>853</v>
      </c>
      <c r="F223" s="1" t="s">
        <v>112</v>
      </c>
      <c r="G223" s="1">
        <v>139599</v>
      </c>
    </row>
    <row r="224" spans="1:7" x14ac:dyDescent="0.25">
      <c r="A224" s="1" t="str">
        <f t="shared" si="3"/>
        <v>3</v>
      </c>
      <c r="B2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4" s="1" t="s">
        <v>854</v>
      </c>
      <c r="D224" s="1" t="s">
        <v>855</v>
      </c>
      <c r="E224" s="1" t="s">
        <v>856</v>
      </c>
      <c r="F224" s="1" t="s">
        <v>112</v>
      </c>
      <c r="G224" s="1">
        <v>217943</v>
      </c>
    </row>
    <row r="225" spans="1:7" x14ac:dyDescent="0.2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112</v>
      </c>
    </row>
    <row r="226" spans="1:7" x14ac:dyDescent="0.25">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6" s="1" t="s">
        <v>183</v>
      </c>
      <c r="D226" s="1" t="s">
        <v>112</v>
      </c>
      <c r="E226" s="1" t="s">
        <v>184</v>
      </c>
      <c r="F226" s="1" t="s">
        <v>185</v>
      </c>
      <c r="G226" s="1" t="s">
        <v>186</v>
      </c>
    </row>
    <row r="227" spans="1:7" x14ac:dyDescent="0.25">
      <c r="A227" s="1" t="str">
        <f t="shared" si="3"/>
        <v>3</v>
      </c>
      <c r="B2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7" s="1" t="s">
        <v>857</v>
      </c>
      <c r="D227" s="1" t="s">
        <v>112</v>
      </c>
      <c r="E227" s="1" t="s">
        <v>858</v>
      </c>
      <c r="F227" s="1" t="s">
        <v>859</v>
      </c>
      <c r="G227" s="1" t="s">
        <v>860</v>
      </c>
    </row>
    <row r="228" spans="1:7" x14ac:dyDescent="0.2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7" x14ac:dyDescent="0.2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7" x14ac:dyDescent="0.2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7" x14ac:dyDescent="0.2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7" x14ac:dyDescent="0.2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112</v>
      </c>
    </row>
    <row r="233" spans="1:7" x14ac:dyDescent="0.25">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3" s="1" t="s">
        <v>167</v>
      </c>
      <c r="D233" s="1" t="s">
        <v>110</v>
      </c>
      <c r="E233" s="1" t="s">
        <v>111</v>
      </c>
      <c r="F233" s="1" t="s">
        <v>112</v>
      </c>
      <c r="G233" s="1" t="s">
        <v>113</v>
      </c>
    </row>
    <row r="234" spans="1:7" x14ac:dyDescent="0.25">
      <c r="A234" s="1" t="str">
        <f t="shared" si="3"/>
        <v>4</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861</v>
      </c>
      <c r="D234" s="1" t="s">
        <v>862</v>
      </c>
      <c r="E234" s="1" t="s">
        <v>863</v>
      </c>
      <c r="F234" s="1" t="s">
        <v>112</v>
      </c>
      <c r="G234" s="1">
        <v>2069635</v>
      </c>
    </row>
    <row r="235" spans="1:7" x14ac:dyDescent="0.25">
      <c r="A235" s="1" t="str">
        <f t="shared" si="3"/>
        <v>4</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864</v>
      </c>
      <c r="D235" s="1" t="s">
        <v>865</v>
      </c>
      <c r="E235" s="1" t="s">
        <v>866</v>
      </c>
      <c r="F235" s="1" t="s">
        <v>112</v>
      </c>
      <c r="G235" s="1">
        <v>1915890</v>
      </c>
    </row>
    <row r="236" spans="1:7" x14ac:dyDescent="0.25">
      <c r="A236" s="1" t="str">
        <f t="shared" si="3"/>
        <v>4</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6" s="1" t="s">
        <v>867</v>
      </c>
      <c r="D236" s="1" t="s">
        <v>868</v>
      </c>
      <c r="E236" s="1" t="s">
        <v>869</v>
      </c>
      <c r="F236" s="1" t="s">
        <v>112</v>
      </c>
      <c r="G236" s="1">
        <v>1736967</v>
      </c>
    </row>
    <row r="237" spans="1:7" x14ac:dyDescent="0.25">
      <c r="A237" s="1" t="str">
        <f t="shared" si="3"/>
        <v>4</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870</v>
      </c>
      <c r="D237" s="1" t="s">
        <v>698</v>
      </c>
      <c r="E237" s="1" t="s">
        <v>871</v>
      </c>
      <c r="F237" s="1" t="s">
        <v>112</v>
      </c>
      <c r="G237" s="1">
        <v>164214</v>
      </c>
    </row>
    <row r="238" spans="1:7" x14ac:dyDescent="0.25">
      <c r="A238" s="1" t="str">
        <f t="shared" si="3"/>
        <v>4</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872</v>
      </c>
      <c r="D238" s="1" t="s">
        <v>873</v>
      </c>
      <c r="E238" s="1" t="s">
        <v>874</v>
      </c>
      <c r="F238" s="1" t="s">
        <v>112</v>
      </c>
      <c r="G238" s="1">
        <v>241217</v>
      </c>
    </row>
    <row r="239" spans="1:7" x14ac:dyDescent="0.25">
      <c r="A239" s="1" t="str">
        <f t="shared" si="3"/>
        <v>4</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9" s="1" t="s">
        <v>875</v>
      </c>
      <c r="D239" s="1" t="s">
        <v>876</v>
      </c>
      <c r="E239" s="1" t="s">
        <v>877</v>
      </c>
      <c r="F239" s="1" t="s">
        <v>112</v>
      </c>
      <c r="G239" s="1">
        <v>561599</v>
      </c>
    </row>
    <row r="240" spans="1:7" x14ac:dyDescent="0.25">
      <c r="A240" s="1" t="str">
        <f t="shared" si="3"/>
        <v>4</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878</v>
      </c>
    </row>
    <row r="241" spans="1:7" x14ac:dyDescent="0.25">
      <c r="A241" s="1" t="str">
        <f t="shared" si="3"/>
        <v>4</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879</v>
      </c>
      <c r="D241" s="1" t="s">
        <v>880</v>
      </c>
      <c r="E241" s="1" t="s">
        <v>881</v>
      </c>
      <c r="F241" s="1" t="s">
        <v>112</v>
      </c>
      <c r="G241" s="1">
        <v>151647</v>
      </c>
    </row>
    <row r="242" spans="1:7" x14ac:dyDescent="0.25">
      <c r="A242" s="1" t="str">
        <f t="shared" si="3"/>
        <v>4</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2" s="1" t="s">
        <v>882</v>
      </c>
    </row>
    <row r="243" spans="1:7" x14ac:dyDescent="0.25">
      <c r="A243" s="1" t="str">
        <f t="shared" si="3"/>
        <v>4</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883</v>
      </c>
      <c r="D243" s="1" t="s">
        <v>884</v>
      </c>
      <c r="E243" s="1">
        <v>34</v>
      </c>
      <c r="F243" s="1" t="s">
        <v>112</v>
      </c>
      <c r="G243" s="1">
        <v>33829</v>
      </c>
    </row>
    <row r="244" spans="1:7" x14ac:dyDescent="0.25">
      <c r="A244" s="1" t="str">
        <f t="shared" si="3"/>
        <v>4</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885</v>
      </c>
      <c r="D244" s="1" t="s">
        <v>886</v>
      </c>
      <c r="E244" s="1" t="s">
        <v>887</v>
      </c>
      <c r="F244" s="1" t="s">
        <v>112</v>
      </c>
      <c r="G244" s="1">
        <v>90954</v>
      </c>
    </row>
    <row r="245" spans="1:7" x14ac:dyDescent="0.25">
      <c r="A245" s="1" t="str">
        <f t="shared" si="3"/>
        <v>4</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5" s="1" t="s">
        <v>888</v>
      </c>
      <c r="D245" s="1" t="s">
        <v>889</v>
      </c>
      <c r="E245" s="1" t="s">
        <v>890</v>
      </c>
      <c r="F245" s="1" t="s">
        <v>112</v>
      </c>
      <c r="G245" s="1">
        <v>101920</v>
      </c>
    </row>
    <row r="246" spans="1:7" x14ac:dyDescent="0.25">
      <c r="A246" s="1" t="str">
        <f t="shared" si="3"/>
        <v>4</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891</v>
      </c>
      <c r="D246" s="1" t="s">
        <v>892</v>
      </c>
      <c r="E246" s="1" t="s">
        <v>893</v>
      </c>
      <c r="F246" s="1" t="s">
        <v>112</v>
      </c>
      <c r="G246" s="1">
        <v>310670</v>
      </c>
    </row>
    <row r="247" spans="1:7" x14ac:dyDescent="0.25">
      <c r="A247" s="1" t="str">
        <f t="shared" si="3"/>
        <v>4</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894</v>
      </c>
      <c r="D247" s="1" t="s">
        <v>895</v>
      </c>
      <c r="E247" s="1" t="s">
        <v>896</v>
      </c>
      <c r="F247" s="1" t="s">
        <v>112</v>
      </c>
      <c r="G247" s="1">
        <v>373527</v>
      </c>
    </row>
    <row r="248" spans="1:7" x14ac:dyDescent="0.25">
      <c r="A248" s="1" t="str">
        <f t="shared" si="3"/>
        <v>4</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8" s="1" t="s">
        <v>897</v>
      </c>
      <c r="D248" s="1" t="s">
        <v>898</v>
      </c>
      <c r="E248" s="1" t="s">
        <v>899</v>
      </c>
      <c r="F248" s="1" t="s">
        <v>112</v>
      </c>
      <c r="G248" s="1">
        <v>646128</v>
      </c>
    </row>
    <row r="249" spans="1:7" x14ac:dyDescent="0.25">
      <c r="A249" s="1" t="str">
        <f t="shared" si="3"/>
        <v>4</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900</v>
      </c>
      <c r="D249" s="1" t="s">
        <v>901</v>
      </c>
      <c r="E249" s="1" t="s">
        <v>902</v>
      </c>
      <c r="F249" s="1" t="s">
        <v>112</v>
      </c>
      <c r="G249" s="1">
        <v>869349</v>
      </c>
    </row>
    <row r="250" spans="1:7" x14ac:dyDescent="0.25">
      <c r="A250" s="1" t="str">
        <f t="shared" si="3"/>
        <v>4</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903</v>
      </c>
      <c r="D250" s="1" t="s">
        <v>904</v>
      </c>
      <c r="E250" s="1" t="s">
        <v>905</v>
      </c>
      <c r="F250" s="1" t="s">
        <v>112</v>
      </c>
      <c r="G250" s="1">
        <v>872312</v>
      </c>
    </row>
    <row r="251" spans="1:7" x14ac:dyDescent="0.25">
      <c r="A251" s="1" t="str">
        <f t="shared" si="3"/>
        <v>4</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1" s="1" t="s">
        <v>906</v>
      </c>
      <c r="D251" s="1" t="s">
        <v>907</v>
      </c>
      <c r="E251" s="1" t="s">
        <v>908</v>
      </c>
      <c r="F251" s="1" t="s">
        <v>112</v>
      </c>
      <c r="G251" s="1">
        <v>1075525</v>
      </c>
    </row>
    <row r="252" spans="1:7" x14ac:dyDescent="0.25">
      <c r="A252" s="1" t="str">
        <f t="shared" si="3"/>
        <v>4</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909</v>
      </c>
    </row>
    <row r="253" spans="1:7" x14ac:dyDescent="0.25">
      <c r="A253" s="1" t="str">
        <f t="shared" si="3"/>
        <v>4</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910</v>
      </c>
    </row>
    <row r="254" spans="1:7" x14ac:dyDescent="0.25">
      <c r="A254" s="1" t="str">
        <f t="shared" si="3"/>
        <v>4</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4" s="1" t="s">
        <v>911</v>
      </c>
    </row>
    <row r="255" spans="1:7" x14ac:dyDescent="0.25">
      <c r="A255" s="1" t="str">
        <f t="shared" si="3"/>
        <v>4</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912</v>
      </c>
      <c r="D255" s="1" t="s">
        <v>913</v>
      </c>
      <c r="E255" s="1" t="s">
        <v>914</v>
      </c>
      <c r="F255" s="1" t="s">
        <v>112</v>
      </c>
      <c r="G255" s="1">
        <v>607714</v>
      </c>
    </row>
    <row r="256" spans="1:7" x14ac:dyDescent="0.25">
      <c r="A256" s="1" t="str">
        <f t="shared" si="3"/>
        <v>4</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915</v>
      </c>
      <c r="D256" s="1" t="s">
        <v>916</v>
      </c>
      <c r="E256" s="1" t="s">
        <v>917</v>
      </c>
      <c r="F256" s="1" t="s">
        <v>112</v>
      </c>
      <c r="G256" s="1">
        <v>1051797</v>
      </c>
    </row>
    <row r="257" spans="1:7" x14ac:dyDescent="0.25">
      <c r="A257" s="1" t="str">
        <f t="shared" si="3"/>
        <v>4</v>
      </c>
      <c r="B2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7" s="1" t="s">
        <v>918</v>
      </c>
      <c r="D257" s="1" t="s">
        <v>919</v>
      </c>
      <c r="E257" s="1" t="s">
        <v>920</v>
      </c>
      <c r="F257" s="1" t="s">
        <v>112</v>
      </c>
      <c r="G257" s="1">
        <v>699641</v>
      </c>
    </row>
    <row r="258" spans="1:7" x14ac:dyDescent="0.2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112</v>
      </c>
    </row>
    <row r="259" spans="1:7" x14ac:dyDescent="0.25">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9" s="1" t="s">
        <v>183</v>
      </c>
      <c r="D259" s="1" t="s">
        <v>112</v>
      </c>
      <c r="E259" s="1" t="s">
        <v>184</v>
      </c>
      <c r="F259" s="1" t="s">
        <v>185</v>
      </c>
      <c r="G259" s="1" t="s">
        <v>186</v>
      </c>
    </row>
    <row r="260" spans="1:7" x14ac:dyDescent="0.25">
      <c r="A260" s="1" t="str">
        <f t="shared" si="4"/>
        <v>4</v>
      </c>
      <c r="B2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60" s="1" t="s">
        <v>921</v>
      </c>
      <c r="D260" s="1" t="s">
        <v>112</v>
      </c>
      <c r="E260" s="1" t="s">
        <v>922</v>
      </c>
      <c r="F260" s="1" t="s">
        <v>923</v>
      </c>
      <c r="G260" s="1" t="s">
        <v>924</v>
      </c>
    </row>
    <row r="261" spans="1:7" x14ac:dyDescent="0.2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7" x14ac:dyDescent="0.2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7" x14ac:dyDescent="0.2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7" x14ac:dyDescent="0.2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7" x14ac:dyDescent="0.2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112</v>
      </c>
    </row>
    <row r="266" spans="1:7" x14ac:dyDescent="0.25">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6" s="1" t="s">
        <v>167</v>
      </c>
      <c r="D266" s="1" t="s">
        <v>110</v>
      </c>
      <c r="E266" s="1" t="s">
        <v>111</v>
      </c>
      <c r="F266" s="1" t="s">
        <v>112</v>
      </c>
      <c r="G266" s="1" t="s">
        <v>113</v>
      </c>
    </row>
    <row r="267" spans="1:7" x14ac:dyDescent="0.25">
      <c r="A267" s="1" t="str">
        <f t="shared" si="4"/>
        <v>5</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925</v>
      </c>
      <c r="D267" s="1" t="s">
        <v>926</v>
      </c>
      <c r="E267" s="1" t="s">
        <v>927</v>
      </c>
      <c r="F267" s="1" t="s">
        <v>112</v>
      </c>
      <c r="G267" s="1">
        <v>182232</v>
      </c>
    </row>
    <row r="268" spans="1:7" x14ac:dyDescent="0.25">
      <c r="A268" s="1" t="str">
        <f t="shared" si="4"/>
        <v>5</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928</v>
      </c>
      <c r="D268" s="1" t="s">
        <v>929</v>
      </c>
      <c r="E268" s="1" t="s">
        <v>930</v>
      </c>
      <c r="F268" s="1" t="s">
        <v>112</v>
      </c>
      <c r="G268" s="1">
        <v>404133</v>
      </c>
    </row>
    <row r="269" spans="1:7" x14ac:dyDescent="0.25">
      <c r="A269" s="1" t="str">
        <f t="shared" si="4"/>
        <v>5</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9" s="1" t="s">
        <v>931</v>
      </c>
      <c r="D269" s="1" t="s">
        <v>932</v>
      </c>
      <c r="E269" s="1" t="s">
        <v>933</v>
      </c>
      <c r="F269" s="1" t="s">
        <v>112</v>
      </c>
      <c r="G269" s="1">
        <v>350383</v>
      </c>
    </row>
    <row r="270" spans="1:7" x14ac:dyDescent="0.25">
      <c r="A270" s="1" t="str">
        <f t="shared" si="4"/>
        <v>5</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934</v>
      </c>
      <c r="D270" s="1" t="s">
        <v>935</v>
      </c>
      <c r="E270" s="1" t="s">
        <v>936</v>
      </c>
      <c r="F270" s="1" t="s">
        <v>112</v>
      </c>
      <c r="G270" s="1">
        <v>675156</v>
      </c>
    </row>
    <row r="271" spans="1:7" x14ac:dyDescent="0.25">
      <c r="A271" s="1" t="str">
        <f t="shared" si="4"/>
        <v>5</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937</v>
      </c>
      <c r="D271" s="1" t="s">
        <v>938</v>
      </c>
      <c r="E271" s="1" t="s">
        <v>939</v>
      </c>
      <c r="F271" s="1" t="s">
        <v>112</v>
      </c>
      <c r="G271" s="1">
        <v>794834</v>
      </c>
    </row>
    <row r="272" spans="1:7" x14ac:dyDescent="0.25">
      <c r="A272" s="1" t="str">
        <f t="shared" si="4"/>
        <v>5</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2" s="1" t="s">
        <v>940</v>
      </c>
      <c r="D272" s="1" t="s">
        <v>941</v>
      </c>
      <c r="E272" s="1" t="s">
        <v>942</v>
      </c>
      <c r="F272" s="1" t="s">
        <v>112</v>
      </c>
      <c r="G272" s="1">
        <v>362517</v>
      </c>
    </row>
    <row r="273" spans="1:7" x14ac:dyDescent="0.25">
      <c r="A273" s="1" t="str">
        <f t="shared" si="4"/>
        <v>5</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943</v>
      </c>
      <c r="D273" s="1" t="s">
        <v>944</v>
      </c>
      <c r="E273" s="1" t="s">
        <v>945</v>
      </c>
      <c r="F273" s="1" t="s">
        <v>112</v>
      </c>
      <c r="G273" s="1">
        <v>2977160</v>
      </c>
    </row>
    <row r="274" spans="1:7" x14ac:dyDescent="0.25">
      <c r="A274" s="1" t="str">
        <f t="shared" si="4"/>
        <v>5</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946</v>
      </c>
      <c r="D274" s="1" t="s">
        <v>947</v>
      </c>
      <c r="E274" s="1" t="s">
        <v>948</v>
      </c>
      <c r="F274" s="1" t="s">
        <v>112</v>
      </c>
      <c r="G274" s="1">
        <v>2409203</v>
      </c>
    </row>
    <row r="275" spans="1:7" x14ac:dyDescent="0.25">
      <c r="A275" s="1" t="str">
        <f t="shared" si="4"/>
        <v>5</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5" s="1" t="s">
        <v>949</v>
      </c>
      <c r="D275" s="1" t="s">
        <v>554</v>
      </c>
      <c r="E275" s="1" t="s">
        <v>950</v>
      </c>
      <c r="F275" s="1" t="s">
        <v>112</v>
      </c>
      <c r="G275" s="1">
        <v>2360189</v>
      </c>
    </row>
    <row r="276" spans="1:7" x14ac:dyDescent="0.25">
      <c r="A276" s="1" t="str">
        <f t="shared" si="4"/>
        <v>5</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951</v>
      </c>
      <c r="D276" s="1" t="s">
        <v>952</v>
      </c>
      <c r="E276" s="1" t="s">
        <v>953</v>
      </c>
      <c r="F276" s="1" t="s">
        <v>112</v>
      </c>
      <c r="G276" s="1">
        <v>2620873</v>
      </c>
    </row>
    <row r="277" spans="1:7" x14ac:dyDescent="0.25">
      <c r="A277" s="1" t="str">
        <f t="shared" si="4"/>
        <v>5</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954</v>
      </c>
    </row>
    <row r="278" spans="1:7" x14ac:dyDescent="0.25">
      <c r="A278" s="1" t="str">
        <f t="shared" si="4"/>
        <v>5</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8" s="1" t="s">
        <v>955</v>
      </c>
      <c r="D278" s="1" t="s">
        <v>956</v>
      </c>
      <c r="E278" s="1" t="s">
        <v>957</v>
      </c>
      <c r="F278" s="1" t="s">
        <v>112</v>
      </c>
      <c r="G278" s="1">
        <v>3204880</v>
      </c>
    </row>
    <row r="279" spans="1:7" x14ac:dyDescent="0.25">
      <c r="A279" s="1" t="str">
        <f t="shared" si="4"/>
        <v>5</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958</v>
      </c>
      <c r="D279" s="1" t="s">
        <v>959</v>
      </c>
      <c r="E279" s="1" t="s">
        <v>960</v>
      </c>
      <c r="F279" s="1" t="s">
        <v>112</v>
      </c>
      <c r="G279" s="1">
        <v>1695373</v>
      </c>
    </row>
    <row r="280" spans="1:7" x14ac:dyDescent="0.25">
      <c r="A280" s="1" t="str">
        <f t="shared" si="4"/>
        <v>5</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961</v>
      </c>
      <c r="D280" s="1" t="s">
        <v>962</v>
      </c>
      <c r="E280" s="1" t="s">
        <v>963</v>
      </c>
      <c r="F280" s="1" t="s">
        <v>112</v>
      </c>
      <c r="G280" s="1">
        <v>1288947</v>
      </c>
    </row>
    <row r="281" spans="1:7" x14ac:dyDescent="0.25">
      <c r="A281" s="1" t="str">
        <f t="shared" si="4"/>
        <v>5</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1" s="1" t="s">
        <v>964</v>
      </c>
      <c r="D281" s="1" t="s">
        <v>965</v>
      </c>
      <c r="E281" s="1" t="s">
        <v>966</v>
      </c>
      <c r="F281" s="1" t="s">
        <v>112</v>
      </c>
      <c r="G281" s="1">
        <v>1886257</v>
      </c>
    </row>
    <row r="282" spans="1:7" x14ac:dyDescent="0.25">
      <c r="A282" s="1" t="str">
        <f t="shared" si="4"/>
        <v>5</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967</v>
      </c>
      <c r="D282" s="1" t="s">
        <v>968</v>
      </c>
      <c r="E282" s="1" t="s">
        <v>969</v>
      </c>
      <c r="F282" s="1" t="s">
        <v>112</v>
      </c>
      <c r="G282" s="1">
        <v>317246</v>
      </c>
    </row>
    <row r="283" spans="1:7" x14ac:dyDescent="0.25">
      <c r="A283" s="1" t="str">
        <f t="shared" si="4"/>
        <v>5</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970</v>
      </c>
      <c r="D283" s="1" t="s">
        <v>971</v>
      </c>
      <c r="E283" s="1" t="s">
        <v>972</v>
      </c>
      <c r="F283" s="1" t="s">
        <v>112</v>
      </c>
      <c r="G283" s="1">
        <v>837250</v>
      </c>
    </row>
    <row r="284" spans="1:7" x14ac:dyDescent="0.25">
      <c r="A284" s="1" t="str">
        <f t="shared" si="4"/>
        <v>5</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4" s="1" t="s">
        <v>973</v>
      </c>
      <c r="D284" s="1" t="s">
        <v>974</v>
      </c>
      <c r="E284" s="1" t="s">
        <v>975</v>
      </c>
      <c r="F284" s="1" t="s">
        <v>112</v>
      </c>
      <c r="G284" s="1">
        <v>552406</v>
      </c>
    </row>
    <row r="285" spans="1:7" x14ac:dyDescent="0.25">
      <c r="A285" s="1" t="str">
        <f t="shared" si="4"/>
        <v>5</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976</v>
      </c>
      <c r="D285" s="1" t="s">
        <v>977</v>
      </c>
      <c r="E285" s="1" t="s">
        <v>978</v>
      </c>
      <c r="F285" s="1" t="s">
        <v>112</v>
      </c>
      <c r="G285" s="1">
        <v>1644391</v>
      </c>
    </row>
    <row r="286" spans="1:7" x14ac:dyDescent="0.25">
      <c r="A286" s="1" t="str">
        <f t="shared" si="4"/>
        <v>5</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979</v>
      </c>
      <c r="D286" s="1" t="s">
        <v>980</v>
      </c>
      <c r="E286" s="1" t="s">
        <v>981</v>
      </c>
      <c r="F286" s="1" t="s">
        <v>112</v>
      </c>
      <c r="G286" s="1">
        <v>1683044</v>
      </c>
    </row>
    <row r="287" spans="1:7" x14ac:dyDescent="0.25">
      <c r="A287" s="1" t="str">
        <f t="shared" si="4"/>
        <v>5</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7" s="1" t="s">
        <v>982</v>
      </c>
      <c r="D287" s="1" t="s">
        <v>983</v>
      </c>
      <c r="E287" s="1" t="s">
        <v>984</v>
      </c>
      <c r="F287" s="1" t="s">
        <v>112</v>
      </c>
      <c r="G287" s="1">
        <v>1335516</v>
      </c>
    </row>
    <row r="288" spans="1:7" x14ac:dyDescent="0.25">
      <c r="A288" s="1" t="str">
        <f t="shared" si="4"/>
        <v>5</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985</v>
      </c>
      <c r="D288" s="1" t="s">
        <v>986</v>
      </c>
      <c r="E288" s="1" t="s">
        <v>987</v>
      </c>
      <c r="F288" s="1" t="s">
        <v>112</v>
      </c>
      <c r="G288" s="1">
        <v>3190388</v>
      </c>
    </row>
    <row r="289" spans="1:7" x14ac:dyDescent="0.25">
      <c r="A289" s="1" t="str">
        <f t="shared" si="4"/>
        <v>5</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988</v>
      </c>
      <c r="D289" s="1" t="s">
        <v>989</v>
      </c>
      <c r="E289" s="1" t="s">
        <v>990</v>
      </c>
      <c r="F289" s="1" t="s">
        <v>112</v>
      </c>
      <c r="G289" s="1">
        <v>3267715</v>
      </c>
    </row>
    <row r="290" spans="1:7" x14ac:dyDescent="0.25">
      <c r="A290" s="1" t="str">
        <f t="shared" si="4"/>
        <v>5</v>
      </c>
      <c r="B2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90" s="1" t="s">
        <v>991</v>
      </c>
      <c r="D290" s="1" t="s">
        <v>992</v>
      </c>
      <c r="E290" s="1" t="s">
        <v>993</v>
      </c>
      <c r="F290" s="1" t="s">
        <v>112</v>
      </c>
      <c r="G290" s="1">
        <v>3218680</v>
      </c>
    </row>
    <row r="291" spans="1:7" x14ac:dyDescent="0.2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112</v>
      </c>
    </row>
    <row r="292" spans="1:7" x14ac:dyDescent="0.25">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2" s="1" t="s">
        <v>183</v>
      </c>
      <c r="D292" s="1" t="s">
        <v>112</v>
      </c>
      <c r="E292" s="1" t="s">
        <v>184</v>
      </c>
      <c r="F292" s="1" t="s">
        <v>185</v>
      </c>
      <c r="G292" s="1" t="s">
        <v>186</v>
      </c>
    </row>
    <row r="293" spans="1:7" x14ac:dyDescent="0.25">
      <c r="A293" s="1" t="str">
        <f t="shared" si="4"/>
        <v>5</v>
      </c>
      <c r="B2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3" s="1" t="s">
        <v>994</v>
      </c>
      <c r="D293" s="1" t="s">
        <v>112</v>
      </c>
      <c r="E293" s="1" t="s">
        <v>995</v>
      </c>
      <c r="F293" s="1" t="s">
        <v>996</v>
      </c>
      <c r="G293" s="1" t="s">
        <v>997</v>
      </c>
    </row>
    <row r="294" spans="1:7" x14ac:dyDescent="0.2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7" x14ac:dyDescent="0.2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7" x14ac:dyDescent="0.2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7" x14ac:dyDescent="0.2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7" x14ac:dyDescent="0.2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112</v>
      </c>
    </row>
    <row r="299" spans="1:7" x14ac:dyDescent="0.25">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9" s="1" t="s">
        <v>167</v>
      </c>
      <c r="D299" s="1" t="s">
        <v>110</v>
      </c>
      <c r="E299" s="1" t="s">
        <v>111</v>
      </c>
      <c r="F299" s="1" t="s">
        <v>112</v>
      </c>
      <c r="G299" s="1" t="s">
        <v>113</v>
      </c>
    </row>
    <row r="300" spans="1:7" x14ac:dyDescent="0.25">
      <c r="A300" s="1" t="str">
        <f t="shared" si="4"/>
        <v>6</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998</v>
      </c>
      <c r="D300" s="1" t="s">
        <v>999</v>
      </c>
      <c r="E300" s="1" t="s">
        <v>1000</v>
      </c>
      <c r="F300" s="1" t="s">
        <v>112</v>
      </c>
      <c r="G300" s="1">
        <v>2808534</v>
      </c>
    </row>
    <row r="301" spans="1:7" x14ac:dyDescent="0.25">
      <c r="A301" s="1" t="str">
        <f t="shared" si="4"/>
        <v>6</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1001</v>
      </c>
    </row>
    <row r="302" spans="1:7" x14ac:dyDescent="0.25">
      <c r="A302" s="1" t="str">
        <f t="shared" si="4"/>
        <v>6</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2" s="1" t="s">
        <v>1002</v>
      </c>
    </row>
    <row r="303" spans="1:7" x14ac:dyDescent="0.25">
      <c r="A303" s="1" t="str">
        <f t="shared" si="4"/>
        <v>6</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1003</v>
      </c>
      <c r="D303" s="1" t="s">
        <v>1004</v>
      </c>
      <c r="E303" s="1" t="s">
        <v>1005</v>
      </c>
      <c r="F303" s="1" t="s">
        <v>112</v>
      </c>
      <c r="G303" s="1">
        <v>3344847</v>
      </c>
    </row>
    <row r="304" spans="1:7" x14ac:dyDescent="0.25">
      <c r="A304" s="1" t="str">
        <f t="shared" si="4"/>
        <v>6</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1006</v>
      </c>
      <c r="D304" s="1" t="s">
        <v>1007</v>
      </c>
      <c r="E304" s="1" t="s">
        <v>1008</v>
      </c>
      <c r="F304" s="1" t="s">
        <v>112</v>
      </c>
      <c r="G304" s="1">
        <v>3496191</v>
      </c>
    </row>
    <row r="305" spans="1:7" x14ac:dyDescent="0.25">
      <c r="A305" s="1" t="str">
        <f t="shared" si="4"/>
        <v>6</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5" s="1" t="s">
        <v>1009</v>
      </c>
      <c r="D305" s="1" t="s">
        <v>1010</v>
      </c>
      <c r="E305" s="1" t="s">
        <v>1011</v>
      </c>
      <c r="F305" s="1" t="s">
        <v>112</v>
      </c>
      <c r="G305" s="1">
        <v>3491844</v>
      </c>
    </row>
    <row r="306" spans="1:7" x14ac:dyDescent="0.25">
      <c r="A306" s="1" t="str">
        <f t="shared" si="4"/>
        <v>6</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1012</v>
      </c>
      <c r="D306" s="1" t="s">
        <v>1013</v>
      </c>
      <c r="E306" s="1" t="s">
        <v>1014</v>
      </c>
      <c r="F306" s="1" t="s">
        <v>112</v>
      </c>
      <c r="G306" s="1">
        <v>3723067</v>
      </c>
    </row>
    <row r="307" spans="1:7" x14ac:dyDescent="0.25">
      <c r="A307" s="1" t="str">
        <f t="shared" si="4"/>
        <v>6</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1015</v>
      </c>
      <c r="D307" s="1" t="s">
        <v>1016</v>
      </c>
      <c r="E307" s="1" t="s">
        <v>1017</v>
      </c>
      <c r="F307" s="1" t="s">
        <v>112</v>
      </c>
      <c r="G307" s="1">
        <v>3244571</v>
      </c>
    </row>
    <row r="308" spans="1:7" x14ac:dyDescent="0.25">
      <c r="A308" s="1" t="str">
        <f t="shared" si="4"/>
        <v>6</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8" s="1" t="s">
        <v>1018</v>
      </c>
      <c r="D308" s="1" t="s">
        <v>1019</v>
      </c>
      <c r="E308" s="1" t="s">
        <v>1020</v>
      </c>
      <c r="F308" s="1" t="s">
        <v>112</v>
      </c>
      <c r="G308" s="1">
        <v>2929661</v>
      </c>
    </row>
    <row r="309" spans="1:7" x14ac:dyDescent="0.25">
      <c r="A309" s="1" t="str">
        <f t="shared" si="4"/>
        <v>6</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1021</v>
      </c>
      <c r="D309" s="1" t="s">
        <v>1022</v>
      </c>
      <c r="E309" s="1" t="s">
        <v>1023</v>
      </c>
      <c r="F309" s="1" t="s">
        <v>112</v>
      </c>
      <c r="G309" s="1">
        <v>2135109</v>
      </c>
    </row>
    <row r="310" spans="1:7" x14ac:dyDescent="0.25">
      <c r="A310" s="1" t="str">
        <f t="shared" si="4"/>
        <v>6</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1024</v>
      </c>
      <c r="D310" s="1" t="s">
        <v>1025</v>
      </c>
      <c r="E310" s="1" t="s">
        <v>1026</v>
      </c>
      <c r="F310" s="1" t="s">
        <v>112</v>
      </c>
      <c r="G310" s="1">
        <v>2649684</v>
      </c>
    </row>
    <row r="311" spans="1:7" x14ac:dyDescent="0.25">
      <c r="A311" s="1" t="str">
        <f t="shared" si="4"/>
        <v>6</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1" s="1" t="s">
        <v>1027</v>
      </c>
    </row>
    <row r="312" spans="1:7" x14ac:dyDescent="0.25">
      <c r="A312" s="1" t="str">
        <f t="shared" si="4"/>
        <v>6</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1028</v>
      </c>
      <c r="D312" s="1" t="s">
        <v>1029</v>
      </c>
      <c r="E312" s="1" t="s">
        <v>1030</v>
      </c>
      <c r="F312" s="1" t="s">
        <v>112</v>
      </c>
      <c r="G312" s="1">
        <v>1419289</v>
      </c>
    </row>
    <row r="313" spans="1:7" x14ac:dyDescent="0.25">
      <c r="A313" s="1" t="str">
        <f t="shared" si="4"/>
        <v>6</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1031</v>
      </c>
      <c r="D313" s="1" t="s">
        <v>1032</v>
      </c>
      <c r="E313" s="1" t="s">
        <v>1033</v>
      </c>
      <c r="F313" s="1" t="s">
        <v>112</v>
      </c>
      <c r="G313" s="1">
        <v>1521555</v>
      </c>
    </row>
    <row r="314" spans="1:7" x14ac:dyDescent="0.25">
      <c r="A314" s="1" t="str">
        <f t="shared" si="4"/>
        <v>6</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4" s="1" t="s">
        <v>1034</v>
      </c>
    </row>
    <row r="315" spans="1:7" x14ac:dyDescent="0.25">
      <c r="A315" s="1" t="str">
        <f t="shared" si="4"/>
        <v>6</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1035</v>
      </c>
      <c r="D315" s="1" t="s">
        <v>1036</v>
      </c>
      <c r="E315" s="1" t="s">
        <v>1037</v>
      </c>
      <c r="F315" s="1" t="s">
        <v>112</v>
      </c>
      <c r="G315" s="1">
        <v>3130668</v>
      </c>
    </row>
    <row r="316" spans="1:7" x14ac:dyDescent="0.25">
      <c r="A316" s="1" t="str">
        <f t="shared" si="4"/>
        <v>6</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1038</v>
      </c>
      <c r="D316" s="1" t="s">
        <v>1039</v>
      </c>
      <c r="E316" s="1" t="s">
        <v>1040</v>
      </c>
      <c r="F316" s="1" t="s">
        <v>112</v>
      </c>
      <c r="G316" s="1">
        <v>3081676</v>
      </c>
    </row>
    <row r="317" spans="1:7" x14ac:dyDescent="0.25">
      <c r="A317" s="1" t="str">
        <f t="shared" si="4"/>
        <v>6</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7" s="1" t="s">
        <v>1041</v>
      </c>
      <c r="D317" s="1" t="s">
        <v>1042</v>
      </c>
      <c r="E317" s="1" t="s">
        <v>1043</v>
      </c>
      <c r="F317" s="1" t="s">
        <v>112</v>
      </c>
      <c r="G317" s="1">
        <v>2647088</v>
      </c>
    </row>
    <row r="318" spans="1:7" x14ac:dyDescent="0.25">
      <c r="A318" s="1" t="str">
        <f t="shared" si="4"/>
        <v>6</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1044</v>
      </c>
      <c r="D318" s="1" t="s">
        <v>1045</v>
      </c>
      <c r="E318" s="1" t="s">
        <v>1046</v>
      </c>
      <c r="F318" s="1" t="s">
        <v>112</v>
      </c>
      <c r="G318" s="1">
        <v>1930425</v>
      </c>
    </row>
    <row r="319" spans="1:7" x14ac:dyDescent="0.25">
      <c r="A319" s="1" t="str">
        <f t="shared" si="4"/>
        <v>6</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1047</v>
      </c>
      <c r="D319" s="1" t="s">
        <v>1048</v>
      </c>
      <c r="E319" s="1" t="s">
        <v>1049</v>
      </c>
      <c r="F319" s="1" t="s">
        <v>112</v>
      </c>
      <c r="G319" s="1">
        <v>1584347</v>
      </c>
    </row>
    <row r="320" spans="1:7" x14ac:dyDescent="0.25">
      <c r="A320" s="1" t="str">
        <f t="shared" si="4"/>
        <v>6</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20" s="1" t="s">
        <v>1050</v>
      </c>
      <c r="D320" s="1" t="s">
        <v>1051</v>
      </c>
      <c r="E320" s="1" t="s">
        <v>1052</v>
      </c>
      <c r="F320" s="1" t="s">
        <v>112</v>
      </c>
      <c r="G320" s="1">
        <v>1796190</v>
      </c>
    </row>
    <row r="321" spans="1:7" x14ac:dyDescent="0.25">
      <c r="A321" s="1" t="str">
        <f t="shared" si="4"/>
        <v>6</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1053</v>
      </c>
      <c r="D321" s="1" t="s">
        <v>1054</v>
      </c>
      <c r="E321" s="1" t="s">
        <v>1055</v>
      </c>
      <c r="F321" s="1" t="s">
        <v>112</v>
      </c>
      <c r="G321" s="1">
        <v>4401921</v>
      </c>
    </row>
    <row r="322" spans="1:7" x14ac:dyDescent="0.25">
      <c r="A322" s="1" t="str">
        <f t="shared" ref="A322:A385" si="5">IFERROR(LEFT(RIGHT(C322,LEN(C322)-SEARCH("@",C322)),SEARCH("/",RIGHT(C322,LEN(C322)-SEARCH("@",C322)-1))),"")</f>
        <v>6</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1056</v>
      </c>
      <c r="D322" s="1" t="s">
        <v>1057</v>
      </c>
      <c r="E322" s="1" t="s">
        <v>1058</v>
      </c>
      <c r="F322" s="1" t="s">
        <v>112</v>
      </c>
      <c r="G322" s="1">
        <v>4513229</v>
      </c>
    </row>
    <row r="323" spans="1:7" x14ac:dyDescent="0.25">
      <c r="A323" s="1" t="str">
        <f t="shared" si="5"/>
        <v>6</v>
      </c>
      <c r="B3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3" s="1" t="s">
        <v>1059</v>
      </c>
      <c r="D323" s="1" t="s">
        <v>1060</v>
      </c>
      <c r="E323" s="1" t="s">
        <v>1061</v>
      </c>
      <c r="F323" s="1" t="s">
        <v>112</v>
      </c>
      <c r="G323" s="1">
        <v>3745952</v>
      </c>
    </row>
    <row r="324" spans="1:7" x14ac:dyDescent="0.2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112</v>
      </c>
    </row>
    <row r="325" spans="1:7" x14ac:dyDescent="0.2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5" s="1" t="s">
        <v>183</v>
      </c>
      <c r="D325" s="1" t="s">
        <v>112</v>
      </c>
      <c r="E325" s="1" t="s">
        <v>184</v>
      </c>
      <c r="F325" s="1" t="s">
        <v>185</v>
      </c>
      <c r="G325" s="1" t="s">
        <v>186</v>
      </c>
    </row>
    <row r="326" spans="1:7" x14ac:dyDescent="0.25">
      <c r="A326" s="1" t="str">
        <f t="shared" si="5"/>
        <v>6</v>
      </c>
      <c r="B3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6" s="1" t="s">
        <v>1062</v>
      </c>
      <c r="D326" s="1" t="s">
        <v>112</v>
      </c>
      <c r="E326" s="1" t="s">
        <v>1063</v>
      </c>
      <c r="F326" s="1" t="s">
        <v>1064</v>
      </c>
      <c r="G326" s="1" t="s">
        <v>1065</v>
      </c>
    </row>
    <row r="327" spans="1:7" x14ac:dyDescent="0.2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7" x14ac:dyDescent="0.2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7" x14ac:dyDescent="0.2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7" x14ac:dyDescent="0.2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7" x14ac:dyDescent="0.2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112</v>
      </c>
    </row>
    <row r="332" spans="1:7" x14ac:dyDescent="0.25">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2" s="1" t="s">
        <v>167</v>
      </c>
      <c r="D332" s="1" t="s">
        <v>110</v>
      </c>
      <c r="E332" s="1" t="s">
        <v>111</v>
      </c>
      <c r="F332" s="1" t="s">
        <v>112</v>
      </c>
      <c r="G332" s="1" t="s">
        <v>113</v>
      </c>
    </row>
    <row r="333" spans="1:7" x14ac:dyDescent="0.25">
      <c r="A333" s="1" t="str">
        <f t="shared" si="5"/>
        <v>7</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1066</v>
      </c>
      <c r="D333" s="1" t="s">
        <v>1067</v>
      </c>
      <c r="E333" s="1" t="s">
        <v>1068</v>
      </c>
      <c r="F333" s="1" t="s">
        <v>112</v>
      </c>
      <c r="G333" s="1">
        <v>4959389</v>
      </c>
    </row>
    <row r="334" spans="1:7" x14ac:dyDescent="0.25">
      <c r="A334" s="1" t="str">
        <f t="shared" si="5"/>
        <v>7</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1069</v>
      </c>
      <c r="D334" s="1" t="s">
        <v>1070</v>
      </c>
      <c r="E334" s="1" t="s">
        <v>1071</v>
      </c>
      <c r="F334" s="1" t="s">
        <v>112</v>
      </c>
      <c r="G334" s="1">
        <v>4652006</v>
      </c>
    </row>
    <row r="335" spans="1:7" x14ac:dyDescent="0.25">
      <c r="A335" s="1" t="str">
        <f t="shared" si="5"/>
        <v>7</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5" s="1" t="s">
        <v>1072</v>
      </c>
      <c r="D335" s="1" t="s">
        <v>1073</v>
      </c>
      <c r="E335" s="1" t="s">
        <v>1074</v>
      </c>
      <c r="F335" s="1" t="s">
        <v>112</v>
      </c>
      <c r="G335" s="1">
        <v>4265177</v>
      </c>
    </row>
    <row r="336" spans="1:7" x14ac:dyDescent="0.25">
      <c r="A336" s="1" t="str">
        <f t="shared" si="5"/>
        <v>7</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1075</v>
      </c>
      <c r="D336" s="1" t="s">
        <v>1076</v>
      </c>
      <c r="E336" s="1" t="s">
        <v>1077</v>
      </c>
      <c r="F336" s="1" t="s">
        <v>112</v>
      </c>
      <c r="G336" s="1">
        <v>2746002</v>
      </c>
    </row>
    <row r="337" spans="1:7" x14ac:dyDescent="0.25">
      <c r="A337" s="1" t="str">
        <f t="shared" si="5"/>
        <v>7</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1078</v>
      </c>
      <c r="D337" s="1" t="s">
        <v>1079</v>
      </c>
      <c r="E337" s="1" t="s">
        <v>1080</v>
      </c>
      <c r="F337" s="1" t="s">
        <v>112</v>
      </c>
      <c r="G337" s="1">
        <v>3761460</v>
      </c>
    </row>
    <row r="338" spans="1:7" x14ac:dyDescent="0.25">
      <c r="A338" s="1" t="str">
        <f t="shared" si="5"/>
        <v>7</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8" s="1" t="s">
        <v>1081</v>
      </c>
      <c r="D338" s="1" t="s">
        <v>1082</v>
      </c>
      <c r="E338" s="1" t="s">
        <v>1083</v>
      </c>
      <c r="F338" s="1" t="s">
        <v>112</v>
      </c>
      <c r="G338" s="1">
        <v>3842032</v>
      </c>
    </row>
    <row r="339" spans="1:7" x14ac:dyDescent="0.25">
      <c r="A339" s="1" t="str">
        <f t="shared" si="5"/>
        <v>7</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1084</v>
      </c>
      <c r="D339" s="1" t="s">
        <v>1085</v>
      </c>
      <c r="E339" s="1" t="s">
        <v>1086</v>
      </c>
      <c r="F339" s="1" t="s">
        <v>112</v>
      </c>
      <c r="G339" s="1">
        <v>5915906</v>
      </c>
    </row>
    <row r="340" spans="1:7" x14ac:dyDescent="0.25">
      <c r="A340" s="1" t="str">
        <f t="shared" si="5"/>
        <v>7</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1087</v>
      </c>
      <c r="D340" s="1" t="s">
        <v>1088</v>
      </c>
      <c r="E340" s="1" t="s">
        <v>1089</v>
      </c>
      <c r="F340" s="1" t="s">
        <v>112</v>
      </c>
      <c r="G340" s="1">
        <v>5976253</v>
      </c>
    </row>
    <row r="341" spans="1:7" x14ac:dyDescent="0.25">
      <c r="A341" s="1" t="str">
        <f t="shared" si="5"/>
        <v>7</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1" s="1" t="s">
        <v>1090</v>
      </c>
      <c r="D341" s="1" t="s">
        <v>1091</v>
      </c>
      <c r="E341" s="1" t="s">
        <v>1092</v>
      </c>
      <c r="F341" s="1" t="s">
        <v>112</v>
      </c>
      <c r="G341" s="1">
        <v>5662598</v>
      </c>
    </row>
    <row r="342" spans="1:7" x14ac:dyDescent="0.25">
      <c r="A342" s="1" t="str">
        <f t="shared" si="5"/>
        <v>7</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1093</v>
      </c>
      <c r="D342" s="1" t="s">
        <v>1094</v>
      </c>
      <c r="E342" s="1" t="s">
        <v>1095</v>
      </c>
      <c r="F342" s="1" t="s">
        <v>112</v>
      </c>
      <c r="G342" s="1">
        <v>4441612</v>
      </c>
    </row>
    <row r="343" spans="1:7" x14ac:dyDescent="0.25">
      <c r="A343" s="1" t="str">
        <f t="shared" si="5"/>
        <v>7</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1096</v>
      </c>
      <c r="D343" s="1" t="s">
        <v>1097</v>
      </c>
      <c r="E343" s="1" t="s">
        <v>1098</v>
      </c>
      <c r="F343" s="1" t="s">
        <v>112</v>
      </c>
      <c r="G343" s="1">
        <v>4515284</v>
      </c>
    </row>
    <row r="344" spans="1:7" x14ac:dyDescent="0.25">
      <c r="A344" s="1" t="str">
        <f t="shared" si="5"/>
        <v>7</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4" s="1" t="s">
        <v>1099</v>
      </c>
      <c r="D344" s="1" t="s">
        <v>1100</v>
      </c>
      <c r="E344" s="1" t="s">
        <v>1101</v>
      </c>
      <c r="F344" s="1" t="s">
        <v>112</v>
      </c>
      <c r="G344" s="1">
        <v>5265149</v>
      </c>
    </row>
    <row r="345" spans="1:7" x14ac:dyDescent="0.25">
      <c r="A345" s="1" t="str">
        <f t="shared" si="5"/>
        <v>7</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1102</v>
      </c>
    </row>
    <row r="346" spans="1:7" x14ac:dyDescent="0.25">
      <c r="A346" s="1" t="str">
        <f t="shared" si="5"/>
        <v>7</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1103</v>
      </c>
      <c r="D346" s="1" t="s">
        <v>1104</v>
      </c>
      <c r="E346" s="1" t="s">
        <v>1105</v>
      </c>
      <c r="F346" s="1" t="s">
        <v>112</v>
      </c>
      <c r="G346" s="1">
        <v>3451223</v>
      </c>
    </row>
    <row r="347" spans="1:7" x14ac:dyDescent="0.25">
      <c r="A347" s="1" t="str">
        <f t="shared" si="5"/>
        <v>7</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7" s="1" t="s">
        <v>1106</v>
      </c>
      <c r="D347" s="1" t="s">
        <v>1107</v>
      </c>
      <c r="E347" s="1" t="s">
        <v>1108</v>
      </c>
      <c r="F347" s="1" t="s">
        <v>112</v>
      </c>
      <c r="G347" s="1">
        <v>3173387</v>
      </c>
    </row>
    <row r="348" spans="1:7" x14ac:dyDescent="0.25">
      <c r="A348" s="1" t="str">
        <f t="shared" si="5"/>
        <v>7</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1109</v>
      </c>
      <c r="D348" s="1" t="s">
        <v>1110</v>
      </c>
      <c r="E348" s="1" t="s">
        <v>1111</v>
      </c>
      <c r="F348" s="1" t="s">
        <v>112</v>
      </c>
      <c r="G348" s="1">
        <v>4110761</v>
      </c>
    </row>
    <row r="349" spans="1:7" x14ac:dyDescent="0.25">
      <c r="A349" s="1" t="str">
        <f t="shared" si="5"/>
        <v>7</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1112</v>
      </c>
      <c r="D349" s="1" t="s">
        <v>1113</v>
      </c>
      <c r="E349" s="1" t="s">
        <v>1114</v>
      </c>
      <c r="F349" s="1" t="s">
        <v>112</v>
      </c>
      <c r="G349" s="1">
        <v>4512775</v>
      </c>
    </row>
    <row r="350" spans="1:7" x14ac:dyDescent="0.25">
      <c r="A350" s="1" t="str">
        <f t="shared" si="5"/>
        <v>7</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0" s="1" t="s">
        <v>1115</v>
      </c>
      <c r="D350" s="1" t="s">
        <v>1116</v>
      </c>
      <c r="E350" s="1" t="s">
        <v>1117</v>
      </c>
      <c r="F350" s="1" t="s">
        <v>112</v>
      </c>
      <c r="G350" s="1">
        <v>4114460</v>
      </c>
    </row>
    <row r="351" spans="1:7" x14ac:dyDescent="0.25">
      <c r="A351" s="1" t="str">
        <f t="shared" si="5"/>
        <v>7</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1118</v>
      </c>
      <c r="D351" s="1" t="s">
        <v>1119</v>
      </c>
      <c r="E351" s="1" t="s">
        <v>1120</v>
      </c>
      <c r="F351" s="1" t="s">
        <v>112</v>
      </c>
      <c r="G351" s="1">
        <v>1717457</v>
      </c>
    </row>
    <row r="352" spans="1:7" x14ac:dyDescent="0.25">
      <c r="A352" s="1" t="str">
        <f t="shared" si="5"/>
        <v>7</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1121</v>
      </c>
      <c r="D352" s="1" t="s">
        <v>1122</v>
      </c>
      <c r="E352" s="1" t="s">
        <v>1123</v>
      </c>
      <c r="F352" s="1" t="s">
        <v>112</v>
      </c>
      <c r="G352" s="1">
        <v>1891426</v>
      </c>
    </row>
    <row r="353" spans="1:7" x14ac:dyDescent="0.25">
      <c r="A353" s="1" t="str">
        <f t="shared" si="5"/>
        <v>7</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3" s="1" t="s">
        <v>1124</v>
      </c>
      <c r="D353" s="1" t="s">
        <v>1125</v>
      </c>
      <c r="E353" s="1" t="s">
        <v>1126</v>
      </c>
      <c r="F353" s="1" t="s">
        <v>112</v>
      </c>
      <c r="G353" s="1">
        <v>1774344</v>
      </c>
    </row>
    <row r="354" spans="1:7" x14ac:dyDescent="0.25">
      <c r="A354" s="1" t="str">
        <f t="shared" si="5"/>
        <v>7</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1127</v>
      </c>
      <c r="D354" s="1" t="s">
        <v>1128</v>
      </c>
      <c r="E354" s="1" t="s">
        <v>1129</v>
      </c>
      <c r="F354" s="1" t="s">
        <v>112</v>
      </c>
      <c r="G354" s="1">
        <v>1076952</v>
      </c>
    </row>
    <row r="355" spans="1:7" x14ac:dyDescent="0.25">
      <c r="A355" s="1" t="str">
        <f t="shared" si="5"/>
        <v>7</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1130</v>
      </c>
      <c r="D355" s="1" t="s">
        <v>1131</v>
      </c>
      <c r="E355" s="1" t="s">
        <v>1132</v>
      </c>
      <c r="F355" s="1" t="s">
        <v>112</v>
      </c>
      <c r="G355" s="1">
        <v>1100680</v>
      </c>
    </row>
    <row r="356" spans="1:7" x14ac:dyDescent="0.25">
      <c r="A356" s="1" t="str">
        <f t="shared" si="5"/>
        <v>7</v>
      </c>
      <c r="B3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6" s="1" t="s">
        <v>1133</v>
      </c>
      <c r="D356" s="1" t="s">
        <v>1134</v>
      </c>
      <c r="E356" s="1" t="s">
        <v>1135</v>
      </c>
      <c r="F356" s="1" t="s">
        <v>112</v>
      </c>
      <c r="G356" s="1">
        <v>1006742</v>
      </c>
    </row>
    <row r="357" spans="1:7" x14ac:dyDescent="0.2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112</v>
      </c>
    </row>
    <row r="358" spans="1:7" x14ac:dyDescent="0.25">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8" s="1" t="s">
        <v>183</v>
      </c>
      <c r="D358" s="1" t="s">
        <v>112</v>
      </c>
      <c r="E358" s="1" t="s">
        <v>184</v>
      </c>
      <c r="F358" s="1" t="s">
        <v>185</v>
      </c>
      <c r="G358" s="1" t="s">
        <v>186</v>
      </c>
    </row>
    <row r="359" spans="1:7" x14ac:dyDescent="0.25">
      <c r="A359" s="1" t="str">
        <f t="shared" si="5"/>
        <v>7</v>
      </c>
      <c r="B3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9" s="1" t="s">
        <v>1136</v>
      </c>
      <c r="D359" s="1" t="s">
        <v>112</v>
      </c>
      <c r="E359" s="1" t="s">
        <v>1137</v>
      </c>
      <c r="F359" s="1" t="s">
        <v>1138</v>
      </c>
      <c r="G359" s="1" t="s">
        <v>1139</v>
      </c>
    </row>
    <row r="360" spans="1:7" x14ac:dyDescent="0.2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7" x14ac:dyDescent="0.2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7" x14ac:dyDescent="0.2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7" x14ac:dyDescent="0.2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7" x14ac:dyDescent="0.2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7" x14ac:dyDescent="0.25">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7" x14ac:dyDescent="0.25">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7" x14ac:dyDescent="0.25">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7" x14ac:dyDescent="0.25">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25">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25">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25">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25">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25">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25">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25">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25">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25">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25">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25">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25">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25">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25">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25">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25">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25">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25">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25">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25">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2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2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25">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2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2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2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2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2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2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25">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25">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25">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25">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25">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25">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25">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25">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25">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25">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25">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25">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25">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25">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25">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25">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25">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25">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25">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25">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25">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25">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25">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25">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2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2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25">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2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2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2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2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2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2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25">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25">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25">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25">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25">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25">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25">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25">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25">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25">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25">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25">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25">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25">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25">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25">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25">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25">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25">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25">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25">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25">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25">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25">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2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2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25">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2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2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2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2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2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2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25">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25">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25">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25">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25">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25">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25">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25">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25">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25">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25">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25">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25">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25">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25">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25">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25">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25">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25">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25">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25">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25">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25">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25">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2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2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2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2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2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2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2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2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2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25">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25">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25">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25">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25">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25">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25">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25">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25">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25">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25">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25">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25">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25">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25">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25">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25">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25">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25">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25">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25">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25">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25">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25">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2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2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25">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2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2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2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2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2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2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25">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25">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25">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25">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25">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25">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25">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25">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25">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25">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25">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25">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25">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25">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25">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25">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25">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25">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25">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25">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25">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25">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25">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25">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2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2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25">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2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2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2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2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2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2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25">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25">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25">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25">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25">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25">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25">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25">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25">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25">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25">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25">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25">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25">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25">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25">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25">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25">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25">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25">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25">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25">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25">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25">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2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2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25">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2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2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2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2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2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2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25">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25">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25">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25">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25">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25">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25">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25">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25">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25">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25">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25">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25">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25">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25">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25">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25">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25">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25">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25">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25">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25">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25">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25">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2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2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25">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2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2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2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2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2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2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25">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25">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25">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25">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25">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25">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25">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25">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25">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25">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25">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25">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25">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25">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25">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25">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25">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25">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25">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25">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25">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25">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25">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25">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2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2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2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2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2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2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2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2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2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25">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25">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25">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25">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25">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25">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25">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25">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25">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25">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25">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25">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25">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25">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25">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25">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25">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25">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25">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25">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25">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25">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25">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25">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2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2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25">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2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2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2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2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2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2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2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2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2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2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2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2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2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2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2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2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2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2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2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2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2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2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2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2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2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2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2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2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2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2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2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2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2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2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2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2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2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2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2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2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2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2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2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2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2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2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2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2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2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2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2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2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2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2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2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2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2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2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2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2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2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2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2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2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2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2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2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2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2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2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2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2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2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2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2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2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2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2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2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2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2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2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2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2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2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2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2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2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2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2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2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2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2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2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2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2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2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2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2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2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2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2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2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2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2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2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2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2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2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2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2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2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2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2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2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2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2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2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2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2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2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2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2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2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2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2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2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2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2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2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2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2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2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2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2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2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2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2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2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2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2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2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2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2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2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2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2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2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2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2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2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2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2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2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2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2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2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2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2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2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2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2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2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2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2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2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2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2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2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2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2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2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2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2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2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2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X11:XFD14">
    <cfRule type="containsText" dxfId="25" priority="1" operator="containsText" text="ERREUR">
      <formula>NOT(ISERROR(SEARCH("ERREUR",A1)))</formula>
    </cfRule>
    <cfRule type="containsText" dxfId="24" priority="2" operator="containsText" text="OK">
      <formula>NOT(ISERROR(SEARCH("OK",A1)))</formula>
    </cfRule>
  </conditionalFormatting>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74"/>
  <sheetViews>
    <sheetView showGridLines="0" zoomScale="70" zoomScaleNormal="70" zoomScaleSheetLayoutView="40" zoomScalePageLayoutView="30" workbookViewId="0">
      <selection activeCell="C60" sqref="C60"/>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11.7109375" style="1" customWidth="1"/>
    <col min="10" max="10" width="14.85546875" style="1" customWidth="1"/>
    <col min="11" max="11" width="17.7109375" style="1" customWidth="1"/>
    <col min="12" max="12" width="25.85546875" style="1" bestFit="1" customWidth="1"/>
    <col min="13" max="16384" width="9.140625" style="1"/>
  </cols>
  <sheetData>
    <row r="1" spans="1:12" ht="27" thickBot="1" x14ac:dyDescent="0.45">
      <c r="A1" s="226" t="s">
        <v>43</v>
      </c>
      <c r="B1" s="227"/>
      <c r="C1" s="227"/>
      <c r="D1" s="227"/>
      <c r="E1" s="227"/>
      <c r="F1" s="227"/>
      <c r="G1" s="227"/>
      <c r="H1" s="227"/>
      <c r="I1" s="227"/>
      <c r="J1" s="227"/>
      <c r="K1" s="227"/>
      <c r="L1" s="227"/>
    </row>
    <row r="2" spans="1:12" ht="15.75" thickBot="1" x14ac:dyDescent="0.3"/>
    <row r="3" spans="1:12" ht="15.75" thickBot="1" x14ac:dyDescent="0.3">
      <c r="A3" s="151" t="s">
        <v>22</v>
      </c>
      <c r="B3" s="234" t="s">
        <v>6</v>
      </c>
      <c r="C3" s="235"/>
      <c r="D3" s="235"/>
      <c r="E3" s="235"/>
      <c r="F3" s="235"/>
      <c r="G3" s="235"/>
      <c r="H3" s="235"/>
      <c r="J3" s="234" t="s">
        <v>3</v>
      </c>
      <c r="K3" s="235"/>
      <c r="L3" s="235"/>
    </row>
    <row r="4" spans="1:12" x14ac:dyDescent="0.25">
      <c r="A4" s="33" t="s">
        <v>41</v>
      </c>
      <c r="B4" s="34" t="str">
        <f>'Page de garde'!A7</f>
        <v>Témoin solvant</v>
      </c>
      <c r="C4" s="34" t="str">
        <f>'Page de garde'!A9</f>
        <v>EE2-33,8ng/L</v>
      </c>
      <c r="D4" s="34" t="str">
        <f>'Page de garde'!A10</f>
        <v>EE2-50,6ng/L</v>
      </c>
      <c r="E4" s="34" t="str">
        <f>'Page de garde'!A11</f>
        <v>EE2-76ng/L</v>
      </c>
      <c r="F4" s="34" t="str">
        <f>'Page de garde'!A12</f>
        <v>EE2-114ng/L</v>
      </c>
      <c r="G4" s="34" t="str">
        <f>'Page de garde'!A13</f>
        <v>EE2-170,9ng/L</v>
      </c>
      <c r="H4" s="34" t="str">
        <f>'Page de garde'!A14</f>
        <v>EE2-488ng/L</v>
      </c>
      <c r="I4" s="3"/>
      <c r="J4" s="35" t="str">
        <f>'Page de garde'!A36</f>
        <v>Testo -30µg/L</v>
      </c>
      <c r="K4" s="35" t="str">
        <f>'Page de garde'!A37</f>
        <v>Testo 30µg/L + EE2 -64ng/L</v>
      </c>
      <c r="L4" s="35" t="str">
        <f>'Page de garde'!A38</f>
        <v>Testo 30µg/L + FAD-10mg/L</v>
      </c>
    </row>
    <row r="5" spans="1:12" x14ac:dyDescent="0.25">
      <c r="A5" s="237" t="s">
        <v>33</v>
      </c>
      <c r="B5" s="31">
        <v>214251.33333333334</v>
      </c>
      <c r="C5" s="31">
        <v>120125</v>
      </c>
      <c r="D5" s="31">
        <v>103686.66666666667</v>
      </c>
      <c r="E5" s="31">
        <v>1907497.3333333333</v>
      </c>
      <c r="F5" s="31">
        <v>312249.33333333331</v>
      </c>
      <c r="G5" s="31">
        <v>2808534</v>
      </c>
      <c r="H5" s="31">
        <v>4625524</v>
      </c>
      <c r="I5" s="3"/>
      <c r="J5" s="31">
        <v>216515</v>
      </c>
      <c r="K5" s="12">
        <v>3389909.3333333335</v>
      </c>
      <c r="L5" s="12">
        <v>32351</v>
      </c>
    </row>
    <row r="6" spans="1:12" ht="16.5" x14ac:dyDescent="0.25">
      <c r="A6" s="237"/>
      <c r="B6" s="13">
        <v>236458</v>
      </c>
      <c r="C6" s="12">
        <v>197322.66666666666</v>
      </c>
      <c r="D6" s="31">
        <v>81674.333333333328</v>
      </c>
      <c r="E6" s="31">
        <v>322343.33333333331</v>
      </c>
      <c r="F6" s="31">
        <v>610835.66666666663</v>
      </c>
      <c r="G6" s="31">
        <v>3444294</v>
      </c>
      <c r="H6" s="31">
        <v>3449831.3333333335</v>
      </c>
      <c r="I6" s="3"/>
      <c r="J6" s="31">
        <v>94544.5</v>
      </c>
      <c r="K6" s="12">
        <v>3131122</v>
      </c>
      <c r="L6" s="12">
        <v>36179.333333333336</v>
      </c>
    </row>
    <row r="7" spans="1:12" ht="16.5" x14ac:dyDescent="0.25">
      <c r="A7" s="237"/>
      <c r="B7" s="13">
        <v>249198</v>
      </c>
      <c r="C7" s="12">
        <v>3061</v>
      </c>
      <c r="D7" s="31">
        <v>215181.33333333334</v>
      </c>
      <c r="E7" s="31">
        <v>151647</v>
      </c>
      <c r="F7" s="31">
        <v>2582184</v>
      </c>
      <c r="G7" s="31">
        <v>3299099.6666666665</v>
      </c>
      <c r="H7" s="31">
        <v>5851585.666666667</v>
      </c>
      <c r="I7" s="3"/>
      <c r="J7" s="31">
        <v>255982.66666666666</v>
      </c>
      <c r="K7" s="12">
        <v>1108294</v>
      </c>
      <c r="L7" s="12">
        <v>32856</v>
      </c>
    </row>
    <row r="8" spans="1:12" ht="16.5" x14ac:dyDescent="0.25">
      <c r="A8" s="237"/>
      <c r="B8" s="13">
        <v>245</v>
      </c>
      <c r="C8" s="12">
        <v>2898.3333333333335</v>
      </c>
      <c r="D8" s="31">
        <v>399418</v>
      </c>
      <c r="E8" s="31">
        <v>75567.666666666672</v>
      </c>
      <c r="F8" s="31">
        <v>2912876.5</v>
      </c>
      <c r="G8" s="31">
        <v>2392396.5</v>
      </c>
      <c r="H8" s="31">
        <v>4740681.666666667</v>
      </c>
      <c r="I8" s="3"/>
      <c r="J8" s="31">
        <v>2719771.6666666665</v>
      </c>
      <c r="K8" s="12">
        <v>2240251</v>
      </c>
      <c r="L8" s="12">
        <v>289718</v>
      </c>
    </row>
    <row r="9" spans="1:12" ht="16.5" x14ac:dyDescent="0.25">
      <c r="A9" s="237"/>
      <c r="B9" s="13">
        <v>23115</v>
      </c>
      <c r="C9" s="12">
        <v>1979265</v>
      </c>
      <c r="D9" s="31">
        <v>144238.5</v>
      </c>
      <c r="E9" s="31">
        <v>443441.66666666669</v>
      </c>
      <c r="F9" s="31">
        <v>1623525.6666666667</v>
      </c>
      <c r="G9" s="31">
        <v>1470422</v>
      </c>
      <c r="H9" s="31">
        <v>3312305</v>
      </c>
      <c r="I9" s="3"/>
      <c r="J9" s="31">
        <v>2842060.3333333335</v>
      </c>
      <c r="K9" s="12">
        <v>2939538.6666666665</v>
      </c>
      <c r="L9" s="12">
        <v>36778</v>
      </c>
    </row>
    <row r="10" spans="1:12" ht="16.5" x14ac:dyDescent="0.25">
      <c r="A10" s="237"/>
      <c r="B10" s="13">
        <v>16864</v>
      </c>
      <c r="C10" s="12">
        <v>24175</v>
      </c>
      <c r="D10" s="31"/>
      <c r="E10" s="31">
        <v>939062</v>
      </c>
      <c r="F10" s="31">
        <v>568967.33333333337</v>
      </c>
      <c r="G10" s="31">
        <v>2953144</v>
      </c>
      <c r="H10" s="31">
        <v>4245998.666666667</v>
      </c>
      <c r="I10" s="3"/>
      <c r="J10" s="31">
        <v>100514</v>
      </c>
      <c r="K10" s="12">
        <v>2716401</v>
      </c>
      <c r="L10" s="12">
        <v>0</v>
      </c>
    </row>
    <row r="11" spans="1:12" ht="16.5" x14ac:dyDescent="0.25">
      <c r="A11" s="237"/>
      <c r="B11" s="13">
        <v>102237.66666666667</v>
      </c>
      <c r="C11" s="12">
        <v>180241.66666666666</v>
      </c>
      <c r="D11" s="31">
        <v>214323.33333333334</v>
      </c>
      <c r="E11" s="31"/>
      <c r="F11" s="31">
        <v>1554317</v>
      </c>
      <c r="G11" s="31">
        <v>1770320.6666666667</v>
      </c>
      <c r="H11" s="31">
        <v>1794409</v>
      </c>
      <c r="I11" s="3"/>
      <c r="J11" s="31">
        <v>1379684.5</v>
      </c>
      <c r="K11" s="12">
        <v>3585263</v>
      </c>
      <c r="L11" s="12">
        <v>12675</v>
      </c>
    </row>
    <row r="12" spans="1:12" ht="16.5" x14ac:dyDescent="0.25">
      <c r="A12" s="237"/>
      <c r="B12" s="13">
        <v>26691.333333333332</v>
      </c>
      <c r="C12" s="12">
        <v>4564</v>
      </c>
      <c r="D12" s="31">
        <v>150212.33333333334</v>
      </c>
      <c r="E12" s="31">
        <v>786384</v>
      </c>
      <c r="F12" s="31">
        <v>3225594.3333333335</v>
      </c>
      <c r="G12" s="31">
        <v>4220367.333333333</v>
      </c>
      <c r="H12" s="31">
        <v>1061458</v>
      </c>
      <c r="I12" s="3"/>
      <c r="J12" s="31">
        <v>1256675</v>
      </c>
      <c r="K12" s="12">
        <v>664211</v>
      </c>
      <c r="L12" s="12">
        <v>15076</v>
      </c>
    </row>
    <row r="13" spans="1:12" ht="16.5" x14ac:dyDescent="0.25">
      <c r="A13" s="237"/>
      <c r="B13" s="13"/>
      <c r="C13" s="12"/>
      <c r="D13" s="31"/>
      <c r="E13" s="31"/>
      <c r="F13" s="31"/>
      <c r="G13" s="31"/>
      <c r="H13" s="31"/>
      <c r="I13" s="3"/>
      <c r="J13" s="31"/>
      <c r="K13" s="12"/>
      <c r="L13" s="12"/>
    </row>
    <row r="14" spans="1:12" ht="16.5" x14ac:dyDescent="0.25">
      <c r="A14" s="237"/>
      <c r="B14" s="13"/>
      <c r="C14" s="31"/>
      <c r="D14" s="31"/>
      <c r="E14" s="31"/>
      <c r="F14" s="31"/>
      <c r="G14" s="31"/>
      <c r="H14" s="31"/>
      <c r="I14" s="3"/>
      <c r="J14" s="31">
        <v>2715237</v>
      </c>
      <c r="K14" s="12"/>
      <c r="L14" s="12"/>
    </row>
    <row r="15" spans="1:12" ht="16.5" x14ac:dyDescent="0.25">
      <c r="A15" s="237"/>
      <c r="B15" s="13"/>
      <c r="C15" s="31"/>
      <c r="D15" s="31"/>
      <c r="E15" s="31"/>
      <c r="F15" s="31"/>
      <c r="G15" s="31"/>
      <c r="H15" s="31"/>
      <c r="I15" s="3"/>
      <c r="J15" s="31">
        <v>3035553.6666666665</v>
      </c>
      <c r="K15" s="12"/>
      <c r="L15" s="12"/>
    </row>
    <row r="16" spans="1:12" ht="16.5" x14ac:dyDescent="0.25">
      <c r="A16" s="237"/>
      <c r="B16" s="13"/>
      <c r="C16" s="31"/>
      <c r="D16" s="31"/>
      <c r="E16" s="31"/>
      <c r="F16" s="31"/>
      <c r="G16" s="31"/>
      <c r="H16" s="31"/>
      <c r="I16" s="3"/>
      <c r="J16" s="31">
        <v>778215</v>
      </c>
      <c r="K16" s="12"/>
      <c r="L16" s="12"/>
    </row>
    <row r="17" spans="1:12" ht="16.5" x14ac:dyDescent="0.25">
      <c r="A17" s="237"/>
      <c r="B17" s="13"/>
      <c r="C17" s="31"/>
      <c r="D17" s="31"/>
      <c r="E17" s="31"/>
      <c r="F17" s="31"/>
      <c r="G17" s="31"/>
      <c r="H17" s="31"/>
      <c r="I17" s="3"/>
      <c r="J17" s="31">
        <v>1510797.3333333333</v>
      </c>
      <c r="K17" s="12"/>
      <c r="L17" s="12"/>
    </row>
    <row r="18" spans="1:12" ht="16.5" x14ac:dyDescent="0.25">
      <c r="A18" s="237"/>
      <c r="B18" s="13"/>
      <c r="C18" s="31"/>
      <c r="D18" s="31"/>
      <c r="E18" s="31"/>
      <c r="F18" s="31"/>
      <c r="G18" s="31"/>
      <c r="H18" s="31"/>
      <c r="I18" s="3"/>
      <c r="J18" s="31">
        <v>355177.33333333331</v>
      </c>
      <c r="K18" s="12"/>
      <c r="L18" s="12"/>
    </row>
    <row r="19" spans="1:12" ht="16.5" x14ac:dyDescent="0.25">
      <c r="A19" s="237"/>
      <c r="B19" s="13"/>
      <c r="C19" s="31"/>
      <c r="D19" s="31"/>
      <c r="E19" s="31"/>
      <c r="F19" s="31"/>
      <c r="G19" s="31"/>
      <c r="H19" s="31"/>
      <c r="I19" s="3"/>
      <c r="J19" s="31">
        <v>801077.33333333337</v>
      </c>
      <c r="K19" s="12"/>
      <c r="L19" s="12"/>
    </row>
    <row r="20" spans="1:12" ht="16.5" x14ac:dyDescent="0.25">
      <c r="A20" s="237"/>
      <c r="B20" s="13"/>
      <c r="C20" s="31"/>
      <c r="D20" s="31"/>
      <c r="E20" s="31"/>
      <c r="F20" s="31"/>
      <c r="G20" s="31"/>
      <c r="H20" s="31"/>
      <c r="I20" s="3"/>
      <c r="J20" s="31">
        <v>305904.66666666669</v>
      </c>
      <c r="K20" s="12"/>
      <c r="L20" s="12"/>
    </row>
    <row r="21" spans="1:12" x14ac:dyDescent="0.25">
      <c r="A21" s="3"/>
      <c r="B21" s="6"/>
      <c r="C21" s="6"/>
      <c r="D21" s="6"/>
      <c r="E21" s="6"/>
      <c r="F21" s="6"/>
      <c r="G21" s="6"/>
      <c r="H21" s="6"/>
      <c r="I21" s="3"/>
      <c r="J21" s="6"/>
    </row>
    <row r="22" spans="1:12" x14ac:dyDescent="0.25">
      <c r="A22" s="3" t="str">
        <f t="shared" ref="A22:H22" si="0">A4</f>
        <v>Noms des groupes</v>
      </c>
      <c r="B22" s="3" t="str">
        <f t="shared" si="0"/>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
        <v>41</v>
      </c>
      <c r="J22" s="3" t="str">
        <f>J4</f>
        <v>Testo -30µg/L</v>
      </c>
      <c r="K22" s="3" t="str">
        <f>K4</f>
        <v>Testo 30µg/L + EE2 -64ng/L</v>
      </c>
      <c r="L22" s="3" t="str">
        <f>L4</f>
        <v>Testo 30µg/L + FAD-10mg/L</v>
      </c>
    </row>
    <row r="23" spans="1:12" x14ac:dyDescent="0.25">
      <c r="A23" s="4" t="s">
        <v>0</v>
      </c>
      <c r="B23" s="4">
        <f t="shared" ref="B23:H23" si="1">AVERAGE(B5:B20)</f>
        <v>108632.54166666667</v>
      </c>
      <c r="C23" s="4">
        <f t="shared" si="1"/>
        <v>313956.58333333331</v>
      </c>
      <c r="D23" s="4">
        <f t="shared" si="1"/>
        <v>186962.07142857142</v>
      </c>
      <c r="E23" s="4">
        <f t="shared" si="1"/>
        <v>660849</v>
      </c>
      <c r="F23" s="4">
        <f t="shared" si="1"/>
        <v>1673818.7291666667</v>
      </c>
      <c r="G23" s="4">
        <f t="shared" si="1"/>
        <v>2794822.270833333</v>
      </c>
      <c r="H23" s="4">
        <f t="shared" si="1"/>
        <v>3635224.166666667</v>
      </c>
      <c r="I23" s="4" t="s">
        <v>0</v>
      </c>
      <c r="J23" s="4">
        <f>AVERAGE(J5:J20)</f>
        <v>1224513.9999999998</v>
      </c>
      <c r="K23" s="4">
        <f>AVERAGE(K5:K20)</f>
        <v>2471873.75</v>
      </c>
      <c r="L23" s="4">
        <f>AVERAGE(L5:L20)</f>
        <v>56954.166666666672</v>
      </c>
    </row>
    <row r="24" spans="1:12" x14ac:dyDescent="0.25">
      <c r="A24" s="3" t="s">
        <v>1</v>
      </c>
      <c r="B24" s="3">
        <f t="shared" ref="B24:H24" si="2">STDEV(B5:B20)</f>
        <v>107896.2169586961</v>
      </c>
      <c r="C24" s="3">
        <f t="shared" si="2"/>
        <v>677750.10039147816</v>
      </c>
      <c r="D24" s="3">
        <f t="shared" si="2"/>
        <v>106363.0846188108</v>
      </c>
      <c r="E24" s="3">
        <f t="shared" si="2"/>
        <v>633901.48123897205</v>
      </c>
      <c r="F24" s="3">
        <f t="shared" si="2"/>
        <v>1133245.0260532838</v>
      </c>
      <c r="G24" s="3">
        <f t="shared" si="2"/>
        <v>902308.77205965936</v>
      </c>
      <c r="H24" s="3">
        <f t="shared" si="2"/>
        <v>1587430.7130931001</v>
      </c>
      <c r="I24" s="3" t="s">
        <v>1</v>
      </c>
      <c r="J24" s="3">
        <f>STDEV(J5:J20)</f>
        <v>1099799.8026286117</v>
      </c>
      <c r="K24" s="3">
        <f>STDEV(K5:K20)</f>
        <v>1067452.2880169526</v>
      </c>
      <c r="L24" s="3">
        <f>STDEV(L5:L20)</f>
        <v>94990.160017377508</v>
      </c>
    </row>
    <row r="25" spans="1:12" ht="15.75" thickBot="1" x14ac:dyDescent="0.3"/>
    <row r="26" spans="1:12" ht="15.75" thickBot="1" x14ac:dyDescent="0.3">
      <c r="B26" s="234" t="s">
        <v>6</v>
      </c>
      <c r="C26" s="235"/>
      <c r="D26" s="235"/>
      <c r="E26" s="235"/>
      <c r="F26" s="235"/>
      <c r="G26" s="235"/>
      <c r="H26" s="235"/>
      <c r="J26" s="234" t="s">
        <v>3</v>
      </c>
      <c r="K26" s="235"/>
      <c r="L26" s="235"/>
    </row>
    <row r="27" spans="1:12" x14ac:dyDescent="0.25">
      <c r="A27" s="33" t="s">
        <v>41</v>
      </c>
      <c r="B27" s="34" t="str">
        <f t="shared" ref="B27:H27" si="3">B4</f>
        <v>Témoin solvant</v>
      </c>
      <c r="C27" s="34" t="str">
        <f t="shared" si="3"/>
        <v>EE2-33,8ng/L</v>
      </c>
      <c r="D27" s="34" t="str">
        <f t="shared" si="3"/>
        <v>EE2-50,6ng/L</v>
      </c>
      <c r="E27" s="34" t="str">
        <f t="shared" si="3"/>
        <v>EE2-76ng/L</v>
      </c>
      <c r="F27" s="34" t="str">
        <f t="shared" si="3"/>
        <v>EE2-114ng/L</v>
      </c>
      <c r="G27" s="34" t="str">
        <f t="shared" si="3"/>
        <v>EE2-170,9ng/L</v>
      </c>
      <c r="H27" s="34" t="str">
        <f t="shared" si="3"/>
        <v>EE2-488ng/L</v>
      </c>
      <c r="I27" s="3"/>
      <c r="J27" s="35" t="str">
        <f>J4</f>
        <v>Testo -30µg/L</v>
      </c>
      <c r="K27" s="35" t="str">
        <f t="shared" ref="K27:L27" si="4">K4</f>
        <v>Testo 30µg/L + EE2 -64ng/L</v>
      </c>
      <c r="L27" s="35" t="str">
        <f t="shared" si="4"/>
        <v>Testo 30µg/L + FAD-10mg/L</v>
      </c>
    </row>
    <row r="28" spans="1:12" x14ac:dyDescent="0.25">
      <c r="A28" s="236" t="s">
        <v>34</v>
      </c>
      <c r="B28" s="10">
        <f t="shared" ref="B28:H37" si="5">IF(B5="","",(B5/$J$23))</f>
        <v>0.17496846367892355</v>
      </c>
      <c r="C28" s="10">
        <f t="shared" si="5"/>
        <v>9.8100144220482591E-2</v>
      </c>
      <c r="D28" s="10">
        <f t="shared" si="5"/>
        <v>8.4675770686710561E-2</v>
      </c>
      <c r="E28" s="10">
        <f t="shared" si="5"/>
        <v>1.5577586971919746</v>
      </c>
      <c r="F28" s="10">
        <f t="shared" si="5"/>
        <v>0.2549985817502563</v>
      </c>
      <c r="G28" s="10">
        <f t="shared" si="5"/>
        <v>2.2935907633559114</v>
      </c>
      <c r="H28" s="10">
        <f t="shared" si="5"/>
        <v>3.777436599336554</v>
      </c>
      <c r="I28" s="5"/>
      <c r="J28" s="10">
        <f t="shared" ref="J28:L39" si="6">IF(J5="","",(J5/$J$23))</f>
        <v>0.17681708824888898</v>
      </c>
      <c r="K28" s="10">
        <f t="shared" si="6"/>
        <v>2.7683712340841624</v>
      </c>
      <c r="L28" s="10">
        <f t="shared" si="6"/>
        <v>2.6419461108652089E-2</v>
      </c>
    </row>
    <row r="29" spans="1:12" x14ac:dyDescent="0.25">
      <c r="A29" s="236"/>
      <c r="B29" s="10">
        <f t="shared" si="5"/>
        <v>0.19310354965316856</v>
      </c>
      <c r="C29" s="10">
        <f t="shared" si="5"/>
        <v>0.16114365917144818</v>
      </c>
      <c r="D29" s="10">
        <f t="shared" si="5"/>
        <v>6.6699387131003277E-2</v>
      </c>
      <c r="E29" s="10">
        <f t="shared" si="5"/>
        <v>0.26324185214161161</v>
      </c>
      <c r="F29" s="10">
        <f t="shared" si="5"/>
        <v>0.49883926738825912</v>
      </c>
      <c r="G29" s="10">
        <f t="shared" si="5"/>
        <v>2.8127845006263716</v>
      </c>
      <c r="H29" s="10">
        <f t="shared" si="5"/>
        <v>2.8173065667957524</v>
      </c>
      <c r="I29" s="5"/>
      <c r="J29" s="10">
        <f t="shared" si="6"/>
        <v>7.7209815485980576E-2</v>
      </c>
      <c r="K29" s="10">
        <f t="shared" si="6"/>
        <v>2.5570324226591126</v>
      </c>
      <c r="L29" s="10">
        <f t="shared" si="6"/>
        <v>2.9545871532161611E-2</v>
      </c>
    </row>
    <row r="30" spans="1:12" x14ac:dyDescent="0.25">
      <c r="A30" s="236"/>
      <c r="B30" s="10">
        <f t="shared" si="5"/>
        <v>0.20350767733157812</v>
      </c>
      <c r="C30" s="10">
        <f t="shared" si="5"/>
        <v>2.4997672546006014E-3</v>
      </c>
      <c r="D30" s="10">
        <f t="shared" si="5"/>
        <v>0.17572794866643696</v>
      </c>
      <c r="E30" s="10">
        <f t="shared" si="5"/>
        <v>0.12384260204456628</v>
      </c>
      <c r="F30" s="10">
        <f t="shared" si="5"/>
        <v>2.1087419172014372</v>
      </c>
      <c r="G30" s="10">
        <f t="shared" si="5"/>
        <v>2.6942114721976775</v>
      </c>
      <c r="H30" s="10">
        <f t="shared" si="5"/>
        <v>4.778700502131187</v>
      </c>
      <c r="I30" s="5"/>
      <c r="J30" s="10">
        <f t="shared" si="6"/>
        <v>0.20904837892148778</v>
      </c>
      <c r="K30" s="10">
        <f t="shared" si="6"/>
        <v>0.90508887607654975</v>
      </c>
      <c r="L30" s="10">
        <f t="shared" si="6"/>
        <v>2.6831869623377115E-2</v>
      </c>
    </row>
    <row r="31" spans="1:12" x14ac:dyDescent="0.25">
      <c r="A31" s="236"/>
      <c r="B31" s="10">
        <f t="shared" si="5"/>
        <v>2.0007937843095306E-4</v>
      </c>
      <c r="C31" s="10">
        <f t="shared" si="5"/>
        <v>2.3669254359961044E-3</v>
      </c>
      <c r="D31" s="10">
        <f t="shared" si="5"/>
        <v>0.3261849190780996</v>
      </c>
      <c r="E31" s="10">
        <f t="shared" si="5"/>
        <v>6.1712374596506601E-2</v>
      </c>
      <c r="F31" s="10">
        <f t="shared" si="5"/>
        <v>2.3788021206780816</v>
      </c>
      <c r="G31" s="10">
        <f t="shared" si="5"/>
        <v>1.9537518558383167</v>
      </c>
      <c r="H31" s="10">
        <f t="shared" si="5"/>
        <v>3.8714801681864541</v>
      </c>
      <c r="I31" s="5"/>
      <c r="J31" s="10">
        <f t="shared" si="6"/>
        <v>2.2211029573093217</v>
      </c>
      <c r="K31" s="10">
        <f t="shared" si="6"/>
        <v>1.8295021535074327</v>
      </c>
      <c r="L31" s="10">
        <f t="shared" si="6"/>
        <v>0.23659835657248512</v>
      </c>
    </row>
    <row r="32" spans="1:12" x14ac:dyDescent="0.25">
      <c r="A32" s="236"/>
      <c r="B32" s="10">
        <f t="shared" si="5"/>
        <v>1.8876876867067266E-2</v>
      </c>
      <c r="C32" s="10">
        <f t="shared" si="5"/>
        <v>1.6163677997964909</v>
      </c>
      <c r="D32" s="10">
        <f t="shared" si="5"/>
        <v>0.11779244663597152</v>
      </c>
      <c r="E32" s="10">
        <f t="shared" si="5"/>
        <v>0.36213686953898999</v>
      </c>
      <c r="F32" s="10">
        <f t="shared" si="5"/>
        <v>1.3258530867484299</v>
      </c>
      <c r="G32" s="10">
        <f t="shared" si="5"/>
        <v>1.2008208971069341</v>
      </c>
      <c r="H32" s="10">
        <f t="shared" si="5"/>
        <v>2.7049956145866854</v>
      </c>
      <c r="I32" s="5"/>
      <c r="J32" s="10">
        <f t="shared" si="6"/>
        <v>2.3209700610473494</v>
      </c>
      <c r="K32" s="10">
        <f t="shared" si="6"/>
        <v>2.4005757930629352</v>
      </c>
      <c r="L32" s="10">
        <f t="shared" si="6"/>
        <v>3.0034772979320782E-2</v>
      </c>
    </row>
    <row r="33" spans="1:12" x14ac:dyDescent="0.25">
      <c r="A33" s="236"/>
      <c r="B33" s="10">
        <f t="shared" si="5"/>
        <v>1.3771994440243233E-2</v>
      </c>
      <c r="C33" s="10">
        <f t="shared" si="5"/>
        <v>1.9742526422727714E-2</v>
      </c>
      <c r="D33" s="10" t="str">
        <f t="shared" si="5"/>
        <v/>
      </c>
      <c r="E33" s="10">
        <f t="shared" si="5"/>
        <v>0.76688547456378631</v>
      </c>
      <c r="F33" s="10">
        <f t="shared" si="5"/>
        <v>0.46464747102387843</v>
      </c>
      <c r="G33" s="10">
        <f t="shared" si="5"/>
        <v>2.4116865956616262</v>
      </c>
      <c r="H33" s="10">
        <f t="shared" si="5"/>
        <v>3.4674970369196823</v>
      </c>
      <c r="I33" s="5"/>
      <c r="J33" s="10">
        <f t="shared" si="6"/>
        <v>8.2084810790240062E-2</v>
      </c>
      <c r="K33" s="10">
        <f t="shared" si="6"/>
        <v>2.2183503006090586</v>
      </c>
      <c r="L33" s="10">
        <f t="shared" si="6"/>
        <v>0</v>
      </c>
    </row>
    <row r="34" spans="1:12" x14ac:dyDescent="0.25">
      <c r="A34" s="236"/>
      <c r="B34" s="10">
        <f t="shared" si="5"/>
        <v>8.3492444077133202E-2</v>
      </c>
      <c r="C34" s="10">
        <f t="shared" si="5"/>
        <v>0.14719445156745181</v>
      </c>
      <c r="D34" s="10">
        <f t="shared" si="5"/>
        <v>0.1750272625166665</v>
      </c>
      <c r="E34" s="10" t="str">
        <f t="shared" si="5"/>
        <v/>
      </c>
      <c r="F34" s="10">
        <f t="shared" si="5"/>
        <v>1.2693337928353619</v>
      </c>
      <c r="G34" s="10">
        <f t="shared" si="5"/>
        <v>1.4457333004495392</v>
      </c>
      <c r="H34" s="10">
        <f t="shared" si="5"/>
        <v>1.4654050504935021</v>
      </c>
      <c r="I34" s="5"/>
      <c r="J34" s="10">
        <f t="shared" si="6"/>
        <v>1.1267200701666134</v>
      </c>
      <c r="K34" s="10">
        <f t="shared" si="6"/>
        <v>2.927906908373445</v>
      </c>
      <c r="L34" s="10">
        <f t="shared" si="6"/>
        <v>1.0351045394336041E-2</v>
      </c>
    </row>
    <row r="35" spans="1:12" x14ac:dyDescent="0.25">
      <c r="A35" s="236"/>
      <c r="B35" s="10">
        <f t="shared" si="5"/>
        <v>2.1797491358476372E-2</v>
      </c>
      <c r="C35" s="10">
        <f t="shared" si="5"/>
        <v>3.7271929924851824E-3</v>
      </c>
      <c r="D35" s="10">
        <f t="shared" si="5"/>
        <v>0.12267098075916925</v>
      </c>
      <c r="E35" s="10">
        <f t="shared" si="5"/>
        <v>0.64220090582876155</v>
      </c>
      <c r="F35" s="10">
        <f t="shared" si="5"/>
        <v>2.6341833031989297</v>
      </c>
      <c r="G35" s="10">
        <f t="shared" si="5"/>
        <v>3.4465651951168659</v>
      </c>
      <c r="H35" s="10">
        <f t="shared" si="5"/>
        <v>0.86684023212474515</v>
      </c>
      <c r="I35" s="5"/>
      <c r="J35" s="10">
        <f t="shared" si="6"/>
        <v>1.0262642975090528</v>
      </c>
      <c r="K35" s="10">
        <f t="shared" si="6"/>
        <v>0.54242826133470101</v>
      </c>
      <c r="L35" s="10">
        <f t="shared" si="6"/>
        <v>1.2311823302959381E-2</v>
      </c>
    </row>
    <row r="36" spans="1:12" x14ac:dyDescent="0.25">
      <c r="A36" s="236"/>
      <c r="B36" s="10" t="str">
        <f t="shared" si="5"/>
        <v/>
      </c>
      <c r="C36" s="10" t="str">
        <f t="shared" si="5"/>
        <v/>
      </c>
      <c r="D36" s="10" t="str">
        <f t="shared" si="5"/>
        <v/>
      </c>
      <c r="E36" s="10" t="str">
        <f t="shared" si="5"/>
        <v/>
      </c>
      <c r="F36" s="10" t="str">
        <f t="shared" si="5"/>
        <v/>
      </c>
      <c r="G36" s="10" t="str">
        <f t="shared" si="5"/>
        <v/>
      </c>
      <c r="H36" s="10" t="str">
        <f t="shared" si="5"/>
        <v/>
      </c>
      <c r="I36" s="5"/>
      <c r="J36" s="10" t="str">
        <f t="shared" si="6"/>
        <v/>
      </c>
      <c r="K36" s="10" t="str">
        <f t="shared" si="6"/>
        <v/>
      </c>
      <c r="L36" s="10" t="str">
        <f t="shared" si="6"/>
        <v/>
      </c>
    </row>
    <row r="37" spans="1:12" x14ac:dyDescent="0.25">
      <c r="A37" s="236"/>
      <c r="B37" s="10" t="str">
        <f t="shared" si="5"/>
        <v/>
      </c>
      <c r="C37" s="10" t="str">
        <f t="shared" si="5"/>
        <v/>
      </c>
      <c r="D37" s="10" t="str">
        <f t="shared" si="5"/>
        <v/>
      </c>
      <c r="E37" s="10" t="str">
        <f t="shared" si="5"/>
        <v/>
      </c>
      <c r="F37" s="10" t="str">
        <f t="shared" si="5"/>
        <v/>
      </c>
      <c r="G37" s="10" t="str">
        <f t="shared" si="5"/>
        <v/>
      </c>
      <c r="H37" s="10" t="str">
        <f t="shared" si="5"/>
        <v/>
      </c>
      <c r="I37" s="5"/>
      <c r="J37" s="10">
        <f t="shared" si="6"/>
        <v>2.2173997193988804</v>
      </c>
      <c r="K37" s="10" t="str">
        <f t="shared" si="6"/>
        <v/>
      </c>
      <c r="L37" s="10" t="str">
        <f t="shared" si="6"/>
        <v/>
      </c>
    </row>
    <row r="38" spans="1:12" x14ac:dyDescent="0.25">
      <c r="A38" s="236"/>
      <c r="B38" s="10" t="str">
        <f t="shared" ref="B38:H43" si="7">IF(B15="","",(B15/$J$23))</f>
        <v/>
      </c>
      <c r="C38" s="10" t="str">
        <f t="shared" si="7"/>
        <v/>
      </c>
      <c r="D38" s="10" t="str">
        <f t="shared" si="7"/>
        <v/>
      </c>
      <c r="E38" s="10" t="str">
        <f t="shared" si="7"/>
        <v/>
      </c>
      <c r="F38" s="10" t="str">
        <f t="shared" si="7"/>
        <v/>
      </c>
      <c r="G38" s="10" t="str">
        <f t="shared" si="7"/>
        <v/>
      </c>
      <c r="H38" s="10" t="str">
        <f t="shared" si="7"/>
        <v/>
      </c>
      <c r="I38" s="5"/>
      <c r="J38" s="10">
        <f t="shared" si="6"/>
        <v>2.4789864931447636</v>
      </c>
      <c r="K38" s="10" t="str">
        <f t="shared" si="6"/>
        <v/>
      </c>
      <c r="L38" s="10" t="str">
        <f t="shared" si="6"/>
        <v/>
      </c>
    </row>
    <row r="39" spans="1:12" x14ac:dyDescent="0.25">
      <c r="A39" s="236"/>
      <c r="B39" s="10" t="str">
        <f t="shared" si="7"/>
        <v/>
      </c>
      <c r="C39" s="10" t="str">
        <f t="shared" si="7"/>
        <v/>
      </c>
      <c r="D39" s="10" t="str">
        <f t="shared" si="7"/>
        <v/>
      </c>
      <c r="E39" s="10" t="str">
        <f t="shared" si="7"/>
        <v/>
      </c>
      <c r="F39" s="10" t="str">
        <f t="shared" si="7"/>
        <v/>
      </c>
      <c r="G39" s="10" t="str">
        <f t="shared" si="7"/>
        <v/>
      </c>
      <c r="H39" s="10" t="str">
        <f t="shared" si="7"/>
        <v/>
      </c>
      <c r="I39" s="5"/>
      <c r="J39" s="10">
        <f t="shared" si="6"/>
        <v>0.63552968769650664</v>
      </c>
      <c r="K39" s="10" t="str">
        <f t="shared" si="6"/>
        <v/>
      </c>
      <c r="L39" s="10" t="str">
        <f t="shared" ref="L39" si="8">IF(L16="","",(L16/$J$23))</f>
        <v/>
      </c>
    </row>
    <row r="40" spans="1:12" x14ac:dyDescent="0.25">
      <c r="A40" s="236"/>
      <c r="B40" s="10" t="str">
        <f t="shared" si="7"/>
        <v/>
      </c>
      <c r="C40" s="10" t="str">
        <f t="shared" si="7"/>
        <v/>
      </c>
      <c r="D40" s="10" t="str">
        <f t="shared" si="7"/>
        <v/>
      </c>
      <c r="E40" s="10" t="str">
        <f t="shared" si="7"/>
        <v/>
      </c>
      <c r="F40" s="10" t="str">
        <f t="shared" si="7"/>
        <v/>
      </c>
      <c r="G40" s="10" t="str">
        <f t="shared" si="7"/>
        <v/>
      </c>
      <c r="H40" s="10" t="str">
        <f t="shared" si="7"/>
        <v/>
      </c>
      <c r="I40" s="5"/>
      <c r="J40" s="10">
        <f t="shared" ref="J40:L43" si="9">IF(J17="","",(J17/$J$23))</f>
        <v>1.2337934342386723</v>
      </c>
      <c r="K40" s="10" t="str">
        <f t="shared" si="9"/>
        <v/>
      </c>
      <c r="L40" s="10" t="str">
        <f t="shared" si="9"/>
        <v/>
      </c>
    </row>
    <row r="41" spans="1:12" x14ac:dyDescent="0.25">
      <c r="A41" s="236"/>
      <c r="B41" s="10" t="str">
        <f t="shared" si="7"/>
        <v/>
      </c>
      <c r="C41" s="10" t="str">
        <f t="shared" si="7"/>
        <v/>
      </c>
      <c r="D41" s="10" t="str">
        <f t="shared" si="7"/>
        <v/>
      </c>
      <c r="E41" s="10" t="str">
        <f t="shared" si="7"/>
        <v/>
      </c>
      <c r="F41" s="10" t="str">
        <f t="shared" si="7"/>
        <v/>
      </c>
      <c r="G41" s="10" t="str">
        <f t="shared" si="7"/>
        <v/>
      </c>
      <c r="H41" s="10" t="str">
        <f t="shared" si="7"/>
        <v/>
      </c>
      <c r="I41" s="5"/>
      <c r="J41" s="10">
        <f t="shared" si="9"/>
        <v>0.29005575545345613</v>
      </c>
      <c r="K41" s="10" t="str">
        <f t="shared" si="9"/>
        <v/>
      </c>
      <c r="L41" s="10" t="str">
        <f t="shared" si="9"/>
        <v/>
      </c>
    </row>
    <row r="42" spans="1:12" x14ac:dyDescent="0.25">
      <c r="A42" s="236"/>
      <c r="B42" s="10" t="str">
        <f t="shared" si="7"/>
        <v/>
      </c>
      <c r="C42" s="10" t="str">
        <f t="shared" si="7"/>
        <v/>
      </c>
      <c r="D42" s="10" t="str">
        <f t="shared" si="7"/>
        <v/>
      </c>
      <c r="E42" s="10" t="str">
        <f t="shared" si="7"/>
        <v/>
      </c>
      <c r="F42" s="10" t="str">
        <f t="shared" si="7"/>
        <v/>
      </c>
      <c r="G42" s="10" t="str">
        <f t="shared" si="7"/>
        <v/>
      </c>
      <c r="H42" s="10" t="str">
        <f t="shared" si="7"/>
        <v/>
      </c>
      <c r="I42" s="5"/>
      <c r="J42" s="10">
        <f t="shared" si="9"/>
        <v>0.65420022419779078</v>
      </c>
      <c r="K42" s="10" t="str">
        <f t="shared" si="9"/>
        <v/>
      </c>
      <c r="L42" s="10" t="str">
        <f t="shared" si="9"/>
        <v/>
      </c>
    </row>
    <row r="43" spans="1:12" x14ac:dyDescent="0.25">
      <c r="A43" s="236"/>
      <c r="B43" s="10" t="str">
        <f t="shared" si="7"/>
        <v/>
      </c>
      <c r="C43" s="10" t="str">
        <f t="shared" si="7"/>
        <v/>
      </c>
      <c r="D43" s="10" t="str">
        <f t="shared" si="7"/>
        <v/>
      </c>
      <c r="E43" s="10" t="str">
        <f t="shared" si="7"/>
        <v/>
      </c>
      <c r="F43" s="10" t="str">
        <f t="shared" si="7"/>
        <v/>
      </c>
      <c r="G43" s="10" t="str">
        <f t="shared" si="7"/>
        <v/>
      </c>
      <c r="H43" s="10" t="str">
        <f t="shared" si="7"/>
        <v/>
      </c>
      <c r="I43" s="5"/>
      <c r="J43" s="10">
        <f t="shared" si="9"/>
        <v>0.24981720639099819</v>
      </c>
      <c r="K43" s="10" t="str">
        <f t="shared" si="9"/>
        <v/>
      </c>
      <c r="L43" s="10" t="str">
        <f t="shared" si="9"/>
        <v/>
      </c>
    </row>
    <row r="44" spans="1:12" x14ac:dyDescent="0.25">
      <c r="A44" s="6"/>
      <c r="B44" s="3"/>
      <c r="C44" s="3"/>
      <c r="D44" s="3"/>
      <c r="E44" s="3"/>
      <c r="F44" s="3"/>
      <c r="G44" s="3"/>
      <c r="H44" s="3"/>
      <c r="I44" s="6"/>
      <c r="J44" s="3"/>
      <c r="K44" s="3"/>
      <c r="L44" s="3"/>
    </row>
    <row r="45" spans="1:12" x14ac:dyDescent="0.25">
      <c r="A45" s="6" t="str">
        <f t="shared" ref="A45:H45" si="10">A4</f>
        <v>Noms des groupes</v>
      </c>
      <c r="B45" s="6" t="str">
        <f t="shared" si="10"/>
        <v>Témoin solvant</v>
      </c>
      <c r="C45" s="6" t="str">
        <f t="shared" si="10"/>
        <v>EE2-33,8ng/L</v>
      </c>
      <c r="D45" s="6" t="str">
        <f t="shared" si="10"/>
        <v>EE2-50,6ng/L</v>
      </c>
      <c r="E45" s="6" t="str">
        <f t="shared" si="10"/>
        <v>EE2-76ng/L</v>
      </c>
      <c r="F45" s="6" t="str">
        <f t="shared" si="10"/>
        <v>EE2-114ng/L</v>
      </c>
      <c r="G45" s="6" t="str">
        <f t="shared" si="10"/>
        <v>EE2-170,9ng/L</v>
      </c>
      <c r="H45" s="6" t="str">
        <f t="shared" si="10"/>
        <v>EE2-488ng/L</v>
      </c>
      <c r="I45" s="6"/>
      <c r="J45" s="6" t="str">
        <f>J4</f>
        <v>Testo -30µg/L</v>
      </c>
      <c r="K45" s="6" t="str">
        <f>K4</f>
        <v>Testo 30µg/L + EE2 -64ng/L</v>
      </c>
      <c r="L45" s="6" t="str">
        <f>L4</f>
        <v>Testo 30µg/L + FAD-10mg/L</v>
      </c>
    </row>
    <row r="46" spans="1:12" x14ac:dyDescent="0.25">
      <c r="A46" s="7" t="s">
        <v>0</v>
      </c>
      <c r="B46" s="9">
        <f t="shared" ref="B46:H46" si="11">AVERAGE(B28:B43)</f>
        <v>8.8714822098127658E-2</v>
      </c>
      <c r="C46" s="9">
        <f t="shared" si="11"/>
        <v>0.25639280835771039</v>
      </c>
      <c r="D46" s="9">
        <f t="shared" si="11"/>
        <v>0.15268267363915111</v>
      </c>
      <c r="E46" s="9">
        <f t="shared" si="11"/>
        <v>0.53968268227231386</v>
      </c>
      <c r="F46" s="9">
        <f t="shared" si="11"/>
        <v>1.3669249426030794</v>
      </c>
      <c r="G46" s="9">
        <f t="shared" si="11"/>
        <v>2.2823930725441555</v>
      </c>
      <c r="H46" s="9">
        <f t="shared" si="11"/>
        <v>2.9687077213218203</v>
      </c>
      <c r="I46" s="7" t="s">
        <v>0</v>
      </c>
      <c r="J46" s="9">
        <f t="shared" ref="J46:L46" si="12">AVERAGE(J28:J43)</f>
        <v>1.0000000000000002</v>
      </c>
      <c r="K46" s="9">
        <f t="shared" si="12"/>
        <v>2.0186569937134249</v>
      </c>
      <c r="L46" s="9">
        <f t="shared" si="12"/>
        <v>4.6511650064161518E-2</v>
      </c>
    </row>
    <row r="47" spans="1:12" x14ac:dyDescent="0.25">
      <c r="A47" s="7" t="s">
        <v>1</v>
      </c>
      <c r="B47" s="7">
        <f t="shared" ref="B47:H47" si="13">STDEV(B28:B43)</f>
        <v>8.8113502139376215E-2</v>
      </c>
      <c r="C47" s="7">
        <f t="shared" si="13"/>
        <v>0.55348497476670611</v>
      </c>
      <c r="D47" s="7">
        <f t="shared" si="13"/>
        <v>8.6861468810328635E-2</v>
      </c>
      <c r="E47" s="7">
        <f t="shared" si="13"/>
        <v>0.51767597695001621</v>
      </c>
      <c r="F47" s="7">
        <f t="shared" si="13"/>
        <v>0.92546514458249041</v>
      </c>
      <c r="G47" s="7">
        <f t="shared" si="13"/>
        <v>0.73687093169997075</v>
      </c>
      <c r="H47" s="7">
        <f t="shared" si="13"/>
        <v>1.2963761239913154</v>
      </c>
      <c r="I47" s="7" t="s">
        <v>1</v>
      </c>
      <c r="J47" s="7">
        <f t="shared" ref="J47:L47" si="14">STDEV(J28:J43)</f>
        <v>0.89815208534047941</v>
      </c>
      <c r="K47" s="7">
        <f t="shared" si="14"/>
        <v>0.87173547057604284</v>
      </c>
      <c r="L47" s="7">
        <f t="shared" si="14"/>
        <v>7.7573763972790449E-2</v>
      </c>
    </row>
    <row r="48" spans="1:12" x14ac:dyDescent="0.25">
      <c r="A48" s="7" t="s">
        <v>2</v>
      </c>
      <c r="B48" s="7">
        <f t="shared" ref="B48:H48" si="15" xml:space="preserve"> B47/SQRT(COUNT(B28:B43))</f>
        <v>3.1152827438424142E-2</v>
      </c>
      <c r="C48" s="7">
        <f t="shared" si="15"/>
        <v>0.19568648947120151</v>
      </c>
      <c r="D48" s="7">
        <f t="shared" si="15"/>
        <v>3.2830549283703291E-2</v>
      </c>
      <c r="E48" s="7">
        <f t="shared" si="15"/>
        <v>0.19566312781744974</v>
      </c>
      <c r="F48" s="7">
        <f t="shared" si="15"/>
        <v>0.32720133974303378</v>
      </c>
      <c r="G48" s="7">
        <f t="shared" si="15"/>
        <v>0.26052321633214931</v>
      </c>
      <c r="H48" s="7">
        <f t="shared" si="15"/>
        <v>0.45833817412129579</v>
      </c>
      <c r="I48" s="7" t="s">
        <v>2</v>
      </c>
      <c r="J48" s="7">
        <f t="shared" ref="J48:L48" si="16" xml:space="preserve"> J47/SQRT(COUNT(J28:J43))</f>
        <v>0.2319018712590093</v>
      </c>
      <c r="K48" s="7">
        <f t="shared" si="16"/>
        <v>0.30820503132258298</v>
      </c>
      <c r="L48" s="7">
        <f t="shared" si="16"/>
        <v>2.7426467273662408E-2</v>
      </c>
    </row>
    <row r="49" spans="1:12" ht="15.75" thickBot="1" x14ac:dyDescent="0.3">
      <c r="A49" s="7"/>
      <c r="B49" s="7"/>
      <c r="C49" s="7"/>
      <c r="D49" s="7"/>
      <c r="E49" s="7"/>
      <c r="F49" s="7"/>
      <c r="G49" s="7"/>
      <c r="H49" s="7"/>
      <c r="I49" s="7"/>
      <c r="J49" s="7"/>
      <c r="K49" s="7"/>
      <c r="L49" s="7"/>
    </row>
    <row r="50" spans="1:12" ht="27" thickBot="1" x14ac:dyDescent="0.45">
      <c r="A50" s="228" t="s">
        <v>44</v>
      </c>
      <c r="B50" s="229"/>
      <c r="C50" s="229"/>
      <c r="D50" s="229"/>
      <c r="E50" s="229"/>
      <c r="F50" s="229"/>
      <c r="G50" s="229"/>
      <c r="H50" s="229"/>
      <c r="I50" s="229"/>
      <c r="J50" s="229"/>
      <c r="K50" s="229"/>
      <c r="L50" s="229"/>
    </row>
    <row r="51" spans="1:12" ht="15.75" thickBot="1" x14ac:dyDescent="0.3"/>
    <row r="52" spans="1:12" x14ac:dyDescent="0.25">
      <c r="A52" s="44" t="str">
        <f t="shared" ref="A52:H52" si="17">A27</f>
        <v>Noms des groupes</v>
      </c>
      <c r="B52" s="45" t="str">
        <f t="shared" si="17"/>
        <v>Témoin solvant</v>
      </c>
      <c r="C52" s="45" t="str">
        <f t="shared" si="17"/>
        <v>EE2-33,8ng/L</v>
      </c>
      <c r="D52" s="45" t="str">
        <f t="shared" si="17"/>
        <v>EE2-50,6ng/L</v>
      </c>
      <c r="E52" s="45" t="str">
        <f t="shared" si="17"/>
        <v>EE2-76ng/L</v>
      </c>
      <c r="F52" s="45" t="str">
        <f t="shared" si="17"/>
        <v>EE2-114ng/L</v>
      </c>
      <c r="G52" s="45" t="str">
        <f t="shared" si="17"/>
        <v>EE2-170,9ng/L</v>
      </c>
      <c r="H52" s="45" t="str">
        <f t="shared" si="17"/>
        <v>EE2-488ng/L</v>
      </c>
      <c r="I52" s="46"/>
      <c r="J52" s="45" t="str">
        <f>J27</f>
        <v>Testo -30µg/L</v>
      </c>
      <c r="K52" s="45" t="str">
        <f>K27</f>
        <v>Testo 30µg/L + EE2 -64ng/L</v>
      </c>
      <c r="L52" s="45" t="str">
        <f>L27</f>
        <v>Testo 30µg/L + FAD-10mg/L</v>
      </c>
    </row>
    <row r="53" spans="1:12" s="3" customFormat="1" x14ac:dyDescent="0.25">
      <c r="A53" s="59" t="s">
        <v>32</v>
      </c>
      <c r="B53" s="139">
        <f t="shared" ref="B53:H53" si="18">B46</f>
        <v>8.8714822098127658E-2</v>
      </c>
      <c r="C53" s="139">
        <f t="shared" si="18"/>
        <v>0.25639280835771039</v>
      </c>
      <c r="D53" s="139">
        <f t="shared" si="18"/>
        <v>0.15268267363915111</v>
      </c>
      <c r="E53" s="139">
        <f t="shared" si="18"/>
        <v>0.53968268227231386</v>
      </c>
      <c r="F53" s="139">
        <f t="shared" si="18"/>
        <v>1.3669249426030794</v>
      </c>
      <c r="G53" s="139">
        <f t="shared" si="18"/>
        <v>2.2823930725441555</v>
      </c>
      <c r="H53" s="139">
        <f t="shared" si="18"/>
        <v>2.9687077213218203</v>
      </c>
      <c r="I53" s="139"/>
      <c r="J53" s="139">
        <f>J46</f>
        <v>1.0000000000000002</v>
      </c>
      <c r="K53" s="139">
        <f>K46</f>
        <v>2.0186569937134249</v>
      </c>
      <c r="L53" s="139">
        <f>L46</f>
        <v>4.6511650064161518E-2</v>
      </c>
    </row>
    <row r="54" spans="1:12" s="3" customFormat="1" x14ac:dyDescent="0.25">
      <c r="A54" s="59" t="s">
        <v>2</v>
      </c>
      <c r="B54" s="139">
        <f t="shared" ref="B54:H54" si="19">B48</f>
        <v>3.1152827438424142E-2</v>
      </c>
      <c r="C54" s="139">
        <f t="shared" si="19"/>
        <v>0.19568648947120151</v>
      </c>
      <c r="D54" s="139">
        <f t="shared" si="19"/>
        <v>3.2830549283703291E-2</v>
      </c>
      <c r="E54" s="139">
        <f t="shared" si="19"/>
        <v>0.19566312781744974</v>
      </c>
      <c r="F54" s="139">
        <f t="shared" si="19"/>
        <v>0.32720133974303378</v>
      </c>
      <c r="G54" s="139">
        <f t="shared" si="19"/>
        <v>0.26052321633214931</v>
      </c>
      <c r="H54" s="139">
        <f t="shared" si="19"/>
        <v>0.45833817412129579</v>
      </c>
      <c r="I54" s="139"/>
      <c r="J54" s="139">
        <f>J48</f>
        <v>0.2319018712590093</v>
      </c>
      <c r="K54" s="139">
        <f>K48</f>
        <v>0.30820503132258298</v>
      </c>
      <c r="L54" s="139">
        <f>L48</f>
        <v>2.7426467273662408E-2</v>
      </c>
    </row>
    <row r="55" spans="1:12" s="3" customFormat="1" x14ac:dyDescent="0.25">
      <c r="A55" s="59" t="s">
        <v>79</v>
      </c>
      <c r="B55" s="139">
        <f t="shared" ref="B55:H55" si="20">(B53*100/$B53)-100</f>
        <v>0</v>
      </c>
      <c r="C55" s="139">
        <f t="shared" si="20"/>
        <v>189.00785944665904</v>
      </c>
      <c r="D55" s="139">
        <f t="shared" si="20"/>
        <v>72.105032764726133</v>
      </c>
      <c r="E55" s="139">
        <f t="shared" si="20"/>
        <v>508.33428902711398</v>
      </c>
      <c r="F55" s="139">
        <f t="shared" si="20"/>
        <v>1440.8078495509135</v>
      </c>
      <c r="G55" s="139">
        <f t="shared" si="20"/>
        <v>2472.7302592340156</v>
      </c>
      <c r="H55" s="139">
        <f t="shared" si="20"/>
        <v>3246.3491794394022</v>
      </c>
      <c r="I55" s="139"/>
      <c r="J55" s="139">
        <f>(J53*100/$J53)-100</f>
        <v>0</v>
      </c>
      <c r="K55" s="139">
        <f t="shared" ref="K55:L55" si="21">(K53*100/$J53)-100</f>
        <v>101.86569937134243</v>
      </c>
      <c r="L55" s="139">
        <f t="shared" si="21"/>
        <v>-95.34883499358385</v>
      </c>
    </row>
    <row r="56" spans="1:12" s="3" customFormat="1" x14ac:dyDescent="0.25">
      <c r="A56" s="59" t="s">
        <v>81</v>
      </c>
      <c r="B56" s="139">
        <f>[1]!SWTEST(B28:B43)</f>
        <v>4.2071782382021805E-2</v>
      </c>
      <c r="C56" s="139">
        <f>[1]!SWTEST(C28:C43)</f>
        <v>1.8118501064035009E-5</v>
      </c>
      <c r="D56" s="139">
        <f>[1]!SWTEST(D28:D43)</f>
        <v>0.15258668092049654</v>
      </c>
      <c r="E56" s="139">
        <f>[1]!SWTEST(E28:E43)</f>
        <v>0.17378289718834328</v>
      </c>
      <c r="F56" s="139">
        <f>[1]!SWTEST(F28:F43)</f>
        <v>0.32407266085598263</v>
      </c>
      <c r="G56" s="139">
        <f>[1]!SWTEST(G28:G43)</f>
        <v>0.94964840380244686</v>
      </c>
      <c r="H56" s="139">
        <f>[1]!SWTEST(H28:H43)</f>
        <v>0.76505269239085394</v>
      </c>
      <c r="I56" s="139"/>
      <c r="J56" s="139">
        <f>[1]!SWTEST(J28:J43)</f>
        <v>1.4475563224172761E-2</v>
      </c>
      <c r="K56" s="139">
        <f>[1]!SWTEST(K28:K43)</f>
        <v>0.21265280729633673</v>
      </c>
      <c r="L56" s="139">
        <f>[1]!SWTEST(L28:L43)</f>
        <v>4.2695159172212449E-5</v>
      </c>
    </row>
    <row r="57" spans="1:12" s="3" customFormat="1" x14ac:dyDescent="0.25">
      <c r="A57" s="59" t="s">
        <v>85</v>
      </c>
      <c r="B57" s="139" t="str">
        <f t="shared" ref="B57:H57" si="22">IF(B56&gt;0.05,"Oui","Non")</f>
        <v>Non</v>
      </c>
      <c r="C57" s="139" t="str">
        <f t="shared" si="22"/>
        <v>Non</v>
      </c>
      <c r="D57" s="139" t="str">
        <f t="shared" si="22"/>
        <v>Oui</v>
      </c>
      <c r="E57" s="139" t="str">
        <f t="shared" si="22"/>
        <v>Oui</v>
      </c>
      <c r="F57" s="139" t="str">
        <f t="shared" si="22"/>
        <v>Oui</v>
      </c>
      <c r="G57" s="139" t="str">
        <f t="shared" si="22"/>
        <v>Oui</v>
      </c>
      <c r="H57" s="139" t="str">
        <f t="shared" si="22"/>
        <v>Oui</v>
      </c>
      <c r="I57" s="139"/>
      <c r="J57" s="139" t="str">
        <f>IF(J56&gt;0.05,"Oui","Non")</f>
        <v>Non</v>
      </c>
      <c r="K57" s="139" t="str">
        <f>IF(K56&gt;0.05,"Oui","Non")</f>
        <v>Oui</v>
      </c>
      <c r="L57" s="139" t="str">
        <f>IF(L56&gt;0.05,"Oui","Non")</f>
        <v>Non</v>
      </c>
    </row>
    <row r="58" spans="1:12" s="3" customFormat="1" x14ac:dyDescent="0.25">
      <c r="A58" s="59"/>
      <c r="B58" s="139"/>
      <c r="C58" s="139"/>
      <c r="D58" s="139"/>
      <c r="E58" s="139"/>
      <c r="F58" s="139"/>
      <c r="G58" s="139"/>
      <c r="H58" s="139"/>
      <c r="I58" s="146"/>
      <c r="J58" s="147"/>
      <c r="K58" s="139"/>
      <c r="L58" s="139"/>
    </row>
    <row r="59" spans="1:12" s="3" customFormat="1" x14ac:dyDescent="0.25">
      <c r="A59" s="59" t="s">
        <v>82</v>
      </c>
      <c r="B59" s="148"/>
      <c r="C59" s="148" t="str">
        <f t="shared" ref="C59:H59" si="23">IF($B57="Non",IF(C57="Non","MW",IF(C57="Oui","MW","")),IF($B57="Oui",IF(C57="Oui","T-Test Welch",IF(C57="Non","MW",""))))</f>
        <v>MW</v>
      </c>
      <c r="D59" s="148" t="str">
        <f t="shared" si="23"/>
        <v>MW</v>
      </c>
      <c r="E59" s="148" t="str">
        <f t="shared" si="23"/>
        <v>MW</v>
      </c>
      <c r="F59" s="148" t="str">
        <f t="shared" si="23"/>
        <v>MW</v>
      </c>
      <c r="G59" s="148" t="str">
        <f t="shared" si="23"/>
        <v>MW</v>
      </c>
      <c r="H59" s="148" t="str">
        <f t="shared" si="23"/>
        <v>MW</v>
      </c>
      <c r="I59" s="148"/>
      <c r="J59" s="148" t="str">
        <f>IF($B57="Non",IF(J57="Non","MW",IF(J57="Oui","MW","")),IF($B57="Oui",IF(J57="Oui","T-Test Welch",IF(J57="Non","MW",""))))</f>
        <v>MW</v>
      </c>
      <c r="K59" s="148" t="str">
        <f>IF($J57="Non",IF(K57="Non","MW",IF(K57="Oui","MW","")),IF($J57="Oui",IF(K57="Oui","T-Test Welch",IF(K57="Non","MW",""))))</f>
        <v>MW</v>
      </c>
      <c r="L59" s="148" t="str">
        <f t="shared" ref="L59" si="24">IF($J57="Non",IF(L57="Non","MW",IF(L57="Oui","MW","")),IF($J57="Oui",IF(L57="Oui","T-Test Welch",IF(L57="Non","MW",""))))</f>
        <v>MW</v>
      </c>
    </row>
    <row r="60" spans="1:12" s="3" customFormat="1" x14ac:dyDescent="0.25">
      <c r="A60" s="59" t="s">
        <v>83</v>
      </c>
      <c r="B60" s="149"/>
      <c r="C60" s="149">
        <f>IF(C59="MW",[1]!MTEST($B28:$B43,C28:C43,2), IF(C59="T-Test Welch",_xlfn.T.TEST($B28:$B43,C28:C43,2,3),""))</f>
        <v>0.75271380626305229</v>
      </c>
      <c r="D60" s="149">
        <f>IF(D59="MW",[1]!MTEST($B28:$B43,D28:D43,2), IF(D59="T-Test Welch",_xlfn.T.TEST($B28:$B43,D28:D43,2,3),""))</f>
        <v>0.20301710604921364</v>
      </c>
      <c r="E60" s="149">
        <f>IF(E59="MW",[1]!MTEST($B28:$B43,E28:E43,2), IF(E59="T-Test Welch",_xlfn.T.TEST($B28:$B43,E28:E43,2,3),""))</f>
        <v>1.5087255494406593E-2</v>
      </c>
      <c r="F60" s="149">
        <f>IF(F59="MW",[1]!MTEST($B28:$B43,F28:F43,2), IF(F59="T-Test Welch",_xlfn.T.TEST($B28:$B43,F28:F43,2,3),""))</f>
        <v>7.7753044694039986E-4</v>
      </c>
      <c r="G60" s="149">
        <f>IF(G59="MW",[1]!MTEST($B28:$B43,G28:G43,2), IF(G59="T-Test Welch",_xlfn.T.TEST($B28:$B43,G28:G43,2,3),""))</f>
        <v>7.7753044694039986E-4</v>
      </c>
      <c r="H60" s="149">
        <f>IF(H59="MW",[1]!MTEST($B28:$B43,H28:H43,2), IF(H59="T-Test Welch",_xlfn.T.TEST($B28:$B43,H28:H43,2,3),""))</f>
        <v>7.7753044694039986E-4</v>
      </c>
      <c r="I60" s="149"/>
      <c r="J60" s="149">
        <f>IF(J59="MW",[1]!MTEST($B28:$B43,J28:J43,2), IF(J59="T-Test Welch",_xlfn.T.TEST($B28:$B43,J28:J43,2,3),""))</f>
        <v>1.2488309880884785E-3</v>
      </c>
      <c r="K60" s="149">
        <f>IF(K59="MW",[1]!MTEST($J28:$J43,K28:K43,2), IF(K59="T-Test Welch",_xlfn.T.TEST($J28:$J43,K28:K43,2,3),""))</f>
        <v>2.0136751550346332E-2</v>
      </c>
      <c r="L60" s="149">
        <f>IF(L59="MW",[1]!MTEST($J28:$J43,L28:L43,2), IF(L59="T-Test Welch",_xlfn.T.TEST($J28:$J43,L28:L43,2,3),""))</f>
        <v>3.0059760744038933E-4</v>
      </c>
    </row>
    <row r="61" spans="1:12" s="3" customFormat="1" ht="15.75" thickBot="1" x14ac:dyDescent="0.3">
      <c r="A61" s="60" t="s">
        <v>84</v>
      </c>
      <c r="B61" s="140"/>
      <c r="C61" s="140" t="str">
        <f t="shared" ref="C61:H61" si="25">IF(C60&gt;0.05,"NS",IF(C60&gt;0.01,"*",IF(C60&gt;0.001,"**","***")))</f>
        <v>NS</v>
      </c>
      <c r="D61" s="140" t="str">
        <f t="shared" si="25"/>
        <v>NS</v>
      </c>
      <c r="E61" s="140" t="str">
        <f t="shared" si="25"/>
        <v>*</v>
      </c>
      <c r="F61" s="140" t="str">
        <f t="shared" si="25"/>
        <v>***</v>
      </c>
      <c r="G61" s="140" t="str">
        <f t="shared" si="25"/>
        <v>***</v>
      </c>
      <c r="H61" s="140" t="str">
        <f t="shared" si="25"/>
        <v>***</v>
      </c>
      <c r="I61" s="140"/>
      <c r="J61" s="140" t="str">
        <f>IF(J60&gt;0.05,"NS",IF(J60&gt;0.01,"*",IF(J60&gt;0.001,"**","***")))</f>
        <v>**</v>
      </c>
      <c r="K61" s="140" t="str">
        <f>IF(K60&gt;0.05,"NS",IF(K60&gt;0.01,"*",IF(K60&gt;0.001,"**","***")))</f>
        <v>*</v>
      </c>
      <c r="L61" s="140" t="str">
        <f t="shared" ref="L61" si="26">IF(L60&gt;0.05,"NS",IF(L60&gt;0.01,"*",IF(L60&gt;0.001,"**","***")))</f>
        <v>***</v>
      </c>
    </row>
    <row r="63" spans="1:12" x14ac:dyDescent="0.25">
      <c r="A63" s="2" t="s">
        <v>39</v>
      </c>
    </row>
    <row r="64" spans="1:12" x14ac:dyDescent="0.25">
      <c r="A64" s="1" t="s">
        <v>23</v>
      </c>
      <c r="B64" s="1">
        <f>B46+(3*B47)</f>
        <v>0.35305532851625632</v>
      </c>
    </row>
    <row r="65" spans="1:12" x14ac:dyDescent="0.25">
      <c r="A65" s="1" t="s">
        <v>24</v>
      </c>
      <c r="B65" s="1">
        <f>B46+(10*B47)</f>
        <v>0.96984984349188974</v>
      </c>
    </row>
    <row r="66" spans="1:12" ht="15.75" thickBot="1" x14ac:dyDescent="0.3"/>
    <row r="67" spans="1:12" ht="27" thickBot="1" x14ac:dyDescent="0.45">
      <c r="A67" s="228" t="s">
        <v>45</v>
      </c>
      <c r="B67" s="229"/>
      <c r="C67" s="229"/>
      <c r="D67" s="229"/>
      <c r="E67" s="229"/>
      <c r="F67" s="229"/>
      <c r="G67" s="229"/>
      <c r="H67" s="229"/>
      <c r="I67" s="229"/>
      <c r="J67" s="229"/>
      <c r="K67" s="229"/>
      <c r="L67" s="229"/>
    </row>
    <row r="68" spans="1:12" ht="16.5" x14ac:dyDescent="0.25">
      <c r="A68" s="11"/>
      <c r="B68" s="11"/>
      <c r="C68" s="11"/>
      <c r="D68" s="11"/>
      <c r="E68" s="11"/>
      <c r="F68" s="11"/>
      <c r="I68" s="11"/>
      <c r="J68" s="11"/>
      <c r="K68" s="11"/>
      <c r="L68" s="11"/>
    </row>
    <row r="69" spans="1:12" ht="16.5" x14ac:dyDescent="0.25">
      <c r="A69" s="11"/>
      <c r="B69" s="11"/>
      <c r="C69" s="11"/>
      <c r="D69" s="11"/>
      <c r="E69" s="11"/>
      <c r="F69" s="11"/>
      <c r="I69" s="11"/>
      <c r="J69" s="11"/>
      <c r="K69" s="11"/>
      <c r="L69" s="11"/>
    </row>
    <row r="70" spans="1:12" ht="16.5" x14ac:dyDescent="0.25">
      <c r="A70" s="11"/>
      <c r="B70" s="11"/>
      <c r="C70" s="11"/>
      <c r="D70" s="11"/>
      <c r="E70" s="11"/>
      <c r="F70" s="11"/>
      <c r="I70" s="11"/>
      <c r="J70" s="11"/>
      <c r="K70" s="11"/>
      <c r="L70" s="11"/>
    </row>
    <row r="71" spans="1:12" ht="16.5" x14ac:dyDescent="0.25">
      <c r="A71" s="11"/>
      <c r="B71" s="11"/>
      <c r="C71" s="11"/>
      <c r="D71" s="11"/>
      <c r="E71" s="11"/>
      <c r="F71" s="11"/>
      <c r="I71" s="11"/>
      <c r="J71" s="11"/>
      <c r="K71" s="11"/>
      <c r="L71" s="11"/>
    </row>
    <row r="72" spans="1:12" ht="16.5" x14ac:dyDescent="0.25">
      <c r="A72" s="11"/>
      <c r="B72" s="11"/>
      <c r="C72" s="11"/>
      <c r="D72" s="11"/>
      <c r="E72" s="11"/>
      <c r="F72" s="11"/>
      <c r="I72" s="11"/>
      <c r="J72" s="11"/>
      <c r="K72" s="11"/>
      <c r="L72" s="11"/>
    </row>
    <row r="73" spans="1:12" ht="16.5" x14ac:dyDescent="0.25">
      <c r="A73" s="11"/>
      <c r="B73" s="11"/>
      <c r="C73" s="11"/>
      <c r="D73" s="11"/>
      <c r="E73" s="11"/>
      <c r="F73" s="11"/>
      <c r="I73" s="11"/>
      <c r="J73" s="11"/>
      <c r="K73" s="11"/>
      <c r="L73" s="11"/>
    </row>
    <row r="74" spans="1:12" ht="16.5" x14ac:dyDescent="0.25">
      <c r="A74" s="11"/>
      <c r="B74" s="11"/>
      <c r="C74" s="11"/>
      <c r="D74" s="11"/>
      <c r="E74" s="11"/>
      <c r="F74" s="11"/>
      <c r="I74" s="11"/>
      <c r="J74" s="11"/>
      <c r="K74" s="11"/>
      <c r="L74" s="11"/>
    </row>
  </sheetData>
  <protectedRanges>
    <protectedRange sqref="J51:L51" name="Plage2"/>
    <protectedRange sqref="B51:H51" name="Plage2_1"/>
    <protectedRange sqref="J5:J20 B5:H20" name="Plage1_1"/>
  </protectedRanges>
  <mergeCells count="9">
    <mergeCell ref="A28:A43"/>
    <mergeCell ref="A50:L50"/>
    <mergeCell ref="A67:L67"/>
    <mergeCell ref="A1:L1"/>
    <mergeCell ref="B3:H3"/>
    <mergeCell ref="J3:L3"/>
    <mergeCell ref="A5:A20"/>
    <mergeCell ref="B26:H26"/>
    <mergeCell ref="J26:L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9"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93"/>
  <sheetViews>
    <sheetView showGridLines="0" topLeftCell="E1" zoomScale="70" zoomScaleNormal="70" workbookViewId="0">
      <selection activeCell="N17" sqref="N17"/>
    </sheetView>
  </sheetViews>
  <sheetFormatPr baseColWidth="10" defaultRowHeight="15" x14ac:dyDescent="0.25"/>
  <cols>
    <col min="1" max="1" width="42.85546875" style="1" customWidth="1"/>
    <col min="2" max="2" width="14" style="1" bestFit="1" customWidth="1"/>
    <col min="3" max="12" width="22.7109375" style="1" bestFit="1" customWidth="1"/>
    <col min="13" max="13" width="11.42578125" style="1"/>
    <col min="14" max="33" width="29.140625" style="1" customWidth="1"/>
  </cols>
  <sheetData>
    <row r="1" spans="1:33" s="1" customFormat="1" ht="21.75" thickBot="1" x14ac:dyDescent="0.3">
      <c r="A1" s="36" t="s">
        <v>8</v>
      </c>
      <c r="B1" s="52" t="e">
        <f>'Page de garde'!#REF!</f>
        <v>#REF!</v>
      </c>
      <c r="C1" s="37"/>
      <c r="D1" s="37"/>
      <c r="E1" s="37"/>
      <c r="F1" s="37"/>
      <c r="G1" s="37"/>
      <c r="H1" s="53"/>
      <c r="I1" s="52"/>
      <c r="J1" s="54"/>
      <c r="K1" s="54"/>
      <c r="L1" s="54"/>
      <c r="M1" s="54"/>
      <c r="N1" s="54"/>
      <c r="O1" s="54"/>
      <c r="P1" s="54"/>
      <c r="Q1" s="54"/>
      <c r="R1" s="54"/>
      <c r="S1" s="54"/>
      <c r="T1" s="54"/>
      <c r="U1" s="54"/>
      <c r="V1" s="54"/>
      <c r="W1" s="54"/>
      <c r="X1" s="54"/>
      <c r="Y1" s="54"/>
      <c r="Z1" s="54"/>
      <c r="AA1" s="54"/>
      <c r="AB1" s="54"/>
      <c r="AC1" s="54"/>
      <c r="AD1" s="54"/>
      <c r="AE1" s="54"/>
      <c r="AF1" s="54"/>
      <c r="AG1" s="55"/>
    </row>
    <row r="2" spans="1:33" ht="15.75" thickBot="1" x14ac:dyDescent="0.3"/>
    <row r="3" spans="1:33" s="32" customFormat="1" ht="15.75" thickBot="1" x14ac:dyDescent="0.3">
      <c r="B3" s="195" t="s">
        <v>6</v>
      </c>
      <c r="C3" s="196"/>
      <c r="D3" s="196"/>
      <c r="E3" s="196"/>
      <c r="F3" s="196"/>
      <c r="G3" s="196"/>
      <c r="H3" s="196"/>
      <c r="I3" s="196"/>
      <c r="J3" s="196"/>
      <c r="K3" s="196"/>
      <c r="L3" s="196"/>
      <c r="M3" s="235"/>
      <c r="N3" s="235"/>
      <c r="O3" s="235"/>
      <c r="P3" s="235"/>
      <c r="Q3" s="235"/>
      <c r="R3" s="235"/>
      <c r="S3" s="235"/>
      <c r="T3" s="235"/>
      <c r="U3" s="235"/>
      <c r="V3" s="235"/>
      <c r="W3" s="235"/>
      <c r="X3" s="235"/>
      <c r="Y3" s="235"/>
      <c r="Z3" s="235"/>
      <c r="AA3" s="235"/>
      <c r="AB3" s="235"/>
      <c r="AC3" s="235"/>
      <c r="AD3" s="235"/>
      <c r="AE3" s="235"/>
      <c r="AF3" s="235"/>
      <c r="AG3" s="244"/>
    </row>
    <row r="4" spans="1:33" x14ac:dyDescent="0.25">
      <c r="A4" s="33" t="s">
        <v>41</v>
      </c>
      <c r="B4" s="34" t="str">
        <f>'R1'!B4</f>
        <v>Témoin solvant</v>
      </c>
      <c r="C4" s="34" t="str">
        <f>'R1'!C4</f>
        <v>EE2-33,8ng/L</v>
      </c>
      <c r="D4" s="34" t="str">
        <f>'R1'!D4</f>
        <v>EE2-50,6ng/L</v>
      </c>
      <c r="E4" s="34" t="str">
        <f>'R1'!E4</f>
        <v>EE2-76ng/L</v>
      </c>
      <c r="F4" s="34" t="str">
        <f>'R1'!F4</f>
        <v>EE2-114ng/L</v>
      </c>
      <c r="G4" s="34" t="str">
        <f>'R1'!G4</f>
        <v>EE2-170,9ng/L</v>
      </c>
      <c r="H4" s="34" t="str">
        <f>'R1'!H4</f>
        <v>EE2-488ng/L</v>
      </c>
      <c r="J4" s="34" t="str">
        <f>'R1'!J4</f>
        <v>Testo -30µg/L</v>
      </c>
      <c r="K4" s="34" t="str">
        <f>'R1'!K4</f>
        <v>Testo 30µg/L + EE2 -64ng/L</v>
      </c>
      <c r="L4" s="34" t="str">
        <f>'R1'!L4</f>
        <v>Testo 30µg/L + FAD-10mg/L</v>
      </c>
    </row>
    <row r="5" spans="1:33" s="1" customFormat="1" x14ac:dyDescent="0.25">
      <c r="A5" s="33"/>
      <c r="B5" s="34"/>
      <c r="C5" s="193" t="s">
        <v>166</v>
      </c>
      <c r="D5" s="34"/>
      <c r="E5" s="34"/>
      <c r="F5" s="34"/>
      <c r="G5" s="34"/>
      <c r="H5" s="34"/>
      <c r="J5" s="34"/>
      <c r="K5" s="34"/>
      <c r="L5" s="34"/>
    </row>
    <row r="6" spans="1:33" s="1" customFormat="1" x14ac:dyDescent="0.25">
      <c r="A6" s="69" t="s">
        <v>4</v>
      </c>
      <c r="B6" s="50" t="str">
        <f>'R1'!B28</f>
        <v/>
      </c>
      <c r="C6" s="50">
        <f>'R1'!C28</f>
        <v>0.2140622586126989</v>
      </c>
      <c r="D6" s="50">
        <f>'R1'!D28</f>
        <v>9.7289577442083844E-2</v>
      </c>
      <c r="E6" s="50">
        <f>'R1'!E28</f>
        <v>5.3222751361844185E-2</v>
      </c>
      <c r="F6" s="50" t="str">
        <f>'R1'!F28</f>
        <v/>
      </c>
      <c r="G6" s="50">
        <f>'R1'!G28</f>
        <v>0.90838869148771828</v>
      </c>
      <c r="H6" s="50" t="str">
        <f>'R1'!H28</f>
        <v/>
      </c>
      <c r="J6" s="50">
        <f>'R1'!J28</f>
        <v>1.1572736920586517</v>
      </c>
      <c r="K6" s="50">
        <f>'R1'!K28</f>
        <v>2.1256607714990028</v>
      </c>
      <c r="L6" s="50">
        <f>'R1'!L28</f>
        <v>4.7152385494260443E-2</v>
      </c>
    </row>
    <row r="7" spans="1:33" s="1" customFormat="1" ht="15" customHeight="1" x14ac:dyDescent="0.25">
      <c r="A7" s="238" t="s">
        <v>34</v>
      </c>
      <c r="B7" s="50">
        <f>'R1'!B29</f>
        <v>5.3008651320871313E-2</v>
      </c>
      <c r="C7" s="50">
        <f>'R1'!C29</f>
        <v>7.8637685637329646E-2</v>
      </c>
      <c r="D7" s="50">
        <f>'R1'!D29</f>
        <v>0.12089095842932852</v>
      </c>
      <c r="E7" s="50">
        <f>'R1'!E29</f>
        <v>0.28320397772687889</v>
      </c>
      <c r="F7" s="50">
        <f>'R1'!F29</f>
        <v>0.28715853142484837</v>
      </c>
      <c r="G7" s="50">
        <f>'R1'!G29</f>
        <v>1.3757942691716092</v>
      </c>
      <c r="H7" s="50">
        <f>'R1'!H29</f>
        <v>2.6724344937835425</v>
      </c>
      <c r="J7" s="50">
        <f>'R1'!J29</f>
        <v>0.19734986129675777</v>
      </c>
      <c r="K7" s="50">
        <f>'R1'!K29</f>
        <v>2.1455216988292505</v>
      </c>
      <c r="L7" s="50">
        <f>'R1'!L29</f>
        <v>0.13784264402635699</v>
      </c>
    </row>
    <row r="8" spans="1:33" s="1" customFormat="1" x14ac:dyDescent="0.25">
      <c r="A8" s="239"/>
      <c r="B8" s="50">
        <f>'R1'!B30</f>
        <v>4.2593314033544022E-2</v>
      </c>
      <c r="C8" s="50">
        <f>'R1'!C30</f>
        <v>0.25598808428320985</v>
      </c>
      <c r="D8" s="50">
        <f>'R1'!D30</f>
        <v>0.31913500225014946</v>
      </c>
      <c r="E8" s="50">
        <f>'R1'!E30</f>
        <v>0.19538517856783025</v>
      </c>
      <c r="F8" s="50">
        <f>'R1'!F30</f>
        <v>0</v>
      </c>
      <c r="G8" s="50">
        <f>'R1'!G30</f>
        <v>1.0221513779646558</v>
      </c>
      <c r="H8" s="50">
        <f>'R1'!H30</f>
        <v>2.2698004755539736</v>
      </c>
      <c r="J8" s="50">
        <f>'R1'!J30</f>
        <v>0.79709445254199718</v>
      </c>
      <c r="K8" s="50">
        <f>'R1'!K30</f>
        <v>2.180986740910404</v>
      </c>
      <c r="L8" s="50" t="str">
        <f>'R1'!L30</f>
        <v/>
      </c>
    </row>
    <row r="9" spans="1:33" s="1" customFormat="1" x14ac:dyDescent="0.25">
      <c r="A9" s="239"/>
      <c r="B9" s="50">
        <f>'R1'!B31</f>
        <v>2.3563598627072992E-2</v>
      </c>
      <c r="C9" s="50">
        <f>'R1'!C31</f>
        <v>6.5703524338556821E-2</v>
      </c>
      <c r="D9" s="50">
        <f>'R1'!D31</f>
        <v>0.21972961263845137</v>
      </c>
      <c r="E9" s="50">
        <f>'R1'!E31</f>
        <v>3.7266001249336711E-2</v>
      </c>
      <c r="F9" s="50">
        <f>'R1'!F31</f>
        <v>0.90115966657486957</v>
      </c>
      <c r="G9" s="50">
        <f>'R1'!G31</f>
        <v>0.43200350620302397</v>
      </c>
      <c r="H9" s="50">
        <f>'R1'!H31</f>
        <v>1.8528091604591648</v>
      </c>
      <c r="J9" s="50">
        <f>'R1'!J31</f>
        <v>1.2754569146756762</v>
      </c>
      <c r="K9" s="50">
        <f>'R1'!K31</f>
        <v>2.8212214281396304</v>
      </c>
      <c r="L9" s="50" t="str">
        <f>'R1'!L31</f>
        <v/>
      </c>
    </row>
    <row r="10" spans="1:33" s="1" customFormat="1" x14ac:dyDescent="0.25">
      <c r="A10" s="239"/>
      <c r="B10" s="50">
        <f>'R1'!B32</f>
        <v>3.9167713377978091E-3</v>
      </c>
      <c r="C10" s="50">
        <f>'R1'!C32</f>
        <v>5.8109269944048525E-2</v>
      </c>
      <c r="D10" s="50">
        <f>'R1'!D32</f>
        <v>2.8097481847674959E-2</v>
      </c>
      <c r="E10" s="50">
        <f>'R1'!E32</f>
        <v>6.5703524338556821E-2</v>
      </c>
      <c r="F10" s="50">
        <f>'R1'!F32</f>
        <v>0.10744043820820935</v>
      </c>
      <c r="G10" s="50">
        <f>'R1'!G32</f>
        <v>0.19148100135008966</v>
      </c>
      <c r="H10" s="50">
        <f>'R1'!H32</f>
        <v>2.1558488772761772</v>
      </c>
      <c r="J10" s="50">
        <f>'R1'!J32</f>
        <v>1.6197927511603383</v>
      </c>
      <c r="K10" s="50">
        <f>'R1'!K32</f>
        <v>1.5388251533124215</v>
      </c>
      <c r="L10" s="50">
        <f>'R1'!L32</f>
        <v>6.0136923273262179E-2</v>
      </c>
    </row>
    <row r="11" spans="1:33" s="1" customFormat="1" x14ac:dyDescent="0.25">
      <c r="A11" s="239"/>
      <c r="B11" s="50">
        <f>'R1'!B33</f>
        <v>6.6836995143707306E-2</v>
      </c>
      <c r="C11" s="50">
        <f>'R1'!C33</f>
        <v>0.18994451870310788</v>
      </c>
      <c r="D11" s="50" t="str">
        <f>'R1'!D33</f>
        <v/>
      </c>
      <c r="E11" s="50">
        <f>'R1'!E33</f>
        <v>0.60002166188649841</v>
      </c>
      <c r="F11" s="50">
        <f>'R1'!F33</f>
        <v>6.3864782810201581E-2</v>
      </c>
      <c r="G11" s="50">
        <f>'R1'!G33</f>
        <v>2.1756090516459676</v>
      </c>
      <c r="H11" s="50">
        <f>'R1'!H33</f>
        <v>2.3426826483251499</v>
      </c>
      <c r="J11" s="50">
        <f>'R1'!J33</f>
        <v>0.1614188367734872</v>
      </c>
      <c r="K11" s="50" t="str">
        <f>'R1'!K33</f>
        <v/>
      </c>
      <c r="L11" s="50">
        <f>'R1'!L33</f>
        <v>3.5099812599493546E-2</v>
      </c>
    </row>
    <row r="12" spans="1:33" s="1" customFormat="1" x14ac:dyDescent="0.25">
      <c r="A12" s="239"/>
      <c r="B12" s="50">
        <f>'R1'!B34</f>
        <v>4.4721720323215496E-2</v>
      </c>
      <c r="C12" s="50">
        <f>'R1'!C34</f>
        <v>5.0376480228910723E-3</v>
      </c>
      <c r="D12" s="50">
        <f>'R1'!D34</f>
        <v>0</v>
      </c>
      <c r="E12" s="50">
        <f>'R1'!E34</f>
        <v>1.2191108215396396E-2</v>
      </c>
      <c r="F12" s="50">
        <f>'R1'!F34</f>
        <v>1.6308126062104125</v>
      </c>
      <c r="G12" s="50">
        <f>'R1'!G34</f>
        <v>1.3096247623909349</v>
      </c>
      <c r="H12" s="50">
        <f>'R1'!H34</f>
        <v>0.46672549520080064</v>
      </c>
      <c r="J12" s="50">
        <f>'R1'!J34</f>
        <v>1.7245758300364726</v>
      </c>
      <c r="K12" s="50">
        <f>'R1'!K34</f>
        <v>2.2183031186399695</v>
      </c>
      <c r="L12" s="50">
        <f>'R1'!L34</f>
        <v>7.7327897151377965E-3</v>
      </c>
    </row>
    <row r="13" spans="1:33" s="1" customFormat="1" x14ac:dyDescent="0.25">
      <c r="A13" s="239"/>
      <c r="B13" s="50">
        <f>'R1'!B35</f>
        <v>4.0338966543300263E-2</v>
      </c>
      <c r="C13" s="50">
        <f>'R1'!C35</f>
        <v>0.22607704914729412</v>
      </c>
      <c r="D13" s="50">
        <f>'R1'!D35</f>
        <v>1.0604249088185708E-2</v>
      </c>
      <c r="E13" s="50">
        <f>'R1'!E35</f>
        <v>4.1195366707191747E-2</v>
      </c>
      <c r="F13" s="50">
        <f>'R1'!F35</f>
        <v>0.6058905218331665</v>
      </c>
      <c r="G13" s="50">
        <f>'R1'!G35</f>
        <v>0.31528120151263778</v>
      </c>
      <c r="H13" s="50">
        <f>'R1'!H35</f>
        <v>2.6905070560656643</v>
      </c>
      <c r="J13" s="50">
        <f>'R1'!J35</f>
        <v>1.6992616487214449</v>
      </c>
      <c r="K13" s="50">
        <f>'R1'!K35</f>
        <v>2.0801456216121816</v>
      </c>
      <c r="L13" s="50">
        <f>'R1'!L35</f>
        <v>4.9142256463302413E-2</v>
      </c>
    </row>
    <row r="14" spans="1:33" s="1" customFormat="1" x14ac:dyDescent="0.25">
      <c r="A14" s="239"/>
      <c r="B14" s="50" t="str">
        <f>'R1'!B36</f>
        <v/>
      </c>
      <c r="C14" s="50" t="str">
        <f>'R1'!C36</f>
        <v/>
      </c>
      <c r="D14" s="50" t="str">
        <f>'R1'!D36</f>
        <v/>
      </c>
      <c r="E14" s="50" t="str">
        <f>'R1'!E36</f>
        <v/>
      </c>
      <c r="F14" s="50" t="str">
        <f>'R1'!F36</f>
        <v/>
      </c>
      <c r="G14" s="50" t="str">
        <f>'R1'!G36</f>
        <v/>
      </c>
      <c r="H14" s="50" t="str">
        <f>'R1'!H36</f>
        <v/>
      </c>
      <c r="J14" s="50" t="str">
        <f>'R1'!J36</f>
        <v/>
      </c>
      <c r="K14" s="50" t="str">
        <f>'R1'!K36</f>
        <v/>
      </c>
      <c r="L14" s="50" t="str">
        <f>'R1'!L36</f>
        <v/>
      </c>
    </row>
    <row r="15" spans="1:33" s="1" customFormat="1" x14ac:dyDescent="0.25">
      <c r="A15" s="239"/>
      <c r="B15" s="50" t="str">
        <f>'R1'!B37</f>
        <v/>
      </c>
      <c r="C15" s="50" t="str">
        <f>'R1'!C37</f>
        <v/>
      </c>
      <c r="D15" s="50" t="str">
        <f>'R1'!D37</f>
        <v/>
      </c>
      <c r="E15" s="50" t="str">
        <f>'R1'!E37</f>
        <v/>
      </c>
      <c r="F15" s="50" t="str">
        <f>'R1'!F37</f>
        <v/>
      </c>
      <c r="G15" s="50" t="str">
        <f>'R1'!G37</f>
        <v/>
      </c>
      <c r="H15" s="50" t="str">
        <f>'R1'!H37</f>
        <v/>
      </c>
      <c r="J15" s="50">
        <f>'R1'!J37</f>
        <v>1.1519337851543872</v>
      </c>
      <c r="K15" s="50" t="str">
        <f>'R1'!K37</f>
        <v/>
      </c>
      <c r="L15" s="50" t="str">
        <f>'R1'!L37</f>
        <v/>
      </c>
    </row>
    <row r="16" spans="1:33" s="1" customFormat="1" x14ac:dyDescent="0.25">
      <c r="A16" s="239"/>
      <c r="B16" s="50" t="str">
        <f>'R1'!B38</f>
        <v/>
      </c>
      <c r="C16" s="50" t="str">
        <f>'R1'!C38</f>
        <v/>
      </c>
      <c r="D16" s="50" t="str">
        <f>'R1'!D38</f>
        <v/>
      </c>
      <c r="E16" s="50" t="str">
        <f>'R1'!E38</f>
        <v/>
      </c>
      <c r="F16" s="50" t="str">
        <f>'R1'!F38</f>
        <v/>
      </c>
      <c r="G16" s="50" t="str">
        <f>'R1'!G38</f>
        <v/>
      </c>
      <c r="H16" s="50" t="str">
        <f>'R1'!H38</f>
        <v/>
      </c>
      <c r="J16" s="50">
        <f>'R1'!J38</f>
        <v>0.18965485394179166</v>
      </c>
      <c r="K16" s="50" t="str">
        <f>'R1'!K38</f>
        <v/>
      </c>
      <c r="L16" s="50" t="str">
        <f>'R1'!L38</f>
        <v/>
      </c>
    </row>
    <row r="17" spans="1:12" s="1" customFormat="1" x14ac:dyDescent="0.25">
      <c r="A17" s="239"/>
      <c r="B17" s="50" t="str">
        <f>'R1'!B39</f>
        <v/>
      </c>
      <c r="C17" s="50" t="str">
        <f>'R1'!C39</f>
        <v/>
      </c>
      <c r="D17" s="50" t="str">
        <f>'R1'!D39</f>
        <v/>
      </c>
      <c r="E17" s="50" t="str">
        <f>'R1'!E39</f>
        <v/>
      </c>
      <c r="F17" s="50" t="str">
        <f>'R1'!F39</f>
        <v/>
      </c>
      <c r="G17" s="50" t="str">
        <f>'R1'!G39</f>
        <v/>
      </c>
      <c r="H17" s="50" t="str">
        <f>'R1'!H39</f>
        <v/>
      </c>
      <c r="J17" s="50">
        <f>'R1'!J39</f>
        <v>1.2236447047602417</v>
      </c>
      <c r="K17" s="50" t="str">
        <f>'R1'!K39</f>
        <v/>
      </c>
      <c r="L17" s="50" t="str">
        <f>'R1'!L39</f>
        <v/>
      </c>
    </row>
    <row r="18" spans="1:12" s="1" customFormat="1" x14ac:dyDescent="0.25">
      <c r="A18" s="239"/>
      <c r="B18" s="50" t="str">
        <f>'R1'!B40</f>
        <v/>
      </c>
      <c r="C18" s="50" t="str">
        <f>'R1'!C40</f>
        <v/>
      </c>
      <c r="D18" s="50" t="str">
        <f>'R1'!D40</f>
        <v/>
      </c>
      <c r="E18" s="50" t="str">
        <f>'R1'!E40</f>
        <v/>
      </c>
      <c r="F18" s="50" t="str">
        <f>'R1'!F40</f>
        <v/>
      </c>
      <c r="G18" s="50" t="str">
        <f>'R1'!G40</f>
        <v/>
      </c>
      <c r="H18" s="50" t="str">
        <f>'R1'!H40</f>
        <v/>
      </c>
      <c r="J18" s="50">
        <f>'R1'!J40</f>
        <v>0.3932639929069916</v>
      </c>
      <c r="K18" s="50" t="str">
        <f>'R1'!K40</f>
        <v/>
      </c>
      <c r="L18" s="50" t="str">
        <f>'R1'!L40</f>
        <v/>
      </c>
    </row>
    <row r="19" spans="1:12" s="1" customFormat="1" x14ac:dyDescent="0.25">
      <c r="A19" s="239"/>
      <c r="B19" s="50" t="str">
        <f>'R1'!B41</f>
        <v/>
      </c>
      <c r="C19" s="50" t="str">
        <f>'R1'!C41</f>
        <v/>
      </c>
      <c r="D19" s="50" t="str">
        <f>'R1'!D41</f>
        <v/>
      </c>
      <c r="E19" s="50" t="str">
        <f>'R1'!E41</f>
        <v/>
      </c>
      <c r="F19" s="50" t="str">
        <f>'R1'!F41</f>
        <v/>
      </c>
      <c r="G19" s="50" t="str">
        <f>'R1'!G41</f>
        <v/>
      </c>
      <c r="H19" s="50" t="str">
        <f>'R1'!H41</f>
        <v/>
      </c>
      <c r="J19" s="50">
        <f>'R1'!J41</f>
        <v>1.3852650474546444</v>
      </c>
      <c r="K19" s="50" t="str">
        <f>'R1'!K41</f>
        <v/>
      </c>
      <c r="L19" s="50" t="str">
        <f>'R1'!L41</f>
        <v/>
      </c>
    </row>
    <row r="20" spans="1:12" s="1" customFormat="1" x14ac:dyDescent="0.25">
      <c r="A20" s="239"/>
      <c r="B20" s="50" t="str">
        <f>'R1'!B42</f>
        <v/>
      </c>
      <c r="C20" s="50" t="str">
        <f>'R1'!C42</f>
        <v/>
      </c>
      <c r="D20" s="50" t="str">
        <f>'R1'!D42</f>
        <v/>
      </c>
      <c r="E20" s="50" t="str">
        <f>'R1'!E42</f>
        <v/>
      </c>
      <c r="F20" s="50" t="str">
        <f>'R1'!F42</f>
        <v/>
      </c>
      <c r="G20" s="50" t="str">
        <f>'R1'!G42</f>
        <v/>
      </c>
      <c r="H20" s="50" t="str">
        <f>'R1'!H42</f>
        <v/>
      </c>
      <c r="J20" s="50">
        <f>'R1'!J42</f>
        <v>0.9399747445912453</v>
      </c>
      <c r="K20" s="50" t="str">
        <f>'R1'!K42</f>
        <v/>
      </c>
      <c r="L20" s="50" t="str">
        <f>'R1'!L42</f>
        <v/>
      </c>
    </row>
    <row r="21" spans="1:12" s="1" customFormat="1" x14ac:dyDescent="0.25">
      <c r="A21" s="240"/>
      <c r="B21" s="50" t="str">
        <f>'R1'!B43</f>
        <v/>
      </c>
      <c r="C21" s="50" t="str">
        <f>'R1'!C43</f>
        <v/>
      </c>
      <c r="D21" s="50" t="str">
        <f>'R1'!D43</f>
        <v/>
      </c>
      <c r="E21" s="50" t="str">
        <f>'R1'!E43</f>
        <v/>
      </c>
      <c r="F21" s="50" t="str">
        <f>'R1'!F43</f>
        <v/>
      </c>
      <c r="G21" s="50" t="str">
        <f>'R1'!G43</f>
        <v/>
      </c>
      <c r="H21" s="50" t="str">
        <f>'R1'!H43</f>
        <v/>
      </c>
      <c r="J21" s="50">
        <f>'R1'!J43</f>
        <v>1.0840388839258728</v>
      </c>
      <c r="K21" s="50" t="str">
        <f>'R1'!K43</f>
        <v/>
      </c>
      <c r="L21" s="50" t="str">
        <f>'R1'!L43</f>
        <v/>
      </c>
    </row>
    <row r="22" spans="1:12" x14ac:dyDescent="0.25">
      <c r="A22" s="38" t="s">
        <v>5</v>
      </c>
      <c r="B22" s="51"/>
      <c r="C22" s="51"/>
      <c r="D22" s="51"/>
      <c r="E22" s="51"/>
      <c r="F22" s="51"/>
      <c r="G22" s="51"/>
      <c r="H22" s="51"/>
      <c r="J22" s="51"/>
      <c r="K22" s="51"/>
      <c r="L22" s="51"/>
    </row>
    <row r="23" spans="1:12" ht="15" customHeight="1" x14ac:dyDescent="0.25">
      <c r="A23" s="238" t="s">
        <v>34</v>
      </c>
      <c r="B23" s="51"/>
      <c r="C23" s="51"/>
      <c r="D23" s="51"/>
      <c r="E23" s="51"/>
      <c r="F23" s="51"/>
      <c r="G23" s="51"/>
      <c r="H23" s="51"/>
      <c r="J23" s="51"/>
      <c r="K23" s="51"/>
      <c r="L23" s="51"/>
    </row>
    <row r="24" spans="1:12" x14ac:dyDescent="0.25">
      <c r="A24" s="239"/>
      <c r="B24" s="51"/>
      <c r="C24" s="51"/>
      <c r="D24" s="51"/>
      <c r="E24" s="51"/>
      <c r="F24" s="51"/>
      <c r="G24" s="51"/>
      <c r="H24" s="51"/>
      <c r="J24" s="51"/>
      <c r="K24" s="51"/>
      <c r="L24" s="51"/>
    </row>
    <row r="25" spans="1:12" x14ac:dyDescent="0.25">
      <c r="A25" s="239"/>
      <c r="B25" s="51"/>
      <c r="C25" s="51"/>
      <c r="D25" s="51"/>
      <c r="E25" s="51"/>
      <c r="F25" s="51"/>
      <c r="G25" s="51"/>
      <c r="H25" s="51"/>
      <c r="J25" s="51"/>
      <c r="K25" s="51"/>
      <c r="L25" s="51"/>
    </row>
    <row r="26" spans="1:12" x14ac:dyDescent="0.25">
      <c r="A26" s="239"/>
      <c r="B26" s="51"/>
      <c r="C26" s="51"/>
      <c r="D26" s="51"/>
      <c r="E26" s="51"/>
      <c r="F26" s="51"/>
      <c r="G26" s="51"/>
      <c r="H26" s="51"/>
      <c r="J26" s="51"/>
      <c r="K26" s="51"/>
      <c r="L26" s="51"/>
    </row>
    <row r="27" spans="1:12" x14ac:dyDescent="0.25">
      <c r="A27" s="239"/>
      <c r="B27" s="51"/>
      <c r="C27" s="51"/>
      <c r="D27" s="51"/>
      <c r="E27" s="51"/>
      <c r="F27" s="51"/>
      <c r="G27" s="51"/>
      <c r="H27" s="51"/>
      <c r="J27" s="51"/>
      <c r="K27" s="51"/>
      <c r="L27" s="51"/>
    </row>
    <row r="28" spans="1:12" x14ac:dyDescent="0.25">
      <c r="A28" s="239"/>
      <c r="B28" s="51"/>
      <c r="C28" s="51"/>
      <c r="D28" s="51"/>
      <c r="E28" s="51"/>
      <c r="F28" s="51"/>
      <c r="G28" s="51"/>
      <c r="H28" s="51"/>
      <c r="J28" s="51"/>
      <c r="K28" s="51"/>
      <c r="L28" s="51"/>
    </row>
    <row r="29" spans="1:12" x14ac:dyDescent="0.25">
      <c r="A29" s="239"/>
      <c r="B29" s="51"/>
      <c r="C29" s="51"/>
      <c r="D29" s="51"/>
      <c r="E29" s="51"/>
      <c r="F29" s="51"/>
      <c r="G29" s="51"/>
      <c r="H29" s="51"/>
      <c r="J29" s="51"/>
      <c r="K29" s="51"/>
      <c r="L29" s="51"/>
    </row>
    <row r="30" spans="1:12" x14ac:dyDescent="0.25">
      <c r="A30" s="239"/>
      <c r="B30" s="51"/>
      <c r="C30" s="51"/>
      <c r="D30" s="51"/>
      <c r="E30" s="51"/>
      <c r="F30" s="51"/>
      <c r="G30" s="51"/>
      <c r="H30" s="51"/>
      <c r="J30" s="51"/>
      <c r="K30" s="51"/>
      <c r="L30" s="51"/>
    </row>
    <row r="31" spans="1:12" s="1" customFormat="1" x14ac:dyDescent="0.25">
      <c r="A31" s="239"/>
      <c r="B31" s="51"/>
      <c r="C31" s="51"/>
      <c r="D31" s="51"/>
      <c r="E31" s="51"/>
      <c r="F31" s="51"/>
      <c r="G31" s="51"/>
      <c r="H31" s="51"/>
      <c r="J31" s="51"/>
      <c r="K31" s="51"/>
      <c r="L31" s="51"/>
    </row>
    <row r="32" spans="1:12" s="1" customFormat="1" x14ac:dyDescent="0.25">
      <c r="A32" s="239"/>
      <c r="B32" s="51"/>
      <c r="C32" s="51"/>
      <c r="D32" s="51"/>
      <c r="E32" s="51"/>
      <c r="F32" s="51"/>
      <c r="G32" s="51"/>
      <c r="H32" s="51"/>
      <c r="J32" s="51"/>
      <c r="K32" s="51"/>
      <c r="L32" s="51"/>
    </row>
    <row r="33" spans="1:12" s="1" customFormat="1" x14ac:dyDescent="0.25">
      <c r="A33" s="239"/>
      <c r="B33" s="51"/>
      <c r="C33" s="51"/>
      <c r="D33" s="51"/>
      <c r="E33" s="51"/>
      <c r="F33" s="51"/>
      <c r="G33" s="51"/>
      <c r="H33" s="51"/>
      <c r="J33" s="51"/>
      <c r="K33" s="51"/>
      <c r="L33" s="51"/>
    </row>
    <row r="34" spans="1:12" s="1" customFormat="1" x14ac:dyDescent="0.25">
      <c r="A34" s="239"/>
      <c r="B34" s="51"/>
      <c r="C34" s="51"/>
      <c r="D34" s="51"/>
      <c r="E34" s="51"/>
      <c r="F34" s="51"/>
      <c r="G34" s="51"/>
      <c r="H34" s="51"/>
      <c r="J34" s="51"/>
      <c r="K34" s="51"/>
      <c r="L34" s="51"/>
    </row>
    <row r="35" spans="1:12" s="1" customFormat="1" x14ac:dyDescent="0.25">
      <c r="A35" s="239"/>
      <c r="B35" s="51"/>
      <c r="C35" s="51"/>
      <c r="D35" s="51"/>
      <c r="E35" s="51"/>
      <c r="F35" s="51"/>
      <c r="G35" s="51"/>
      <c r="H35" s="51"/>
      <c r="J35" s="51"/>
      <c r="K35" s="51"/>
      <c r="L35" s="51"/>
    </row>
    <row r="36" spans="1:12" x14ac:dyDescent="0.25">
      <c r="A36" s="239"/>
      <c r="B36" s="51"/>
      <c r="C36" s="51"/>
      <c r="D36" s="51"/>
      <c r="E36" s="51"/>
      <c r="F36" s="51"/>
      <c r="G36" s="51"/>
      <c r="H36" s="51"/>
      <c r="J36" s="51"/>
      <c r="K36" s="51"/>
      <c r="L36" s="51"/>
    </row>
    <row r="37" spans="1:12" x14ac:dyDescent="0.25">
      <c r="A37" s="240"/>
      <c r="B37" s="51"/>
      <c r="C37" s="51"/>
      <c r="D37" s="51"/>
      <c r="E37" s="51"/>
      <c r="F37" s="51"/>
      <c r="G37" s="51"/>
      <c r="H37" s="51"/>
      <c r="J37" s="51"/>
      <c r="K37" s="51"/>
      <c r="L37" s="51"/>
    </row>
    <row r="38" spans="1:12" s="1" customFormat="1" x14ac:dyDescent="0.25">
      <c r="A38" s="152" t="s">
        <v>116</v>
      </c>
      <c r="B38" s="153">
        <f>'R3'!B28</f>
        <v>0.17496846367892355</v>
      </c>
      <c r="C38" s="153">
        <f>'R3'!C28</f>
        <v>9.8100144220482591E-2</v>
      </c>
      <c r="D38" s="153">
        <f>'R3'!D28</f>
        <v>8.4675770686710561E-2</v>
      </c>
      <c r="E38" s="153">
        <f>'R3'!E28</f>
        <v>1.5577586971919746</v>
      </c>
      <c r="F38" s="153">
        <f>'R3'!F28</f>
        <v>0.2549985817502563</v>
      </c>
      <c r="G38" s="153">
        <f>'R3'!G28</f>
        <v>2.2935907633559114</v>
      </c>
      <c r="H38" s="153">
        <f>'R3'!H28</f>
        <v>3.777436599336554</v>
      </c>
      <c r="J38" s="153">
        <f>'R3'!J28</f>
        <v>0.17681708824888898</v>
      </c>
      <c r="K38" s="153">
        <f>'R3'!K28</f>
        <v>2.7683712340841624</v>
      </c>
      <c r="L38" s="153">
        <f>'R3'!L28</f>
        <v>2.6419461108652089E-2</v>
      </c>
    </row>
    <row r="39" spans="1:12" s="1" customFormat="1" ht="15" customHeight="1" x14ac:dyDescent="0.25">
      <c r="A39" s="238" t="s">
        <v>34</v>
      </c>
      <c r="B39" s="153">
        <f>'R3'!B29</f>
        <v>0.19310354965316856</v>
      </c>
      <c r="C39" s="153">
        <f>'R3'!C29</f>
        <v>0.16114365917144818</v>
      </c>
      <c r="D39" s="153">
        <f>'R3'!D29</f>
        <v>6.6699387131003277E-2</v>
      </c>
      <c r="E39" s="153">
        <f>'R3'!E29</f>
        <v>0.26324185214161161</v>
      </c>
      <c r="F39" s="153">
        <f>'R3'!F29</f>
        <v>0.49883926738825912</v>
      </c>
      <c r="G39" s="153">
        <f>'R3'!G29</f>
        <v>2.8127845006263716</v>
      </c>
      <c r="H39" s="153">
        <f>'R3'!H29</f>
        <v>2.8173065667957524</v>
      </c>
      <c r="J39" s="153">
        <f>'R3'!J29</f>
        <v>7.7209815485980576E-2</v>
      </c>
      <c r="K39" s="153">
        <f>'R3'!K29</f>
        <v>2.5570324226591126</v>
      </c>
      <c r="L39" s="153">
        <f>'R3'!L29</f>
        <v>2.9545871532161611E-2</v>
      </c>
    </row>
    <row r="40" spans="1:12" s="1" customFormat="1" x14ac:dyDescent="0.25">
      <c r="A40" s="239"/>
      <c r="B40" s="153">
        <f>'R3'!B30</f>
        <v>0.20350767733157812</v>
      </c>
      <c r="C40" s="153">
        <f>'R3'!C30</f>
        <v>2.4997672546006014E-3</v>
      </c>
      <c r="D40" s="153">
        <f>'R3'!D30</f>
        <v>0.17572794866643696</v>
      </c>
      <c r="E40" s="153">
        <f>'R3'!E30</f>
        <v>0.12384260204456628</v>
      </c>
      <c r="F40" s="153">
        <f>'R3'!F30</f>
        <v>2.1087419172014372</v>
      </c>
      <c r="G40" s="153">
        <f>'R3'!G30</f>
        <v>2.6942114721976775</v>
      </c>
      <c r="H40" s="153">
        <f>'R3'!H30</f>
        <v>4.778700502131187</v>
      </c>
      <c r="J40" s="153">
        <f>'R3'!J30</f>
        <v>0.20904837892148778</v>
      </c>
      <c r="K40" s="153">
        <f>'R3'!K30</f>
        <v>0.90508887607654975</v>
      </c>
      <c r="L40" s="153">
        <f>'R3'!L30</f>
        <v>2.6831869623377115E-2</v>
      </c>
    </row>
    <row r="41" spans="1:12" s="1" customFormat="1" x14ac:dyDescent="0.25">
      <c r="A41" s="239"/>
      <c r="B41" s="153">
        <f>'R3'!B31</f>
        <v>2.0007937843095306E-4</v>
      </c>
      <c r="C41" s="153">
        <f>'R3'!C31</f>
        <v>2.3669254359961044E-3</v>
      </c>
      <c r="D41" s="153">
        <f>'R3'!D31</f>
        <v>0.3261849190780996</v>
      </c>
      <c r="E41" s="153">
        <f>'R3'!E31</f>
        <v>6.1712374596506601E-2</v>
      </c>
      <c r="F41" s="153">
        <f>'R3'!F31</f>
        <v>2.3788021206780816</v>
      </c>
      <c r="G41" s="153">
        <f>'R3'!G31</f>
        <v>1.9537518558383167</v>
      </c>
      <c r="H41" s="153">
        <f>'R3'!H31</f>
        <v>3.8714801681864541</v>
      </c>
      <c r="J41" s="153">
        <f>'R3'!J31</f>
        <v>2.2211029573093217</v>
      </c>
      <c r="K41" s="153">
        <f>'R3'!K31</f>
        <v>1.8295021535074327</v>
      </c>
      <c r="L41" s="153">
        <f>'R3'!L31</f>
        <v>0.23659835657248512</v>
      </c>
    </row>
    <row r="42" spans="1:12" s="1" customFormat="1" x14ac:dyDescent="0.25">
      <c r="A42" s="239"/>
      <c r="B42" s="153">
        <f>'R3'!B32</f>
        <v>1.8876876867067266E-2</v>
      </c>
      <c r="C42" s="153">
        <f>'R3'!C32</f>
        <v>1.6163677997964909</v>
      </c>
      <c r="D42" s="153">
        <f>'R3'!D32</f>
        <v>0.11779244663597152</v>
      </c>
      <c r="E42" s="153">
        <f>'R3'!E32</f>
        <v>0.36213686953898999</v>
      </c>
      <c r="F42" s="153">
        <f>'R3'!F32</f>
        <v>1.3258530867484299</v>
      </c>
      <c r="G42" s="153">
        <f>'R3'!G32</f>
        <v>1.2008208971069341</v>
      </c>
      <c r="H42" s="153">
        <f>'R3'!H32</f>
        <v>2.7049956145866854</v>
      </c>
      <c r="J42" s="153">
        <f>'R3'!J32</f>
        <v>2.3209700610473494</v>
      </c>
      <c r="K42" s="153">
        <f>'R3'!K32</f>
        <v>2.4005757930629352</v>
      </c>
      <c r="L42" s="153">
        <f>'R3'!L32</f>
        <v>3.0034772979320782E-2</v>
      </c>
    </row>
    <row r="43" spans="1:12" s="1" customFormat="1" x14ac:dyDescent="0.25">
      <c r="A43" s="239"/>
      <c r="B43" s="153">
        <f>'R3'!B33</f>
        <v>1.3771994440243233E-2</v>
      </c>
      <c r="C43" s="153">
        <f>'R3'!C33</f>
        <v>1.9742526422727714E-2</v>
      </c>
      <c r="D43" s="153" t="str">
        <f>'R3'!D33</f>
        <v/>
      </c>
      <c r="E43" s="153">
        <f>'R3'!E33</f>
        <v>0.76688547456378631</v>
      </c>
      <c r="F43" s="153">
        <f>'R3'!F33</f>
        <v>0.46464747102387843</v>
      </c>
      <c r="G43" s="153">
        <f>'R3'!G33</f>
        <v>2.4116865956616262</v>
      </c>
      <c r="H43" s="153">
        <f>'R3'!H33</f>
        <v>3.4674970369196823</v>
      </c>
      <c r="J43" s="153">
        <f>'R3'!J33</f>
        <v>8.2084810790240062E-2</v>
      </c>
      <c r="K43" s="153">
        <f>'R3'!K33</f>
        <v>2.2183503006090586</v>
      </c>
      <c r="L43" s="153">
        <f>'R3'!L33</f>
        <v>0</v>
      </c>
    </row>
    <row r="44" spans="1:12" s="1" customFormat="1" x14ac:dyDescent="0.25">
      <c r="A44" s="239"/>
      <c r="B44" s="153">
        <f>'R3'!B34</f>
        <v>8.3492444077133202E-2</v>
      </c>
      <c r="C44" s="153">
        <f>'R3'!C34</f>
        <v>0.14719445156745181</v>
      </c>
      <c r="D44" s="153">
        <f>'R3'!D34</f>
        <v>0.1750272625166665</v>
      </c>
      <c r="E44" s="153" t="str">
        <f>'R3'!E34</f>
        <v/>
      </c>
      <c r="F44" s="153">
        <f>'R3'!F34</f>
        <v>1.2693337928353619</v>
      </c>
      <c r="G44" s="153">
        <f>'R3'!G34</f>
        <v>1.4457333004495392</v>
      </c>
      <c r="H44" s="153">
        <f>'R3'!H34</f>
        <v>1.4654050504935021</v>
      </c>
      <c r="J44" s="153">
        <f>'R3'!J34</f>
        <v>1.1267200701666134</v>
      </c>
      <c r="K44" s="153">
        <f>'R3'!K34</f>
        <v>2.927906908373445</v>
      </c>
      <c r="L44" s="153">
        <f>'R3'!L34</f>
        <v>1.0351045394336041E-2</v>
      </c>
    </row>
    <row r="45" spans="1:12" s="1" customFormat="1" x14ac:dyDescent="0.25">
      <c r="A45" s="239"/>
      <c r="B45" s="153">
        <f>'R3'!B35</f>
        <v>2.1797491358476372E-2</v>
      </c>
      <c r="C45" s="153">
        <f>'R3'!C35</f>
        <v>3.7271929924851824E-3</v>
      </c>
      <c r="D45" s="153">
        <f>'R3'!D35</f>
        <v>0.12267098075916925</v>
      </c>
      <c r="E45" s="153">
        <f>'R3'!E35</f>
        <v>0.64220090582876155</v>
      </c>
      <c r="F45" s="153">
        <f>'R3'!F35</f>
        <v>2.6341833031989297</v>
      </c>
      <c r="G45" s="153">
        <f>'R3'!G35</f>
        <v>3.4465651951168659</v>
      </c>
      <c r="H45" s="153">
        <f>'R3'!H35</f>
        <v>0.86684023212474515</v>
      </c>
      <c r="J45" s="153">
        <f>'R3'!J35</f>
        <v>1.0262642975090528</v>
      </c>
      <c r="K45" s="153">
        <f>'R3'!K35</f>
        <v>0.54242826133470101</v>
      </c>
      <c r="L45" s="153">
        <f>'R3'!L35</f>
        <v>1.2311823302959381E-2</v>
      </c>
    </row>
    <row r="46" spans="1:12" s="1" customFormat="1" x14ac:dyDescent="0.25">
      <c r="A46" s="239"/>
      <c r="B46" s="153" t="str">
        <f>'R3'!B36</f>
        <v/>
      </c>
      <c r="C46" s="153" t="str">
        <f>'R3'!C36</f>
        <v/>
      </c>
      <c r="D46" s="153" t="str">
        <f>'R3'!D36</f>
        <v/>
      </c>
      <c r="E46" s="153" t="str">
        <f>'R3'!E36</f>
        <v/>
      </c>
      <c r="F46" s="153" t="str">
        <f>'R3'!F36</f>
        <v/>
      </c>
      <c r="G46" s="153" t="str">
        <f>'R3'!G36</f>
        <v/>
      </c>
      <c r="H46" s="153" t="str">
        <f>'R3'!H36</f>
        <v/>
      </c>
      <c r="J46" s="153" t="str">
        <f>'R3'!J36</f>
        <v/>
      </c>
      <c r="K46" s="153" t="str">
        <f>'R3'!K36</f>
        <v/>
      </c>
      <c r="L46" s="153" t="str">
        <f>'R3'!L36</f>
        <v/>
      </c>
    </row>
    <row r="47" spans="1:12" s="1" customFormat="1" x14ac:dyDescent="0.25">
      <c r="A47" s="239"/>
      <c r="B47" s="153" t="str">
        <f>'R3'!B37</f>
        <v/>
      </c>
      <c r="C47" s="153" t="str">
        <f>'R3'!C37</f>
        <v/>
      </c>
      <c r="D47" s="153" t="str">
        <f>'R3'!D37</f>
        <v/>
      </c>
      <c r="E47" s="153" t="str">
        <f>'R3'!E37</f>
        <v/>
      </c>
      <c r="F47" s="153" t="str">
        <f>'R3'!F37</f>
        <v/>
      </c>
      <c r="G47" s="153" t="str">
        <f>'R3'!G37</f>
        <v/>
      </c>
      <c r="H47" s="153" t="str">
        <f>'R3'!H37</f>
        <v/>
      </c>
      <c r="J47" s="153">
        <f>'R3'!J37</f>
        <v>2.2173997193988804</v>
      </c>
      <c r="K47" s="153" t="str">
        <f>'R3'!K37</f>
        <v/>
      </c>
      <c r="L47" s="153" t="str">
        <f>'R3'!L37</f>
        <v/>
      </c>
    </row>
    <row r="48" spans="1:12" s="1" customFormat="1" x14ac:dyDescent="0.25">
      <c r="A48" s="239"/>
      <c r="B48" s="153" t="str">
        <f>'R3'!B38</f>
        <v/>
      </c>
      <c r="C48" s="153" t="str">
        <f>'R3'!C38</f>
        <v/>
      </c>
      <c r="D48" s="153" t="str">
        <f>'R3'!D38</f>
        <v/>
      </c>
      <c r="E48" s="153" t="str">
        <f>'R3'!E38</f>
        <v/>
      </c>
      <c r="F48" s="153" t="str">
        <f>'R3'!F38</f>
        <v/>
      </c>
      <c r="G48" s="153" t="str">
        <f>'R3'!G38</f>
        <v/>
      </c>
      <c r="H48" s="153" t="str">
        <f>'R3'!H38</f>
        <v/>
      </c>
      <c r="J48" s="153">
        <f>'R3'!J38</f>
        <v>2.4789864931447636</v>
      </c>
      <c r="K48" s="153" t="str">
        <f>'R3'!K38</f>
        <v/>
      </c>
      <c r="L48" s="153" t="str">
        <f>'R3'!L38</f>
        <v/>
      </c>
    </row>
    <row r="49" spans="1:33" s="1" customFormat="1" x14ac:dyDescent="0.25">
      <c r="A49" s="239"/>
      <c r="B49" s="153" t="str">
        <f>'R3'!B39</f>
        <v/>
      </c>
      <c r="C49" s="153" t="str">
        <f>'R3'!C39</f>
        <v/>
      </c>
      <c r="D49" s="153" t="str">
        <f>'R3'!D39</f>
        <v/>
      </c>
      <c r="E49" s="153" t="str">
        <f>'R3'!E39</f>
        <v/>
      </c>
      <c r="F49" s="153" t="str">
        <f>'R3'!F39</f>
        <v/>
      </c>
      <c r="G49" s="153" t="str">
        <f>'R3'!G39</f>
        <v/>
      </c>
      <c r="H49" s="153" t="str">
        <f>'R3'!H39</f>
        <v/>
      </c>
      <c r="J49" s="153">
        <f>'R3'!J39</f>
        <v>0.63552968769650664</v>
      </c>
      <c r="K49" s="153" t="str">
        <f>'R3'!K39</f>
        <v/>
      </c>
      <c r="L49" s="153" t="str">
        <f>'R3'!L39</f>
        <v/>
      </c>
    </row>
    <row r="50" spans="1:33" s="1" customFormat="1" x14ac:dyDescent="0.25">
      <c r="A50" s="239"/>
      <c r="B50" s="153" t="str">
        <f>'R3'!B40</f>
        <v/>
      </c>
      <c r="C50" s="153" t="str">
        <f>'R3'!C40</f>
        <v/>
      </c>
      <c r="D50" s="153" t="str">
        <f>'R3'!D40</f>
        <v/>
      </c>
      <c r="E50" s="153" t="str">
        <f>'R3'!E40</f>
        <v/>
      </c>
      <c r="F50" s="153" t="str">
        <f>'R3'!F40</f>
        <v/>
      </c>
      <c r="G50" s="153" t="str">
        <f>'R3'!G40</f>
        <v/>
      </c>
      <c r="H50" s="153" t="str">
        <f>'R3'!H40</f>
        <v/>
      </c>
      <c r="J50" s="153">
        <f>'R3'!J40</f>
        <v>1.2337934342386723</v>
      </c>
      <c r="K50" s="153" t="str">
        <f>'R3'!K40</f>
        <v/>
      </c>
      <c r="L50" s="153" t="str">
        <f>'R3'!L40</f>
        <v/>
      </c>
    </row>
    <row r="51" spans="1:33" s="1" customFormat="1" x14ac:dyDescent="0.25">
      <c r="A51" s="239"/>
      <c r="B51" s="153" t="str">
        <f>'R3'!B41</f>
        <v/>
      </c>
      <c r="C51" s="153" t="str">
        <f>'R3'!C41</f>
        <v/>
      </c>
      <c r="D51" s="153" t="str">
        <f>'R3'!D41</f>
        <v/>
      </c>
      <c r="E51" s="153" t="str">
        <f>'R3'!E41</f>
        <v/>
      </c>
      <c r="F51" s="153" t="str">
        <f>'R3'!F41</f>
        <v/>
      </c>
      <c r="G51" s="153" t="str">
        <f>'R3'!G41</f>
        <v/>
      </c>
      <c r="H51" s="153" t="str">
        <f>'R3'!H41</f>
        <v/>
      </c>
      <c r="J51" s="153">
        <f>'R3'!J41</f>
        <v>0.29005575545345613</v>
      </c>
      <c r="K51" s="153" t="str">
        <f>'R3'!K41</f>
        <v/>
      </c>
      <c r="L51" s="153" t="str">
        <f>'R3'!L41</f>
        <v/>
      </c>
    </row>
    <row r="52" spans="1:33" s="1" customFormat="1" x14ac:dyDescent="0.25">
      <c r="A52" s="239"/>
      <c r="B52" s="153" t="str">
        <f>'R3'!B42</f>
        <v/>
      </c>
      <c r="C52" s="153" t="str">
        <f>'R3'!C42</f>
        <v/>
      </c>
      <c r="D52" s="153" t="str">
        <f>'R3'!D42</f>
        <v/>
      </c>
      <c r="E52" s="153" t="str">
        <f>'R3'!E42</f>
        <v/>
      </c>
      <c r="F52" s="153" t="str">
        <f>'R3'!F42</f>
        <v/>
      </c>
      <c r="G52" s="153" t="str">
        <f>'R3'!G42</f>
        <v/>
      </c>
      <c r="H52" s="153" t="str">
        <f>'R3'!H42</f>
        <v/>
      </c>
      <c r="J52" s="153">
        <f>'R3'!J42</f>
        <v>0.65420022419779078</v>
      </c>
      <c r="K52" s="153" t="str">
        <f>'R3'!K42</f>
        <v/>
      </c>
      <c r="L52" s="153" t="str">
        <f>'R3'!L42</f>
        <v/>
      </c>
    </row>
    <row r="53" spans="1:33" s="1" customFormat="1" x14ac:dyDescent="0.25">
      <c r="A53" s="240"/>
      <c r="B53" s="153" t="str">
        <f>'R3'!B43</f>
        <v/>
      </c>
      <c r="C53" s="153" t="str">
        <f>'R3'!C43</f>
        <v/>
      </c>
      <c r="D53" s="153" t="str">
        <f>'R3'!D43</f>
        <v/>
      </c>
      <c r="E53" s="153" t="str">
        <f>'R3'!E43</f>
        <v/>
      </c>
      <c r="F53" s="153" t="str">
        <f>'R3'!F43</f>
        <v/>
      </c>
      <c r="G53" s="153" t="str">
        <f>'R3'!G43</f>
        <v/>
      </c>
      <c r="H53" s="153" t="str">
        <f>'R3'!H43</f>
        <v/>
      </c>
      <c r="J53" s="153">
        <f>'R3'!J43</f>
        <v>0.24981720639099819</v>
      </c>
      <c r="K53" s="153" t="str">
        <f>'R3'!K43</f>
        <v/>
      </c>
      <c r="L53" s="153" t="str">
        <f>'R3'!L43</f>
        <v/>
      </c>
    </row>
    <row r="54" spans="1:33" s="58" customFormat="1" x14ac:dyDescent="0.25">
      <c r="A54" s="56"/>
      <c r="B54" s="57"/>
      <c r="C54" s="57"/>
      <c r="D54" s="57"/>
      <c r="E54" s="57"/>
      <c r="F54" s="57"/>
      <c r="G54" s="57"/>
      <c r="H54" s="57"/>
      <c r="I54" s="1"/>
      <c r="J54" s="57"/>
      <c r="K54" s="57"/>
      <c r="L54" s="57"/>
    </row>
    <row r="55" spans="1:33" s="40" customFormat="1" x14ac:dyDescent="0.25">
      <c r="A55" s="40" t="s">
        <v>47</v>
      </c>
      <c r="B55" s="14" t="str">
        <f t="shared" ref="B55:H55" si="0">B4</f>
        <v>Témoin solvant</v>
      </c>
      <c r="C55" s="14" t="str">
        <f t="shared" si="0"/>
        <v>EE2-33,8ng/L</v>
      </c>
      <c r="D55" s="14" t="str">
        <f t="shared" si="0"/>
        <v>EE2-50,6ng/L</v>
      </c>
      <c r="E55" s="14" t="str">
        <f t="shared" si="0"/>
        <v>EE2-76ng/L</v>
      </c>
      <c r="F55" s="14" t="str">
        <f t="shared" si="0"/>
        <v>EE2-114ng/L</v>
      </c>
      <c r="G55" s="14" t="str">
        <f t="shared" si="0"/>
        <v>EE2-170,9ng/L</v>
      </c>
      <c r="H55" s="14" t="str">
        <f t="shared" si="0"/>
        <v>EE2-488ng/L</v>
      </c>
      <c r="J55" s="14" t="str">
        <f t="shared" ref="J55:L55" si="1">J4</f>
        <v>Testo -30µg/L</v>
      </c>
      <c r="K55" s="14" t="str">
        <f t="shared" si="1"/>
        <v>Testo 30µg/L + EE2 -64ng/L</v>
      </c>
      <c r="L55" s="14" t="str">
        <f t="shared" si="1"/>
        <v>Testo 30µg/L + FAD-10mg/L</v>
      </c>
    </row>
    <row r="56" spans="1:33" x14ac:dyDescent="0.25">
      <c r="A56" s="1" t="s">
        <v>48</v>
      </c>
      <c r="B56" s="8">
        <f t="shared" ref="B56:L56" si="2">AVERAGE(B6:B53)</f>
        <v>6.5646572940968706E-2</v>
      </c>
      <c r="C56" s="8">
        <f t="shared" si="2"/>
        <v>0.19654390659692622</v>
      </c>
      <c r="D56" s="8">
        <f t="shared" si="2"/>
        <v>0.13318039979785226</v>
      </c>
      <c r="E56" s="8">
        <f t="shared" si="2"/>
        <v>0.33773122306398207</v>
      </c>
      <c r="F56" s="8">
        <f t="shared" si="2"/>
        <v>0.96878173919242272</v>
      </c>
      <c r="G56" s="8">
        <f t="shared" si="2"/>
        <v>1.6243424026299922</v>
      </c>
      <c r="H56" s="8">
        <f t="shared" si="2"/>
        <v>2.5466979984826024</v>
      </c>
      <c r="I56" s="8"/>
      <c r="J56" s="8">
        <f t="shared" si="2"/>
        <v>1</v>
      </c>
      <c r="K56" s="8">
        <f t="shared" si="2"/>
        <v>2.0839946988433509</v>
      </c>
      <c r="L56" s="8">
        <f t="shared" si="2"/>
        <v>5.0657143720364679E-2</v>
      </c>
    </row>
    <row r="57" spans="1:33" x14ac:dyDescent="0.25">
      <c r="A57" s="1" t="s">
        <v>1</v>
      </c>
      <c r="B57" s="3">
        <f>STDEV(B6:B53)</f>
        <v>6.8638563824338555E-2</v>
      </c>
      <c r="C57" s="3">
        <f t="shared" ref="C57:L57" si="3">STDEV(C6:C53)</f>
        <v>0.388560642113912</v>
      </c>
      <c r="D57" s="3">
        <f t="shared" si="3"/>
        <v>0.10199746322308316</v>
      </c>
      <c r="E57" s="3">
        <f t="shared" si="3"/>
        <v>0.41615471936632886</v>
      </c>
      <c r="F57" s="3">
        <f t="shared" si="3"/>
        <v>0.87839234887019946</v>
      </c>
      <c r="G57" s="3">
        <f t="shared" si="3"/>
        <v>0.95893843957765101</v>
      </c>
      <c r="H57" s="3">
        <f t="shared" si="3"/>
        <v>1.1434343823835826</v>
      </c>
      <c r="I57" s="3"/>
      <c r="J57" s="3">
        <f t="shared" si="3"/>
        <v>0.72961566613341067</v>
      </c>
      <c r="K57" s="3">
        <f t="shared" si="3"/>
        <v>0.66693900881272583</v>
      </c>
      <c r="L57" s="3">
        <f t="shared" si="3"/>
        <v>6.3276918598724932E-2</v>
      </c>
      <c r="M57" s="3"/>
      <c r="N57" s="3"/>
    </row>
    <row r="58" spans="1:33" x14ac:dyDescent="0.25">
      <c r="A58" s="1" t="s">
        <v>2</v>
      </c>
      <c r="B58" s="3">
        <f xml:space="preserve"> B57/SQRT(COUNT(B6:B53))</f>
        <v>1.7722400973283873E-2</v>
      </c>
      <c r="C58" s="3">
        <f t="shared" ref="C58:L58" si="4" xml:space="preserve"> C57/SQRT(COUNT(C6:C53))</f>
        <v>9.7140160528478001E-2</v>
      </c>
      <c r="D58" s="3">
        <f t="shared" si="4"/>
        <v>2.7259968692918038E-2</v>
      </c>
      <c r="E58" s="3">
        <f t="shared" si="4"/>
        <v>0.10745068650342753</v>
      </c>
      <c r="F58" s="3">
        <f t="shared" si="4"/>
        <v>0.22679992924068651</v>
      </c>
      <c r="G58" s="3">
        <f t="shared" si="4"/>
        <v>0.23973460989441275</v>
      </c>
      <c r="H58" s="3">
        <f t="shared" si="4"/>
        <v>0.29523348803017191</v>
      </c>
      <c r="I58" s="3"/>
      <c r="J58" s="3">
        <f t="shared" si="4"/>
        <v>0.13320898621680904</v>
      </c>
      <c r="K58" s="3">
        <f t="shared" si="4"/>
        <v>0.17220291160451792</v>
      </c>
      <c r="L58" s="3">
        <f t="shared" si="4"/>
        <v>1.691146784908661E-2</v>
      </c>
      <c r="M58" s="3"/>
      <c r="N58" s="3"/>
    </row>
    <row r="59" spans="1:33" s="1" customFormat="1" ht="15.75" thickBot="1" x14ac:dyDescent="0.3">
      <c r="B59" s="3"/>
      <c r="C59" s="3"/>
      <c r="D59" s="3"/>
      <c r="E59" s="3"/>
      <c r="F59" s="3"/>
      <c r="G59" s="3"/>
      <c r="H59" s="3"/>
      <c r="I59" s="3"/>
      <c r="J59" s="3"/>
      <c r="K59" s="3"/>
      <c r="L59" s="3"/>
    </row>
    <row r="60" spans="1:33" s="47" customFormat="1" ht="27" thickBot="1" x14ac:dyDescent="0.3">
      <c r="A60" s="241" t="s">
        <v>46</v>
      </c>
      <c r="B60" s="242"/>
      <c r="C60" s="242"/>
      <c r="D60" s="242"/>
      <c r="E60" s="242"/>
      <c r="F60" s="242"/>
      <c r="G60" s="242"/>
      <c r="H60" s="242"/>
      <c r="I60" s="242"/>
      <c r="J60" s="242"/>
      <c r="K60" s="242"/>
      <c r="L60" s="242"/>
      <c r="M60" s="242"/>
      <c r="N60" s="242"/>
      <c r="O60" s="242"/>
      <c r="P60" s="242"/>
      <c r="Q60" s="242"/>
      <c r="R60" s="242"/>
      <c r="S60" s="242"/>
      <c r="T60" s="242"/>
      <c r="U60" s="242"/>
      <c r="V60" s="242"/>
      <c r="W60" s="242"/>
      <c r="X60" s="242"/>
      <c r="Y60" s="242"/>
      <c r="Z60" s="242"/>
      <c r="AA60" s="242"/>
      <c r="AB60" s="242"/>
      <c r="AC60" s="242"/>
      <c r="AD60" s="242"/>
      <c r="AE60" s="242"/>
      <c r="AF60" s="242"/>
      <c r="AG60" s="243"/>
    </row>
    <row r="61" spans="1:33" s="1" customFormat="1" x14ac:dyDescent="0.25">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row>
    <row r="62" spans="1:33" s="1" customFormat="1" x14ac:dyDescent="0.25">
      <c r="A62" s="1" t="s">
        <v>47</v>
      </c>
      <c r="B62" s="3" t="str">
        <f t="shared" ref="B62" si="5">B4</f>
        <v>Témoin solvant</v>
      </c>
      <c r="C62" s="3" t="str">
        <f t="shared" ref="C62:H62" si="6">C4</f>
        <v>EE2-33,8ng/L</v>
      </c>
      <c r="D62" s="3" t="str">
        <f t="shared" si="6"/>
        <v>EE2-50,6ng/L</v>
      </c>
      <c r="E62" s="3" t="str">
        <f t="shared" si="6"/>
        <v>EE2-76ng/L</v>
      </c>
      <c r="F62" s="3" t="str">
        <f t="shared" si="6"/>
        <v>EE2-114ng/L</v>
      </c>
      <c r="G62" s="3" t="str">
        <f t="shared" si="6"/>
        <v>EE2-170,9ng/L</v>
      </c>
      <c r="H62" s="3" t="str">
        <f t="shared" si="6"/>
        <v>EE2-488ng/L</v>
      </c>
      <c r="I62" s="3"/>
      <c r="J62" s="3" t="str">
        <f t="shared" ref="J62:L62" si="7">J4</f>
        <v>Testo -30µg/L</v>
      </c>
      <c r="K62" s="3" t="str">
        <f t="shared" si="7"/>
        <v>Testo 30µg/L + EE2 -64ng/L</v>
      </c>
      <c r="L62" s="3" t="str">
        <f t="shared" si="7"/>
        <v>Testo 30µg/L + FAD-10mg/L</v>
      </c>
    </row>
    <row r="63" spans="1:33" s="1" customFormat="1" x14ac:dyDescent="0.25">
      <c r="A63" s="1" t="s">
        <v>49</v>
      </c>
      <c r="B63" s="3">
        <f>COUNT(B6:B53)</f>
        <v>15</v>
      </c>
      <c r="C63" s="3">
        <f t="shared" ref="C63:H63" si="8">COUNT(C6:C53)</f>
        <v>16</v>
      </c>
      <c r="D63" s="3">
        <f t="shared" si="8"/>
        <v>14</v>
      </c>
      <c r="E63" s="3">
        <f t="shared" si="8"/>
        <v>15</v>
      </c>
      <c r="F63" s="3">
        <f t="shared" si="8"/>
        <v>15</v>
      </c>
      <c r="G63" s="3">
        <f t="shared" si="8"/>
        <v>16</v>
      </c>
      <c r="H63" s="3">
        <f t="shared" si="8"/>
        <v>15</v>
      </c>
      <c r="I63" s="3"/>
      <c r="J63" s="3">
        <f t="shared" ref="J63:L63" si="9">COUNT(J6:J53)</f>
        <v>30</v>
      </c>
      <c r="K63" s="3">
        <f t="shared" si="9"/>
        <v>15</v>
      </c>
      <c r="L63" s="3">
        <f t="shared" si="9"/>
        <v>14</v>
      </c>
    </row>
    <row r="64" spans="1:33" s="1" customFormat="1" ht="15.75" thickBot="1" x14ac:dyDescent="0.3">
      <c r="B64" s="3" t="str">
        <f>IF(B63&gt;=21,"OK","ATTENTION")</f>
        <v>ATTENTION</v>
      </c>
      <c r="C64" s="3" t="str">
        <f t="shared" ref="C64:L64" si="10">IF(C63&gt;=21,"OK","ATTENTION")</f>
        <v>ATTENTION</v>
      </c>
      <c r="D64" s="3" t="str">
        <f t="shared" si="10"/>
        <v>ATTENTION</v>
      </c>
      <c r="E64" s="3" t="str">
        <f t="shared" si="10"/>
        <v>ATTENTION</v>
      </c>
      <c r="F64" s="3" t="str">
        <f t="shared" si="10"/>
        <v>ATTENTION</v>
      </c>
      <c r="G64" s="3" t="str">
        <f t="shared" si="10"/>
        <v>ATTENTION</v>
      </c>
      <c r="H64" s="3" t="str">
        <f t="shared" si="10"/>
        <v>ATTENTION</v>
      </c>
      <c r="I64" s="3"/>
      <c r="J64" s="3" t="str">
        <f>IF(J63&gt;=41,"OK","ATTENTION")</f>
        <v>ATTENTION</v>
      </c>
      <c r="K64" s="3" t="str">
        <f t="shared" si="10"/>
        <v>ATTENTION</v>
      </c>
      <c r="L64" s="3" t="str">
        <f t="shared" si="10"/>
        <v>ATTENTION</v>
      </c>
    </row>
    <row r="65" spans="1:33" s="47" customFormat="1" ht="27" thickBot="1" x14ac:dyDescent="0.3">
      <c r="A65" s="241" t="s">
        <v>58</v>
      </c>
      <c r="B65" s="242"/>
      <c r="C65" s="242"/>
      <c r="D65" s="242"/>
      <c r="E65" s="242"/>
      <c r="F65" s="242"/>
      <c r="G65" s="242"/>
      <c r="H65" s="242"/>
      <c r="I65" s="242"/>
      <c r="J65" s="242"/>
      <c r="K65" s="242"/>
      <c r="L65" s="242"/>
      <c r="M65" s="242"/>
      <c r="N65" s="242"/>
      <c r="O65" s="242"/>
      <c r="P65" s="242"/>
      <c r="Q65" s="242"/>
      <c r="R65" s="242"/>
      <c r="S65" s="242"/>
      <c r="T65" s="242"/>
      <c r="U65" s="242"/>
      <c r="V65" s="242"/>
      <c r="W65" s="242"/>
      <c r="X65" s="242"/>
      <c r="Y65" s="242"/>
      <c r="Z65" s="242"/>
      <c r="AA65" s="242"/>
      <c r="AB65" s="242"/>
      <c r="AC65" s="242"/>
      <c r="AD65" s="242"/>
      <c r="AE65" s="242"/>
      <c r="AF65" s="242"/>
      <c r="AG65" s="243"/>
    </row>
    <row r="66" spans="1:33" s="1" customFormat="1" x14ac:dyDescent="0.25">
      <c r="B66" s="1" t="s">
        <v>61</v>
      </c>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row>
    <row r="67" spans="1:33" s="1" customFormat="1" x14ac:dyDescent="0.25">
      <c r="A67" s="1" t="s">
        <v>59</v>
      </c>
      <c r="B67" s="3">
        <v>3.5</v>
      </c>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row>
    <row r="68" spans="1:33" s="1" customFormat="1" x14ac:dyDescent="0.25">
      <c r="A68" s="1" t="s">
        <v>62</v>
      </c>
      <c r="B68" s="3">
        <v>2</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row>
    <row r="69" spans="1:33" s="1" customFormat="1" ht="15.75" thickBot="1" x14ac:dyDescent="0.3">
      <c r="A69" s="1" t="s">
        <v>63</v>
      </c>
      <c r="B69" s="3">
        <v>0.5</v>
      </c>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row>
    <row r="70" spans="1:33" s="47" customFormat="1" ht="27" thickBot="1" x14ac:dyDescent="0.3">
      <c r="A70" s="241" t="s">
        <v>53</v>
      </c>
      <c r="B70" s="242"/>
      <c r="C70" s="242"/>
      <c r="D70" s="242"/>
      <c r="E70" s="242"/>
      <c r="F70" s="242"/>
      <c r="G70" s="242"/>
      <c r="H70" s="242"/>
      <c r="I70" s="242"/>
      <c r="J70" s="242"/>
      <c r="K70" s="242"/>
      <c r="L70" s="242"/>
      <c r="M70" s="242"/>
      <c r="N70" s="242"/>
      <c r="O70" s="242"/>
      <c r="P70" s="242"/>
      <c r="Q70" s="242"/>
      <c r="R70" s="242"/>
      <c r="S70" s="242"/>
      <c r="T70" s="242"/>
      <c r="U70" s="242"/>
      <c r="V70" s="242"/>
      <c r="W70" s="242"/>
      <c r="X70" s="242"/>
      <c r="Y70" s="242"/>
      <c r="Z70" s="242"/>
      <c r="AA70" s="242"/>
      <c r="AB70" s="242"/>
      <c r="AC70" s="242"/>
      <c r="AD70" s="242"/>
      <c r="AE70" s="242"/>
      <c r="AF70" s="242"/>
      <c r="AG70" s="243"/>
    </row>
    <row r="71" spans="1:33" ht="15.75" thickBot="1" x14ac:dyDescent="0.3"/>
    <row r="72" spans="1:33" s="47" customFormat="1" ht="27" thickBot="1" x14ac:dyDescent="0.3">
      <c r="A72" s="241" t="s">
        <v>54</v>
      </c>
      <c r="B72" s="242"/>
      <c r="C72" s="242"/>
      <c r="D72" s="242"/>
      <c r="E72" s="242"/>
      <c r="F72" s="242"/>
      <c r="G72" s="242"/>
      <c r="H72" s="242"/>
      <c r="I72" s="242"/>
      <c r="J72" s="242"/>
      <c r="K72" s="242"/>
      <c r="L72" s="242"/>
      <c r="M72" s="242"/>
      <c r="N72" s="242"/>
      <c r="O72" s="242"/>
      <c r="P72" s="242"/>
      <c r="Q72" s="242"/>
      <c r="R72" s="242"/>
      <c r="S72" s="242"/>
      <c r="T72" s="242"/>
      <c r="U72" s="242"/>
      <c r="V72" s="242"/>
      <c r="W72" s="242"/>
      <c r="X72" s="242"/>
      <c r="Y72" s="242"/>
      <c r="Z72" s="242"/>
      <c r="AA72" s="242"/>
      <c r="AB72" s="242"/>
      <c r="AC72" s="242"/>
      <c r="AD72" s="242"/>
      <c r="AE72" s="242"/>
      <c r="AF72" s="242"/>
      <c r="AG72" s="243"/>
    </row>
    <row r="73" spans="1:33" ht="15.75" thickBot="1" x14ac:dyDescent="0.3">
      <c r="J73" s="3">
        <v>1</v>
      </c>
      <c r="K73" s="3">
        <v>2</v>
      </c>
      <c r="L73" s="3">
        <v>3</v>
      </c>
      <c r="N73" s="3">
        <v>1</v>
      </c>
      <c r="O73" s="3">
        <v>2</v>
      </c>
      <c r="P73" s="3">
        <v>3</v>
      </c>
      <c r="Q73" s="3">
        <v>4</v>
      </c>
      <c r="R73" s="3">
        <v>5</v>
      </c>
      <c r="S73" s="3">
        <v>1</v>
      </c>
      <c r="T73" s="3">
        <v>2</v>
      </c>
      <c r="U73" s="3">
        <v>3</v>
      </c>
      <c r="V73" s="3">
        <v>4</v>
      </c>
      <c r="W73" s="3">
        <v>5</v>
      </c>
      <c r="X73" s="3">
        <v>1</v>
      </c>
      <c r="Y73" s="3">
        <v>2</v>
      </c>
      <c r="Z73" s="3">
        <v>3</v>
      </c>
      <c r="AA73" s="3">
        <v>4</v>
      </c>
      <c r="AB73" s="3">
        <v>5</v>
      </c>
      <c r="AC73" s="3">
        <v>1</v>
      </c>
      <c r="AD73" s="3">
        <v>2</v>
      </c>
      <c r="AE73" s="3">
        <v>3</v>
      </c>
      <c r="AF73" s="3">
        <v>4</v>
      </c>
      <c r="AG73" s="3">
        <v>5</v>
      </c>
    </row>
    <row r="74" spans="1:33" s="1" customFormat="1" x14ac:dyDescent="0.25">
      <c r="A74" s="44" t="s">
        <v>41</v>
      </c>
      <c r="B74" s="45" t="str">
        <f t="shared" ref="B74:H74" si="11">B4</f>
        <v>Témoin solvant</v>
      </c>
      <c r="C74" s="45" t="str">
        <f t="shared" si="11"/>
        <v>EE2-33,8ng/L</v>
      </c>
      <c r="D74" s="45" t="str">
        <f t="shared" si="11"/>
        <v>EE2-50,6ng/L</v>
      </c>
      <c r="E74" s="45" t="str">
        <f t="shared" si="11"/>
        <v>EE2-76ng/L</v>
      </c>
      <c r="F74" s="45" t="str">
        <f t="shared" si="11"/>
        <v>EE2-114ng/L</v>
      </c>
      <c r="G74" s="45" t="str">
        <f t="shared" si="11"/>
        <v>EE2-170,9ng/L</v>
      </c>
      <c r="H74" s="45" t="str">
        <f t="shared" si="11"/>
        <v>EE2-488ng/L</v>
      </c>
      <c r="I74" s="45"/>
      <c r="J74" s="45" t="str">
        <f t="shared" ref="J74:L74" si="12">J4</f>
        <v>Testo -30µg/L</v>
      </c>
      <c r="K74" s="45" t="str">
        <f t="shared" si="12"/>
        <v>Testo 30µg/L + EE2 -64ng/L</v>
      </c>
      <c r="L74" s="45" t="str">
        <f t="shared" si="12"/>
        <v>Testo 30µg/L + FAD-10mg/L</v>
      </c>
    </row>
    <row r="75" spans="1:33" s="3" customFormat="1" x14ac:dyDescent="0.25">
      <c r="A75" s="59" t="s">
        <v>32</v>
      </c>
      <c r="B75" s="139">
        <f>B56</f>
        <v>6.5646572940968706E-2</v>
      </c>
      <c r="C75" s="139">
        <f t="shared" ref="C75:H75" si="13">C56</f>
        <v>0.19654390659692622</v>
      </c>
      <c r="D75" s="139">
        <f t="shared" si="13"/>
        <v>0.13318039979785226</v>
      </c>
      <c r="E75" s="139">
        <f t="shared" si="13"/>
        <v>0.33773122306398207</v>
      </c>
      <c r="F75" s="139">
        <f t="shared" si="13"/>
        <v>0.96878173919242272</v>
      </c>
      <c r="G75" s="139">
        <f t="shared" si="13"/>
        <v>1.6243424026299922</v>
      </c>
      <c r="H75" s="139">
        <f t="shared" si="13"/>
        <v>2.5466979984826024</v>
      </c>
      <c r="I75" s="139"/>
      <c r="J75" s="139">
        <f t="shared" ref="J75:L75" si="14">J56</f>
        <v>1</v>
      </c>
      <c r="K75" s="139">
        <f t="shared" si="14"/>
        <v>2.0839946988433509</v>
      </c>
      <c r="L75" s="139">
        <f t="shared" si="14"/>
        <v>5.0657143720364679E-2</v>
      </c>
    </row>
    <row r="76" spans="1:33" s="3" customFormat="1" x14ac:dyDescent="0.25">
      <c r="A76" s="59" t="s">
        <v>2</v>
      </c>
      <c r="B76" s="139">
        <f>B58</f>
        <v>1.7722400973283873E-2</v>
      </c>
      <c r="C76" s="139">
        <f t="shared" ref="C76:H76" si="15">C58</f>
        <v>9.7140160528478001E-2</v>
      </c>
      <c r="D76" s="139">
        <f t="shared" si="15"/>
        <v>2.7259968692918038E-2</v>
      </c>
      <c r="E76" s="139">
        <f t="shared" si="15"/>
        <v>0.10745068650342753</v>
      </c>
      <c r="F76" s="139">
        <f t="shared" si="15"/>
        <v>0.22679992924068651</v>
      </c>
      <c r="G76" s="139">
        <f t="shared" si="15"/>
        <v>0.23973460989441275</v>
      </c>
      <c r="H76" s="139">
        <f t="shared" si="15"/>
        <v>0.29523348803017191</v>
      </c>
      <c r="I76" s="139"/>
      <c r="J76" s="139">
        <f t="shared" ref="J76:L76" si="16">J58</f>
        <v>0.13320898621680904</v>
      </c>
      <c r="K76" s="139">
        <f t="shared" si="16"/>
        <v>0.17220291160451792</v>
      </c>
      <c r="L76" s="139">
        <f t="shared" si="16"/>
        <v>1.691146784908661E-2</v>
      </c>
    </row>
    <row r="77" spans="1:33" s="3" customFormat="1" x14ac:dyDescent="0.25">
      <c r="A77" s="59" t="s">
        <v>79</v>
      </c>
      <c r="B77" s="139">
        <f>(B75*100/$B$75)-100</f>
        <v>0</v>
      </c>
      <c r="C77" s="139">
        <f t="shared" ref="C77:H77" si="17">(C75*100/$B$75)-100</f>
        <v>199.39705576658844</v>
      </c>
      <c r="D77" s="139">
        <f t="shared" si="17"/>
        <v>102.87487043323941</v>
      </c>
      <c r="E77" s="139">
        <f t="shared" si="17"/>
        <v>414.4689325483597</v>
      </c>
      <c r="F77" s="139">
        <f t="shared" si="17"/>
        <v>1375.7537153745698</v>
      </c>
      <c r="G77" s="139">
        <f t="shared" si="17"/>
        <v>2374.3750204456946</v>
      </c>
      <c r="H77" s="139">
        <f t="shared" si="17"/>
        <v>3779.4073847124764</v>
      </c>
      <c r="I77" s="139"/>
      <c r="J77" s="139">
        <f>(J75*100/$J$75)-100</f>
        <v>0</v>
      </c>
      <c r="K77" s="139">
        <f t="shared" ref="K77:L77" si="18">(K75*100/$J$75)-100</f>
        <v>108.39946988433508</v>
      </c>
      <c r="L77" s="139">
        <f t="shared" si="18"/>
        <v>-94.934285627963533</v>
      </c>
    </row>
    <row r="78" spans="1:33" s="3" customFormat="1" x14ac:dyDescent="0.25">
      <c r="A78" s="59" t="s">
        <v>81</v>
      </c>
      <c r="B78" s="139">
        <f>[1]!DPTEST(B6:B53)</f>
        <v>8.6597640203234461E-2</v>
      </c>
      <c r="C78" s="139">
        <f>[1]!DPTEST(C6:C53)</f>
        <v>3.1018551061023913E-9</v>
      </c>
      <c r="D78" s="139">
        <f>[1]!DPTEST(D6:D53)</f>
        <v>0.45264704641672171</v>
      </c>
      <c r="E78" s="139">
        <f>[1]!DPTEST(E6:E53)</f>
        <v>2.6152521453148836E-4</v>
      </c>
      <c r="F78" s="139">
        <f>[1]!DPTEST(F6:F53)</f>
        <v>0.34639605502669113</v>
      </c>
      <c r="G78" s="139">
        <f>[1]!DPTEST(G6:G53)</f>
        <v>0.69867324812455145</v>
      </c>
      <c r="H78" s="139">
        <f>[1]!DPTEST(H6:H53)</f>
        <v>0.96374369227317702</v>
      </c>
      <c r="I78" s="139"/>
      <c r="J78" s="139">
        <f>[1]!DPTEST(J6:J53)</f>
        <v>0.30965119005280239</v>
      </c>
      <c r="K78" s="139">
        <f>[1]!DPTEST(K6:K53)</f>
        <v>9.0427667030030134E-2</v>
      </c>
      <c r="L78" s="139">
        <f>[1]!DPTEST(L6:L53)</f>
        <v>4.4152297059008028E-5</v>
      </c>
    </row>
    <row r="79" spans="1:33" s="3" customFormat="1" x14ac:dyDescent="0.25">
      <c r="A79" s="59" t="s">
        <v>85</v>
      </c>
      <c r="B79" s="139" t="str">
        <f>IF(B78&gt;0.05,"Oui","Non")</f>
        <v>Oui</v>
      </c>
      <c r="C79" s="139" t="str">
        <f t="shared" ref="C79:L79" si="19">IF(C78&gt;0.05,"Oui","Non")</f>
        <v>Non</v>
      </c>
      <c r="D79" s="139" t="str">
        <f t="shared" si="19"/>
        <v>Oui</v>
      </c>
      <c r="E79" s="139" t="str">
        <f t="shared" si="19"/>
        <v>Non</v>
      </c>
      <c r="F79" s="139" t="str">
        <f t="shared" si="19"/>
        <v>Oui</v>
      </c>
      <c r="G79" s="139" t="str">
        <f t="shared" si="19"/>
        <v>Oui</v>
      </c>
      <c r="H79" s="139" t="str">
        <f t="shared" si="19"/>
        <v>Oui</v>
      </c>
      <c r="I79" s="139"/>
      <c r="J79" s="139" t="str">
        <f t="shared" si="19"/>
        <v>Oui</v>
      </c>
      <c r="K79" s="139" t="str">
        <f t="shared" si="19"/>
        <v>Oui</v>
      </c>
      <c r="L79" s="139" t="str">
        <f t="shared" si="19"/>
        <v>Non</v>
      </c>
    </row>
    <row r="80" spans="1:33" s="3" customFormat="1" x14ac:dyDescent="0.25">
      <c r="A80" s="59" t="s">
        <v>122</v>
      </c>
      <c r="B80" s="139" t="str">
        <f>IF(COUNTIF(B79:H79, "Non")=0, "Oui","Non")</f>
        <v>Non</v>
      </c>
      <c r="C80" s="139"/>
      <c r="D80" s="139"/>
      <c r="E80" s="139"/>
      <c r="F80" s="139"/>
      <c r="G80" s="139"/>
      <c r="H80" s="139"/>
      <c r="I80" s="139"/>
      <c r="J80" s="139"/>
      <c r="K80" s="139"/>
      <c r="L80" s="139"/>
    </row>
    <row r="81" spans="1:33" s="3" customFormat="1" x14ac:dyDescent="0.25">
      <c r="A81" s="59" t="s">
        <v>82</v>
      </c>
      <c r="B81" s="139"/>
      <c r="C81" s="139" t="str">
        <f t="shared" ref="C81:H81" si="20">IF($B80="Non","Kruskal-Wallis","ANOVA")</f>
        <v>Kruskal-Wallis</v>
      </c>
      <c r="D81" s="139" t="str">
        <f t="shared" si="20"/>
        <v>Kruskal-Wallis</v>
      </c>
      <c r="E81" s="139" t="str">
        <f t="shared" si="20"/>
        <v>Kruskal-Wallis</v>
      </c>
      <c r="F81" s="139" t="str">
        <f t="shared" si="20"/>
        <v>Kruskal-Wallis</v>
      </c>
      <c r="G81" s="139" t="str">
        <f t="shared" si="20"/>
        <v>Kruskal-Wallis</v>
      </c>
      <c r="H81" s="139" t="str">
        <f t="shared" si="20"/>
        <v>Kruskal-Wallis</v>
      </c>
      <c r="I81" s="139"/>
      <c r="J81" s="139" t="str">
        <f>IF($B79="Non",IF(J79="Non","Mann Withney",IF(J79="Oui","Mann Withney","")),IF($B79="Oui",IF(J79="Oui","T-Test Welch",IF(J79="Non","Mann Withney",""))))</f>
        <v>T-Test Welch</v>
      </c>
      <c r="K81" s="139" t="str">
        <f t="shared" ref="K81:L81" si="21">IF($J79="Non",IF(K79="Non","Mann Withney",IF(K$79="Oui","Mann Withney","")),IF($J79="Oui",IF(K79="Oui","T-Test Welch",IF(K79="Non","Mann Withney",""))))</f>
        <v>T-Test Welch</v>
      </c>
      <c r="L81" s="139" t="str">
        <f t="shared" si="21"/>
        <v>Mann Withney</v>
      </c>
    </row>
    <row r="82" spans="1:33" s="3" customFormat="1" x14ac:dyDescent="0.25">
      <c r="A82" s="59" t="s">
        <v>83</v>
      </c>
      <c r="B82" s="139"/>
      <c r="C82" s="207">
        <v>0.99960000000000004</v>
      </c>
      <c r="D82" s="207">
        <v>0.99819999999999998</v>
      </c>
      <c r="E82" s="207">
        <v>0.82569999999999999</v>
      </c>
      <c r="F82" s="207">
        <v>1.4800000000000001E-2</v>
      </c>
      <c r="G82" s="207">
        <v>1E-4</v>
      </c>
      <c r="H82" s="207">
        <v>1E-4</v>
      </c>
      <c r="I82" s="139"/>
      <c r="J82" s="139">
        <f>IF(J81="Mann Withney",[1]!MTEST($B6:$B37,J6:J53,2), IF(J81="T-Test Welch",_xlfn.T.TEST($B6:$B37,J6:J53,2,3),""))</f>
        <v>6.0694291857452787E-8</v>
      </c>
      <c r="K82" s="139">
        <f>IF(K81="Mann Withney",[1]!MTEST($J6:$J53,K6:K53,2), IF(K81="T-Test Welch",_xlfn.T.TEST($J6:$J53,K6:K53,2,3),""))</f>
        <v>2.3739576936840598E-5</v>
      </c>
      <c r="L82" s="139">
        <f>IF(L81="Mann Withney",[1]!MTEST($J6:$J53,L6:L53,2), IF(L81="T-Test Welch",_xlfn.T.TEST($J6:$J53,L6:L53,2,3),""))</f>
        <v>4.0899260156379569E-7</v>
      </c>
    </row>
    <row r="83" spans="1:33" s="3" customFormat="1" ht="15.75" thickBot="1" x14ac:dyDescent="0.3">
      <c r="A83" s="60" t="s">
        <v>84</v>
      </c>
      <c r="B83" s="140"/>
      <c r="C83" s="140" t="str">
        <f t="shared" ref="C83:H83" si="22">IF(C82&gt;0.05,"NS",IF(C82&gt;0.01,"*",IF(C82&gt;0.001,"**","***")))</f>
        <v>NS</v>
      </c>
      <c r="D83" s="140" t="str">
        <f t="shared" si="22"/>
        <v>NS</v>
      </c>
      <c r="E83" s="140" t="str">
        <f t="shared" si="22"/>
        <v>NS</v>
      </c>
      <c r="F83" s="140" t="str">
        <f t="shared" si="22"/>
        <v>*</v>
      </c>
      <c r="G83" s="140" t="str">
        <f t="shared" si="22"/>
        <v>***</v>
      </c>
      <c r="H83" s="140" t="str">
        <f t="shared" si="22"/>
        <v>***</v>
      </c>
      <c r="I83" s="140"/>
      <c r="J83" s="140" t="str">
        <f t="shared" ref="J83" si="23">IF(J82&gt;0.05,"NS",IF(J82&gt;0.01,"*",IF(J82&gt;0.001,"**","***")))</f>
        <v>***</v>
      </c>
      <c r="K83" s="140" t="str">
        <f t="shared" ref="K83" si="24">IF(K82&gt;0.05,"NS",IF(K82&gt;0.01,"*",IF(K82&gt;0.001,"**","***")))</f>
        <v>***</v>
      </c>
      <c r="L83" s="140" t="str">
        <f t="shared" ref="L83" si="25">IF(L82&gt;0.05,"NS",IF(L82&gt;0.01,"*",IF(L82&gt;0.001,"**","***")))</f>
        <v>***</v>
      </c>
    </row>
    <row r="84" spans="1:33" s="1" customFormat="1" x14ac:dyDescent="0.25"/>
    <row r="85" spans="1:33" s="1" customFormat="1" x14ac:dyDescent="0.25">
      <c r="A85" s="2" t="s">
        <v>39</v>
      </c>
    </row>
    <row r="86" spans="1:33" x14ac:dyDescent="0.25">
      <c r="A86" s="1" t="s">
        <v>23</v>
      </c>
      <c r="B86" s="1">
        <f>B56+(3*B57)</f>
        <v>0.27156226441398434</v>
      </c>
    </row>
    <row r="87" spans="1:33" x14ac:dyDescent="0.25">
      <c r="A87" s="1" t="s">
        <v>24</v>
      </c>
      <c r="B87" s="1">
        <f>B56+(10*B57)</f>
        <v>0.75203221118435426</v>
      </c>
    </row>
    <row r="88" spans="1:33" ht="15.75" thickBot="1" x14ac:dyDescent="0.3"/>
    <row r="89" spans="1:33" s="47" customFormat="1" ht="27" thickBot="1" x14ac:dyDescent="0.3">
      <c r="A89" s="204" t="s">
        <v>55</v>
      </c>
      <c r="B89" s="205"/>
      <c r="C89" s="205"/>
      <c r="D89" s="205"/>
      <c r="E89" s="205"/>
      <c r="F89" s="205"/>
      <c r="G89" s="205"/>
      <c r="H89" s="205"/>
      <c r="I89" s="205"/>
      <c r="J89" s="205"/>
      <c r="K89" s="205"/>
      <c r="L89" s="205"/>
      <c r="M89" s="205"/>
      <c r="N89" s="205"/>
      <c r="O89" s="205"/>
      <c r="P89" s="205"/>
      <c r="Q89" s="205"/>
      <c r="R89" s="205"/>
      <c r="S89" s="205"/>
      <c r="T89" s="205"/>
      <c r="U89" s="205"/>
      <c r="V89" s="205"/>
      <c r="W89" s="205"/>
      <c r="X89" s="205"/>
      <c r="Y89" s="205"/>
      <c r="Z89" s="205"/>
      <c r="AA89" s="205"/>
      <c r="AB89" s="205"/>
      <c r="AC89" s="205"/>
      <c r="AD89" s="205"/>
      <c r="AE89" s="205"/>
      <c r="AF89" s="205"/>
      <c r="AG89" s="206"/>
    </row>
    <row r="90" spans="1:33" ht="15.75" thickBot="1" x14ac:dyDescent="0.3"/>
    <row r="91" spans="1:33" s="47" customFormat="1" ht="27" thickBot="1" x14ac:dyDescent="0.3">
      <c r="A91" s="204" t="s">
        <v>56</v>
      </c>
      <c r="B91" s="205"/>
      <c r="C91" s="205"/>
      <c r="D91" s="205"/>
      <c r="E91" s="205"/>
      <c r="F91" s="205"/>
      <c r="G91" s="205"/>
      <c r="H91" s="205"/>
      <c r="I91" s="205"/>
      <c r="J91" s="205"/>
      <c r="K91" s="205"/>
      <c r="L91" s="205"/>
      <c r="M91" s="205"/>
      <c r="N91" s="205"/>
      <c r="O91" s="205"/>
      <c r="P91" s="205"/>
      <c r="Q91" s="205"/>
      <c r="R91" s="205"/>
      <c r="S91" s="205"/>
      <c r="T91" s="205"/>
      <c r="U91" s="205"/>
      <c r="V91" s="205"/>
      <c r="W91" s="205"/>
      <c r="X91" s="205"/>
      <c r="Y91" s="205"/>
      <c r="Z91" s="205"/>
      <c r="AA91" s="205"/>
      <c r="AB91" s="205"/>
      <c r="AC91" s="205"/>
      <c r="AD91" s="205"/>
      <c r="AE91" s="205"/>
      <c r="AF91" s="205"/>
      <c r="AG91" s="206"/>
    </row>
    <row r="92" spans="1:33" ht="15.75" thickBot="1" x14ac:dyDescent="0.3"/>
    <row r="93" spans="1:33" s="47" customFormat="1" ht="27" thickBot="1" x14ac:dyDescent="0.3">
      <c r="A93" s="241" t="s">
        <v>57</v>
      </c>
      <c r="B93" s="242"/>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c r="AA93" s="242"/>
      <c r="AB93" s="242"/>
      <c r="AC93" s="242"/>
      <c r="AD93" s="242"/>
      <c r="AE93" s="242"/>
      <c r="AF93" s="242"/>
      <c r="AG93" s="243"/>
    </row>
  </sheetData>
  <mergeCells count="9">
    <mergeCell ref="A7:A21"/>
    <mergeCell ref="A23:A37"/>
    <mergeCell ref="A93:AG93"/>
    <mergeCell ref="M3:AG3"/>
    <mergeCell ref="A60:AG60"/>
    <mergeCell ref="A72:AG72"/>
    <mergeCell ref="A70:AG70"/>
    <mergeCell ref="A65:AG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40625" defaultRowHeight="15" x14ac:dyDescent="0.25"/>
  <cols>
    <col min="1" max="1" width="33.7109375" style="40" bestFit="1" customWidth="1"/>
    <col min="2" max="3" width="14" style="40" bestFit="1" customWidth="1"/>
    <col min="4" max="4" width="14" style="40" customWidth="1"/>
    <col min="5" max="5" width="16" style="14" bestFit="1" customWidth="1"/>
    <col min="6" max="8" width="16" style="14" customWidth="1"/>
    <col min="9" max="13" width="19.140625" style="14" customWidth="1"/>
    <col min="14" max="14" width="32.140625" style="14" bestFit="1" customWidth="1"/>
    <col min="15" max="15" width="19.5703125" style="40" customWidth="1"/>
    <col min="16" max="16384" width="9.140625" style="40"/>
  </cols>
  <sheetData>
    <row r="1" spans="1:15" s="47" customFormat="1" ht="27" thickBot="1" x14ac:dyDescent="0.3">
      <c r="A1" s="241" t="s">
        <v>104</v>
      </c>
      <c r="B1" s="242"/>
      <c r="C1" s="242"/>
      <c r="D1" s="242"/>
      <c r="E1" s="242"/>
      <c r="F1" s="242"/>
      <c r="G1" s="242"/>
      <c r="H1" s="242"/>
      <c r="I1" s="242"/>
      <c r="J1" s="242"/>
      <c r="K1" s="242"/>
      <c r="L1" s="242"/>
      <c r="M1" s="242"/>
      <c r="N1" s="242"/>
      <c r="O1" s="243"/>
    </row>
    <row r="2" spans="1:15" s="47" customFormat="1" ht="27" thickBot="1" x14ac:dyDescent="0.3">
      <c r="A2" s="241" t="s">
        <v>105</v>
      </c>
      <c r="B2" s="242"/>
      <c r="C2" s="242"/>
      <c r="D2" s="242"/>
      <c r="E2" s="242"/>
      <c r="F2" s="242"/>
      <c r="G2" s="242"/>
      <c r="H2" s="242"/>
      <c r="I2" s="242"/>
      <c r="J2" s="242"/>
      <c r="K2" s="242"/>
      <c r="L2" s="242"/>
      <c r="M2" s="242"/>
      <c r="N2" s="242"/>
      <c r="O2" s="243"/>
    </row>
    <row r="3" spans="1:15" s="74" customFormat="1" ht="15.75" x14ac:dyDescent="0.25">
      <c r="H3" s="75"/>
      <c r="I3" s="75"/>
      <c r="J3" s="75"/>
      <c r="K3" s="75"/>
      <c r="L3" s="75"/>
      <c r="M3" s="75"/>
      <c r="N3" s="75"/>
    </row>
    <row r="4" spans="1:15" s="74" customFormat="1" ht="15.75" x14ac:dyDescent="0.25">
      <c r="O4"/>
    </row>
    <row r="5" spans="1:15" s="74" customFormat="1" ht="45.75" customHeight="1" thickBot="1" x14ac:dyDescent="0.3">
      <c r="A5" s="76"/>
      <c r="B5" s="85" t="s">
        <v>25</v>
      </c>
      <c r="C5" s="85" t="s">
        <v>26</v>
      </c>
      <c r="D5" s="85" t="s">
        <v>27</v>
      </c>
      <c r="E5" s="86" t="s">
        <v>64</v>
      </c>
      <c r="F5" s="124" t="s">
        <v>80</v>
      </c>
      <c r="G5" s="92" t="s">
        <v>42</v>
      </c>
      <c r="H5" s="92" t="s">
        <v>65</v>
      </c>
      <c r="I5" s="92" t="s">
        <v>66</v>
      </c>
      <c r="J5" s="93" t="s">
        <v>77</v>
      </c>
      <c r="K5" s="93" t="s">
        <v>67</v>
      </c>
      <c r="L5" s="94" t="s">
        <v>76</v>
      </c>
      <c r="M5" s="94" t="s">
        <v>68</v>
      </c>
      <c r="N5" s="94" t="s">
        <v>69</v>
      </c>
      <c r="O5"/>
    </row>
    <row r="6" spans="1:15" s="74" customFormat="1" ht="15.75" x14ac:dyDescent="0.25">
      <c r="A6" s="77" t="s">
        <v>28</v>
      </c>
      <c r="B6" s="97">
        <v>64</v>
      </c>
      <c r="C6" s="77"/>
      <c r="D6" s="77"/>
      <c r="E6" s="87"/>
      <c r="F6" s="88"/>
      <c r="G6" s="126">
        <f>IF(F6="NS","NC",ROUND(B6,2-(1+INT(LOG10(ABS(B6))))))</f>
        <v>64</v>
      </c>
      <c r="H6" s="118"/>
      <c r="I6" s="118"/>
      <c r="J6" s="119"/>
      <c r="K6" s="120"/>
      <c r="L6" s="122"/>
      <c r="M6" s="119"/>
      <c r="N6" s="89"/>
      <c r="O6"/>
    </row>
    <row r="7" spans="1:15" s="74" customFormat="1" ht="15.75" x14ac:dyDescent="0.25">
      <c r="A7" s="77" t="str">
        <f>'Page de garde'!A15</f>
        <v xml:space="preserve"> </v>
      </c>
      <c r="B7" s="96"/>
      <c r="C7" s="78"/>
      <c r="D7" s="78"/>
      <c r="E7" s="79"/>
      <c r="F7" s="95" t="e">
        <f>HLOOKUP(A7,'pooled normalised values'!$B$74:$L$83,10,FALSE)</f>
        <v>#N/A</v>
      </c>
      <c r="G7" s="126" t="e">
        <f>IF(F7="NS","NC",ROUND(B7,2-(1+INT(LOG10(ABS(B7))))))</f>
        <v>#N/A</v>
      </c>
      <c r="H7" s="117" t="str">
        <f>IF(VLOOKUP(A7,liste_groupe[],4,FALSE)="%",VLOOKUP(A7,liste_groupe[],3,FALSE)/100,IF(ISBLANK(VLOOKUP(A7,liste_groupe[],4,FALSE)),"Non","Non"))</f>
        <v>Non</v>
      </c>
      <c r="I7" s="126" t="e">
        <f>IF(F7="NS","NC",IF(H7="Non",G7,G7*(1/H7)))</f>
        <v>#N/A</v>
      </c>
      <c r="J7" s="127">
        <v>64</v>
      </c>
      <c r="K7" s="128" t="e">
        <f>IF(F7="NS",0,ROUND(I7/J7*100,0))</f>
        <v>#N/A</v>
      </c>
      <c r="L7" s="123">
        <v>1</v>
      </c>
      <c r="M7" s="129" t="e">
        <f>IF(K7&gt;100,125,K7)</f>
        <v>#N/A</v>
      </c>
      <c r="N7" s="90" t="e">
        <f>IF(H7="Non",CONCATENATE(VLOOKUP(A7,liste_groupe[],5,FALSE),"-",VLOOKUP(A7,liste_groupe[],3,FALSE),VLOOKUP(A7,liste_groupe[],4,FALSE)," : ",ROUND(K7,0),"%"),CONCATENATE(VLOOKUP(A7,liste_groupe[],5,FALSE)," : ",ROUND(K7,0),"%"))</f>
        <v>#N/A</v>
      </c>
      <c r="O7"/>
    </row>
    <row r="8" spans="1:15" s="74" customFormat="1" ht="15.75" x14ac:dyDescent="0.25">
      <c r="A8" s="77" t="str">
        <f>'Page de garde'!A16</f>
        <v xml:space="preserve"> </v>
      </c>
      <c r="B8" s="96"/>
      <c r="C8" s="80"/>
      <c r="D8" s="78"/>
      <c r="E8" s="79"/>
      <c r="F8" s="95" t="e">
        <f>HLOOKUP(A8,'pooled normalised values'!$B$74:$L$83,10,FALSE)</f>
        <v>#N/A</v>
      </c>
      <c r="G8" s="126" t="e">
        <f t="shared" ref="G8:G13" si="0">IF(F8="NS","NC",ROUND(B8,2-(1+INT(LOG10(ABS(B8))))))</f>
        <v>#N/A</v>
      </c>
      <c r="H8" s="117" t="str">
        <f>IF(VLOOKUP(A8,liste_groupe[],4,FALSE)="%",VLOOKUP(A8,liste_groupe[],3,FALSE)/100,IF(ISBLANK(VLOOKUP(A8,liste_groupe[],4,FALSE)),"Non","Non"))</f>
        <v>Non</v>
      </c>
      <c r="I8" s="126" t="e">
        <f t="shared" ref="I8:I26" si="1">IF(F8="NS","NC",IF(H8="Non",G8,G8*(1/H8)))</f>
        <v>#N/A</v>
      </c>
      <c r="J8" s="127">
        <v>64</v>
      </c>
      <c r="K8" s="128" t="e">
        <f t="shared" ref="K8:K26" si="2">IF(F8="NS",0,ROUND(I8/J8*100,0))</f>
        <v>#N/A</v>
      </c>
      <c r="L8" s="123"/>
      <c r="M8" s="129" t="e">
        <f t="shared" ref="M8:M26" si="3">IF(K8&gt;100,125,K8)</f>
        <v>#N/A</v>
      </c>
      <c r="N8" s="90" t="e">
        <f>IF(H8="Non",CONCATENATE(VLOOKUP(A8,liste_groupe[],5,FALSE),"-",VLOOKUP(A8,liste_groupe[],3,FALSE),VLOOKUP(A8,liste_groupe[],4,FALSE)," : ",ROUND(K8,0),"%"),CONCATENATE(VLOOKUP(A8,liste_groupe[],5,FALSE)," : ",ROUND(K8,0),"%"))</f>
        <v>#N/A</v>
      </c>
      <c r="O8"/>
    </row>
    <row r="9" spans="1:15" s="74" customFormat="1" ht="15.75" x14ac:dyDescent="0.25">
      <c r="A9" s="77" t="str">
        <f>'Page de garde'!A17</f>
        <v xml:space="preserve"> </v>
      </c>
      <c r="B9" s="96"/>
      <c r="C9" s="80"/>
      <c r="D9" s="78"/>
      <c r="E9" s="79"/>
      <c r="F9" s="95" t="e">
        <f>HLOOKUP(A9,'pooled normalised values'!$B$74:$L$83,10,FALSE)</f>
        <v>#N/A</v>
      </c>
      <c r="G9" s="126" t="e">
        <f t="shared" si="0"/>
        <v>#N/A</v>
      </c>
      <c r="H9" s="117" t="str">
        <f>IF(VLOOKUP(A9,liste_groupe[],4,FALSE)="%",VLOOKUP(A9,liste_groupe[],3,FALSE)/100,IF(ISBLANK(VLOOKUP(A9,liste_groupe[],4,FALSE)),"Non","Non"))</f>
        <v>Non</v>
      </c>
      <c r="I9" s="126" t="e">
        <f t="shared" si="1"/>
        <v>#N/A</v>
      </c>
      <c r="J9" s="127">
        <v>64</v>
      </c>
      <c r="K9" s="128" t="e">
        <f t="shared" si="2"/>
        <v>#N/A</v>
      </c>
      <c r="L9" s="123"/>
      <c r="M9" s="129" t="e">
        <f t="shared" si="3"/>
        <v>#N/A</v>
      </c>
      <c r="N9" s="90" t="e">
        <f>IF(H9="Non",CONCATENATE(VLOOKUP(A9,liste_groupe[],5,FALSE),"-",VLOOKUP(A9,liste_groupe[],3,FALSE),VLOOKUP(A9,liste_groupe[],4,FALSE)," : ",ROUND(K9,0),"%"),CONCATENATE(VLOOKUP(A9,liste_groupe[],5,FALSE)," : ",ROUND(K9,0),"%"))</f>
        <v>#N/A</v>
      </c>
      <c r="O9"/>
    </row>
    <row r="10" spans="1:15" s="74" customFormat="1" ht="15.75" x14ac:dyDescent="0.25">
      <c r="A10" s="77" t="str">
        <f>'Page de garde'!A18</f>
        <v xml:space="preserve"> </v>
      </c>
      <c r="B10" s="97"/>
      <c r="C10" s="77"/>
      <c r="D10" s="82"/>
      <c r="E10" s="79"/>
      <c r="F10" s="95" t="e">
        <f>HLOOKUP(A10,'pooled normalised values'!$B$74:$L$83,10,FALSE)</f>
        <v>#N/A</v>
      </c>
      <c r="G10" s="126" t="e">
        <f t="shared" si="0"/>
        <v>#N/A</v>
      </c>
      <c r="H10" s="117" t="str">
        <f>IF(VLOOKUP(A10,liste_groupe[],4,FALSE)="%",VLOOKUP(A10,liste_groupe[],3,FALSE)/100,IF(ISBLANK(VLOOKUP(A10,liste_groupe[],4,FALSE)),"Non","Non"))</f>
        <v>Non</v>
      </c>
      <c r="I10" s="126" t="e">
        <f t="shared" si="1"/>
        <v>#N/A</v>
      </c>
      <c r="J10" s="127">
        <v>64</v>
      </c>
      <c r="K10" s="128" t="e">
        <f t="shared" si="2"/>
        <v>#N/A</v>
      </c>
      <c r="L10" s="123"/>
      <c r="M10" s="129" t="e">
        <f t="shared" si="3"/>
        <v>#N/A</v>
      </c>
      <c r="N10" s="90" t="e">
        <f>IF(H10="Non",CONCATENATE(VLOOKUP(A10,liste_groupe[],5,FALSE),"-",VLOOKUP(A10,liste_groupe[],3,FALSE),VLOOKUP(A10,liste_groupe[],4,FALSE)," : ",ROUND(K10,0),"%"),CONCATENATE(VLOOKUP(A10,liste_groupe[],5,FALSE)," : ",ROUND(K10,0),"%"))</f>
        <v>#N/A</v>
      </c>
      <c r="O10"/>
    </row>
    <row r="11" spans="1:15" s="74" customFormat="1" ht="15.75" x14ac:dyDescent="0.25">
      <c r="A11" s="77" t="str">
        <f>'Page de garde'!A19</f>
        <v xml:space="preserve"> </v>
      </c>
      <c r="B11" s="97"/>
      <c r="C11" s="77"/>
      <c r="D11" s="82"/>
      <c r="E11" s="79"/>
      <c r="F11" s="95" t="e">
        <f>HLOOKUP(A11,'pooled normalised values'!$B$74:$L$83,10,FALSE)</f>
        <v>#N/A</v>
      </c>
      <c r="G11" s="126" t="e">
        <f t="shared" si="0"/>
        <v>#N/A</v>
      </c>
      <c r="H11" s="117" t="str">
        <f>IF(VLOOKUP(A11,liste_groupe[],4,FALSE)="%",VLOOKUP(A11,liste_groupe[],3,FALSE)/100,IF(ISBLANK(VLOOKUP(A11,liste_groupe[],4,FALSE)),"Non","Non"))</f>
        <v>Non</v>
      </c>
      <c r="I11" s="126" t="e">
        <f t="shared" si="1"/>
        <v>#N/A</v>
      </c>
      <c r="J11" s="127">
        <v>64</v>
      </c>
      <c r="K11" s="128" t="e">
        <f t="shared" si="2"/>
        <v>#N/A</v>
      </c>
      <c r="L11" s="123"/>
      <c r="M11" s="129" t="e">
        <f t="shared" si="3"/>
        <v>#N/A</v>
      </c>
      <c r="N11" s="90" t="e">
        <f>IF(H11="Non",CONCATENATE(VLOOKUP(A11,liste_groupe[],5,FALSE),"-",VLOOKUP(A11,liste_groupe[],3,FALSE),VLOOKUP(A11,liste_groupe[],4,FALSE)," : ",ROUND(K11,0),"%"),CONCATENATE(VLOOKUP(A11,liste_groupe[],5,FALSE)," : ",ROUND(K11,0),"%"))</f>
        <v>#N/A</v>
      </c>
      <c r="O11"/>
    </row>
    <row r="12" spans="1:15" s="74" customFormat="1" ht="15.75" x14ac:dyDescent="0.25">
      <c r="A12" s="77" t="str">
        <f>'Page de garde'!A20</f>
        <v xml:space="preserve"> </v>
      </c>
      <c r="B12" s="97"/>
      <c r="C12" s="77"/>
      <c r="D12" s="82"/>
      <c r="E12" s="79"/>
      <c r="F12" s="95" t="e">
        <f>HLOOKUP(A12,'pooled normalised values'!$B$74:$L$83,10,FALSE)</f>
        <v>#N/A</v>
      </c>
      <c r="G12" s="126" t="e">
        <f t="shared" si="0"/>
        <v>#N/A</v>
      </c>
      <c r="H12" s="117" t="str">
        <f>IF(VLOOKUP(A12,liste_groupe[],4,FALSE)="%",VLOOKUP(A12,liste_groupe[],3,FALSE)/100,IF(ISBLANK(VLOOKUP(A12,liste_groupe[],4,FALSE)),"Non","Non"))</f>
        <v>Non</v>
      </c>
      <c r="I12" s="126" t="e">
        <f t="shared" si="1"/>
        <v>#N/A</v>
      </c>
      <c r="J12" s="127">
        <v>64</v>
      </c>
      <c r="K12" s="128" t="e">
        <f t="shared" si="2"/>
        <v>#N/A</v>
      </c>
      <c r="L12" s="123"/>
      <c r="M12" s="129" t="e">
        <f t="shared" si="3"/>
        <v>#N/A</v>
      </c>
      <c r="N12" s="90" t="e">
        <f>IF(H12="Non",CONCATENATE(VLOOKUP(A12,liste_groupe[],5,FALSE),"-",VLOOKUP(A12,liste_groupe[],3,FALSE),VLOOKUP(A12,liste_groupe[],4,FALSE)," : ",ROUND(K12,0),"%"),CONCATENATE(VLOOKUP(A12,liste_groupe[],5,FALSE)," : ",ROUND(K12,0),"%"))</f>
        <v>#N/A</v>
      </c>
      <c r="O12"/>
    </row>
    <row r="13" spans="1:15" s="74" customFormat="1" ht="15.75" x14ac:dyDescent="0.25">
      <c r="A13" s="77" t="str">
        <f>'Page de garde'!A21</f>
        <v xml:space="preserve"> </v>
      </c>
      <c r="B13" s="97"/>
      <c r="C13" s="77"/>
      <c r="D13" s="77"/>
      <c r="E13" s="79"/>
      <c r="F13" s="95" t="e">
        <f>HLOOKUP(A13,'pooled normalised values'!$B$74:$L$83,10,FALSE)</f>
        <v>#N/A</v>
      </c>
      <c r="G13" s="126" t="e">
        <f t="shared" si="0"/>
        <v>#N/A</v>
      </c>
      <c r="H13" s="117" t="str">
        <f>IF(VLOOKUP(A13,liste_groupe[],4,FALSE)="%",VLOOKUP(A13,liste_groupe[],3,FALSE)/100,IF(ISBLANK(VLOOKUP(A13,liste_groupe[],4,FALSE)),"Non","Non"))</f>
        <v>Non</v>
      </c>
      <c r="I13" s="126" t="e">
        <f t="shared" si="1"/>
        <v>#N/A</v>
      </c>
      <c r="J13" s="127">
        <v>64</v>
      </c>
      <c r="K13" s="128" t="e">
        <f t="shared" si="2"/>
        <v>#N/A</v>
      </c>
      <c r="L13" s="123"/>
      <c r="M13" s="129" t="e">
        <f t="shared" si="3"/>
        <v>#N/A</v>
      </c>
      <c r="N13" s="90" t="e">
        <f>IF(H13="Non",CONCATENATE(VLOOKUP(A13,liste_groupe[],5,FALSE),"-",VLOOKUP(A13,liste_groupe[],3,FALSE),VLOOKUP(A13,liste_groupe[],4,FALSE)," : ",ROUND(K13,0),"%"),CONCATENATE(VLOOKUP(A13,liste_groupe[],5,FALSE)," : ",ROUND(K13,0),"%"))</f>
        <v>#N/A</v>
      </c>
      <c r="O13"/>
    </row>
    <row r="14" spans="1:15" s="74" customFormat="1" ht="15.75" x14ac:dyDescent="0.25">
      <c r="A14" s="77" t="str">
        <f>'Page de garde'!A22</f>
        <v xml:space="preserve"> </v>
      </c>
      <c r="B14" s="97"/>
      <c r="C14" s="77"/>
      <c r="D14" s="77"/>
      <c r="E14" s="79"/>
      <c r="F14" s="95" t="e">
        <f>HLOOKUP(A14,'pooled normalised values'!$B$74:$L$83,10,FALSE)</f>
        <v>#N/A</v>
      </c>
      <c r="G14" s="126" t="e">
        <f t="shared" ref="G14:G25" si="4">IF(F14="NS","NC",ROUND(B14,2-(1+INT(LOG10(ABS(B14))))))</f>
        <v>#N/A</v>
      </c>
      <c r="H14" s="117" t="str">
        <f>IF(VLOOKUP(A14,liste_groupe[],4,FALSE)="%",VLOOKUP(A14,liste_groupe[],3,FALSE)/100,IF(ISBLANK(VLOOKUP(A14,liste_groupe[],4,FALSE)),"Non","Non"))</f>
        <v>Non</v>
      </c>
      <c r="I14" s="126" t="e">
        <f t="shared" si="1"/>
        <v>#N/A</v>
      </c>
      <c r="J14" s="127">
        <v>64</v>
      </c>
      <c r="K14" s="128" t="e">
        <f t="shared" si="2"/>
        <v>#N/A</v>
      </c>
      <c r="L14" s="123"/>
      <c r="M14" s="129" t="e">
        <f t="shared" si="3"/>
        <v>#N/A</v>
      </c>
      <c r="N14" s="90" t="e">
        <f>IF(H14="Non",CONCATENATE(VLOOKUP(A14,liste_groupe[],5,FALSE),"-",VLOOKUP(A14,liste_groupe[],3,FALSE),VLOOKUP(A14,liste_groupe[],4,FALSE)," : ",ROUND(K14,0),"%"),CONCATENATE(VLOOKUP(A14,liste_groupe[],5,FALSE)," : ",ROUND(K14,0),"%"))</f>
        <v>#N/A</v>
      </c>
      <c r="O14" s="1"/>
    </row>
    <row r="15" spans="1:15" s="74" customFormat="1" ht="15.75" x14ac:dyDescent="0.25">
      <c r="A15" s="77" t="str">
        <f>'Page de garde'!A23</f>
        <v xml:space="preserve"> </v>
      </c>
      <c r="B15" s="97"/>
      <c r="C15" s="77"/>
      <c r="D15" s="77"/>
      <c r="E15" s="79"/>
      <c r="F15" s="95" t="e">
        <f>HLOOKUP(A15,'pooled normalised values'!$B$74:$L$83,10,FALSE)</f>
        <v>#N/A</v>
      </c>
      <c r="G15" s="126" t="e">
        <f t="shared" si="4"/>
        <v>#N/A</v>
      </c>
      <c r="H15" s="117" t="str">
        <f>IF(VLOOKUP(A15,liste_groupe[],4,FALSE)="%",VLOOKUP(A15,liste_groupe[],3,FALSE)/100,IF(ISBLANK(VLOOKUP(A15,liste_groupe[],4,FALSE)),"Non","Non"))</f>
        <v>Non</v>
      </c>
      <c r="I15" s="126" t="e">
        <f t="shared" si="1"/>
        <v>#N/A</v>
      </c>
      <c r="J15" s="127">
        <v>64</v>
      </c>
      <c r="K15" s="128" t="e">
        <f t="shared" si="2"/>
        <v>#N/A</v>
      </c>
      <c r="L15" s="123"/>
      <c r="M15" s="129" t="e">
        <f t="shared" si="3"/>
        <v>#N/A</v>
      </c>
      <c r="N15" s="90" t="e">
        <f>IF(H15="Non",CONCATENATE(VLOOKUP(A15,liste_groupe[],5,FALSE),"-",VLOOKUP(A15,liste_groupe[],3,FALSE),VLOOKUP(A15,liste_groupe[],4,FALSE)," : ",ROUND(K15,0),"%"),CONCATENATE(VLOOKUP(A15,liste_groupe[],5,FALSE)," : ",ROUND(K15,0),"%"))</f>
        <v>#N/A</v>
      </c>
      <c r="O15" s="1"/>
    </row>
    <row r="16" spans="1:15" s="74" customFormat="1" ht="15.75" x14ac:dyDescent="0.25">
      <c r="A16" s="77" t="str">
        <f>'Page de garde'!A24</f>
        <v xml:space="preserve"> </v>
      </c>
      <c r="B16" s="97"/>
      <c r="C16" s="77"/>
      <c r="D16" s="77"/>
      <c r="E16" s="79"/>
      <c r="F16" s="95" t="e">
        <f>HLOOKUP(A16,'pooled normalised values'!$B$74:$L$83,10,FALSE)</f>
        <v>#N/A</v>
      </c>
      <c r="G16" s="126" t="e">
        <f t="shared" si="4"/>
        <v>#N/A</v>
      </c>
      <c r="H16" s="117" t="str">
        <f>IF(VLOOKUP(A16,liste_groupe[],4,FALSE)="%",VLOOKUP(A16,liste_groupe[],3,FALSE)/100,IF(ISBLANK(VLOOKUP(A16,liste_groupe[],4,FALSE)),"Non","Non"))</f>
        <v>Non</v>
      </c>
      <c r="I16" s="126" t="e">
        <f t="shared" si="1"/>
        <v>#N/A</v>
      </c>
      <c r="J16" s="127">
        <v>64</v>
      </c>
      <c r="K16" s="128" t="e">
        <f t="shared" si="2"/>
        <v>#N/A</v>
      </c>
      <c r="L16" s="123"/>
      <c r="M16" s="129" t="e">
        <f t="shared" si="3"/>
        <v>#N/A</v>
      </c>
      <c r="N16" s="90" t="e">
        <f>IF(H16="Non",CONCATENATE(VLOOKUP(A16,liste_groupe[],5,FALSE),"-",VLOOKUP(A16,liste_groupe[],3,FALSE),VLOOKUP(A16,liste_groupe[],4,FALSE)," : ",ROUND(K16,0),"%"),CONCATENATE(VLOOKUP(A16,liste_groupe[],5,FALSE)," : ",ROUND(K16,0),"%"))</f>
        <v>#N/A</v>
      </c>
      <c r="O16" s="1"/>
    </row>
    <row r="17" spans="1:15" s="74" customFormat="1" ht="15.75" x14ac:dyDescent="0.25">
      <c r="A17" s="77" t="str">
        <f>'Page de garde'!A25</f>
        <v xml:space="preserve"> </v>
      </c>
      <c r="B17" s="97"/>
      <c r="C17" s="77"/>
      <c r="D17" s="77"/>
      <c r="E17" s="79"/>
      <c r="F17" s="95" t="e">
        <f>HLOOKUP(A17,'pooled normalised values'!$B$74:$L$83,10,FALSE)</f>
        <v>#N/A</v>
      </c>
      <c r="G17" s="126" t="e">
        <f t="shared" si="4"/>
        <v>#N/A</v>
      </c>
      <c r="H17" s="117" t="str">
        <f>IF(VLOOKUP(A17,liste_groupe[],4,FALSE)="%",VLOOKUP(A17,liste_groupe[],3,FALSE)/100,IF(ISBLANK(VLOOKUP(A17,liste_groupe[],4,FALSE)),"Non","Non"))</f>
        <v>Non</v>
      </c>
      <c r="I17" s="126" t="e">
        <f t="shared" si="1"/>
        <v>#N/A</v>
      </c>
      <c r="J17" s="127">
        <v>64</v>
      </c>
      <c r="K17" s="128" t="e">
        <f t="shared" si="2"/>
        <v>#N/A</v>
      </c>
      <c r="L17" s="123"/>
      <c r="M17" s="129" t="e">
        <f t="shared" si="3"/>
        <v>#N/A</v>
      </c>
      <c r="N17" s="90" t="e">
        <f>IF(H17="Non",CONCATENATE(VLOOKUP(A17,liste_groupe[],5,FALSE),"-",VLOOKUP(A17,liste_groupe[],3,FALSE),VLOOKUP(A17,liste_groupe[],4,FALSE)," : ",ROUND(K17,0),"%"),CONCATENATE(VLOOKUP(A17,liste_groupe[],5,FALSE)," : ",ROUND(K17,0),"%"))</f>
        <v>#N/A</v>
      </c>
      <c r="O17" s="1"/>
    </row>
    <row r="18" spans="1:15" s="74" customFormat="1" ht="15.75" x14ac:dyDescent="0.25">
      <c r="A18" s="77" t="str">
        <f>'Page de garde'!A26</f>
        <v xml:space="preserve"> </v>
      </c>
      <c r="B18" s="97"/>
      <c r="C18" s="77"/>
      <c r="D18" s="77"/>
      <c r="E18" s="79"/>
      <c r="F18" s="95" t="e">
        <f>HLOOKUP(A18,'pooled normalised values'!$B$74:$L$83,10,FALSE)</f>
        <v>#N/A</v>
      </c>
      <c r="G18" s="126" t="e">
        <f t="shared" si="4"/>
        <v>#N/A</v>
      </c>
      <c r="H18" s="117" t="str">
        <f>IF(VLOOKUP(A18,liste_groupe[],4,FALSE)="%",VLOOKUP(A18,liste_groupe[],3,FALSE)/100,IF(ISBLANK(VLOOKUP(A18,liste_groupe[],4,FALSE)),"Non","Non"))</f>
        <v>Non</v>
      </c>
      <c r="I18" s="126" t="e">
        <f t="shared" si="1"/>
        <v>#N/A</v>
      </c>
      <c r="J18" s="127">
        <v>64</v>
      </c>
      <c r="K18" s="128" t="e">
        <f t="shared" si="2"/>
        <v>#N/A</v>
      </c>
      <c r="L18" s="123"/>
      <c r="M18" s="129" t="e">
        <f t="shared" si="3"/>
        <v>#N/A</v>
      </c>
      <c r="N18" s="90" t="e">
        <f>IF(H18="Non",CONCATENATE(VLOOKUP(A18,liste_groupe[],5,FALSE),"-",VLOOKUP(A18,liste_groupe[],3,FALSE),VLOOKUP(A18,liste_groupe[],4,FALSE)," : ",ROUND(K18,0),"%"),CONCATENATE(VLOOKUP(A18,liste_groupe[],5,FALSE)," : ",ROUND(K18,0),"%"))</f>
        <v>#N/A</v>
      </c>
      <c r="O18" s="1"/>
    </row>
    <row r="19" spans="1:15" s="74" customFormat="1" ht="15.75" x14ac:dyDescent="0.25">
      <c r="A19" s="77" t="str">
        <f>'Page de garde'!A27</f>
        <v xml:space="preserve"> </v>
      </c>
      <c r="B19" s="97"/>
      <c r="C19" s="77"/>
      <c r="D19" s="77"/>
      <c r="E19" s="79"/>
      <c r="F19" s="95" t="e">
        <f>HLOOKUP(A19,'pooled normalised values'!$B$74:$L$83,10,FALSE)</f>
        <v>#N/A</v>
      </c>
      <c r="G19" s="126" t="e">
        <f t="shared" si="4"/>
        <v>#N/A</v>
      </c>
      <c r="H19" s="117" t="str">
        <f>IF(VLOOKUP(A19,liste_groupe[],4,FALSE)="%",VLOOKUP(A19,liste_groupe[],3,FALSE)/100,IF(ISBLANK(VLOOKUP(A19,liste_groupe[],4,FALSE)),"Non","Non"))</f>
        <v>Non</v>
      </c>
      <c r="I19" s="126" t="e">
        <f t="shared" si="1"/>
        <v>#N/A</v>
      </c>
      <c r="J19" s="127">
        <v>64</v>
      </c>
      <c r="K19" s="128" t="e">
        <f t="shared" si="2"/>
        <v>#N/A</v>
      </c>
      <c r="L19" s="123"/>
      <c r="M19" s="129" t="e">
        <f t="shared" si="3"/>
        <v>#N/A</v>
      </c>
      <c r="N19" s="90" t="e">
        <f>IF(H19="Non",CONCATENATE(VLOOKUP(A19,liste_groupe[],5,FALSE),"-",VLOOKUP(A19,liste_groupe[],3,FALSE),VLOOKUP(A19,liste_groupe[],4,FALSE)," : ",ROUND(K19,0),"%"),CONCATENATE(VLOOKUP(A19,liste_groupe[],5,FALSE)," : ",ROUND(K19,0),"%"))</f>
        <v>#N/A</v>
      </c>
      <c r="O19" s="1"/>
    </row>
    <row r="20" spans="1:15" s="74" customFormat="1" ht="15.75" x14ac:dyDescent="0.25">
      <c r="A20" s="77" t="str">
        <f>'Page de garde'!A28</f>
        <v xml:space="preserve"> </v>
      </c>
      <c r="B20" s="97"/>
      <c r="C20" s="77"/>
      <c r="D20" s="77"/>
      <c r="E20" s="79"/>
      <c r="F20" s="95" t="e">
        <f>HLOOKUP(A20,'pooled normalised values'!$B$74:$L$83,10,FALSE)</f>
        <v>#N/A</v>
      </c>
      <c r="G20" s="126" t="e">
        <f t="shared" si="4"/>
        <v>#N/A</v>
      </c>
      <c r="H20" s="117" t="str">
        <f>IF(VLOOKUP(A20,liste_groupe[],4,FALSE)="%",VLOOKUP(A20,liste_groupe[],3,FALSE)/100,IF(ISBLANK(VLOOKUP(A20,liste_groupe[],4,FALSE)),"Non","Non"))</f>
        <v>Non</v>
      </c>
      <c r="I20" s="126" t="e">
        <f t="shared" si="1"/>
        <v>#N/A</v>
      </c>
      <c r="J20" s="127">
        <v>64</v>
      </c>
      <c r="K20" s="128" t="e">
        <f t="shared" si="2"/>
        <v>#N/A</v>
      </c>
      <c r="L20" s="123"/>
      <c r="M20" s="129" t="e">
        <f t="shared" si="3"/>
        <v>#N/A</v>
      </c>
      <c r="N20" s="90" t="e">
        <f>IF(H20="Non",CONCATENATE(VLOOKUP(A20,liste_groupe[],5,FALSE),"-",VLOOKUP(A20,liste_groupe[],3,FALSE),VLOOKUP(A20,liste_groupe[],4,FALSE)," : ",ROUND(K20,0),"%"),CONCATENATE(VLOOKUP(A20,liste_groupe[],5,FALSE)," : ",ROUND(K20,0),"%"))</f>
        <v>#N/A</v>
      </c>
      <c r="O20" s="1"/>
    </row>
    <row r="21" spans="1:15" s="74" customFormat="1" ht="15.75" x14ac:dyDescent="0.25">
      <c r="A21" s="77" t="str">
        <f>'Page de garde'!A29</f>
        <v xml:space="preserve"> </v>
      </c>
      <c r="B21" s="97"/>
      <c r="C21" s="77"/>
      <c r="D21" s="77"/>
      <c r="E21" s="79"/>
      <c r="F21" s="95" t="e">
        <f>HLOOKUP(A21,'pooled normalised values'!$B$74:$L$83,10,FALSE)</f>
        <v>#N/A</v>
      </c>
      <c r="G21" s="126" t="e">
        <f t="shared" si="4"/>
        <v>#N/A</v>
      </c>
      <c r="H21" s="117" t="str">
        <f>IF(VLOOKUP(A21,liste_groupe[],4,FALSE)="%",VLOOKUP(A21,liste_groupe[],3,FALSE)/100,IF(ISBLANK(VLOOKUP(A21,liste_groupe[],4,FALSE)),"Non","Non"))</f>
        <v>Non</v>
      </c>
      <c r="I21" s="126" t="e">
        <f t="shared" si="1"/>
        <v>#N/A</v>
      </c>
      <c r="J21" s="127">
        <v>64</v>
      </c>
      <c r="K21" s="128" t="e">
        <f t="shared" si="2"/>
        <v>#N/A</v>
      </c>
      <c r="L21" s="123"/>
      <c r="M21" s="129" t="e">
        <f t="shared" si="3"/>
        <v>#N/A</v>
      </c>
      <c r="N21" s="90" t="e">
        <f>IF(H21="Non",CONCATENATE(VLOOKUP(A21,liste_groupe[],5,FALSE),"-",VLOOKUP(A21,liste_groupe[],3,FALSE),VLOOKUP(A21,liste_groupe[],4,FALSE)," : ",ROUND(K21,0),"%"),CONCATENATE(VLOOKUP(A21,liste_groupe[],5,FALSE)," : ",ROUND(K21,0),"%"))</f>
        <v>#N/A</v>
      </c>
      <c r="O21" s="1"/>
    </row>
    <row r="22" spans="1:15" s="74" customFormat="1" ht="15.75" x14ac:dyDescent="0.25">
      <c r="A22" s="77" t="str">
        <f>'Page de garde'!A30</f>
        <v xml:space="preserve"> </v>
      </c>
      <c r="B22" s="97"/>
      <c r="C22" s="77"/>
      <c r="D22" s="77"/>
      <c r="E22" s="79"/>
      <c r="F22" s="95" t="e">
        <f>HLOOKUP(A22,'pooled normalised values'!$B$74:$L$83,10,FALSE)</f>
        <v>#N/A</v>
      </c>
      <c r="G22" s="126" t="e">
        <f t="shared" si="4"/>
        <v>#N/A</v>
      </c>
      <c r="H22" s="117" t="str">
        <f>IF(VLOOKUP(A22,liste_groupe[],4,FALSE)="%",VLOOKUP(A22,liste_groupe[],3,FALSE)/100,IF(ISBLANK(VLOOKUP(A22,liste_groupe[],4,FALSE)),"Non","Non"))</f>
        <v>Non</v>
      </c>
      <c r="I22" s="126" t="e">
        <f t="shared" si="1"/>
        <v>#N/A</v>
      </c>
      <c r="J22" s="127">
        <v>64</v>
      </c>
      <c r="K22" s="128" t="e">
        <f t="shared" si="2"/>
        <v>#N/A</v>
      </c>
      <c r="L22" s="123"/>
      <c r="M22" s="129" t="e">
        <f t="shared" si="3"/>
        <v>#N/A</v>
      </c>
      <c r="N22" s="90" t="e">
        <f>IF(H22="Non",CONCATENATE(VLOOKUP(A22,liste_groupe[],5,FALSE),"-",VLOOKUP(A22,liste_groupe[],3,FALSE),VLOOKUP(A22,liste_groupe[],4,FALSE)," : ",ROUND(K22,0),"%"),CONCATENATE(VLOOKUP(A22,liste_groupe[],5,FALSE)," : ",ROUND(K22,0),"%"))</f>
        <v>#N/A</v>
      </c>
      <c r="O22" s="1"/>
    </row>
    <row r="23" spans="1:15" s="74" customFormat="1" ht="15.75" x14ac:dyDescent="0.25">
      <c r="A23" s="77" t="str">
        <f>'Page de garde'!A31</f>
        <v xml:space="preserve"> </v>
      </c>
      <c r="B23" s="97"/>
      <c r="C23" s="77"/>
      <c r="D23" s="77"/>
      <c r="E23" s="79"/>
      <c r="F23" s="95" t="e">
        <f>HLOOKUP(A23,'pooled normalised values'!$B$74:$L$83,10,FALSE)</f>
        <v>#N/A</v>
      </c>
      <c r="G23" s="126" t="e">
        <f t="shared" si="4"/>
        <v>#N/A</v>
      </c>
      <c r="H23" s="117" t="str">
        <f>IF(VLOOKUP(A23,liste_groupe[],4,FALSE)="%",VLOOKUP(A23,liste_groupe[],3,FALSE)/100,IF(ISBLANK(VLOOKUP(A23,liste_groupe[],4,FALSE)),"Non","Non"))</f>
        <v>Non</v>
      </c>
      <c r="I23" s="126" t="e">
        <f t="shared" si="1"/>
        <v>#N/A</v>
      </c>
      <c r="J23" s="127">
        <v>64</v>
      </c>
      <c r="K23" s="128" t="e">
        <f t="shared" si="2"/>
        <v>#N/A</v>
      </c>
      <c r="L23" s="123"/>
      <c r="M23" s="129" t="e">
        <f t="shared" si="3"/>
        <v>#N/A</v>
      </c>
      <c r="N23" s="90" t="e">
        <f>IF(H23="Non",CONCATENATE(VLOOKUP(A23,liste_groupe[],5,FALSE),"-",VLOOKUP(A23,liste_groupe[],3,FALSE),VLOOKUP(A23,liste_groupe[],4,FALSE)," : ",ROUND(K23,0),"%"),CONCATENATE(VLOOKUP(A23,liste_groupe[],5,FALSE)," : ",ROUND(K23,0),"%"))</f>
        <v>#N/A</v>
      </c>
      <c r="O23" s="1"/>
    </row>
    <row r="24" spans="1:15" s="74" customFormat="1" ht="15.75" x14ac:dyDescent="0.25">
      <c r="A24" s="77" t="str">
        <f>'Page de garde'!A32</f>
        <v xml:space="preserve"> </v>
      </c>
      <c r="B24" s="97"/>
      <c r="C24" s="77"/>
      <c r="D24" s="77"/>
      <c r="E24" s="79"/>
      <c r="F24" s="95" t="e">
        <f>HLOOKUP(A24,'pooled normalised values'!$B$74:$L$83,10,FALSE)</f>
        <v>#N/A</v>
      </c>
      <c r="G24" s="126" t="e">
        <f t="shared" si="4"/>
        <v>#N/A</v>
      </c>
      <c r="H24" s="117" t="str">
        <f>IF(VLOOKUP(A24,liste_groupe[],4,FALSE)="%",VLOOKUP(A24,liste_groupe[],3,FALSE)/100,IF(ISBLANK(VLOOKUP(A24,liste_groupe[],4,FALSE)),"Non","Non"))</f>
        <v>Non</v>
      </c>
      <c r="I24" s="126" t="e">
        <f t="shared" si="1"/>
        <v>#N/A</v>
      </c>
      <c r="J24" s="127">
        <v>64</v>
      </c>
      <c r="K24" s="128" t="e">
        <f t="shared" si="2"/>
        <v>#N/A</v>
      </c>
      <c r="L24" s="123"/>
      <c r="M24" s="129" t="e">
        <f t="shared" si="3"/>
        <v>#N/A</v>
      </c>
      <c r="N24" s="90" t="e">
        <f>IF(H24="Non",CONCATENATE(VLOOKUP(A24,liste_groupe[],5,FALSE),"-",VLOOKUP(A24,liste_groupe[],3,FALSE),VLOOKUP(A24,liste_groupe[],4,FALSE)," : ",ROUND(K24,0),"%"),CONCATENATE(VLOOKUP(A24,liste_groupe[],5,FALSE)," : ",ROUND(K24,0),"%"))</f>
        <v>#N/A</v>
      </c>
      <c r="O24" s="1"/>
    </row>
    <row r="25" spans="1:15" s="74" customFormat="1" ht="15.75" x14ac:dyDescent="0.25">
      <c r="A25" s="77" t="str">
        <f>'Page de garde'!A33</f>
        <v xml:space="preserve"> </v>
      </c>
      <c r="B25" s="97"/>
      <c r="C25" s="77"/>
      <c r="D25" s="77"/>
      <c r="E25" s="79"/>
      <c r="F25" s="95" t="e">
        <f>HLOOKUP(A25,'pooled normalised values'!$B$74:$L$83,10,FALSE)</f>
        <v>#N/A</v>
      </c>
      <c r="G25" s="126" t="e">
        <f t="shared" si="4"/>
        <v>#N/A</v>
      </c>
      <c r="H25" s="117" t="str">
        <f>IF(VLOOKUP(A25,liste_groupe[],4,FALSE)="%",VLOOKUP(A25,liste_groupe[],3,FALSE)/100,IF(ISBLANK(VLOOKUP(A25,liste_groupe[],4,FALSE)),"Non","Non"))</f>
        <v>Non</v>
      </c>
      <c r="I25" s="126" t="e">
        <f t="shared" si="1"/>
        <v>#N/A</v>
      </c>
      <c r="J25" s="127">
        <v>64</v>
      </c>
      <c r="K25" s="128" t="e">
        <f t="shared" si="2"/>
        <v>#N/A</v>
      </c>
      <c r="L25" s="123"/>
      <c r="M25" s="129" t="e">
        <f t="shared" si="3"/>
        <v>#N/A</v>
      </c>
      <c r="N25" s="90" t="e">
        <f>IF(H25="Non",CONCATENATE(VLOOKUP(A25,liste_groupe[],5,FALSE),"-",VLOOKUP(A25,liste_groupe[],3,FALSE),VLOOKUP(A25,liste_groupe[],4,FALSE)," : ",ROUND(K25,0),"%"),CONCATENATE(VLOOKUP(A25,liste_groupe[],5,FALSE)," : ",ROUND(K25,0),"%"))</f>
        <v>#N/A</v>
      </c>
      <c r="O25" s="1"/>
    </row>
    <row r="26" spans="1:15" s="74" customFormat="1" ht="15.75" x14ac:dyDescent="0.25">
      <c r="A26" s="77" t="str">
        <f>'Page de garde'!A34</f>
        <v xml:space="preserve"> </v>
      </c>
      <c r="B26" s="96"/>
      <c r="C26" s="83"/>
      <c r="D26" s="83"/>
      <c r="E26" s="79"/>
      <c r="F26" s="95" t="e">
        <f>HLOOKUP(A26,'pooled normalised values'!$B$74:$L$83,10,FALSE)</f>
        <v>#N/A</v>
      </c>
      <c r="G26" s="126" t="e">
        <f t="shared" ref="G26" si="5">IF(F26="NS","NC",ROUND(B26,2-(1+INT(LOG10(ABS(B26))))))</f>
        <v>#N/A</v>
      </c>
      <c r="H26" s="117" t="str">
        <f>IF(VLOOKUP(A26,liste_groupe[],4,FALSE)="%",VLOOKUP(A26,liste_groupe[],3,FALSE)/100,IF(ISBLANK(VLOOKUP(A26,liste_groupe[],4,FALSE)),"Non","Non"))</f>
        <v>Non</v>
      </c>
      <c r="I26" s="126" t="e">
        <f t="shared" si="1"/>
        <v>#N/A</v>
      </c>
      <c r="J26" s="127">
        <v>64</v>
      </c>
      <c r="K26" s="128" t="e">
        <f t="shared" si="2"/>
        <v>#N/A</v>
      </c>
      <c r="L26" s="123"/>
      <c r="M26" s="129" t="e">
        <f t="shared" si="3"/>
        <v>#N/A</v>
      </c>
      <c r="N26" s="90" t="e">
        <f>IF(H26="Non",CONCATENATE(VLOOKUP(A26,liste_groupe[],5,FALSE),"-",VLOOKUP(A26,liste_groupe[],3,FALSE),VLOOKUP(A26,liste_groupe[],4,FALSE)," : ",ROUND(K26,0),"%"),CONCATENATE(VLOOKUP(A26,liste_groupe[],5,FALSE)," : ",ROUND(K26,0),"%"))</f>
        <v>#N/A</v>
      </c>
      <c r="O26"/>
    </row>
    <row r="27" spans="1:15" s="74" customFormat="1" ht="15.75" x14ac:dyDescent="0.25">
      <c r="A27"/>
      <c r="B27"/>
      <c r="C27"/>
      <c r="D27"/>
      <c r="E27"/>
      <c r="F27"/>
      <c r="G27"/>
      <c r="H27"/>
      <c r="I27"/>
      <c r="J27"/>
      <c r="K27"/>
      <c r="L27"/>
      <c r="M27"/>
      <c r="N27"/>
      <c r="O27" s="1"/>
    </row>
    <row r="28" spans="1:15" s="74" customFormat="1" ht="32.25" thickBot="1" x14ac:dyDescent="0.3">
      <c r="A28"/>
      <c r="B28" s="85" t="s">
        <v>25</v>
      </c>
      <c r="C28" s="85" t="s">
        <v>26</v>
      </c>
      <c r="D28" s="85" t="s">
        <v>27</v>
      </c>
      <c r="E28" s="86" t="s">
        <v>64</v>
      </c>
      <c r="F28" s="124" t="s">
        <v>80</v>
      </c>
      <c r="G28" s="92" t="s">
        <v>42</v>
      </c>
      <c r="H28" s="92" t="s">
        <v>65</v>
      </c>
      <c r="I28" s="92" t="s">
        <v>66</v>
      </c>
      <c r="J28" s="93" t="s">
        <v>77</v>
      </c>
      <c r="K28" s="93" t="s">
        <v>67</v>
      </c>
      <c r="L28" s="94" t="s">
        <v>76</v>
      </c>
      <c r="M28" s="94" t="s">
        <v>68</v>
      </c>
      <c r="N28" s="94" t="s">
        <v>69</v>
      </c>
      <c r="O28" s="1"/>
    </row>
    <row r="29" spans="1:15" s="74" customFormat="1" ht="15.75" x14ac:dyDescent="0.25">
      <c r="A29" s="81" t="s">
        <v>29</v>
      </c>
      <c r="B29" s="97"/>
      <c r="C29" s="77"/>
      <c r="D29" s="77"/>
      <c r="E29" s="79"/>
      <c r="F29" s="88"/>
      <c r="G29" s="131"/>
      <c r="H29" s="118"/>
      <c r="I29" s="118"/>
      <c r="J29" s="119"/>
      <c r="K29" s="120"/>
      <c r="L29" s="122"/>
      <c r="M29" s="119"/>
      <c r="N29" s="89"/>
      <c r="O29"/>
    </row>
    <row r="30" spans="1:15" s="74" customFormat="1" ht="15.75" x14ac:dyDescent="0.25">
      <c r="A30" s="81" t="s">
        <v>31</v>
      </c>
      <c r="B30" s="97"/>
      <c r="C30" s="77"/>
      <c r="D30" s="77"/>
      <c r="E30" s="79"/>
      <c r="F30" s="88"/>
      <c r="G30" s="130" t="e">
        <f>IF(F30="NS","NC",ROUND(B30-$B$29,2-(1+INT(LOG10(ABS(B30-$B$29))))))</f>
        <v>#NUM!</v>
      </c>
      <c r="H30" s="118"/>
      <c r="I30" s="131"/>
      <c r="J30" s="132"/>
      <c r="K30" s="133"/>
      <c r="L30" s="132"/>
      <c r="M30" s="132"/>
      <c r="N30" s="134"/>
      <c r="O30"/>
    </row>
    <row r="31" spans="1:15" s="74" customFormat="1" ht="15.75" x14ac:dyDescent="0.25">
      <c r="A31" s="81" t="s">
        <v>30</v>
      </c>
      <c r="B31" s="97"/>
      <c r="C31" s="77"/>
      <c r="D31" s="77"/>
      <c r="E31" s="79"/>
      <c r="F31" s="88"/>
      <c r="G31" s="130" t="e">
        <f t="shared" ref="G31:G51" si="6">IF(F31="NS","NC",ROUND(B31-$B$29,2-(1+INT(LOG10(ABS(B31-$B$29))))))</f>
        <v>#NUM!</v>
      </c>
      <c r="H31" s="118"/>
      <c r="I31" s="131"/>
      <c r="J31" s="132"/>
      <c r="K31" s="133"/>
      <c r="L31" s="132"/>
      <c r="M31" s="132"/>
      <c r="N31" s="134"/>
    </row>
    <row r="32" spans="1:15" s="74" customFormat="1" ht="15.75" x14ac:dyDescent="0.25">
      <c r="A32" s="125" t="str">
        <f>'Page de garde'!A39</f>
        <v>0-00 + Testostérone</v>
      </c>
      <c r="B32" s="97"/>
      <c r="C32" s="77"/>
      <c r="D32" s="77"/>
      <c r="E32" s="79"/>
      <c r="F32" s="91" t="e">
        <f>HLOOKUP(A32,'pooled normalised values'!$B$74:$L$83,10,FALSE)</f>
        <v>#N/A</v>
      </c>
      <c r="G32" s="130" t="e">
        <f t="shared" si="6"/>
        <v>#N/A</v>
      </c>
      <c r="H32" s="121" t="str">
        <f>IF(VLOOKUP(A32,liste_groupe[],4,FALSE)="%",VLOOKUP(A32,liste_groupe[],3,FALSE)/100,IF(ISBLANK(VLOOKUP(A32,liste_groupe[],4,FALSE)),"Non","Non"))</f>
        <v>Non</v>
      </c>
      <c r="I32" s="130" t="e">
        <f>IF(F32="NS","NC",IF(H32="Non",G32,G32*(1/H32)))</f>
        <v>#N/A</v>
      </c>
      <c r="J32" s="135" t="e">
        <f>IF(G32&lt;0,$G$31,$G$30)</f>
        <v>#N/A</v>
      </c>
      <c r="K32" s="136" t="e">
        <f>IF(F32="NS",0,IF(I32&lt;0,-ROUND(I32/J32*100,0),ROUND(I32/J32*100,0)))</f>
        <v>#N/A</v>
      </c>
      <c r="L32" s="137">
        <v>1</v>
      </c>
      <c r="M32" s="129" t="e">
        <f>IF(I32&lt;0,IF(K32&lt;-100,-125,K32),IF(K32&gt;100,125,K32))</f>
        <v>#N/A</v>
      </c>
      <c r="N32" s="138" t="e">
        <f>IF(H32="Non",CONCATENATE(VLOOKUP(A32,liste_groupe[],5,FALSE),"-",VLOOKUP(A32,liste_groupe[],3,FALSE),VLOOKUP(A32,liste_groupe[],4,FALSE)," : ",ROUND(K32,0),"%"),CONCATENATE(VLOOKUP(A32,liste_groupe[],5,FALSE)," : ",ROUND(K32,0),"%"))</f>
        <v>#N/A</v>
      </c>
    </row>
    <row r="33" spans="1:14" s="74" customFormat="1" ht="15.75" x14ac:dyDescent="0.25">
      <c r="A33" s="125" t="str">
        <f>'Page de garde'!A40</f>
        <v>0-00 + Testostérone</v>
      </c>
      <c r="B33" s="96"/>
      <c r="C33" s="84"/>
      <c r="D33" s="84"/>
      <c r="E33" s="79"/>
      <c r="F33" s="91" t="e">
        <f>HLOOKUP(A33,'pooled normalised values'!$B$74:$L$83,10,FALSE)</f>
        <v>#N/A</v>
      </c>
      <c r="G33" s="130" t="e">
        <f>IF(F33="NS","NC",ROUND(B33-$B$29,2-(1+INT(LOG10(ABS(B33-$B$29))))))</f>
        <v>#N/A</v>
      </c>
      <c r="H33" s="121" t="str">
        <f>IF(VLOOKUP(A33,liste_groupe[],4,FALSE)="%",VLOOKUP(A33,liste_groupe[],3,FALSE)/100,IF(ISBLANK(VLOOKUP(A33,liste_groupe[],4,FALSE)),"Non","Non"))</f>
        <v>Non</v>
      </c>
      <c r="I33" s="130" t="e">
        <f t="shared" ref="I33:I51" si="7">IF(F33="NS","NC",IF(H33="Non",G33,G33*(1/H33)))</f>
        <v>#N/A</v>
      </c>
      <c r="J33" s="135" t="e">
        <f t="shared" ref="J33:J51" si="8">IF(G33&lt;0,$G$31,$G$30)</f>
        <v>#N/A</v>
      </c>
      <c r="K33" s="136" t="e">
        <f t="shared" ref="K33:K51" si="9">IF(F33="NS",0,IF(I33&lt;0,-ROUND(I33/J33*100,0),ROUND(I33/J33*100,0)))</f>
        <v>#N/A</v>
      </c>
      <c r="L33" s="137"/>
      <c r="M33" s="129" t="e">
        <f t="shared" ref="M33:M51" si="10">IF(I33&lt;0,IF(K33&lt;-100,-125,K33),IF(K33&gt;100,125,K33))</f>
        <v>#N/A</v>
      </c>
      <c r="N33" s="138" t="e">
        <f>IF(H33="Non",CONCATENATE(VLOOKUP(A33,liste_groupe[],5,FALSE),"-",VLOOKUP(A33,liste_groupe[],3,FALSE),VLOOKUP(A33,liste_groupe[],4,FALSE)," : ",ROUND(K33,0),"%"),CONCATENATE(VLOOKUP(A33,liste_groupe[],5,FALSE)," : ",ROUND(K33,0),"%"))</f>
        <v>#N/A</v>
      </c>
    </row>
    <row r="34" spans="1:14" s="74" customFormat="1" ht="15.75" x14ac:dyDescent="0.25">
      <c r="A34" s="125" t="str">
        <f>'Page de garde'!A41</f>
        <v>0-00 + Testostérone</v>
      </c>
      <c r="B34" s="97"/>
      <c r="C34" s="77"/>
      <c r="D34" s="77"/>
      <c r="E34" s="79"/>
      <c r="F34" s="91" t="e">
        <f>HLOOKUP(A34,'pooled normalised values'!$B$74:$L$83,10,FALSE)</f>
        <v>#N/A</v>
      </c>
      <c r="G34" s="130" t="e">
        <f t="shared" si="6"/>
        <v>#N/A</v>
      </c>
      <c r="H34" s="121" t="str">
        <f>IF(VLOOKUP(A34,liste_groupe[],4,FALSE)="%",VLOOKUP(A34,liste_groupe[],3,FALSE)/100,IF(ISBLANK(VLOOKUP(A34,liste_groupe[],4,FALSE)),"Non","Non"))</f>
        <v>Non</v>
      </c>
      <c r="I34" s="130" t="e">
        <f t="shared" si="7"/>
        <v>#N/A</v>
      </c>
      <c r="J34" s="135" t="e">
        <f t="shared" si="8"/>
        <v>#N/A</v>
      </c>
      <c r="K34" s="136" t="e">
        <f t="shared" si="9"/>
        <v>#N/A</v>
      </c>
      <c r="L34" s="137"/>
      <c r="M34" s="129" t="e">
        <f t="shared" si="10"/>
        <v>#N/A</v>
      </c>
      <c r="N34" s="138" t="e">
        <f>IF(H34="Non",CONCATENATE(VLOOKUP(A34,liste_groupe[],5,FALSE),"-",VLOOKUP(A34,liste_groupe[],3,FALSE),VLOOKUP(A34,liste_groupe[],4,FALSE)," : ",ROUND(K34,0),"%"),CONCATENATE(VLOOKUP(A34,liste_groupe[],5,FALSE)," : ",ROUND(K34,0),"%"))</f>
        <v>#N/A</v>
      </c>
    </row>
    <row r="35" spans="1:14" s="74" customFormat="1" ht="15.75" x14ac:dyDescent="0.25">
      <c r="A35" s="125" t="str">
        <f>'Page de garde'!A42</f>
        <v>0-00 + Testostérone</v>
      </c>
      <c r="B35" s="96"/>
      <c r="C35" s="84"/>
      <c r="D35" s="84"/>
      <c r="E35" s="79"/>
      <c r="F35" s="91" t="e">
        <f>HLOOKUP(A35,'pooled normalised values'!$B$74:$L$83,10,FALSE)</f>
        <v>#N/A</v>
      </c>
      <c r="G35" s="130" t="e">
        <f t="shared" si="6"/>
        <v>#N/A</v>
      </c>
      <c r="H35" s="121" t="str">
        <f>IF(VLOOKUP(A35,liste_groupe[],4,FALSE)="%",VLOOKUP(A35,liste_groupe[],3,FALSE)/100,IF(ISBLANK(VLOOKUP(A35,liste_groupe[],4,FALSE)),"Non","Non"))</f>
        <v>Non</v>
      </c>
      <c r="I35" s="130" t="e">
        <f t="shared" si="7"/>
        <v>#N/A</v>
      </c>
      <c r="J35" s="135" t="e">
        <f t="shared" si="8"/>
        <v>#N/A</v>
      </c>
      <c r="K35" s="136" t="e">
        <f t="shared" si="9"/>
        <v>#N/A</v>
      </c>
      <c r="L35" s="137"/>
      <c r="M35" s="129" t="e">
        <f t="shared" si="10"/>
        <v>#N/A</v>
      </c>
      <c r="N35" s="138" t="e">
        <f>IF(H35="Non",CONCATENATE(VLOOKUP(A35,liste_groupe[],5,FALSE),"-",VLOOKUP(A35,liste_groupe[],3,FALSE),VLOOKUP(A35,liste_groupe[],4,FALSE)," : ",ROUND(K35,0),"%"),CONCATENATE(VLOOKUP(A35,liste_groupe[],5,FALSE)," : ",ROUND(K35,0),"%"))</f>
        <v>#N/A</v>
      </c>
    </row>
    <row r="36" spans="1:14" s="74" customFormat="1" ht="15.75" x14ac:dyDescent="0.25">
      <c r="A36" s="125" t="str">
        <f>'Page de garde'!A43</f>
        <v>0-00 + Testostérone</v>
      </c>
      <c r="B36" s="96"/>
      <c r="C36" s="84"/>
      <c r="D36" s="84"/>
      <c r="E36" s="79"/>
      <c r="F36" s="91" t="e">
        <f>HLOOKUP(A36,'pooled normalised values'!$B$74:$L$83,10,FALSE)</f>
        <v>#N/A</v>
      </c>
      <c r="G36" s="130" t="e">
        <f t="shared" si="6"/>
        <v>#N/A</v>
      </c>
      <c r="H36" s="121" t="str">
        <f>IF(VLOOKUP(A36,liste_groupe[],4,FALSE)="%",VLOOKUP(A36,liste_groupe[],3,FALSE)/100,IF(ISBLANK(VLOOKUP(A36,liste_groupe[],4,FALSE)),"Non","Non"))</f>
        <v>Non</v>
      </c>
      <c r="I36" s="130" t="e">
        <f t="shared" si="7"/>
        <v>#N/A</v>
      </c>
      <c r="J36" s="135" t="e">
        <f t="shared" si="8"/>
        <v>#N/A</v>
      </c>
      <c r="K36" s="136" t="e">
        <f t="shared" si="9"/>
        <v>#N/A</v>
      </c>
      <c r="L36" s="137"/>
      <c r="M36" s="129" t="e">
        <f t="shared" si="10"/>
        <v>#N/A</v>
      </c>
      <c r="N36" s="138" t="e">
        <f>IF(H36="Non",CONCATENATE(VLOOKUP(A36,liste_groupe[],5,FALSE),"-",VLOOKUP(A36,liste_groupe[],3,FALSE),VLOOKUP(A36,liste_groupe[],4,FALSE)," : ",ROUND(K36,0),"%"),CONCATENATE(VLOOKUP(A36,liste_groupe[],5,FALSE)," : ",ROUND(K36,0),"%"))</f>
        <v>#N/A</v>
      </c>
    </row>
    <row r="37" spans="1:14" s="74" customFormat="1" ht="15.75" x14ac:dyDescent="0.25">
      <c r="A37" s="125" t="str">
        <f>'Page de garde'!A44</f>
        <v>0-00 + Testostérone</v>
      </c>
      <c r="B37" s="96"/>
      <c r="C37" s="84"/>
      <c r="D37" s="84"/>
      <c r="E37" s="79"/>
      <c r="F37" s="91" t="e">
        <f>HLOOKUP(A37,'pooled normalised values'!$B$74:$L$83,10,FALSE)</f>
        <v>#N/A</v>
      </c>
      <c r="G37" s="130" t="e">
        <f t="shared" si="6"/>
        <v>#N/A</v>
      </c>
      <c r="H37" s="121" t="str">
        <f>IF(VLOOKUP(A37,liste_groupe[],4,FALSE)="%",VLOOKUP(A37,liste_groupe[],3,FALSE)/100,IF(ISBLANK(VLOOKUP(A37,liste_groupe[],4,FALSE)),"Non","Non"))</f>
        <v>Non</v>
      </c>
      <c r="I37" s="130" t="e">
        <f t="shared" si="7"/>
        <v>#N/A</v>
      </c>
      <c r="J37" s="135" t="e">
        <f t="shared" si="8"/>
        <v>#N/A</v>
      </c>
      <c r="K37" s="136" t="e">
        <f t="shared" si="9"/>
        <v>#N/A</v>
      </c>
      <c r="L37" s="137"/>
      <c r="M37" s="129" t="e">
        <f t="shared" si="10"/>
        <v>#N/A</v>
      </c>
      <c r="N37" s="138" t="e">
        <f>IF(H37="Non",CONCATENATE(VLOOKUP(A37,liste_groupe[],5,FALSE),"-",VLOOKUP(A37,liste_groupe[],3,FALSE),VLOOKUP(A37,liste_groupe[],4,FALSE)," : ",ROUND(K37,0),"%"),CONCATENATE(VLOOKUP(A37,liste_groupe[],5,FALSE)," : ",ROUND(K37,0),"%"))</f>
        <v>#N/A</v>
      </c>
    </row>
    <row r="38" spans="1:14" s="74" customFormat="1" ht="15.75" x14ac:dyDescent="0.25">
      <c r="A38" s="125" t="str">
        <f>'Page de garde'!A45</f>
        <v>0-00 + Testostérone</v>
      </c>
      <c r="B38" s="96"/>
      <c r="C38" s="84"/>
      <c r="D38" s="84"/>
      <c r="E38" s="79"/>
      <c r="F38" s="91" t="e">
        <f>HLOOKUP(A38,'pooled normalised values'!$B$74:$L$83,10,FALSE)</f>
        <v>#N/A</v>
      </c>
      <c r="G38" s="130" t="e">
        <f t="shared" si="6"/>
        <v>#N/A</v>
      </c>
      <c r="H38" s="121" t="str">
        <f>IF(VLOOKUP(A38,liste_groupe[],4,FALSE)="%",VLOOKUP(A38,liste_groupe[],3,FALSE)/100,IF(ISBLANK(VLOOKUP(A38,liste_groupe[],4,FALSE)),"Non","Non"))</f>
        <v>Non</v>
      </c>
      <c r="I38" s="130" t="e">
        <f t="shared" si="7"/>
        <v>#N/A</v>
      </c>
      <c r="J38" s="135" t="e">
        <f t="shared" si="8"/>
        <v>#N/A</v>
      </c>
      <c r="K38" s="136" t="e">
        <f t="shared" si="9"/>
        <v>#N/A</v>
      </c>
      <c r="L38" s="137"/>
      <c r="M38" s="129" t="e">
        <f t="shared" si="10"/>
        <v>#N/A</v>
      </c>
      <c r="N38" s="138" t="e">
        <f>IF(H38="Non",CONCATENATE(VLOOKUP(A38,liste_groupe[],5,FALSE),"-",VLOOKUP(A38,liste_groupe[],3,FALSE),VLOOKUP(A38,liste_groupe[],4,FALSE)," : ",ROUND(K38,0),"%"),CONCATENATE(VLOOKUP(A38,liste_groupe[],5,FALSE)," : ",ROUND(K38,0),"%"))</f>
        <v>#N/A</v>
      </c>
    </row>
    <row r="39" spans="1:14" s="74" customFormat="1" ht="15.75" x14ac:dyDescent="0.25">
      <c r="A39" s="125" t="str">
        <f>'Page de garde'!A46</f>
        <v>0-00 + Testostérone</v>
      </c>
      <c r="B39" s="96"/>
      <c r="C39" s="84"/>
      <c r="D39" s="84"/>
      <c r="E39" s="79"/>
      <c r="F39" s="91" t="e">
        <f>HLOOKUP(A39,'pooled normalised values'!$B$74:$L$83,10,FALSE)</f>
        <v>#N/A</v>
      </c>
      <c r="G39" s="130" t="e">
        <f t="shared" ref="G39:G50" si="11">IF(F39="NS","NC",ROUND(B39-$B$29,2-(1+INT(LOG10(ABS(B39-$B$29))))))</f>
        <v>#N/A</v>
      </c>
      <c r="H39" s="121" t="str">
        <f>IF(VLOOKUP(A39,liste_groupe[],4,FALSE)="%",VLOOKUP(A39,liste_groupe[],3,FALSE)/100,IF(ISBLANK(VLOOKUP(A39,liste_groupe[],4,FALSE)),"Non","Non"))</f>
        <v>Non</v>
      </c>
      <c r="I39" s="130" t="e">
        <f t="shared" si="7"/>
        <v>#N/A</v>
      </c>
      <c r="J39" s="135" t="e">
        <f t="shared" ref="J39:J50" si="12">IF(G39&lt;0,$G$31,$G$30)</f>
        <v>#N/A</v>
      </c>
      <c r="K39" s="136" t="e">
        <f t="shared" si="9"/>
        <v>#N/A</v>
      </c>
      <c r="L39" s="137"/>
      <c r="M39" s="129" t="e">
        <f t="shared" si="10"/>
        <v>#N/A</v>
      </c>
      <c r="N39" s="138" t="e">
        <f>IF(H39="Non",CONCATENATE(VLOOKUP(A39,liste_groupe[],5,FALSE),"-",VLOOKUP(A39,liste_groupe[],3,FALSE),VLOOKUP(A39,liste_groupe[],4,FALSE)," : ",ROUND(K39,0),"%"),CONCATENATE(VLOOKUP(A39,liste_groupe[],5,FALSE)," : ",ROUND(K39,0),"%"))</f>
        <v>#N/A</v>
      </c>
    </row>
    <row r="40" spans="1:14" s="74" customFormat="1" ht="15.75" x14ac:dyDescent="0.25">
      <c r="A40" s="125" t="str">
        <f>'Page de garde'!A47</f>
        <v>0-00 + Testostérone</v>
      </c>
      <c r="B40" s="96"/>
      <c r="C40" s="84"/>
      <c r="D40" s="84"/>
      <c r="E40" s="79"/>
      <c r="F40" s="91" t="e">
        <f>HLOOKUP(A40,'pooled normalised values'!$B$74:$L$83,10,FALSE)</f>
        <v>#N/A</v>
      </c>
      <c r="G40" s="130" t="e">
        <f t="shared" si="11"/>
        <v>#N/A</v>
      </c>
      <c r="H40" s="121" t="str">
        <f>IF(VLOOKUP(A40,liste_groupe[],4,FALSE)="%",VLOOKUP(A40,liste_groupe[],3,FALSE)/100,IF(ISBLANK(VLOOKUP(A40,liste_groupe[],4,FALSE)),"Non","Non"))</f>
        <v>Non</v>
      </c>
      <c r="I40" s="130" t="e">
        <f t="shared" si="7"/>
        <v>#N/A</v>
      </c>
      <c r="J40" s="135" t="e">
        <f t="shared" si="12"/>
        <v>#N/A</v>
      </c>
      <c r="K40" s="136" t="e">
        <f t="shared" si="9"/>
        <v>#N/A</v>
      </c>
      <c r="L40" s="137"/>
      <c r="M40" s="129" t="e">
        <f t="shared" si="10"/>
        <v>#N/A</v>
      </c>
      <c r="N40" s="138" t="e">
        <f>IF(H40="Non",CONCATENATE(VLOOKUP(A40,liste_groupe[],5,FALSE),"-",VLOOKUP(A40,liste_groupe[],3,FALSE),VLOOKUP(A40,liste_groupe[],4,FALSE)," : ",ROUND(K40,0),"%"),CONCATENATE(VLOOKUP(A40,liste_groupe[],5,FALSE)," : ",ROUND(K40,0),"%"))</f>
        <v>#N/A</v>
      </c>
    </row>
    <row r="41" spans="1:14" s="74" customFormat="1" ht="15.75" x14ac:dyDescent="0.25">
      <c r="A41" s="125" t="str">
        <f>'Page de garde'!A48</f>
        <v>0-00 + Testostérone</v>
      </c>
      <c r="B41" s="96"/>
      <c r="C41" s="84"/>
      <c r="D41" s="84"/>
      <c r="E41" s="79"/>
      <c r="F41" s="91" t="e">
        <f>HLOOKUP(A41,'pooled normalised values'!$B$74:$L$83,10,FALSE)</f>
        <v>#N/A</v>
      </c>
      <c r="G41" s="130" t="e">
        <f t="shared" si="11"/>
        <v>#N/A</v>
      </c>
      <c r="H41" s="121" t="str">
        <f>IF(VLOOKUP(A41,liste_groupe[],4,FALSE)="%",VLOOKUP(A41,liste_groupe[],3,FALSE)/100,IF(ISBLANK(VLOOKUP(A41,liste_groupe[],4,FALSE)),"Non","Non"))</f>
        <v>Non</v>
      </c>
      <c r="I41" s="130" t="e">
        <f t="shared" si="7"/>
        <v>#N/A</v>
      </c>
      <c r="J41" s="135" t="e">
        <f t="shared" si="12"/>
        <v>#N/A</v>
      </c>
      <c r="K41" s="136" t="e">
        <f t="shared" si="9"/>
        <v>#N/A</v>
      </c>
      <c r="L41" s="137"/>
      <c r="M41" s="129" t="e">
        <f t="shared" si="10"/>
        <v>#N/A</v>
      </c>
      <c r="N41" s="138" t="e">
        <f>IF(H41="Non",CONCATENATE(VLOOKUP(A41,liste_groupe[],5,FALSE),"-",VLOOKUP(A41,liste_groupe[],3,FALSE),VLOOKUP(A41,liste_groupe[],4,FALSE)," : ",ROUND(K41,0),"%"),CONCATENATE(VLOOKUP(A41,liste_groupe[],5,FALSE)," : ",ROUND(K41,0),"%"))</f>
        <v>#N/A</v>
      </c>
    </row>
    <row r="42" spans="1:14" s="74" customFormat="1" ht="15.75" x14ac:dyDescent="0.25">
      <c r="A42" s="125" t="str">
        <f>'Page de garde'!A49</f>
        <v>0-00 + Testostérone</v>
      </c>
      <c r="B42" s="96"/>
      <c r="C42" s="84"/>
      <c r="D42" s="84"/>
      <c r="E42" s="79"/>
      <c r="F42" s="91" t="e">
        <f>HLOOKUP(A42,'pooled normalised values'!$B$74:$L$83,10,FALSE)</f>
        <v>#N/A</v>
      </c>
      <c r="G42" s="130" t="e">
        <f t="shared" si="11"/>
        <v>#N/A</v>
      </c>
      <c r="H42" s="121" t="str">
        <f>IF(VLOOKUP(A42,liste_groupe[],4,FALSE)="%",VLOOKUP(A42,liste_groupe[],3,FALSE)/100,IF(ISBLANK(VLOOKUP(A42,liste_groupe[],4,FALSE)),"Non","Non"))</f>
        <v>Non</v>
      </c>
      <c r="I42" s="130" t="e">
        <f t="shared" si="7"/>
        <v>#N/A</v>
      </c>
      <c r="J42" s="135" t="e">
        <f t="shared" si="12"/>
        <v>#N/A</v>
      </c>
      <c r="K42" s="136" t="e">
        <f t="shared" si="9"/>
        <v>#N/A</v>
      </c>
      <c r="L42" s="137"/>
      <c r="M42" s="129" t="e">
        <f t="shared" si="10"/>
        <v>#N/A</v>
      </c>
      <c r="N42" s="138" t="e">
        <f>IF(H42="Non",CONCATENATE(VLOOKUP(A42,liste_groupe[],5,FALSE),"-",VLOOKUP(A42,liste_groupe[],3,FALSE),VLOOKUP(A42,liste_groupe[],4,FALSE)," : ",ROUND(K42,0),"%"),CONCATENATE(VLOOKUP(A42,liste_groupe[],5,FALSE)," : ",ROUND(K42,0),"%"))</f>
        <v>#N/A</v>
      </c>
    </row>
    <row r="43" spans="1:14" s="74" customFormat="1" ht="15.75" x14ac:dyDescent="0.25">
      <c r="A43" s="125" t="str">
        <f>'Page de garde'!A50</f>
        <v>0-00 + Testostérone</v>
      </c>
      <c r="B43" s="96"/>
      <c r="C43" s="84"/>
      <c r="D43" s="84"/>
      <c r="E43" s="79"/>
      <c r="F43" s="91" t="e">
        <f>HLOOKUP(A43,'pooled normalised values'!$B$74:$L$83,10,FALSE)</f>
        <v>#N/A</v>
      </c>
      <c r="G43" s="130" t="e">
        <f t="shared" si="11"/>
        <v>#N/A</v>
      </c>
      <c r="H43" s="121" t="str">
        <f>IF(VLOOKUP(A43,liste_groupe[],4,FALSE)="%",VLOOKUP(A43,liste_groupe[],3,FALSE)/100,IF(ISBLANK(VLOOKUP(A43,liste_groupe[],4,FALSE)),"Non","Non"))</f>
        <v>Non</v>
      </c>
      <c r="I43" s="130" t="e">
        <f t="shared" si="7"/>
        <v>#N/A</v>
      </c>
      <c r="J43" s="135" t="e">
        <f t="shared" si="12"/>
        <v>#N/A</v>
      </c>
      <c r="K43" s="136" t="e">
        <f t="shared" si="9"/>
        <v>#N/A</v>
      </c>
      <c r="L43" s="137"/>
      <c r="M43" s="129" t="e">
        <f t="shared" si="10"/>
        <v>#N/A</v>
      </c>
      <c r="N43" s="138" t="e">
        <f>IF(H43="Non",CONCATENATE(VLOOKUP(A43,liste_groupe[],5,FALSE),"-",VLOOKUP(A43,liste_groupe[],3,FALSE),VLOOKUP(A43,liste_groupe[],4,FALSE)," : ",ROUND(K43,0),"%"),CONCATENATE(VLOOKUP(A43,liste_groupe[],5,FALSE)," : ",ROUND(K43,0),"%"))</f>
        <v>#N/A</v>
      </c>
    </row>
    <row r="44" spans="1:14" s="74" customFormat="1" ht="15.75" x14ac:dyDescent="0.25">
      <c r="A44" s="125" t="str">
        <f>'Page de garde'!A51</f>
        <v>0-00 + Testostérone</v>
      </c>
      <c r="B44" s="96"/>
      <c r="C44" s="84"/>
      <c r="D44" s="84"/>
      <c r="E44" s="79"/>
      <c r="F44" s="91" t="e">
        <f>HLOOKUP(A44,'pooled normalised values'!$B$74:$L$83,10,FALSE)</f>
        <v>#N/A</v>
      </c>
      <c r="G44" s="130" t="e">
        <f t="shared" si="11"/>
        <v>#N/A</v>
      </c>
      <c r="H44" s="121" t="str">
        <f>IF(VLOOKUP(A44,liste_groupe[],4,FALSE)="%",VLOOKUP(A44,liste_groupe[],3,FALSE)/100,IF(ISBLANK(VLOOKUP(A44,liste_groupe[],4,FALSE)),"Non","Non"))</f>
        <v>Non</v>
      </c>
      <c r="I44" s="130" t="e">
        <f t="shared" si="7"/>
        <v>#N/A</v>
      </c>
      <c r="J44" s="135" t="e">
        <f t="shared" si="12"/>
        <v>#N/A</v>
      </c>
      <c r="K44" s="136" t="e">
        <f t="shared" si="9"/>
        <v>#N/A</v>
      </c>
      <c r="L44" s="137"/>
      <c r="M44" s="129" t="e">
        <f t="shared" si="10"/>
        <v>#N/A</v>
      </c>
      <c r="N44" s="138" t="e">
        <f>IF(H44="Non",CONCATENATE(VLOOKUP(A44,liste_groupe[],5,FALSE),"-",VLOOKUP(A44,liste_groupe[],3,FALSE),VLOOKUP(A44,liste_groupe[],4,FALSE)," : ",ROUND(K44,0),"%"),CONCATENATE(VLOOKUP(A44,liste_groupe[],5,FALSE)," : ",ROUND(K44,0),"%"))</f>
        <v>#N/A</v>
      </c>
    </row>
    <row r="45" spans="1:14" s="74" customFormat="1" ht="15.75" x14ac:dyDescent="0.25">
      <c r="A45" s="125" t="str">
        <f>'Page de garde'!A52</f>
        <v>0-00 + Testostérone</v>
      </c>
      <c r="B45" s="96"/>
      <c r="C45" s="84"/>
      <c r="D45" s="84"/>
      <c r="E45" s="79"/>
      <c r="F45" s="91" t="e">
        <f>HLOOKUP(A45,'pooled normalised values'!$B$74:$L$83,10,FALSE)</f>
        <v>#N/A</v>
      </c>
      <c r="G45" s="130" t="e">
        <f t="shared" si="11"/>
        <v>#N/A</v>
      </c>
      <c r="H45" s="121" t="str">
        <f>IF(VLOOKUP(A45,liste_groupe[],4,FALSE)="%",VLOOKUP(A45,liste_groupe[],3,FALSE)/100,IF(ISBLANK(VLOOKUP(A45,liste_groupe[],4,FALSE)),"Non","Non"))</f>
        <v>Non</v>
      </c>
      <c r="I45" s="130" t="e">
        <f t="shared" si="7"/>
        <v>#N/A</v>
      </c>
      <c r="J45" s="135" t="e">
        <f t="shared" si="12"/>
        <v>#N/A</v>
      </c>
      <c r="K45" s="136" t="e">
        <f t="shared" si="9"/>
        <v>#N/A</v>
      </c>
      <c r="L45" s="137"/>
      <c r="M45" s="129" t="e">
        <f t="shared" si="10"/>
        <v>#N/A</v>
      </c>
      <c r="N45" s="138" t="e">
        <f>IF(H45="Non",CONCATENATE(VLOOKUP(A45,liste_groupe[],5,FALSE),"-",VLOOKUP(A45,liste_groupe[],3,FALSE),VLOOKUP(A45,liste_groupe[],4,FALSE)," : ",ROUND(K45,0),"%"),CONCATENATE(VLOOKUP(A45,liste_groupe[],5,FALSE)," : ",ROUND(K45,0),"%"))</f>
        <v>#N/A</v>
      </c>
    </row>
    <row r="46" spans="1:14" s="74" customFormat="1" ht="15.75" x14ac:dyDescent="0.25">
      <c r="A46" s="125" t="str">
        <f>'Page de garde'!A53</f>
        <v>0-00 + Testostérone</v>
      </c>
      <c r="B46" s="96"/>
      <c r="C46" s="84"/>
      <c r="D46" s="84"/>
      <c r="E46" s="79"/>
      <c r="F46" s="91" t="e">
        <f>HLOOKUP(A46,'pooled normalised values'!$B$74:$L$83,10,FALSE)</f>
        <v>#N/A</v>
      </c>
      <c r="G46" s="130" t="e">
        <f t="shared" si="11"/>
        <v>#N/A</v>
      </c>
      <c r="H46" s="121" t="str">
        <f>IF(VLOOKUP(A46,liste_groupe[],4,FALSE)="%",VLOOKUP(A46,liste_groupe[],3,FALSE)/100,IF(ISBLANK(VLOOKUP(A46,liste_groupe[],4,FALSE)),"Non","Non"))</f>
        <v>Non</v>
      </c>
      <c r="I46" s="130" t="e">
        <f t="shared" si="7"/>
        <v>#N/A</v>
      </c>
      <c r="J46" s="135" t="e">
        <f t="shared" si="12"/>
        <v>#N/A</v>
      </c>
      <c r="K46" s="136" t="e">
        <f t="shared" si="9"/>
        <v>#N/A</v>
      </c>
      <c r="L46" s="137"/>
      <c r="M46" s="129" t="e">
        <f t="shared" si="10"/>
        <v>#N/A</v>
      </c>
      <c r="N46" s="138" t="e">
        <f>IF(H46="Non",CONCATENATE(VLOOKUP(A46,liste_groupe[],5,FALSE),"-",VLOOKUP(A46,liste_groupe[],3,FALSE),VLOOKUP(A46,liste_groupe[],4,FALSE)," : ",ROUND(K46,0),"%"),CONCATENATE(VLOOKUP(A46,liste_groupe[],5,FALSE)," : ",ROUND(K46,0),"%"))</f>
        <v>#N/A</v>
      </c>
    </row>
    <row r="47" spans="1:14" s="74" customFormat="1" ht="15.75" x14ac:dyDescent="0.25">
      <c r="A47" s="125" t="str">
        <f>'Page de garde'!A54</f>
        <v>0-00 + Testostérone</v>
      </c>
      <c r="B47" s="96"/>
      <c r="C47" s="84"/>
      <c r="D47" s="84"/>
      <c r="E47" s="79"/>
      <c r="F47" s="91" t="e">
        <f>HLOOKUP(A47,'pooled normalised values'!$B$74:$L$83,10,FALSE)</f>
        <v>#N/A</v>
      </c>
      <c r="G47" s="130" t="e">
        <f t="shared" si="11"/>
        <v>#N/A</v>
      </c>
      <c r="H47" s="121" t="str">
        <f>IF(VLOOKUP(A47,liste_groupe[],4,FALSE)="%",VLOOKUP(A47,liste_groupe[],3,FALSE)/100,IF(ISBLANK(VLOOKUP(A47,liste_groupe[],4,FALSE)),"Non","Non"))</f>
        <v>Non</v>
      </c>
      <c r="I47" s="130" t="e">
        <f t="shared" si="7"/>
        <v>#N/A</v>
      </c>
      <c r="J47" s="135" t="e">
        <f t="shared" si="12"/>
        <v>#N/A</v>
      </c>
      <c r="K47" s="136" t="e">
        <f t="shared" si="9"/>
        <v>#N/A</v>
      </c>
      <c r="L47" s="137"/>
      <c r="M47" s="129" t="e">
        <f t="shared" si="10"/>
        <v>#N/A</v>
      </c>
      <c r="N47" s="138" t="e">
        <f>IF(H47="Non",CONCATENATE(VLOOKUP(A47,liste_groupe[],5,FALSE),"-",VLOOKUP(A47,liste_groupe[],3,FALSE),VLOOKUP(A47,liste_groupe[],4,FALSE)," : ",ROUND(K47,0),"%"),CONCATENATE(VLOOKUP(A47,liste_groupe[],5,FALSE)," : ",ROUND(K47,0),"%"))</f>
        <v>#N/A</v>
      </c>
    </row>
    <row r="48" spans="1:14" s="74" customFormat="1" ht="15.75" x14ac:dyDescent="0.25">
      <c r="A48" s="125" t="str">
        <f>'Page de garde'!A55</f>
        <v>0-00 + Testostérone</v>
      </c>
      <c r="B48" s="96"/>
      <c r="C48" s="84"/>
      <c r="D48" s="84"/>
      <c r="E48" s="79"/>
      <c r="F48" s="91" t="e">
        <f>HLOOKUP(A48,'pooled normalised values'!$B$74:$L$83,10,FALSE)</f>
        <v>#N/A</v>
      </c>
      <c r="G48" s="130" t="e">
        <f t="shared" si="11"/>
        <v>#N/A</v>
      </c>
      <c r="H48" s="121" t="str">
        <f>IF(VLOOKUP(A48,liste_groupe[],4,FALSE)="%",VLOOKUP(A48,liste_groupe[],3,FALSE)/100,IF(ISBLANK(VLOOKUP(A48,liste_groupe[],4,FALSE)),"Non","Non"))</f>
        <v>Non</v>
      </c>
      <c r="I48" s="130" t="e">
        <f t="shared" si="7"/>
        <v>#N/A</v>
      </c>
      <c r="J48" s="135" t="e">
        <f t="shared" si="12"/>
        <v>#N/A</v>
      </c>
      <c r="K48" s="136" t="e">
        <f t="shared" si="9"/>
        <v>#N/A</v>
      </c>
      <c r="L48" s="137"/>
      <c r="M48" s="129" t="e">
        <f t="shared" si="10"/>
        <v>#N/A</v>
      </c>
      <c r="N48" s="138" t="e">
        <f>IF(H48="Non",CONCATENATE(VLOOKUP(A48,liste_groupe[],5,FALSE),"-",VLOOKUP(A48,liste_groupe[],3,FALSE),VLOOKUP(A48,liste_groupe[],4,FALSE)," : ",ROUND(K48,0),"%"),CONCATENATE(VLOOKUP(A48,liste_groupe[],5,FALSE)," : ",ROUND(K48,0),"%"))</f>
        <v>#N/A</v>
      </c>
    </row>
    <row r="49" spans="1:15" s="74" customFormat="1" ht="15.75" x14ac:dyDescent="0.25">
      <c r="A49" s="125" t="str">
        <f>'Page de garde'!A56</f>
        <v>0-00 + Testostérone</v>
      </c>
      <c r="B49" s="96"/>
      <c r="C49" s="84"/>
      <c r="D49" s="84"/>
      <c r="E49" s="79"/>
      <c r="F49" s="91" t="e">
        <f>HLOOKUP(A49,'pooled normalised values'!$B$74:$L$83,10,FALSE)</f>
        <v>#N/A</v>
      </c>
      <c r="G49" s="130" t="e">
        <f t="shared" si="11"/>
        <v>#N/A</v>
      </c>
      <c r="H49" s="121" t="str">
        <f>IF(VLOOKUP(A49,liste_groupe[],4,FALSE)="%",VLOOKUP(A49,liste_groupe[],3,FALSE)/100,IF(ISBLANK(VLOOKUP(A49,liste_groupe[],4,FALSE)),"Non","Non"))</f>
        <v>Non</v>
      </c>
      <c r="I49" s="130" t="e">
        <f t="shared" si="7"/>
        <v>#N/A</v>
      </c>
      <c r="J49" s="135" t="e">
        <f t="shared" si="12"/>
        <v>#N/A</v>
      </c>
      <c r="K49" s="136" t="e">
        <f t="shared" si="9"/>
        <v>#N/A</v>
      </c>
      <c r="L49" s="137"/>
      <c r="M49" s="129" t="e">
        <f t="shared" si="10"/>
        <v>#N/A</v>
      </c>
      <c r="N49" s="138" t="e">
        <f>IF(H49="Non",CONCATENATE(VLOOKUP(A49,liste_groupe[],5,FALSE),"-",VLOOKUP(A49,liste_groupe[],3,FALSE),VLOOKUP(A49,liste_groupe[],4,FALSE)," : ",ROUND(K49,0),"%"),CONCATENATE(VLOOKUP(A49,liste_groupe[],5,FALSE)," : ",ROUND(K49,0),"%"))</f>
        <v>#N/A</v>
      </c>
    </row>
    <row r="50" spans="1:15" s="74" customFormat="1" ht="15.75" x14ac:dyDescent="0.25">
      <c r="A50" s="125" t="str">
        <f>'Page de garde'!A57</f>
        <v>0-00 + Testostérone</v>
      </c>
      <c r="B50" s="96"/>
      <c r="C50" s="84"/>
      <c r="D50" s="84"/>
      <c r="E50" s="79"/>
      <c r="F50" s="91" t="e">
        <f>HLOOKUP(A50,'pooled normalised values'!$B$74:$L$83,10,FALSE)</f>
        <v>#N/A</v>
      </c>
      <c r="G50" s="130" t="e">
        <f t="shared" si="11"/>
        <v>#N/A</v>
      </c>
      <c r="H50" s="121" t="str">
        <f>IF(VLOOKUP(A50,liste_groupe[],4,FALSE)="%",VLOOKUP(A50,liste_groupe[],3,FALSE)/100,IF(ISBLANK(VLOOKUP(A50,liste_groupe[],4,FALSE)),"Non","Non"))</f>
        <v>Non</v>
      </c>
      <c r="I50" s="130" t="e">
        <f t="shared" si="7"/>
        <v>#N/A</v>
      </c>
      <c r="J50" s="135" t="e">
        <f t="shared" si="12"/>
        <v>#N/A</v>
      </c>
      <c r="K50" s="136" t="e">
        <f t="shared" si="9"/>
        <v>#N/A</v>
      </c>
      <c r="L50" s="137"/>
      <c r="M50" s="129" t="e">
        <f t="shared" si="10"/>
        <v>#N/A</v>
      </c>
      <c r="N50" s="138" t="e">
        <f>IF(H50="Non",CONCATENATE(VLOOKUP(A50,liste_groupe[],5,FALSE),"-",VLOOKUP(A50,liste_groupe[],3,FALSE),VLOOKUP(A50,liste_groupe[],4,FALSE)," : ",ROUND(K50,0),"%"),CONCATENATE(VLOOKUP(A50,liste_groupe[],5,FALSE)," : ",ROUND(K50,0),"%"))</f>
        <v>#N/A</v>
      </c>
    </row>
    <row r="51" spans="1:15" s="74" customFormat="1" ht="15.75" x14ac:dyDescent="0.25">
      <c r="A51" s="125" t="str">
        <f>'Page de garde'!A58</f>
        <v>0-00 + Testostérone</v>
      </c>
      <c r="B51" s="96"/>
      <c r="C51" s="84"/>
      <c r="D51" s="84"/>
      <c r="E51" s="79"/>
      <c r="F51" s="91" t="e">
        <f>HLOOKUP(A51,'pooled normalised values'!$B$74:$L$83,10,FALSE)</f>
        <v>#N/A</v>
      </c>
      <c r="G51" s="130" t="e">
        <f t="shared" si="6"/>
        <v>#N/A</v>
      </c>
      <c r="H51" s="121" t="str">
        <f>IF(VLOOKUP(A51,liste_groupe[],4,FALSE)="%",VLOOKUP(A51,liste_groupe[],3,FALSE)/100,IF(ISBLANK(VLOOKUP(A51,liste_groupe[],4,FALSE)),"Non","Non"))</f>
        <v>Non</v>
      </c>
      <c r="I51" s="130" t="e">
        <f t="shared" si="7"/>
        <v>#N/A</v>
      </c>
      <c r="J51" s="135" t="e">
        <f t="shared" si="8"/>
        <v>#N/A</v>
      </c>
      <c r="K51" s="136" t="e">
        <f t="shared" si="9"/>
        <v>#N/A</v>
      </c>
      <c r="L51" s="137"/>
      <c r="M51" s="129" t="e">
        <f t="shared" si="10"/>
        <v>#N/A</v>
      </c>
      <c r="N51" s="138" t="e">
        <f>IF(H51="Non",CONCATENATE(VLOOKUP(A51,liste_groupe[],5,FALSE),"-",VLOOKUP(A51,liste_groupe[],3,FALSE),VLOOKUP(A51,liste_groupe[],4,FALSE)," : ",ROUND(K51,0),"%"),CONCATENATE(VLOOKUP(A51,liste_groupe[],5,FALSE)," : ",ROUND(K51,0),"%"))</f>
        <v>#N/A</v>
      </c>
    </row>
    <row r="52" spans="1:15" s="74" customFormat="1" ht="16.5" thickBot="1" x14ac:dyDescent="0.3">
      <c r="E52" s="75"/>
      <c r="F52" s="75"/>
      <c r="G52" s="75"/>
      <c r="H52" s="75"/>
      <c r="I52" s="75"/>
      <c r="J52" s="75"/>
      <c r="K52" s="75"/>
      <c r="L52" s="75"/>
      <c r="M52" s="75"/>
      <c r="N52" s="75"/>
    </row>
    <row r="53" spans="1:15" s="47" customFormat="1" ht="27" thickBot="1" x14ac:dyDescent="0.3">
      <c r="A53" s="241" t="s">
        <v>60</v>
      </c>
      <c r="B53" s="242"/>
      <c r="C53" s="242"/>
      <c r="D53" s="242"/>
      <c r="E53" s="242"/>
      <c r="F53" s="242"/>
      <c r="G53" s="242"/>
      <c r="H53" s="242"/>
      <c r="I53" s="242"/>
      <c r="J53" s="242"/>
      <c r="K53" s="242"/>
      <c r="L53" s="242"/>
      <c r="M53" s="242"/>
      <c r="N53" s="242"/>
      <c r="O53" s="243"/>
    </row>
  </sheetData>
  <mergeCells count="3">
    <mergeCell ref="A2:O2"/>
    <mergeCell ref="A1:O1"/>
    <mergeCell ref="A53:O53"/>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2578125" defaultRowHeight="15" x14ac:dyDescent="0.25"/>
  <cols>
    <col min="1" max="1" width="22.85546875" style="178" customWidth="1"/>
    <col min="2" max="2" width="46.28515625" style="178" customWidth="1"/>
    <col min="3" max="3" width="15.28515625" style="178" customWidth="1"/>
    <col min="4" max="4" width="24.7109375" style="178" customWidth="1"/>
    <col min="5" max="5" width="24.42578125" style="178" customWidth="1"/>
    <col min="6" max="6" width="23.140625" style="178" customWidth="1"/>
    <col min="7" max="7" width="21.28515625" style="178" customWidth="1"/>
    <col min="8" max="16384" width="11.42578125" style="178"/>
  </cols>
  <sheetData>
    <row r="1" spans="1:7" ht="30.75" thickBot="1" x14ac:dyDescent="0.3">
      <c r="A1" s="183" t="s">
        <v>132</v>
      </c>
      <c r="B1" s="184" t="s">
        <v>133</v>
      </c>
      <c r="C1" s="184" t="s">
        <v>139</v>
      </c>
      <c r="D1" s="184" t="s">
        <v>138</v>
      </c>
      <c r="E1" s="184" t="s">
        <v>140</v>
      </c>
      <c r="F1" s="185" t="s">
        <v>141</v>
      </c>
      <c r="G1" s="186" t="s">
        <v>142</v>
      </c>
    </row>
    <row r="2" spans="1:7" ht="60" x14ac:dyDescent="0.25">
      <c r="A2" s="179" t="s">
        <v>134</v>
      </c>
      <c r="B2" s="180" t="s">
        <v>135</v>
      </c>
      <c r="C2" s="180" t="s">
        <v>136</v>
      </c>
      <c r="D2" s="180" t="s">
        <v>143</v>
      </c>
      <c r="E2" s="180" t="s">
        <v>137</v>
      </c>
      <c r="F2" s="181" t="s">
        <v>136</v>
      </c>
      <c r="G2" s="182" t="s">
        <v>136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75" x14ac:dyDescent="0.2"/>
  <cols>
    <col min="1" max="1" width="18.85546875" style="16" customWidth="1"/>
    <col min="2" max="2" width="7.28515625" style="16" bestFit="1" customWidth="1"/>
    <col min="3" max="3" width="10.5703125" style="16" customWidth="1"/>
    <col min="4" max="4" width="13.7109375" style="16" bestFit="1" customWidth="1"/>
    <col min="5" max="5" width="12" style="16" bestFit="1" customWidth="1"/>
    <col min="6" max="19" width="14.85546875" style="16" customWidth="1"/>
    <col min="20" max="21" width="11.42578125" style="16"/>
    <col min="22" max="22" width="13.5703125" style="16" bestFit="1" customWidth="1"/>
    <col min="23" max="34" width="13.5703125" style="16" customWidth="1"/>
    <col min="35" max="35" width="13.5703125" style="16" bestFit="1" customWidth="1"/>
    <col min="36" max="282" width="11.42578125" style="16"/>
    <col min="283" max="283" width="18.7109375" style="16" customWidth="1"/>
    <col min="284" max="284" width="13.7109375" style="16" bestFit="1" customWidth="1"/>
    <col min="285" max="285" width="17.28515625" style="16" customWidth="1"/>
    <col min="286" max="286" width="11" style="16" customWidth="1"/>
    <col min="287" max="287" width="12" style="16" bestFit="1" customWidth="1"/>
    <col min="288" max="288" width="14.85546875" style="16" customWidth="1"/>
    <col min="289" max="538" width="11.42578125" style="16"/>
    <col min="539" max="539" width="18.7109375" style="16" customWidth="1"/>
    <col min="540" max="540" width="13.7109375" style="16" bestFit="1" customWidth="1"/>
    <col min="541" max="541" width="17.28515625" style="16" customWidth="1"/>
    <col min="542" max="542" width="11" style="16" customWidth="1"/>
    <col min="543" max="543" width="12" style="16" bestFit="1" customWidth="1"/>
    <col min="544" max="544" width="14.85546875" style="16" customWidth="1"/>
    <col min="545" max="794" width="11.42578125" style="16"/>
    <col min="795" max="795" width="18.7109375" style="16" customWidth="1"/>
    <col min="796" max="796" width="13.7109375" style="16" bestFit="1" customWidth="1"/>
    <col min="797" max="797" width="17.28515625" style="16" customWidth="1"/>
    <col min="798" max="798" width="11" style="16" customWidth="1"/>
    <col min="799" max="799" width="12" style="16" bestFit="1" customWidth="1"/>
    <col min="800" max="800" width="14.85546875" style="16" customWidth="1"/>
    <col min="801" max="1050" width="11.42578125" style="16"/>
    <col min="1051" max="1051" width="18.7109375" style="16" customWidth="1"/>
    <col min="1052" max="1052" width="13.7109375" style="16" bestFit="1" customWidth="1"/>
    <col min="1053" max="1053" width="17.28515625" style="16" customWidth="1"/>
    <col min="1054" max="1054" width="11" style="16" customWidth="1"/>
    <col min="1055" max="1055" width="12" style="16" bestFit="1" customWidth="1"/>
    <col min="1056" max="1056" width="14.85546875" style="16" customWidth="1"/>
    <col min="1057" max="1306" width="11.42578125" style="16"/>
    <col min="1307" max="1307" width="18.7109375" style="16" customWidth="1"/>
    <col min="1308" max="1308" width="13.7109375" style="16" bestFit="1" customWidth="1"/>
    <col min="1309" max="1309" width="17.28515625" style="16" customWidth="1"/>
    <col min="1310" max="1310" width="11" style="16" customWidth="1"/>
    <col min="1311" max="1311" width="12" style="16" bestFit="1" customWidth="1"/>
    <col min="1312" max="1312" width="14.85546875" style="16" customWidth="1"/>
    <col min="1313" max="1562" width="11.42578125" style="16"/>
    <col min="1563" max="1563" width="18.7109375" style="16" customWidth="1"/>
    <col min="1564" max="1564" width="13.7109375" style="16" bestFit="1" customWidth="1"/>
    <col min="1565" max="1565" width="17.28515625" style="16" customWidth="1"/>
    <col min="1566" max="1566" width="11" style="16" customWidth="1"/>
    <col min="1567" max="1567" width="12" style="16" bestFit="1" customWidth="1"/>
    <col min="1568" max="1568" width="14.85546875" style="16" customWidth="1"/>
    <col min="1569" max="1818" width="11.42578125" style="16"/>
    <col min="1819" max="1819" width="18.7109375" style="16" customWidth="1"/>
    <col min="1820" max="1820" width="13.7109375" style="16" bestFit="1" customWidth="1"/>
    <col min="1821" max="1821" width="17.28515625" style="16" customWidth="1"/>
    <col min="1822" max="1822" width="11" style="16" customWidth="1"/>
    <col min="1823" max="1823" width="12" style="16" bestFit="1" customWidth="1"/>
    <col min="1824" max="1824" width="14.85546875" style="16" customWidth="1"/>
    <col min="1825" max="2074" width="11.42578125" style="16"/>
    <col min="2075" max="2075" width="18.7109375" style="16" customWidth="1"/>
    <col min="2076" max="2076" width="13.7109375" style="16" bestFit="1" customWidth="1"/>
    <col min="2077" max="2077" width="17.28515625" style="16" customWidth="1"/>
    <col min="2078" max="2078" width="11" style="16" customWidth="1"/>
    <col min="2079" max="2079" width="12" style="16" bestFit="1" customWidth="1"/>
    <col min="2080" max="2080" width="14.85546875" style="16" customWidth="1"/>
    <col min="2081" max="2330" width="11.42578125" style="16"/>
    <col min="2331" max="2331" width="18.7109375" style="16" customWidth="1"/>
    <col min="2332" max="2332" width="13.7109375" style="16" bestFit="1" customWidth="1"/>
    <col min="2333" max="2333" width="17.28515625" style="16" customWidth="1"/>
    <col min="2334" max="2334" width="11" style="16" customWidth="1"/>
    <col min="2335" max="2335" width="12" style="16" bestFit="1" customWidth="1"/>
    <col min="2336" max="2336" width="14.85546875" style="16" customWidth="1"/>
    <col min="2337" max="2586" width="11.42578125" style="16"/>
    <col min="2587" max="2587" width="18.7109375" style="16" customWidth="1"/>
    <col min="2588" max="2588" width="13.7109375" style="16" bestFit="1" customWidth="1"/>
    <col min="2589" max="2589" width="17.28515625" style="16" customWidth="1"/>
    <col min="2590" max="2590" width="11" style="16" customWidth="1"/>
    <col min="2591" max="2591" width="12" style="16" bestFit="1" customWidth="1"/>
    <col min="2592" max="2592" width="14.85546875" style="16" customWidth="1"/>
    <col min="2593" max="2842" width="11.42578125" style="16"/>
    <col min="2843" max="2843" width="18.7109375" style="16" customWidth="1"/>
    <col min="2844" max="2844" width="13.7109375" style="16" bestFit="1" customWidth="1"/>
    <col min="2845" max="2845" width="17.28515625" style="16" customWidth="1"/>
    <col min="2846" max="2846" width="11" style="16" customWidth="1"/>
    <col min="2847" max="2847" width="12" style="16" bestFit="1" customWidth="1"/>
    <col min="2848" max="2848" width="14.85546875" style="16" customWidth="1"/>
    <col min="2849" max="3098" width="11.42578125" style="16"/>
    <col min="3099" max="3099" width="18.7109375" style="16" customWidth="1"/>
    <col min="3100" max="3100" width="13.7109375" style="16" bestFit="1" customWidth="1"/>
    <col min="3101" max="3101" width="17.28515625" style="16" customWidth="1"/>
    <col min="3102" max="3102" width="11" style="16" customWidth="1"/>
    <col min="3103" max="3103" width="12" style="16" bestFit="1" customWidth="1"/>
    <col min="3104" max="3104" width="14.85546875" style="16" customWidth="1"/>
    <col min="3105" max="3354" width="11.42578125" style="16"/>
    <col min="3355" max="3355" width="18.7109375" style="16" customWidth="1"/>
    <col min="3356" max="3356" width="13.7109375" style="16" bestFit="1" customWidth="1"/>
    <col min="3357" max="3357" width="17.28515625" style="16" customWidth="1"/>
    <col min="3358" max="3358" width="11" style="16" customWidth="1"/>
    <col min="3359" max="3359" width="12" style="16" bestFit="1" customWidth="1"/>
    <col min="3360" max="3360" width="14.85546875" style="16" customWidth="1"/>
    <col min="3361" max="3610" width="11.42578125" style="16"/>
    <col min="3611" max="3611" width="18.7109375" style="16" customWidth="1"/>
    <col min="3612" max="3612" width="13.7109375" style="16" bestFit="1" customWidth="1"/>
    <col min="3613" max="3613" width="17.28515625" style="16" customWidth="1"/>
    <col min="3614" max="3614" width="11" style="16" customWidth="1"/>
    <col min="3615" max="3615" width="12" style="16" bestFit="1" customWidth="1"/>
    <col min="3616" max="3616" width="14.85546875" style="16" customWidth="1"/>
    <col min="3617" max="3866" width="11.42578125" style="16"/>
    <col min="3867" max="3867" width="18.7109375" style="16" customWidth="1"/>
    <col min="3868" max="3868" width="13.7109375" style="16" bestFit="1" customWidth="1"/>
    <col min="3869" max="3869" width="17.28515625" style="16" customWidth="1"/>
    <col min="3870" max="3870" width="11" style="16" customWidth="1"/>
    <col min="3871" max="3871" width="12" style="16" bestFit="1" customWidth="1"/>
    <col min="3872" max="3872" width="14.85546875" style="16" customWidth="1"/>
    <col min="3873" max="4122" width="11.42578125" style="16"/>
    <col min="4123" max="4123" width="18.7109375" style="16" customWidth="1"/>
    <col min="4124" max="4124" width="13.7109375" style="16" bestFit="1" customWidth="1"/>
    <col min="4125" max="4125" width="17.28515625" style="16" customWidth="1"/>
    <col min="4126" max="4126" width="11" style="16" customWidth="1"/>
    <col min="4127" max="4127" width="12" style="16" bestFit="1" customWidth="1"/>
    <col min="4128" max="4128" width="14.85546875" style="16" customWidth="1"/>
    <col min="4129" max="4378" width="11.42578125" style="16"/>
    <col min="4379" max="4379" width="18.7109375" style="16" customWidth="1"/>
    <col min="4380" max="4380" width="13.7109375" style="16" bestFit="1" customWidth="1"/>
    <col min="4381" max="4381" width="17.28515625" style="16" customWidth="1"/>
    <col min="4382" max="4382" width="11" style="16" customWidth="1"/>
    <col min="4383" max="4383" width="12" style="16" bestFit="1" customWidth="1"/>
    <col min="4384" max="4384" width="14.85546875" style="16" customWidth="1"/>
    <col min="4385" max="4634" width="11.42578125" style="16"/>
    <col min="4635" max="4635" width="18.7109375" style="16" customWidth="1"/>
    <col min="4636" max="4636" width="13.7109375" style="16" bestFit="1" customWidth="1"/>
    <col min="4637" max="4637" width="17.28515625" style="16" customWidth="1"/>
    <col min="4638" max="4638" width="11" style="16" customWidth="1"/>
    <col min="4639" max="4639" width="12" style="16" bestFit="1" customWidth="1"/>
    <col min="4640" max="4640" width="14.85546875" style="16" customWidth="1"/>
    <col min="4641" max="4890" width="11.42578125" style="16"/>
    <col min="4891" max="4891" width="18.7109375" style="16" customWidth="1"/>
    <col min="4892" max="4892" width="13.7109375" style="16" bestFit="1" customWidth="1"/>
    <col min="4893" max="4893" width="17.28515625" style="16" customWidth="1"/>
    <col min="4894" max="4894" width="11" style="16" customWidth="1"/>
    <col min="4895" max="4895" width="12" style="16" bestFit="1" customWidth="1"/>
    <col min="4896" max="4896" width="14.85546875" style="16" customWidth="1"/>
    <col min="4897" max="5146" width="11.42578125" style="16"/>
    <col min="5147" max="5147" width="18.7109375" style="16" customWidth="1"/>
    <col min="5148" max="5148" width="13.7109375" style="16" bestFit="1" customWidth="1"/>
    <col min="5149" max="5149" width="17.28515625" style="16" customWidth="1"/>
    <col min="5150" max="5150" width="11" style="16" customWidth="1"/>
    <col min="5151" max="5151" width="12" style="16" bestFit="1" customWidth="1"/>
    <col min="5152" max="5152" width="14.85546875" style="16" customWidth="1"/>
    <col min="5153" max="5402" width="11.42578125" style="16"/>
    <col min="5403" max="5403" width="18.7109375" style="16" customWidth="1"/>
    <col min="5404" max="5404" width="13.7109375" style="16" bestFit="1" customWidth="1"/>
    <col min="5405" max="5405" width="17.28515625" style="16" customWidth="1"/>
    <col min="5406" max="5406" width="11" style="16" customWidth="1"/>
    <col min="5407" max="5407" width="12" style="16" bestFit="1" customWidth="1"/>
    <col min="5408" max="5408" width="14.85546875" style="16" customWidth="1"/>
    <col min="5409" max="5658" width="11.42578125" style="16"/>
    <col min="5659" max="5659" width="18.7109375" style="16" customWidth="1"/>
    <col min="5660" max="5660" width="13.7109375" style="16" bestFit="1" customWidth="1"/>
    <col min="5661" max="5661" width="17.28515625" style="16" customWidth="1"/>
    <col min="5662" max="5662" width="11" style="16" customWidth="1"/>
    <col min="5663" max="5663" width="12" style="16" bestFit="1" customWidth="1"/>
    <col min="5664" max="5664" width="14.85546875" style="16" customWidth="1"/>
    <col min="5665" max="5914" width="11.42578125" style="16"/>
    <col min="5915" max="5915" width="18.7109375" style="16" customWidth="1"/>
    <col min="5916" max="5916" width="13.7109375" style="16" bestFit="1" customWidth="1"/>
    <col min="5917" max="5917" width="17.28515625" style="16" customWidth="1"/>
    <col min="5918" max="5918" width="11" style="16" customWidth="1"/>
    <col min="5919" max="5919" width="12" style="16" bestFit="1" customWidth="1"/>
    <col min="5920" max="5920" width="14.85546875" style="16" customWidth="1"/>
    <col min="5921" max="6170" width="11.42578125" style="16"/>
    <col min="6171" max="6171" width="18.7109375" style="16" customWidth="1"/>
    <col min="6172" max="6172" width="13.7109375" style="16" bestFit="1" customWidth="1"/>
    <col min="6173" max="6173" width="17.28515625" style="16" customWidth="1"/>
    <col min="6174" max="6174" width="11" style="16" customWidth="1"/>
    <col min="6175" max="6175" width="12" style="16" bestFit="1" customWidth="1"/>
    <col min="6176" max="6176" width="14.85546875" style="16" customWidth="1"/>
    <col min="6177" max="6426" width="11.42578125" style="16"/>
    <col min="6427" max="6427" width="18.7109375" style="16" customWidth="1"/>
    <col min="6428" max="6428" width="13.7109375" style="16" bestFit="1" customWidth="1"/>
    <col min="6429" max="6429" width="17.28515625" style="16" customWidth="1"/>
    <col min="6430" max="6430" width="11" style="16" customWidth="1"/>
    <col min="6431" max="6431" width="12" style="16" bestFit="1" customWidth="1"/>
    <col min="6432" max="6432" width="14.85546875" style="16" customWidth="1"/>
    <col min="6433" max="6682" width="11.42578125" style="16"/>
    <col min="6683" max="6683" width="18.7109375" style="16" customWidth="1"/>
    <col min="6684" max="6684" width="13.7109375" style="16" bestFit="1" customWidth="1"/>
    <col min="6685" max="6685" width="17.28515625" style="16" customWidth="1"/>
    <col min="6686" max="6686" width="11" style="16" customWidth="1"/>
    <col min="6687" max="6687" width="12" style="16" bestFit="1" customWidth="1"/>
    <col min="6688" max="6688" width="14.85546875" style="16" customWidth="1"/>
    <col min="6689" max="6938" width="11.42578125" style="16"/>
    <col min="6939" max="6939" width="18.7109375" style="16" customWidth="1"/>
    <col min="6940" max="6940" width="13.7109375" style="16" bestFit="1" customWidth="1"/>
    <col min="6941" max="6941" width="17.28515625" style="16" customWidth="1"/>
    <col min="6942" max="6942" width="11" style="16" customWidth="1"/>
    <col min="6943" max="6943" width="12" style="16" bestFit="1" customWidth="1"/>
    <col min="6944" max="6944" width="14.85546875" style="16" customWidth="1"/>
    <col min="6945" max="7194" width="11.42578125" style="16"/>
    <col min="7195" max="7195" width="18.7109375" style="16" customWidth="1"/>
    <col min="7196" max="7196" width="13.7109375" style="16" bestFit="1" customWidth="1"/>
    <col min="7197" max="7197" width="17.28515625" style="16" customWidth="1"/>
    <col min="7198" max="7198" width="11" style="16" customWidth="1"/>
    <col min="7199" max="7199" width="12" style="16" bestFit="1" customWidth="1"/>
    <col min="7200" max="7200" width="14.85546875" style="16" customWidth="1"/>
    <col min="7201" max="7450" width="11.42578125" style="16"/>
    <col min="7451" max="7451" width="18.7109375" style="16" customWidth="1"/>
    <col min="7452" max="7452" width="13.7109375" style="16" bestFit="1" customWidth="1"/>
    <col min="7453" max="7453" width="17.28515625" style="16" customWidth="1"/>
    <col min="7454" max="7454" width="11" style="16" customWidth="1"/>
    <col min="7455" max="7455" width="12" style="16" bestFit="1" customWidth="1"/>
    <col min="7456" max="7456" width="14.85546875" style="16" customWidth="1"/>
    <col min="7457" max="7706" width="11.42578125" style="16"/>
    <col min="7707" max="7707" width="18.7109375" style="16" customWidth="1"/>
    <col min="7708" max="7708" width="13.7109375" style="16" bestFit="1" customWidth="1"/>
    <col min="7709" max="7709" width="17.28515625" style="16" customWidth="1"/>
    <col min="7710" max="7710" width="11" style="16" customWidth="1"/>
    <col min="7711" max="7711" width="12" style="16" bestFit="1" customWidth="1"/>
    <col min="7712" max="7712" width="14.85546875" style="16" customWidth="1"/>
    <col min="7713" max="7962" width="11.42578125" style="16"/>
    <col min="7963" max="7963" width="18.7109375" style="16" customWidth="1"/>
    <col min="7964" max="7964" width="13.7109375" style="16" bestFit="1" customWidth="1"/>
    <col min="7965" max="7965" width="17.28515625" style="16" customWidth="1"/>
    <col min="7966" max="7966" width="11" style="16" customWidth="1"/>
    <col min="7967" max="7967" width="12" style="16" bestFit="1" customWidth="1"/>
    <col min="7968" max="7968" width="14.85546875" style="16" customWidth="1"/>
    <col min="7969" max="8218" width="11.42578125" style="16"/>
    <col min="8219" max="8219" width="18.7109375" style="16" customWidth="1"/>
    <col min="8220" max="8220" width="13.7109375" style="16" bestFit="1" customWidth="1"/>
    <col min="8221" max="8221" width="17.28515625" style="16" customWidth="1"/>
    <col min="8222" max="8222" width="11" style="16" customWidth="1"/>
    <col min="8223" max="8223" width="12" style="16" bestFit="1" customWidth="1"/>
    <col min="8224" max="8224" width="14.85546875" style="16" customWidth="1"/>
    <col min="8225" max="8474" width="11.42578125" style="16"/>
    <col min="8475" max="8475" width="18.7109375" style="16" customWidth="1"/>
    <col min="8476" max="8476" width="13.7109375" style="16" bestFit="1" customWidth="1"/>
    <col min="8477" max="8477" width="17.28515625" style="16" customWidth="1"/>
    <col min="8478" max="8478" width="11" style="16" customWidth="1"/>
    <col min="8479" max="8479" width="12" style="16" bestFit="1" customWidth="1"/>
    <col min="8480" max="8480" width="14.85546875" style="16" customWidth="1"/>
    <col min="8481" max="8730" width="11.42578125" style="16"/>
    <col min="8731" max="8731" width="18.7109375" style="16" customWidth="1"/>
    <col min="8732" max="8732" width="13.7109375" style="16" bestFit="1" customWidth="1"/>
    <col min="8733" max="8733" width="17.28515625" style="16" customWidth="1"/>
    <col min="8734" max="8734" width="11" style="16" customWidth="1"/>
    <col min="8735" max="8735" width="12" style="16" bestFit="1" customWidth="1"/>
    <col min="8736" max="8736" width="14.85546875" style="16" customWidth="1"/>
    <col min="8737" max="8986" width="11.42578125" style="16"/>
    <col min="8987" max="8987" width="18.7109375" style="16" customWidth="1"/>
    <col min="8988" max="8988" width="13.7109375" style="16" bestFit="1" customWidth="1"/>
    <col min="8989" max="8989" width="17.28515625" style="16" customWidth="1"/>
    <col min="8990" max="8990" width="11" style="16" customWidth="1"/>
    <col min="8991" max="8991" width="12" style="16" bestFit="1" customWidth="1"/>
    <col min="8992" max="8992" width="14.85546875" style="16" customWidth="1"/>
    <col min="8993" max="9242" width="11.42578125" style="16"/>
    <col min="9243" max="9243" width="18.7109375" style="16" customWidth="1"/>
    <col min="9244" max="9244" width="13.7109375" style="16" bestFit="1" customWidth="1"/>
    <col min="9245" max="9245" width="17.28515625" style="16" customWidth="1"/>
    <col min="9246" max="9246" width="11" style="16" customWidth="1"/>
    <col min="9247" max="9247" width="12" style="16" bestFit="1" customWidth="1"/>
    <col min="9248" max="9248" width="14.85546875" style="16" customWidth="1"/>
    <col min="9249" max="9498" width="11.42578125" style="16"/>
    <col min="9499" max="9499" width="18.7109375" style="16" customWidth="1"/>
    <col min="9500" max="9500" width="13.7109375" style="16" bestFit="1" customWidth="1"/>
    <col min="9501" max="9501" width="17.28515625" style="16" customWidth="1"/>
    <col min="9502" max="9502" width="11" style="16" customWidth="1"/>
    <col min="9503" max="9503" width="12" style="16" bestFit="1" customWidth="1"/>
    <col min="9504" max="9504" width="14.85546875" style="16" customWidth="1"/>
    <col min="9505" max="9754" width="11.42578125" style="16"/>
    <col min="9755" max="9755" width="18.7109375" style="16" customWidth="1"/>
    <col min="9756" max="9756" width="13.7109375" style="16" bestFit="1" customWidth="1"/>
    <col min="9757" max="9757" width="17.28515625" style="16" customWidth="1"/>
    <col min="9758" max="9758" width="11" style="16" customWidth="1"/>
    <col min="9759" max="9759" width="12" style="16" bestFit="1" customWidth="1"/>
    <col min="9760" max="9760" width="14.85546875" style="16" customWidth="1"/>
    <col min="9761" max="10010" width="11.42578125" style="16"/>
    <col min="10011" max="10011" width="18.7109375" style="16" customWidth="1"/>
    <col min="10012" max="10012" width="13.7109375" style="16" bestFit="1" customWidth="1"/>
    <col min="10013" max="10013" width="17.28515625" style="16" customWidth="1"/>
    <col min="10014" max="10014" width="11" style="16" customWidth="1"/>
    <col min="10015" max="10015" width="12" style="16" bestFit="1" customWidth="1"/>
    <col min="10016" max="10016" width="14.85546875" style="16" customWidth="1"/>
    <col min="10017" max="10266" width="11.42578125" style="16"/>
    <col min="10267" max="10267" width="18.7109375" style="16" customWidth="1"/>
    <col min="10268" max="10268" width="13.7109375" style="16" bestFit="1" customWidth="1"/>
    <col min="10269" max="10269" width="17.28515625" style="16" customWidth="1"/>
    <col min="10270" max="10270" width="11" style="16" customWidth="1"/>
    <col min="10271" max="10271" width="12" style="16" bestFit="1" customWidth="1"/>
    <col min="10272" max="10272" width="14.85546875" style="16" customWidth="1"/>
    <col min="10273" max="10522" width="11.42578125" style="16"/>
    <col min="10523" max="10523" width="18.7109375" style="16" customWidth="1"/>
    <col min="10524" max="10524" width="13.7109375" style="16" bestFit="1" customWidth="1"/>
    <col min="10525" max="10525" width="17.28515625" style="16" customWidth="1"/>
    <col min="10526" max="10526" width="11" style="16" customWidth="1"/>
    <col min="10527" max="10527" width="12" style="16" bestFit="1" customWidth="1"/>
    <col min="10528" max="10528" width="14.85546875" style="16" customWidth="1"/>
    <col min="10529" max="10778" width="11.42578125" style="16"/>
    <col min="10779" max="10779" width="18.7109375" style="16" customWidth="1"/>
    <col min="10780" max="10780" width="13.7109375" style="16" bestFit="1" customWidth="1"/>
    <col min="10781" max="10781" width="17.28515625" style="16" customWidth="1"/>
    <col min="10782" max="10782" width="11" style="16" customWidth="1"/>
    <col min="10783" max="10783" width="12" style="16" bestFit="1" customWidth="1"/>
    <col min="10784" max="10784" width="14.85546875" style="16" customWidth="1"/>
    <col min="10785" max="11034" width="11.42578125" style="16"/>
    <col min="11035" max="11035" width="18.7109375" style="16" customWidth="1"/>
    <col min="11036" max="11036" width="13.7109375" style="16" bestFit="1" customWidth="1"/>
    <col min="11037" max="11037" width="17.28515625" style="16" customWidth="1"/>
    <col min="11038" max="11038" width="11" style="16" customWidth="1"/>
    <col min="11039" max="11039" width="12" style="16" bestFit="1" customWidth="1"/>
    <col min="11040" max="11040" width="14.85546875" style="16" customWidth="1"/>
    <col min="11041" max="11290" width="11.42578125" style="16"/>
    <col min="11291" max="11291" width="18.7109375" style="16" customWidth="1"/>
    <col min="11292" max="11292" width="13.7109375" style="16" bestFit="1" customWidth="1"/>
    <col min="11293" max="11293" width="17.28515625" style="16" customWidth="1"/>
    <col min="11294" max="11294" width="11" style="16" customWidth="1"/>
    <col min="11295" max="11295" width="12" style="16" bestFit="1" customWidth="1"/>
    <col min="11296" max="11296" width="14.85546875" style="16" customWidth="1"/>
    <col min="11297" max="11546" width="11.42578125" style="16"/>
    <col min="11547" max="11547" width="18.7109375" style="16" customWidth="1"/>
    <col min="11548" max="11548" width="13.7109375" style="16" bestFit="1" customWidth="1"/>
    <col min="11549" max="11549" width="17.28515625" style="16" customWidth="1"/>
    <col min="11550" max="11550" width="11" style="16" customWidth="1"/>
    <col min="11551" max="11551" width="12" style="16" bestFit="1" customWidth="1"/>
    <col min="11552" max="11552" width="14.85546875" style="16" customWidth="1"/>
    <col min="11553" max="11802" width="11.42578125" style="16"/>
    <col min="11803" max="11803" width="18.7109375" style="16" customWidth="1"/>
    <col min="11804" max="11804" width="13.7109375" style="16" bestFit="1" customWidth="1"/>
    <col min="11805" max="11805" width="17.28515625" style="16" customWidth="1"/>
    <col min="11806" max="11806" width="11" style="16" customWidth="1"/>
    <col min="11807" max="11807" width="12" style="16" bestFit="1" customWidth="1"/>
    <col min="11808" max="11808" width="14.85546875" style="16" customWidth="1"/>
    <col min="11809" max="12058" width="11.42578125" style="16"/>
    <col min="12059" max="12059" width="18.7109375" style="16" customWidth="1"/>
    <col min="12060" max="12060" width="13.7109375" style="16" bestFit="1" customWidth="1"/>
    <col min="12061" max="12061" width="17.28515625" style="16" customWidth="1"/>
    <col min="12062" max="12062" width="11" style="16" customWidth="1"/>
    <col min="12063" max="12063" width="12" style="16" bestFit="1" customWidth="1"/>
    <col min="12064" max="12064" width="14.85546875" style="16" customWidth="1"/>
    <col min="12065" max="12314" width="11.42578125" style="16"/>
    <col min="12315" max="12315" width="18.7109375" style="16" customWidth="1"/>
    <col min="12316" max="12316" width="13.7109375" style="16" bestFit="1" customWidth="1"/>
    <col min="12317" max="12317" width="17.28515625" style="16" customWidth="1"/>
    <col min="12318" max="12318" width="11" style="16" customWidth="1"/>
    <col min="12319" max="12319" width="12" style="16" bestFit="1" customWidth="1"/>
    <col min="12320" max="12320" width="14.85546875" style="16" customWidth="1"/>
    <col min="12321" max="12570" width="11.42578125" style="16"/>
    <col min="12571" max="12571" width="18.7109375" style="16" customWidth="1"/>
    <col min="12572" max="12572" width="13.7109375" style="16" bestFit="1" customWidth="1"/>
    <col min="12573" max="12573" width="17.28515625" style="16" customWidth="1"/>
    <col min="12574" max="12574" width="11" style="16" customWidth="1"/>
    <col min="12575" max="12575" width="12" style="16" bestFit="1" customWidth="1"/>
    <col min="12576" max="12576" width="14.85546875" style="16" customWidth="1"/>
    <col min="12577" max="12826" width="11.42578125" style="16"/>
    <col min="12827" max="12827" width="18.7109375" style="16" customWidth="1"/>
    <col min="12828" max="12828" width="13.7109375" style="16" bestFit="1" customWidth="1"/>
    <col min="12829" max="12829" width="17.28515625" style="16" customWidth="1"/>
    <col min="12830" max="12830" width="11" style="16" customWidth="1"/>
    <col min="12831" max="12831" width="12" style="16" bestFit="1" customWidth="1"/>
    <col min="12832" max="12832" width="14.85546875" style="16" customWidth="1"/>
    <col min="12833" max="13082" width="11.42578125" style="16"/>
    <col min="13083" max="13083" width="18.7109375" style="16" customWidth="1"/>
    <col min="13084" max="13084" width="13.7109375" style="16" bestFit="1" customWidth="1"/>
    <col min="13085" max="13085" width="17.28515625" style="16" customWidth="1"/>
    <col min="13086" max="13086" width="11" style="16" customWidth="1"/>
    <col min="13087" max="13087" width="12" style="16" bestFit="1" customWidth="1"/>
    <col min="13088" max="13088" width="14.85546875" style="16" customWidth="1"/>
    <col min="13089" max="13338" width="11.42578125" style="16"/>
    <col min="13339" max="13339" width="18.7109375" style="16" customWidth="1"/>
    <col min="13340" max="13340" width="13.7109375" style="16" bestFit="1" customWidth="1"/>
    <col min="13341" max="13341" width="17.28515625" style="16" customWidth="1"/>
    <col min="13342" max="13342" width="11" style="16" customWidth="1"/>
    <col min="13343" max="13343" width="12" style="16" bestFit="1" customWidth="1"/>
    <col min="13344" max="13344" width="14.85546875" style="16" customWidth="1"/>
    <col min="13345" max="13594" width="11.42578125" style="16"/>
    <col min="13595" max="13595" width="18.7109375" style="16" customWidth="1"/>
    <col min="13596" max="13596" width="13.7109375" style="16" bestFit="1" customWidth="1"/>
    <col min="13597" max="13597" width="17.28515625" style="16" customWidth="1"/>
    <col min="13598" max="13598" width="11" style="16" customWidth="1"/>
    <col min="13599" max="13599" width="12" style="16" bestFit="1" customWidth="1"/>
    <col min="13600" max="13600" width="14.85546875" style="16" customWidth="1"/>
    <col min="13601" max="13850" width="11.42578125" style="16"/>
    <col min="13851" max="13851" width="18.7109375" style="16" customWidth="1"/>
    <col min="13852" max="13852" width="13.7109375" style="16" bestFit="1" customWidth="1"/>
    <col min="13853" max="13853" width="17.28515625" style="16" customWidth="1"/>
    <col min="13854" max="13854" width="11" style="16" customWidth="1"/>
    <col min="13855" max="13855" width="12" style="16" bestFit="1" customWidth="1"/>
    <col min="13856" max="13856" width="14.85546875" style="16" customWidth="1"/>
    <col min="13857" max="14106" width="11.42578125" style="16"/>
    <col min="14107" max="14107" width="18.7109375" style="16" customWidth="1"/>
    <col min="14108" max="14108" width="13.7109375" style="16" bestFit="1" customWidth="1"/>
    <col min="14109" max="14109" width="17.28515625" style="16" customWidth="1"/>
    <col min="14110" max="14110" width="11" style="16" customWidth="1"/>
    <col min="14111" max="14111" width="12" style="16" bestFit="1" customWidth="1"/>
    <col min="14112" max="14112" width="14.85546875" style="16" customWidth="1"/>
    <col min="14113" max="14362" width="11.42578125" style="16"/>
    <col min="14363" max="14363" width="18.7109375" style="16" customWidth="1"/>
    <col min="14364" max="14364" width="13.7109375" style="16" bestFit="1" customWidth="1"/>
    <col min="14365" max="14365" width="17.28515625" style="16" customWidth="1"/>
    <col min="14366" max="14366" width="11" style="16" customWidth="1"/>
    <col min="14367" max="14367" width="12" style="16" bestFit="1" customWidth="1"/>
    <col min="14368" max="14368" width="14.85546875" style="16" customWidth="1"/>
    <col min="14369" max="14618" width="11.42578125" style="16"/>
    <col min="14619" max="14619" width="18.7109375" style="16" customWidth="1"/>
    <col min="14620" max="14620" width="13.7109375" style="16" bestFit="1" customWidth="1"/>
    <col min="14621" max="14621" width="17.28515625" style="16" customWidth="1"/>
    <col min="14622" max="14622" width="11" style="16" customWidth="1"/>
    <col min="14623" max="14623" width="12" style="16" bestFit="1" customWidth="1"/>
    <col min="14624" max="14624" width="14.85546875" style="16" customWidth="1"/>
    <col min="14625" max="14874" width="11.42578125" style="16"/>
    <col min="14875" max="14875" width="18.7109375" style="16" customWidth="1"/>
    <col min="14876" max="14876" width="13.7109375" style="16" bestFit="1" customWidth="1"/>
    <col min="14877" max="14877" width="17.28515625" style="16" customWidth="1"/>
    <col min="14878" max="14878" width="11" style="16" customWidth="1"/>
    <col min="14879" max="14879" width="12" style="16" bestFit="1" customWidth="1"/>
    <col min="14880" max="14880" width="14.85546875" style="16" customWidth="1"/>
    <col min="14881" max="15130" width="11.42578125" style="16"/>
    <col min="15131" max="15131" width="18.7109375" style="16" customWidth="1"/>
    <col min="15132" max="15132" width="13.7109375" style="16" bestFit="1" customWidth="1"/>
    <col min="15133" max="15133" width="17.28515625" style="16" customWidth="1"/>
    <col min="15134" max="15134" width="11" style="16" customWidth="1"/>
    <col min="15135" max="15135" width="12" style="16" bestFit="1" customWidth="1"/>
    <col min="15136" max="15136" width="14.85546875" style="16" customWidth="1"/>
    <col min="15137" max="15386" width="11.42578125" style="16"/>
    <col min="15387" max="15387" width="18.7109375" style="16" customWidth="1"/>
    <col min="15388" max="15388" width="13.7109375" style="16" bestFit="1" customWidth="1"/>
    <col min="15389" max="15389" width="17.28515625" style="16" customWidth="1"/>
    <col min="15390" max="15390" width="11" style="16" customWidth="1"/>
    <col min="15391" max="15391" width="12" style="16" bestFit="1" customWidth="1"/>
    <col min="15392" max="15392" width="14.85546875" style="16" customWidth="1"/>
    <col min="15393" max="15642" width="11.42578125" style="16"/>
    <col min="15643" max="15643" width="18.7109375" style="16" customWidth="1"/>
    <col min="15644" max="15644" width="13.7109375" style="16" bestFit="1" customWidth="1"/>
    <col min="15645" max="15645" width="17.28515625" style="16" customWidth="1"/>
    <col min="15646" max="15646" width="11" style="16" customWidth="1"/>
    <col min="15647" max="15647" width="12" style="16" bestFit="1" customWidth="1"/>
    <col min="15648" max="15648" width="14.85546875" style="16" customWidth="1"/>
    <col min="15649" max="15898" width="11.42578125" style="16"/>
    <col min="15899" max="15899" width="18.7109375" style="16" customWidth="1"/>
    <col min="15900" max="15900" width="13.7109375" style="16" bestFit="1" customWidth="1"/>
    <col min="15901" max="15901" width="17.28515625" style="16" customWidth="1"/>
    <col min="15902" max="15902" width="11" style="16" customWidth="1"/>
    <col min="15903" max="15903" width="12" style="16" bestFit="1" customWidth="1"/>
    <col min="15904" max="15904" width="14.85546875" style="16" customWidth="1"/>
    <col min="15905" max="16154" width="11.42578125" style="16"/>
    <col min="16155" max="16155" width="18.7109375" style="16" customWidth="1"/>
    <col min="16156" max="16156" width="13.7109375" style="16" bestFit="1" customWidth="1"/>
    <col min="16157" max="16157" width="17.28515625" style="16" customWidth="1"/>
    <col min="16158" max="16158" width="11" style="16" customWidth="1"/>
    <col min="16159" max="16159" width="12" style="16" bestFit="1" customWidth="1"/>
    <col min="16160" max="16160" width="14.85546875" style="16" customWidth="1"/>
    <col min="16161" max="16384" width="11.42578125" style="16"/>
  </cols>
  <sheetData>
    <row r="2" spans="1:37" x14ac:dyDescent="0.2">
      <c r="A2" s="16" t="s">
        <v>70</v>
      </c>
      <c r="B2" s="61">
        <f>'pooled normalised values'!B75</f>
        <v>6.5646572940968706E-2</v>
      </c>
      <c r="D2" s="16" t="s">
        <v>9</v>
      </c>
      <c r="E2" s="17"/>
      <c r="F2" s="18" t="e">
        <f>'pooled normalised values'!#REF!</f>
        <v>#REF!</v>
      </c>
      <c r="G2" s="18" t="e">
        <f>'pooled normalised values'!#REF!</f>
        <v>#REF!</v>
      </c>
      <c r="H2" s="18" t="e">
        <f>'pooled normalised values'!#REF!</f>
        <v>#REF!</v>
      </c>
      <c r="I2" s="18" t="e">
        <f>'pooled normalised values'!#REF!</f>
        <v>#REF!</v>
      </c>
      <c r="J2" s="18" t="e">
        <f>'pooled normalised values'!#REF!</f>
        <v>#REF!</v>
      </c>
      <c r="K2" s="18" t="e">
        <f>'pooled normalised values'!#REF!</f>
        <v>#REF!</v>
      </c>
      <c r="L2" s="18" t="e">
        <f>'pooled normalised values'!#REF!</f>
        <v>#REF!</v>
      </c>
      <c r="M2" s="18" t="e">
        <f>'pooled normalised values'!#REF!</f>
        <v>#REF!</v>
      </c>
      <c r="N2" s="18" t="e">
        <f>'pooled normalised values'!#REF!</f>
        <v>#REF!</v>
      </c>
      <c r="O2" s="18" t="e">
        <f>'pooled normalised values'!#REF!</f>
        <v>#REF!</v>
      </c>
      <c r="P2" s="18" t="e">
        <f>'pooled normalised values'!#REF!</f>
        <v>#REF!</v>
      </c>
      <c r="Q2" s="18" t="e">
        <f>'pooled normalised values'!#REF!</f>
        <v>#REF!</v>
      </c>
      <c r="R2" s="18" t="e">
        <f>'pooled normalised values'!#REF!</f>
        <v>#REF!</v>
      </c>
      <c r="S2" s="18" t="e">
        <f>'pooled normalised values'!#REF!</f>
        <v>#REF!</v>
      </c>
      <c r="T2" s="17"/>
      <c r="U2" s="19"/>
      <c r="V2" s="18" t="e">
        <f>'pooled normalised values'!#REF!</f>
        <v>#REF!</v>
      </c>
      <c r="W2" s="18" t="e">
        <f>'pooled normalised values'!#REF!</f>
        <v>#REF!</v>
      </c>
      <c r="X2" s="18" t="e">
        <f>'pooled normalised values'!#REF!</f>
        <v>#REF!</v>
      </c>
      <c r="Y2" s="18" t="e">
        <f>'pooled normalised values'!#REF!</f>
        <v>#REF!</v>
      </c>
      <c r="Z2" s="18" t="e">
        <f>'pooled normalised values'!#REF!</f>
        <v>#REF!</v>
      </c>
      <c r="AA2" s="18" t="e">
        <f>'pooled normalised values'!#REF!</f>
        <v>#REF!</v>
      </c>
      <c r="AB2" s="18" t="e">
        <f>'pooled normalised values'!#REF!</f>
        <v>#REF!</v>
      </c>
      <c r="AC2" s="18" t="e">
        <f>'pooled normalised values'!#REF!</f>
        <v>#REF!</v>
      </c>
      <c r="AD2" s="18" t="e">
        <f>'pooled normalised values'!#REF!</f>
        <v>#REF!</v>
      </c>
      <c r="AE2" s="18" t="e">
        <f>'pooled normalised values'!#REF!</f>
        <v>#REF!</v>
      </c>
      <c r="AF2" s="18" t="e">
        <f>'pooled normalised values'!#REF!</f>
        <v>#REF!</v>
      </c>
      <c r="AG2" s="18" t="e">
        <f>'pooled normalised values'!#REF!</f>
        <v>#REF!</v>
      </c>
      <c r="AH2" s="18" t="e">
        <f>'pooled normalised values'!#REF!</f>
        <v>#REF!</v>
      </c>
      <c r="AI2" s="18" t="e">
        <f>'pooled normalised values'!#REF!</f>
        <v>#REF!</v>
      </c>
      <c r="AJ2" s="19"/>
      <c r="AK2" s="16" t="s">
        <v>9</v>
      </c>
    </row>
    <row r="3" spans="1:37" x14ac:dyDescent="0.2">
      <c r="A3" s="16" t="s">
        <v>71</v>
      </c>
      <c r="B3" s="61">
        <f>'summary results'!E6</f>
        <v>0</v>
      </c>
      <c r="D3" s="20" t="s">
        <v>10</v>
      </c>
      <c r="E3" s="21"/>
      <c r="F3" s="18" t="e">
        <f>HLOOKUP(F2,'pooled normalised values'!B74:L83,2,FALSE)</f>
        <v>#REF!</v>
      </c>
      <c r="G3" s="18" t="e">
        <f>HLOOKUP(G2,'pooled normalised values'!C74:M83,2,FALSE)</f>
        <v>#REF!</v>
      </c>
      <c r="H3" s="18" t="e">
        <f>HLOOKUP(H2,'pooled normalised values'!C74:N83,2,FALSE)</f>
        <v>#REF!</v>
      </c>
      <c r="I3" s="18" t="e">
        <f>HLOOKUP(I2,'pooled normalised values'!D74:O83,2,FALSE)</f>
        <v>#REF!</v>
      </c>
      <c r="J3" s="18" t="e">
        <f>HLOOKUP(J2,'pooled normalised values'!E74:P83,2,FALSE)</f>
        <v>#REF!</v>
      </c>
      <c r="K3" s="18" t="e">
        <f>HLOOKUP(K2,'pooled normalised values'!F74:Q83,2,FALSE)</f>
        <v>#REF!</v>
      </c>
      <c r="L3" s="18" t="e">
        <f>HLOOKUP(L2,'pooled normalised values'!G74:R83,2,FALSE)</f>
        <v>#REF!</v>
      </c>
      <c r="M3" s="18" t="e">
        <f>HLOOKUP(M2,'pooled normalised values'!H74:S83,2,FALSE)</f>
        <v>#REF!</v>
      </c>
      <c r="N3" s="18" t="e">
        <f>HLOOKUP(N2,'pooled normalised values'!I74:T83,2,FALSE)</f>
        <v>#REF!</v>
      </c>
      <c r="O3" s="18" t="e">
        <f>HLOOKUP(O2,'pooled normalised values'!I74:U83,2,FALSE)</f>
        <v>#REF!</v>
      </c>
      <c r="P3" s="18" t="e">
        <f>HLOOKUP(P2,'pooled normalised values'!I74:V83,2,FALSE)</f>
        <v>#REF!</v>
      </c>
      <c r="Q3" s="18" t="e">
        <f>HLOOKUP(Q2,'pooled normalised values'!I74:W83,2,FALSE)</f>
        <v>#REF!</v>
      </c>
      <c r="R3" s="18" t="e">
        <f>HLOOKUP(R2,'pooled normalised values'!I74:X83,2,FALSE)</f>
        <v>#REF!</v>
      </c>
      <c r="S3" s="18" t="e">
        <f>HLOOKUP(S2,'pooled normalised values'!I74:Y83,2,FALSE)</f>
        <v>#REF!</v>
      </c>
      <c r="T3" s="21"/>
      <c r="U3" s="19"/>
      <c r="V3" s="18" t="e">
        <f>HLOOKUP(V2,'pooled normalised values'!I74:AB83,2,FALSE)</f>
        <v>#REF!</v>
      </c>
      <c r="W3" s="18" t="e">
        <f>HLOOKUP(W2,'pooled normalised values'!I74:AC83,2,FALSE)</f>
        <v>#REF!</v>
      </c>
      <c r="X3" s="18" t="e">
        <f>HLOOKUP(X2,'pooled normalised values'!I74:AD83,2,FALSE)</f>
        <v>#REF!</v>
      </c>
      <c r="Y3" s="18" t="e">
        <f>HLOOKUP(Y2,'pooled normalised values'!I74:AE83,2,FALSE)</f>
        <v>#REF!</v>
      </c>
      <c r="Z3" s="18" t="e">
        <f>HLOOKUP(Z2,'pooled normalised values'!I74:AF83,2,FALSE)</f>
        <v>#REF!</v>
      </c>
      <c r="AA3" s="18" t="e">
        <f>HLOOKUP(AA2,'pooled normalised values'!I74:AG83,2,FALSE)</f>
        <v>#REF!</v>
      </c>
      <c r="AB3" s="18" t="e">
        <f>HLOOKUP(AB2,'pooled normalised values'!I74:AH83,2,FALSE)</f>
        <v>#REF!</v>
      </c>
      <c r="AC3" s="18" t="e">
        <f>HLOOKUP(AC2,'pooled normalised values'!I74:AI83,2,FALSE)</f>
        <v>#REF!</v>
      </c>
      <c r="AD3" s="18" t="e">
        <f>HLOOKUP(AD2,'pooled normalised values'!I74:AJ83,2,FALSE)</f>
        <v>#REF!</v>
      </c>
      <c r="AE3" s="18" t="e">
        <f>HLOOKUP(AE2,'pooled normalised values'!I74:AK83,2,FALSE)</f>
        <v>#REF!</v>
      </c>
      <c r="AF3" s="18" t="e">
        <f>HLOOKUP(AF2,'pooled normalised values'!I74:AL83,2,FALSE)</f>
        <v>#REF!</v>
      </c>
      <c r="AG3" s="18" t="e">
        <f>HLOOKUP(AG2,'pooled normalised values'!I74:AM83,2,FALSE)</f>
        <v>#REF!</v>
      </c>
      <c r="AH3" s="18" t="e">
        <f>HLOOKUP(AH2,'pooled normalised values'!I74:AN83,2,FALSE)</f>
        <v>#REF!</v>
      </c>
      <c r="AI3" s="18" t="e">
        <f>HLOOKUP(AI2,'pooled normalised values'!I74:AO83,2,FALSE)</f>
        <v>#REF!</v>
      </c>
      <c r="AJ3" s="19"/>
      <c r="AK3" s="20" t="s">
        <v>10</v>
      </c>
    </row>
    <row r="4" spans="1:37" x14ac:dyDescent="0.2">
      <c r="A4" s="16" t="s">
        <v>72</v>
      </c>
      <c r="B4" s="61">
        <f>'pooled normalised values'!J75</f>
        <v>1</v>
      </c>
      <c r="D4" s="20" t="s">
        <v>2</v>
      </c>
      <c r="E4" s="21"/>
      <c r="F4" s="18" t="e">
        <f>HLOOKUP(F2,'pooled normalised values'!B74:L83,3,FALSE)</f>
        <v>#REF!</v>
      </c>
      <c r="G4" s="18" t="e">
        <f>HLOOKUP(G2,'pooled normalised values'!C74:M83,3,FALSE)</f>
        <v>#REF!</v>
      </c>
      <c r="H4" s="18" t="e">
        <f>HLOOKUP(H2,'pooled normalised values'!C74:N83,3,FALSE)</f>
        <v>#REF!</v>
      </c>
      <c r="I4" s="18" t="e">
        <f>HLOOKUP(I2,'pooled normalised values'!D74:O83,3,FALSE)</f>
        <v>#REF!</v>
      </c>
      <c r="J4" s="18" t="e">
        <f>HLOOKUP(J2,'pooled normalised values'!E74:P83,3,FALSE)</f>
        <v>#REF!</v>
      </c>
      <c r="K4" s="18" t="e">
        <f>HLOOKUP(K2,'pooled normalised values'!F74:Q83,3,FALSE)</f>
        <v>#REF!</v>
      </c>
      <c r="L4" s="18" t="e">
        <f>HLOOKUP(L2,'pooled normalised values'!G74:R83,3,FALSE)</f>
        <v>#REF!</v>
      </c>
      <c r="M4" s="18" t="e">
        <f>HLOOKUP(M2,'pooled normalised values'!H74:S83,3,FALSE)</f>
        <v>#REF!</v>
      </c>
      <c r="N4" s="18" t="e">
        <f>HLOOKUP(N2,'pooled normalised values'!I74:T83,3,FALSE)</f>
        <v>#REF!</v>
      </c>
      <c r="O4" s="18" t="e">
        <f>HLOOKUP(O2,'pooled normalised values'!I74:U83,3,FALSE)</f>
        <v>#REF!</v>
      </c>
      <c r="P4" s="18" t="e">
        <f>HLOOKUP(P2,'pooled normalised values'!I74:V83,3,FALSE)</f>
        <v>#REF!</v>
      </c>
      <c r="Q4" s="18" t="e">
        <f>HLOOKUP(Q2,'pooled normalised values'!I74:W83,3,FALSE)</f>
        <v>#REF!</v>
      </c>
      <c r="R4" s="18" t="e">
        <f>HLOOKUP(R2,'pooled normalised values'!I74:X83,3,FALSE)</f>
        <v>#REF!</v>
      </c>
      <c r="S4" s="18" t="e">
        <f>HLOOKUP(S2,'pooled normalised values'!I74:Y83,3,FALSE)</f>
        <v>#REF!</v>
      </c>
      <c r="T4" s="21"/>
      <c r="U4" s="19"/>
      <c r="V4" s="18" t="e">
        <f>HLOOKUP(V2,'pooled normalised values'!I74:AB83,3,FALSE)</f>
        <v>#REF!</v>
      </c>
      <c r="W4" s="18" t="e">
        <f>HLOOKUP(W2,'pooled normalised values'!I74:AC83,3,FALSE)</f>
        <v>#REF!</v>
      </c>
      <c r="X4" s="18" t="e">
        <f>HLOOKUP(X2,'pooled normalised values'!I74:AD83,3,FALSE)</f>
        <v>#REF!</v>
      </c>
      <c r="Y4" s="18" t="e">
        <f>HLOOKUP(Y2,'pooled normalised values'!I74:AE83,3,FALSE)</f>
        <v>#REF!</v>
      </c>
      <c r="Z4" s="18" t="e">
        <f>HLOOKUP(Z2,'pooled normalised values'!I74:AF83,3,FALSE)</f>
        <v>#REF!</v>
      </c>
      <c r="AA4" s="18" t="e">
        <f>HLOOKUP(AA2,'pooled normalised values'!I74:AG83,3,FALSE)</f>
        <v>#REF!</v>
      </c>
      <c r="AB4" s="18" t="e">
        <f>HLOOKUP(AB2,'pooled normalised values'!I74:AH83,3,FALSE)</f>
        <v>#REF!</v>
      </c>
      <c r="AC4" s="18" t="e">
        <f>HLOOKUP(AC2,'pooled normalised values'!I74:AI83,3,FALSE)</f>
        <v>#REF!</v>
      </c>
      <c r="AD4" s="18" t="e">
        <f>HLOOKUP(AD2,'pooled normalised values'!I74:AJ83,3,FALSE)</f>
        <v>#REF!</v>
      </c>
      <c r="AE4" s="18" t="e">
        <f>HLOOKUP(AE2,'pooled normalised values'!I74:AK83,3,FALSE)</f>
        <v>#REF!</v>
      </c>
      <c r="AF4" s="18" t="e">
        <f>HLOOKUP(AF2,'pooled normalised values'!I74:AL83,3,FALSE)</f>
        <v>#REF!</v>
      </c>
      <c r="AG4" s="18" t="e">
        <f>HLOOKUP(AG2,'pooled normalised values'!I74:AM83,3,FALSE)</f>
        <v>#REF!</v>
      </c>
      <c r="AH4" s="18" t="e">
        <f>HLOOKUP(AH2,'pooled normalised values'!I74:AN83,3,FALSE)</f>
        <v>#REF!</v>
      </c>
      <c r="AI4" s="18" t="e">
        <f>HLOOKUP(AI2,'pooled normalised values'!I74:AO83,3,FALSE)</f>
        <v>#REF!</v>
      </c>
      <c r="AJ4" s="19"/>
      <c r="AK4" s="20" t="s">
        <v>2</v>
      </c>
    </row>
    <row r="5" spans="1:37" x14ac:dyDescent="0.2">
      <c r="A5" s="16" t="s">
        <v>73</v>
      </c>
      <c r="B5" s="61">
        <f>'pooled normalised values'!K75</f>
        <v>2.0839946988433509</v>
      </c>
      <c r="D5" s="22" t="s">
        <v>11</v>
      </c>
      <c r="E5" s="21"/>
      <c r="F5" s="18" t="e">
        <f>HLOOKUP(F2,'pooled normalised values'!B74:L83,10,FALSE)</f>
        <v>#REF!</v>
      </c>
      <c r="G5" s="18" t="e">
        <f>HLOOKUP(G2,'pooled normalised values'!C74:M83,10,FALSE)</f>
        <v>#REF!</v>
      </c>
      <c r="H5" s="18" t="e">
        <f>HLOOKUP(H2,'pooled normalised values'!C74:N83,10,FALSE)</f>
        <v>#REF!</v>
      </c>
      <c r="I5" s="18" t="e">
        <f>HLOOKUP(I2,'pooled normalised values'!D74:O83,10,FALSE)</f>
        <v>#REF!</v>
      </c>
      <c r="J5" s="18" t="e">
        <f>HLOOKUP(J2,'pooled normalised values'!E74:P83,10,FALSE)</f>
        <v>#REF!</v>
      </c>
      <c r="K5" s="18" t="e">
        <f>HLOOKUP(K2,'pooled normalised values'!F74:Q83,10,FALSE)</f>
        <v>#REF!</v>
      </c>
      <c r="L5" s="18" t="e">
        <f>HLOOKUP(L2,'pooled normalised values'!G74:R83,10,FALSE)</f>
        <v>#REF!</v>
      </c>
      <c r="M5" s="18" t="e">
        <f>HLOOKUP(M2,'pooled normalised values'!H74:S83,10,FALSE)</f>
        <v>#REF!</v>
      </c>
      <c r="N5" s="18" t="e">
        <f>HLOOKUP(N2,'pooled normalised values'!I74:T83,10,FALSE)</f>
        <v>#REF!</v>
      </c>
      <c r="O5" s="18" t="e">
        <f>HLOOKUP(O2,'pooled normalised values'!I74:U83,10,FALSE)</f>
        <v>#REF!</v>
      </c>
      <c r="P5" s="18" t="e">
        <f>HLOOKUP(P2,'pooled normalised values'!I74:V83,10,FALSE)</f>
        <v>#REF!</v>
      </c>
      <c r="Q5" s="18" t="e">
        <f>HLOOKUP(Q2,'pooled normalised values'!I74:W83,10,FALSE)</f>
        <v>#REF!</v>
      </c>
      <c r="R5" s="18" t="e">
        <f>HLOOKUP(R2,'pooled normalised values'!I74:X83,10,FALSE)</f>
        <v>#REF!</v>
      </c>
      <c r="S5" s="18" t="e">
        <f>HLOOKUP(S2,'pooled normalised values'!I74:Y83,10,FALSE)</f>
        <v>#REF!</v>
      </c>
      <c r="T5" s="21"/>
      <c r="U5" s="19"/>
      <c r="V5" s="18" t="e">
        <f>HLOOKUP(V2,'pooled normalised values'!I74:AB83,10,FALSE)</f>
        <v>#REF!</v>
      </c>
      <c r="W5" s="18" t="e">
        <f>HLOOKUP(W2,'pooled normalised values'!I74:AC83,10,FALSE)</f>
        <v>#REF!</v>
      </c>
      <c r="X5" s="18" t="e">
        <f>HLOOKUP(X2,'pooled normalised values'!I74:AD83,10,FALSE)</f>
        <v>#REF!</v>
      </c>
      <c r="Y5" s="18" t="e">
        <f>HLOOKUP(Y2,'pooled normalised values'!I74:AE83,10,FALSE)</f>
        <v>#REF!</v>
      </c>
      <c r="Z5" s="18" t="e">
        <f>HLOOKUP(Z2,'pooled normalised values'!I74:AF83,10,FALSE)</f>
        <v>#REF!</v>
      </c>
      <c r="AA5" s="18" t="e">
        <f>HLOOKUP(AA2,'pooled normalised values'!I74:AG83,10,FALSE)</f>
        <v>#REF!</v>
      </c>
      <c r="AB5" s="18" t="e">
        <f>HLOOKUP(AB2,'pooled normalised values'!I74:AH83,10,FALSE)</f>
        <v>#REF!</v>
      </c>
      <c r="AC5" s="18" t="e">
        <f>HLOOKUP(AC2,'pooled normalised values'!I74:AI83,10,FALSE)</f>
        <v>#REF!</v>
      </c>
      <c r="AD5" s="18" t="e">
        <f>HLOOKUP(AD2,'pooled normalised values'!I74:AJ83,10,FALSE)</f>
        <v>#REF!</v>
      </c>
      <c r="AE5" s="18" t="e">
        <f>HLOOKUP(AE2,'pooled normalised values'!I74:AK83,10,FALSE)</f>
        <v>#REF!</v>
      </c>
      <c r="AF5" s="18" t="e">
        <f>HLOOKUP(AF2,'pooled normalised values'!I74:AL83,10,FALSE)</f>
        <v>#REF!</v>
      </c>
      <c r="AG5" s="18" t="e">
        <f>HLOOKUP(AG2,'pooled normalised values'!I74:AM83,10,FALSE)</f>
        <v>#REF!</v>
      </c>
      <c r="AH5" s="18" t="e">
        <f>HLOOKUP(AH2,'pooled normalised values'!I74:AN83,10,FALSE)</f>
        <v>#REF!</v>
      </c>
      <c r="AI5" s="18" t="e">
        <f>HLOOKUP(AI2,'pooled normalised values'!I74:AO83,10,FALSE)</f>
        <v>#REF!</v>
      </c>
      <c r="AJ5" s="19"/>
      <c r="AK5" s="22" t="s">
        <v>11</v>
      </c>
    </row>
    <row r="6" spans="1:37" x14ac:dyDescent="0.2">
      <c r="A6" s="16" t="s">
        <v>74</v>
      </c>
      <c r="B6" s="61">
        <f>'pooled normalised values'!L75</f>
        <v>5.0657143720364679E-2</v>
      </c>
      <c r="D6" s="20" t="s">
        <v>12</v>
      </c>
      <c r="E6" s="23">
        <f>$B$2</f>
        <v>6.5646572940968706E-2</v>
      </c>
      <c r="F6" s="23">
        <f>$B$2</f>
        <v>6.5646572940968706E-2</v>
      </c>
      <c r="G6" s="23">
        <f t="shared" ref="G6:R6" si="0">$B$2</f>
        <v>6.5646572940968706E-2</v>
      </c>
      <c r="H6" s="23">
        <f t="shared" si="0"/>
        <v>6.5646572940968706E-2</v>
      </c>
      <c r="I6" s="23">
        <f t="shared" si="0"/>
        <v>6.5646572940968706E-2</v>
      </c>
      <c r="J6" s="23">
        <f t="shared" si="0"/>
        <v>6.5646572940968706E-2</v>
      </c>
      <c r="K6" s="23">
        <f t="shared" si="0"/>
        <v>6.5646572940968706E-2</v>
      </c>
      <c r="L6" s="23">
        <f t="shared" si="0"/>
        <v>6.5646572940968706E-2</v>
      </c>
      <c r="M6" s="23">
        <f t="shared" si="0"/>
        <v>6.5646572940968706E-2</v>
      </c>
      <c r="N6" s="23">
        <f t="shared" si="0"/>
        <v>6.5646572940968706E-2</v>
      </c>
      <c r="O6" s="23">
        <f t="shared" si="0"/>
        <v>6.5646572940968706E-2</v>
      </c>
      <c r="P6" s="23">
        <f t="shared" si="0"/>
        <v>6.5646572940968706E-2</v>
      </c>
      <c r="Q6" s="23">
        <f t="shared" si="0"/>
        <v>6.5646572940968706E-2</v>
      </c>
      <c r="R6" s="23">
        <f t="shared" si="0"/>
        <v>6.5646572940968706E-2</v>
      </c>
      <c r="S6" s="23">
        <f>$B$2</f>
        <v>6.5646572940968706E-2</v>
      </c>
      <c r="T6" s="23">
        <f>$B$2</f>
        <v>6.5646572940968706E-2</v>
      </c>
      <c r="U6" s="24"/>
      <c r="V6" s="24"/>
      <c r="W6" s="24"/>
      <c r="X6" s="24"/>
      <c r="Y6" s="24"/>
      <c r="Z6" s="24"/>
      <c r="AA6" s="24"/>
      <c r="AB6" s="24"/>
      <c r="AC6" s="24"/>
      <c r="AD6" s="24"/>
      <c r="AE6" s="24"/>
      <c r="AF6" s="24"/>
      <c r="AG6" s="24"/>
      <c r="AH6" s="24"/>
      <c r="AI6" s="24"/>
      <c r="AJ6" s="24"/>
      <c r="AK6" s="20" t="s">
        <v>12</v>
      </c>
    </row>
    <row r="7" spans="1:37" x14ac:dyDescent="0.2">
      <c r="B7" s="25"/>
      <c r="D7" s="25" t="s">
        <v>13</v>
      </c>
      <c r="E7" s="23"/>
      <c r="F7" s="23"/>
      <c r="G7" s="23"/>
      <c r="H7" s="23"/>
      <c r="I7" s="23"/>
      <c r="J7" s="23"/>
      <c r="K7" s="23"/>
      <c r="L7" s="23"/>
      <c r="M7" s="23"/>
      <c r="N7" s="23"/>
      <c r="O7" s="23"/>
      <c r="P7" s="23"/>
      <c r="Q7" s="23"/>
      <c r="R7" s="23"/>
      <c r="S7" s="23"/>
      <c r="T7" s="26"/>
      <c r="U7" s="24">
        <f t="shared" ref="U7:AJ7" si="1">$B$4</f>
        <v>1</v>
      </c>
      <c r="V7" s="24">
        <f t="shared" si="1"/>
        <v>1</v>
      </c>
      <c r="W7" s="24">
        <f t="shared" si="1"/>
        <v>1</v>
      </c>
      <c r="X7" s="24">
        <f t="shared" si="1"/>
        <v>1</v>
      </c>
      <c r="Y7" s="24">
        <f t="shared" si="1"/>
        <v>1</v>
      </c>
      <c r="Z7" s="24">
        <f t="shared" si="1"/>
        <v>1</v>
      </c>
      <c r="AA7" s="24">
        <f t="shared" si="1"/>
        <v>1</v>
      </c>
      <c r="AB7" s="24">
        <f t="shared" si="1"/>
        <v>1</v>
      </c>
      <c r="AC7" s="24">
        <f t="shared" si="1"/>
        <v>1</v>
      </c>
      <c r="AD7" s="24">
        <f t="shared" si="1"/>
        <v>1</v>
      </c>
      <c r="AE7" s="24">
        <f t="shared" si="1"/>
        <v>1</v>
      </c>
      <c r="AF7" s="24">
        <f t="shared" si="1"/>
        <v>1</v>
      </c>
      <c r="AG7" s="24">
        <f t="shared" si="1"/>
        <v>1</v>
      </c>
      <c r="AH7" s="24">
        <f t="shared" si="1"/>
        <v>1</v>
      </c>
      <c r="AI7" s="24">
        <f t="shared" si="1"/>
        <v>1</v>
      </c>
      <c r="AJ7" s="24">
        <f t="shared" si="1"/>
        <v>1</v>
      </c>
      <c r="AK7" s="25" t="s">
        <v>13</v>
      </c>
    </row>
    <row r="8" spans="1:37" x14ac:dyDescent="0.2">
      <c r="D8" s="27" t="s">
        <v>14</v>
      </c>
      <c r="E8" s="23">
        <v>0</v>
      </c>
      <c r="F8" s="23">
        <v>0</v>
      </c>
      <c r="G8" s="23">
        <v>0</v>
      </c>
      <c r="H8" s="23">
        <v>0</v>
      </c>
      <c r="I8" s="23">
        <v>0</v>
      </c>
      <c r="J8" s="23">
        <v>0</v>
      </c>
      <c r="K8" s="23">
        <v>0</v>
      </c>
      <c r="L8" s="23">
        <v>0</v>
      </c>
      <c r="M8" s="23">
        <v>0</v>
      </c>
      <c r="N8" s="23">
        <v>0</v>
      </c>
      <c r="O8" s="23">
        <v>0</v>
      </c>
      <c r="P8" s="23">
        <v>0</v>
      </c>
      <c r="Q8" s="23">
        <v>0</v>
      </c>
      <c r="R8" s="23">
        <v>0</v>
      </c>
      <c r="S8" s="23">
        <v>0</v>
      </c>
      <c r="T8" s="26">
        <v>0</v>
      </c>
      <c r="U8" s="24">
        <f>$B$6</f>
        <v>5.0657143720364679E-2</v>
      </c>
      <c r="V8" s="24">
        <f t="shared" ref="V8:AJ8" si="2">$B$6</f>
        <v>5.0657143720364679E-2</v>
      </c>
      <c r="W8" s="24">
        <f t="shared" si="2"/>
        <v>5.0657143720364679E-2</v>
      </c>
      <c r="X8" s="24">
        <f t="shared" si="2"/>
        <v>5.0657143720364679E-2</v>
      </c>
      <c r="Y8" s="24">
        <f t="shared" si="2"/>
        <v>5.0657143720364679E-2</v>
      </c>
      <c r="Z8" s="24">
        <f t="shared" si="2"/>
        <v>5.0657143720364679E-2</v>
      </c>
      <c r="AA8" s="24">
        <f t="shared" si="2"/>
        <v>5.0657143720364679E-2</v>
      </c>
      <c r="AB8" s="24">
        <f t="shared" si="2"/>
        <v>5.0657143720364679E-2</v>
      </c>
      <c r="AC8" s="24">
        <f t="shared" si="2"/>
        <v>5.0657143720364679E-2</v>
      </c>
      <c r="AD8" s="24">
        <f t="shared" si="2"/>
        <v>5.0657143720364679E-2</v>
      </c>
      <c r="AE8" s="24">
        <f t="shared" si="2"/>
        <v>5.0657143720364679E-2</v>
      </c>
      <c r="AF8" s="24">
        <f t="shared" si="2"/>
        <v>5.0657143720364679E-2</v>
      </c>
      <c r="AG8" s="24">
        <f t="shared" si="2"/>
        <v>5.0657143720364679E-2</v>
      </c>
      <c r="AH8" s="24">
        <f t="shared" si="2"/>
        <v>5.0657143720364679E-2</v>
      </c>
      <c r="AI8" s="24">
        <f t="shared" si="2"/>
        <v>5.0657143720364679E-2</v>
      </c>
      <c r="AJ8" s="24">
        <f t="shared" si="2"/>
        <v>5.0657143720364679E-2</v>
      </c>
      <c r="AK8" s="27" t="s">
        <v>14</v>
      </c>
    </row>
    <row r="9" spans="1:37" x14ac:dyDescent="0.2">
      <c r="D9" s="27" t="s">
        <v>15</v>
      </c>
      <c r="E9" s="28">
        <f>$B$3-E8</f>
        <v>0</v>
      </c>
      <c r="F9" s="28">
        <f>$B$3-F8</f>
        <v>0</v>
      </c>
      <c r="G9" s="28">
        <f t="shared" ref="G9:R9" si="3">$B$3-G8</f>
        <v>0</v>
      </c>
      <c r="H9" s="28">
        <f t="shared" si="3"/>
        <v>0</v>
      </c>
      <c r="I9" s="28">
        <f t="shared" si="3"/>
        <v>0</v>
      </c>
      <c r="J9" s="28">
        <f t="shared" si="3"/>
        <v>0</v>
      </c>
      <c r="K9" s="28">
        <f t="shared" si="3"/>
        <v>0</v>
      </c>
      <c r="L9" s="28">
        <f t="shared" si="3"/>
        <v>0</v>
      </c>
      <c r="M9" s="28">
        <f t="shared" si="3"/>
        <v>0</v>
      </c>
      <c r="N9" s="28">
        <f t="shared" si="3"/>
        <v>0</v>
      </c>
      <c r="O9" s="28">
        <f t="shared" si="3"/>
        <v>0</v>
      </c>
      <c r="P9" s="28">
        <f t="shared" si="3"/>
        <v>0</v>
      </c>
      <c r="Q9" s="28">
        <f t="shared" si="3"/>
        <v>0</v>
      </c>
      <c r="R9" s="28">
        <f t="shared" si="3"/>
        <v>0</v>
      </c>
      <c r="S9" s="28">
        <f>$B$3-S8</f>
        <v>0</v>
      </c>
      <c r="T9" s="28">
        <f>$B$3-T8</f>
        <v>0</v>
      </c>
      <c r="U9" s="24">
        <f>$B$5-U8</f>
        <v>2.0333375551229862</v>
      </c>
      <c r="V9" s="24">
        <f>$B$5-V8</f>
        <v>2.0333375551229862</v>
      </c>
      <c r="W9" s="24">
        <f t="shared" ref="W9:AH9" si="4">$B$5-W8</f>
        <v>2.0333375551229862</v>
      </c>
      <c r="X9" s="24">
        <f t="shared" si="4"/>
        <v>2.0333375551229862</v>
      </c>
      <c r="Y9" s="24">
        <f t="shared" si="4"/>
        <v>2.0333375551229862</v>
      </c>
      <c r="Z9" s="24">
        <f t="shared" si="4"/>
        <v>2.0333375551229862</v>
      </c>
      <c r="AA9" s="24">
        <f t="shared" si="4"/>
        <v>2.0333375551229862</v>
      </c>
      <c r="AB9" s="24">
        <f t="shared" si="4"/>
        <v>2.0333375551229862</v>
      </c>
      <c r="AC9" s="24">
        <f t="shared" si="4"/>
        <v>2.0333375551229862</v>
      </c>
      <c r="AD9" s="24">
        <f t="shared" si="4"/>
        <v>2.0333375551229862</v>
      </c>
      <c r="AE9" s="24">
        <f t="shared" si="4"/>
        <v>2.0333375551229862</v>
      </c>
      <c r="AF9" s="24">
        <f t="shared" si="4"/>
        <v>2.0333375551229862</v>
      </c>
      <c r="AG9" s="24">
        <f t="shared" si="4"/>
        <v>2.0333375551229862</v>
      </c>
      <c r="AH9" s="24">
        <f t="shared" si="4"/>
        <v>2.0333375551229862</v>
      </c>
      <c r="AI9" s="24">
        <f>$B$5-AI8</f>
        <v>2.0333375551229862</v>
      </c>
      <c r="AJ9" s="24">
        <f>$B$5-AJ8</f>
        <v>2.0333375551229862</v>
      </c>
      <c r="AK9" s="27" t="s">
        <v>15</v>
      </c>
    </row>
    <row r="10" spans="1:37" x14ac:dyDescent="0.2">
      <c r="D10" s="27" t="s">
        <v>16</v>
      </c>
      <c r="E10" s="26">
        <f>2.5-E9</f>
        <v>2.5</v>
      </c>
      <c r="F10" s="26">
        <f>2.5-F9</f>
        <v>2.5</v>
      </c>
      <c r="G10" s="26">
        <f t="shared" ref="G10:R10" si="5">2.5-G9</f>
        <v>2.5</v>
      </c>
      <c r="H10" s="26">
        <f t="shared" si="5"/>
        <v>2.5</v>
      </c>
      <c r="I10" s="26">
        <f t="shared" si="5"/>
        <v>2.5</v>
      </c>
      <c r="J10" s="26">
        <f t="shared" si="5"/>
        <v>2.5</v>
      </c>
      <c r="K10" s="26">
        <f t="shared" si="5"/>
        <v>2.5</v>
      </c>
      <c r="L10" s="26">
        <f t="shared" si="5"/>
        <v>2.5</v>
      </c>
      <c r="M10" s="26">
        <f t="shared" si="5"/>
        <v>2.5</v>
      </c>
      <c r="N10" s="26">
        <f t="shared" si="5"/>
        <v>2.5</v>
      </c>
      <c r="O10" s="26">
        <f t="shared" si="5"/>
        <v>2.5</v>
      </c>
      <c r="P10" s="26">
        <f t="shared" si="5"/>
        <v>2.5</v>
      </c>
      <c r="Q10" s="26">
        <f t="shared" si="5"/>
        <v>2.5</v>
      </c>
      <c r="R10" s="26">
        <f t="shared" si="5"/>
        <v>2.5</v>
      </c>
      <c r="S10" s="26">
        <f>2.5-S9</f>
        <v>2.5</v>
      </c>
      <c r="T10" s="26">
        <f>2.5-T9</f>
        <v>2.5</v>
      </c>
      <c r="U10" s="24">
        <f>2.5-U9</f>
        <v>0.4666624448770138</v>
      </c>
      <c r="V10" s="24">
        <f>2.5-V9</f>
        <v>0.4666624448770138</v>
      </c>
      <c r="W10" s="24">
        <f t="shared" ref="W10:AH10" si="6">2.5-W9</f>
        <v>0.4666624448770138</v>
      </c>
      <c r="X10" s="24">
        <f t="shared" si="6"/>
        <v>0.4666624448770138</v>
      </c>
      <c r="Y10" s="24">
        <f t="shared" si="6"/>
        <v>0.4666624448770138</v>
      </c>
      <c r="Z10" s="24">
        <f t="shared" si="6"/>
        <v>0.4666624448770138</v>
      </c>
      <c r="AA10" s="24">
        <f t="shared" si="6"/>
        <v>0.4666624448770138</v>
      </c>
      <c r="AB10" s="24">
        <f t="shared" si="6"/>
        <v>0.4666624448770138</v>
      </c>
      <c r="AC10" s="24">
        <f t="shared" si="6"/>
        <v>0.4666624448770138</v>
      </c>
      <c r="AD10" s="24">
        <f t="shared" si="6"/>
        <v>0.4666624448770138</v>
      </c>
      <c r="AE10" s="24">
        <f t="shared" si="6"/>
        <v>0.4666624448770138</v>
      </c>
      <c r="AF10" s="24">
        <f t="shared" si="6"/>
        <v>0.4666624448770138</v>
      </c>
      <c r="AG10" s="24">
        <f t="shared" si="6"/>
        <v>0.4666624448770138</v>
      </c>
      <c r="AH10" s="24">
        <f t="shared" si="6"/>
        <v>0.4666624448770138</v>
      </c>
      <c r="AI10" s="24">
        <f>2.5-AI9</f>
        <v>0.4666624448770138</v>
      </c>
      <c r="AJ10" s="24">
        <f>2.5-AJ9</f>
        <v>0.4666624448770138</v>
      </c>
      <c r="AK10" s="27" t="s">
        <v>16</v>
      </c>
    </row>
    <row r="17" spans="2:20" x14ac:dyDescent="0.2">
      <c r="C17" s="22"/>
      <c r="D17" s="22"/>
    </row>
    <row r="18" spans="2:20" x14ac:dyDescent="0.2">
      <c r="B18" s="29"/>
    </row>
    <row r="19" spans="2:20" x14ac:dyDescent="0.2">
      <c r="B19" s="29"/>
    </row>
    <row r="20" spans="2:20" x14ac:dyDescent="0.2">
      <c r="B20" s="30"/>
    </row>
    <row r="21" spans="2:20" x14ac:dyDescent="0.2">
      <c r="B21" s="29"/>
    </row>
    <row r="22" spans="2:20" x14ac:dyDescent="0.2">
      <c r="B22" s="29"/>
      <c r="T22" s="22"/>
    </row>
    <row r="23" spans="2:20" x14ac:dyDescent="0.2">
      <c r="B23" s="30"/>
      <c r="T23" s="22"/>
    </row>
    <row r="24" spans="2:20" x14ac:dyDescent="0.2">
      <c r="T24" s="22"/>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75" x14ac:dyDescent="0.2"/>
  <cols>
    <col min="1" max="1" width="18.85546875" style="16" customWidth="1"/>
    <col min="2" max="2" width="7.28515625" style="16" bestFit="1" customWidth="1"/>
    <col min="3" max="3" width="10.5703125" style="16" customWidth="1"/>
    <col min="4" max="4" width="13.7109375" style="16" bestFit="1" customWidth="1"/>
    <col min="5" max="5" width="12" style="16" bestFit="1" customWidth="1"/>
    <col min="6" max="6" width="14.85546875" style="16" customWidth="1"/>
    <col min="7" max="8" width="11.42578125" style="16"/>
    <col min="9" max="9" width="13.5703125" style="16" bestFit="1" customWidth="1"/>
    <col min="10" max="256" width="11.42578125" style="16"/>
    <col min="257" max="257" width="18.7109375" style="16" customWidth="1"/>
    <col min="258" max="258" width="13.7109375" style="16" bestFit="1" customWidth="1"/>
    <col min="259" max="259" width="17.28515625" style="16" customWidth="1"/>
    <col min="260" max="260" width="11" style="16" customWidth="1"/>
    <col min="261" max="261" width="12" style="16" bestFit="1" customWidth="1"/>
    <col min="262" max="262" width="14.85546875" style="16" customWidth="1"/>
    <col min="263" max="512" width="11.42578125" style="16"/>
    <col min="513" max="513" width="18.7109375" style="16" customWidth="1"/>
    <col min="514" max="514" width="13.7109375" style="16" bestFit="1" customWidth="1"/>
    <col min="515" max="515" width="17.28515625" style="16" customWidth="1"/>
    <col min="516" max="516" width="11" style="16" customWidth="1"/>
    <col min="517" max="517" width="12" style="16" bestFit="1" customWidth="1"/>
    <col min="518" max="518" width="14.85546875" style="16" customWidth="1"/>
    <col min="519" max="768" width="11.42578125" style="16"/>
    <col min="769" max="769" width="18.7109375" style="16" customWidth="1"/>
    <col min="770" max="770" width="13.7109375" style="16" bestFit="1" customWidth="1"/>
    <col min="771" max="771" width="17.28515625" style="16" customWidth="1"/>
    <col min="772" max="772" width="11" style="16" customWidth="1"/>
    <col min="773" max="773" width="12" style="16" bestFit="1" customWidth="1"/>
    <col min="774" max="774" width="14.85546875" style="16" customWidth="1"/>
    <col min="775" max="1024" width="11.42578125" style="16"/>
    <col min="1025" max="1025" width="18.7109375" style="16" customWidth="1"/>
    <col min="1026" max="1026" width="13.7109375" style="16" bestFit="1" customWidth="1"/>
    <col min="1027" max="1027" width="17.28515625" style="16" customWidth="1"/>
    <col min="1028" max="1028" width="11" style="16" customWidth="1"/>
    <col min="1029" max="1029" width="12" style="16" bestFit="1" customWidth="1"/>
    <col min="1030" max="1030" width="14.85546875" style="16" customWidth="1"/>
    <col min="1031" max="1280" width="11.42578125" style="16"/>
    <col min="1281" max="1281" width="18.7109375" style="16" customWidth="1"/>
    <col min="1282" max="1282" width="13.7109375" style="16" bestFit="1" customWidth="1"/>
    <col min="1283" max="1283" width="17.28515625" style="16" customWidth="1"/>
    <col min="1284" max="1284" width="11" style="16" customWidth="1"/>
    <col min="1285" max="1285" width="12" style="16" bestFit="1" customWidth="1"/>
    <col min="1286" max="1286" width="14.85546875" style="16" customWidth="1"/>
    <col min="1287" max="1536" width="11.42578125" style="16"/>
    <col min="1537" max="1537" width="18.7109375" style="16" customWidth="1"/>
    <col min="1538" max="1538" width="13.7109375" style="16" bestFit="1" customWidth="1"/>
    <col min="1539" max="1539" width="17.28515625" style="16" customWidth="1"/>
    <col min="1540" max="1540" width="11" style="16" customWidth="1"/>
    <col min="1541" max="1541" width="12" style="16" bestFit="1" customWidth="1"/>
    <col min="1542" max="1542" width="14.85546875" style="16" customWidth="1"/>
    <col min="1543" max="1792" width="11.42578125" style="16"/>
    <col min="1793" max="1793" width="18.7109375" style="16" customWidth="1"/>
    <col min="1794" max="1794" width="13.7109375" style="16" bestFit="1" customWidth="1"/>
    <col min="1795" max="1795" width="17.28515625" style="16" customWidth="1"/>
    <col min="1796" max="1796" width="11" style="16" customWidth="1"/>
    <col min="1797" max="1797" width="12" style="16" bestFit="1" customWidth="1"/>
    <col min="1798" max="1798" width="14.85546875" style="16" customWidth="1"/>
    <col min="1799" max="2048" width="11.42578125" style="16"/>
    <col min="2049" max="2049" width="18.7109375" style="16" customWidth="1"/>
    <col min="2050" max="2050" width="13.7109375" style="16" bestFit="1" customWidth="1"/>
    <col min="2051" max="2051" width="17.28515625" style="16" customWidth="1"/>
    <col min="2052" max="2052" width="11" style="16" customWidth="1"/>
    <col min="2053" max="2053" width="12" style="16" bestFit="1" customWidth="1"/>
    <col min="2054" max="2054" width="14.85546875" style="16" customWidth="1"/>
    <col min="2055" max="2304" width="11.42578125" style="16"/>
    <col min="2305" max="2305" width="18.7109375" style="16" customWidth="1"/>
    <col min="2306" max="2306" width="13.7109375" style="16" bestFit="1" customWidth="1"/>
    <col min="2307" max="2307" width="17.28515625" style="16" customWidth="1"/>
    <col min="2308" max="2308" width="11" style="16" customWidth="1"/>
    <col min="2309" max="2309" width="12" style="16" bestFit="1" customWidth="1"/>
    <col min="2310" max="2310" width="14.85546875" style="16" customWidth="1"/>
    <col min="2311" max="2560" width="11.42578125" style="16"/>
    <col min="2561" max="2561" width="18.7109375" style="16" customWidth="1"/>
    <col min="2562" max="2562" width="13.7109375" style="16" bestFit="1" customWidth="1"/>
    <col min="2563" max="2563" width="17.28515625" style="16" customWidth="1"/>
    <col min="2564" max="2564" width="11" style="16" customWidth="1"/>
    <col min="2565" max="2565" width="12" style="16" bestFit="1" customWidth="1"/>
    <col min="2566" max="2566" width="14.85546875" style="16" customWidth="1"/>
    <col min="2567" max="2816" width="11.42578125" style="16"/>
    <col min="2817" max="2817" width="18.7109375" style="16" customWidth="1"/>
    <col min="2818" max="2818" width="13.7109375" style="16" bestFit="1" customWidth="1"/>
    <col min="2819" max="2819" width="17.28515625" style="16" customWidth="1"/>
    <col min="2820" max="2820" width="11" style="16" customWidth="1"/>
    <col min="2821" max="2821" width="12" style="16" bestFit="1" customWidth="1"/>
    <col min="2822" max="2822" width="14.85546875" style="16" customWidth="1"/>
    <col min="2823" max="3072" width="11.42578125" style="16"/>
    <col min="3073" max="3073" width="18.7109375" style="16" customWidth="1"/>
    <col min="3074" max="3074" width="13.7109375" style="16" bestFit="1" customWidth="1"/>
    <col min="3075" max="3075" width="17.28515625" style="16" customWidth="1"/>
    <col min="3076" max="3076" width="11" style="16" customWidth="1"/>
    <col min="3077" max="3077" width="12" style="16" bestFit="1" customWidth="1"/>
    <col min="3078" max="3078" width="14.85546875" style="16" customWidth="1"/>
    <col min="3079" max="3328" width="11.42578125" style="16"/>
    <col min="3329" max="3329" width="18.7109375" style="16" customWidth="1"/>
    <col min="3330" max="3330" width="13.7109375" style="16" bestFit="1" customWidth="1"/>
    <col min="3331" max="3331" width="17.28515625" style="16" customWidth="1"/>
    <col min="3332" max="3332" width="11" style="16" customWidth="1"/>
    <col min="3333" max="3333" width="12" style="16" bestFit="1" customWidth="1"/>
    <col min="3334" max="3334" width="14.85546875" style="16" customWidth="1"/>
    <col min="3335" max="3584" width="11.42578125" style="16"/>
    <col min="3585" max="3585" width="18.7109375" style="16" customWidth="1"/>
    <col min="3586" max="3586" width="13.7109375" style="16" bestFit="1" customWidth="1"/>
    <col min="3587" max="3587" width="17.28515625" style="16" customWidth="1"/>
    <col min="3588" max="3588" width="11" style="16" customWidth="1"/>
    <col min="3589" max="3589" width="12" style="16" bestFit="1" customWidth="1"/>
    <col min="3590" max="3590" width="14.85546875" style="16" customWidth="1"/>
    <col min="3591" max="3840" width="11.42578125" style="16"/>
    <col min="3841" max="3841" width="18.7109375" style="16" customWidth="1"/>
    <col min="3842" max="3842" width="13.7109375" style="16" bestFit="1" customWidth="1"/>
    <col min="3843" max="3843" width="17.28515625" style="16" customWidth="1"/>
    <col min="3844" max="3844" width="11" style="16" customWidth="1"/>
    <col min="3845" max="3845" width="12" style="16" bestFit="1" customWidth="1"/>
    <col min="3846" max="3846" width="14.85546875" style="16" customWidth="1"/>
    <col min="3847" max="4096" width="11.42578125" style="16"/>
    <col min="4097" max="4097" width="18.7109375" style="16" customWidth="1"/>
    <col min="4098" max="4098" width="13.7109375" style="16" bestFit="1" customWidth="1"/>
    <col min="4099" max="4099" width="17.28515625" style="16" customWidth="1"/>
    <col min="4100" max="4100" width="11" style="16" customWidth="1"/>
    <col min="4101" max="4101" width="12" style="16" bestFit="1" customWidth="1"/>
    <col min="4102" max="4102" width="14.85546875" style="16" customWidth="1"/>
    <col min="4103" max="4352" width="11.42578125" style="16"/>
    <col min="4353" max="4353" width="18.7109375" style="16" customWidth="1"/>
    <col min="4354" max="4354" width="13.7109375" style="16" bestFit="1" customWidth="1"/>
    <col min="4355" max="4355" width="17.28515625" style="16" customWidth="1"/>
    <col min="4356" max="4356" width="11" style="16" customWidth="1"/>
    <col min="4357" max="4357" width="12" style="16" bestFit="1" customWidth="1"/>
    <col min="4358" max="4358" width="14.85546875" style="16" customWidth="1"/>
    <col min="4359" max="4608" width="11.42578125" style="16"/>
    <col min="4609" max="4609" width="18.7109375" style="16" customWidth="1"/>
    <col min="4610" max="4610" width="13.7109375" style="16" bestFit="1" customWidth="1"/>
    <col min="4611" max="4611" width="17.28515625" style="16" customWidth="1"/>
    <col min="4612" max="4612" width="11" style="16" customWidth="1"/>
    <col min="4613" max="4613" width="12" style="16" bestFit="1" customWidth="1"/>
    <col min="4614" max="4614" width="14.85546875" style="16" customWidth="1"/>
    <col min="4615" max="4864" width="11.42578125" style="16"/>
    <col min="4865" max="4865" width="18.7109375" style="16" customWidth="1"/>
    <col min="4866" max="4866" width="13.7109375" style="16" bestFit="1" customWidth="1"/>
    <col min="4867" max="4867" width="17.28515625" style="16" customWidth="1"/>
    <col min="4868" max="4868" width="11" style="16" customWidth="1"/>
    <col min="4869" max="4869" width="12" style="16" bestFit="1" customWidth="1"/>
    <col min="4870" max="4870" width="14.85546875" style="16" customWidth="1"/>
    <col min="4871" max="5120" width="11.42578125" style="16"/>
    <col min="5121" max="5121" width="18.7109375" style="16" customWidth="1"/>
    <col min="5122" max="5122" width="13.7109375" style="16" bestFit="1" customWidth="1"/>
    <col min="5123" max="5123" width="17.28515625" style="16" customWidth="1"/>
    <col min="5124" max="5124" width="11" style="16" customWidth="1"/>
    <col min="5125" max="5125" width="12" style="16" bestFit="1" customWidth="1"/>
    <col min="5126" max="5126" width="14.85546875" style="16" customWidth="1"/>
    <col min="5127" max="5376" width="11.42578125" style="16"/>
    <col min="5377" max="5377" width="18.7109375" style="16" customWidth="1"/>
    <col min="5378" max="5378" width="13.7109375" style="16" bestFit="1" customWidth="1"/>
    <col min="5379" max="5379" width="17.28515625" style="16" customWidth="1"/>
    <col min="5380" max="5380" width="11" style="16" customWidth="1"/>
    <col min="5381" max="5381" width="12" style="16" bestFit="1" customWidth="1"/>
    <col min="5382" max="5382" width="14.85546875" style="16" customWidth="1"/>
    <col min="5383" max="5632" width="11.42578125" style="16"/>
    <col min="5633" max="5633" width="18.7109375" style="16" customWidth="1"/>
    <col min="5634" max="5634" width="13.7109375" style="16" bestFit="1" customWidth="1"/>
    <col min="5635" max="5635" width="17.28515625" style="16" customWidth="1"/>
    <col min="5636" max="5636" width="11" style="16" customWidth="1"/>
    <col min="5637" max="5637" width="12" style="16" bestFit="1" customWidth="1"/>
    <col min="5638" max="5638" width="14.85546875" style="16" customWidth="1"/>
    <col min="5639" max="5888" width="11.42578125" style="16"/>
    <col min="5889" max="5889" width="18.7109375" style="16" customWidth="1"/>
    <col min="5890" max="5890" width="13.7109375" style="16" bestFit="1" customWidth="1"/>
    <col min="5891" max="5891" width="17.28515625" style="16" customWidth="1"/>
    <col min="5892" max="5892" width="11" style="16" customWidth="1"/>
    <col min="5893" max="5893" width="12" style="16" bestFit="1" customWidth="1"/>
    <col min="5894" max="5894" width="14.85546875" style="16" customWidth="1"/>
    <col min="5895" max="6144" width="11.42578125" style="16"/>
    <col min="6145" max="6145" width="18.7109375" style="16" customWidth="1"/>
    <col min="6146" max="6146" width="13.7109375" style="16" bestFit="1" customWidth="1"/>
    <col min="6147" max="6147" width="17.28515625" style="16" customWidth="1"/>
    <col min="6148" max="6148" width="11" style="16" customWidth="1"/>
    <col min="6149" max="6149" width="12" style="16" bestFit="1" customWidth="1"/>
    <col min="6150" max="6150" width="14.85546875" style="16" customWidth="1"/>
    <col min="6151" max="6400" width="11.42578125" style="16"/>
    <col min="6401" max="6401" width="18.7109375" style="16" customWidth="1"/>
    <col min="6402" max="6402" width="13.7109375" style="16" bestFit="1" customWidth="1"/>
    <col min="6403" max="6403" width="17.28515625" style="16" customWidth="1"/>
    <col min="6404" max="6404" width="11" style="16" customWidth="1"/>
    <col min="6405" max="6405" width="12" style="16" bestFit="1" customWidth="1"/>
    <col min="6406" max="6406" width="14.85546875" style="16" customWidth="1"/>
    <col min="6407" max="6656" width="11.42578125" style="16"/>
    <col min="6657" max="6657" width="18.7109375" style="16" customWidth="1"/>
    <col min="6658" max="6658" width="13.7109375" style="16" bestFit="1" customWidth="1"/>
    <col min="6659" max="6659" width="17.28515625" style="16" customWidth="1"/>
    <col min="6660" max="6660" width="11" style="16" customWidth="1"/>
    <col min="6661" max="6661" width="12" style="16" bestFit="1" customWidth="1"/>
    <col min="6662" max="6662" width="14.85546875" style="16" customWidth="1"/>
    <col min="6663" max="6912" width="11.42578125" style="16"/>
    <col min="6913" max="6913" width="18.7109375" style="16" customWidth="1"/>
    <col min="6914" max="6914" width="13.7109375" style="16" bestFit="1" customWidth="1"/>
    <col min="6915" max="6915" width="17.28515625" style="16" customWidth="1"/>
    <col min="6916" max="6916" width="11" style="16" customWidth="1"/>
    <col min="6917" max="6917" width="12" style="16" bestFit="1" customWidth="1"/>
    <col min="6918" max="6918" width="14.85546875" style="16" customWidth="1"/>
    <col min="6919" max="7168" width="11.42578125" style="16"/>
    <col min="7169" max="7169" width="18.7109375" style="16" customWidth="1"/>
    <col min="7170" max="7170" width="13.7109375" style="16" bestFit="1" customWidth="1"/>
    <col min="7171" max="7171" width="17.28515625" style="16" customWidth="1"/>
    <col min="7172" max="7172" width="11" style="16" customWidth="1"/>
    <col min="7173" max="7173" width="12" style="16" bestFit="1" customWidth="1"/>
    <col min="7174" max="7174" width="14.85546875" style="16" customWidth="1"/>
    <col min="7175" max="7424" width="11.42578125" style="16"/>
    <col min="7425" max="7425" width="18.7109375" style="16" customWidth="1"/>
    <col min="7426" max="7426" width="13.7109375" style="16" bestFit="1" customWidth="1"/>
    <col min="7427" max="7427" width="17.28515625" style="16" customWidth="1"/>
    <col min="7428" max="7428" width="11" style="16" customWidth="1"/>
    <col min="7429" max="7429" width="12" style="16" bestFit="1" customWidth="1"/>
    <col min="7430" max="7430" width="14.85546875" style="16" customWidth="1"/>
    <col min="7431" max="7680" width="11.42578125" style="16"/>
    <col min="7681" max="7681" width="18.7109375" style="16" customWidth="1"/>
    <col min="7682" max="7682" width="13.7109375" style="16" bestFit="1" customWidth="1"/>
    <col min="7683" max="7683" width="17.28515625" style="16" customWidth="1"/>
    <col min="7684" max="7684" width="11" style="16" customWidth="1"/>
    <col min="7685" max="7685" width="12" style="16" bestFit="1" customWidth="1"/>
    <col min="7686" max="7686" width="14.85546875" style="16" customWidth="1"/>
    <col min="7687" max="7936" width="11.42578125" style="16"/>
    <col min="7937" max="7937" width="18.7109375" style="16" customWidth="1"/>
    <col min="7938" max="7938" width="13.7109375" style="16" bestFit="1" customWidth="1"/>
    <col min="7939" max="7939" width="17.28515625" style="16" customWidth="1"/>
    <col min="7940" max="7940" width="11" style="16" customWidth="1"/>
    <col min="7941" max="7941" width="12" style="16" bestFit="1" customWidth="1"/>
    <col min="7942" max="7942" width="14.85546875" style="16" customWidth="1"/>
    <col min="7943" max="8192" width="11.42578125" style="16"/>
    <col min="8193" max="8193" width="18.7109375" style="16" customWidth="1"/>
    <col min="8194" max="8194" width="13.7109375" style="16" bestFit="1" customWidth="1"/>
    <col min="8195" max="8195" width="17.28515625" style="16" customWidth="1"/>
    <col min="8196" max="8196" width="11" style="16" customWidth="1"/>
    <col min="8197" max="8197" width="12" style="16" bestFit="1" customWidth="1"/>
    <col min="8198" max="8198" width="14.85546875" style="16" customWidth="1"/>
    <col min="8199" max="8448" width="11.42578125" style="16"/>
    <col min="8449" max="8449" width="18.7109375" style="16" customWidth="1"/>
    <col min="8450" max="8450" width="13.7109375" style="16" bestFit="1" customWidth="1"/>
    <col min="8451" max="8451" width="17.28515625" style="16" customWidth="1"/>
    <col min="8452" max="8452" width="11" style="16" customWidth="1"/>
    <col min="8453" max="8453" width="12" style="16" bestFit="1" customWidth="1"/>
    <col min="8454" max="8454" width="14.85546875" style="16" customWidth="1"/>
    <col min="8455" max="8704" width="11.42578125" style="16"/>
    <col min="8705" max="8705" width="18.7109375" style="16" customWidth="1"/>
    <col min="8706" max="8706" width="13.7109375" style="16" bestFit="1" customWidth="1"/>
    <col min="8707" max="8707" width="17.28515625" style="16" customWidth="1"/>
    <col min="8708" max="8708" width="11" style="16" customWidth="1"/>
    <col min="8709" max="8709" width="12" style="16" bestFit="1" customWidth="1"/>
    <col min="8710" max="8710" width="14.85546875" style="16" customWidth="1"/>
    <col min="8711" max="8960" width="11.42578125" style="16"/>
    <col min="8961" max="8961" width="18.7109375" style="16" customWidth="1"/>
    <col min="8962" max="8962" width="13.7109375" style="16" bestFit="1" customWidth="1"/>
    <col min="8963" max="8963" width="17.28515625" style="16" customWidth="1"/>
    <col min="8964" max="8964" width="11" style="16" customWidth="1"/>
    <col min="8965" max="8965" width="12" style="16" bestFit="1" customWidth="1"/>
    <col min="8966" max="8966" width="14.85546875" style="16" customWidth="1"/>
    <col min="8967" max="9216" width="11.42578125" style="16"/>
    <col min="9217" max="9217" width="18.7109375" style="16" customWidth="1"/>
    <col min="9218" max="9218" width="13.7109375" style="16" bestFit="1" customWidth="1"/>
    <col min="9219" max="9219" width="17.28515625" style="16" customWidth="1"/>
    <col min="9220" max="9220" width="11" style="16" customWidth="1"/>
    <col min="9221" max="9221" width="12" style="16" bestFit="1" customWidth="1"/>
    <col min="9222" max="9222" width="14.85546875" style="16" customWidth="1"/>
    <col min="9223" max="9472" width="11.42578125" style="16"/>
    <col min="9473" max="9473" width="18.7109375" style="16" customWidth="1"/>
    <col min="9474" max="9474" width="13.7109375" style="16" bestFit="1" customWidth="1"/>
    <col min="9475" max="9475" width="17.28515625" style="16" customWidth="1"/>
    <col min="9476" max="9476" width="11" style="16" customWidth="1"/>
    <col min="9477" max="9477" width="12" style="16" bestFit="1" customWidth="1"/>
    <col min="9478" max="9478" width="14.85546875" style="16" customWidth="1"/>
    <col min="9479" max="9728" width="11.42578125" style="16"/>
    <col min="9729" max="9729" width="18.7109375" style="16" customWidth="1"/>
    <col min="9730" max="9730" width="13.7109375" style="16" bestFit="1" customWidth="1"/>
    <col min="9731" max="9731" width="17.28515625" style="16" customWidth="1"/>
    <col min="9732" max="9732" width="11" style="16" customWidth="1"/>
    <col min="9733" max="9733" width="12" style="16" bestFit="1" customWidth="1"/>
    <col min="9734" max="9734" width="14.85546875" style="16" customWidth="1"/>
    <col min="9735" max="9984" width="11.42578125" style="16"/>
    <col min="9985" max="9985" width="18.7109375" style="16" customWidth="1"/>
    <col min="9986" max="9986" width="13.7109375" style="16" bestFit="1" customWidth="1"/>
    <col min="9987" max="9987" width="17.28515625" style="16" customWidth="1"/>
    <col min="9988" max="9988" width="11" style="16" customWidth="1"/>
    <col min="9989" max="9989" width="12" style="16" bestFit="1" customWidth="1"/>
    <col min="9990" max="9990" width="14.85546875" style="16" customWidth="1"/>
    <col min="9991" max="10240" width="11.42578125" style="16"/>
    <col min="10241" max="10241" width="18.7109375" style="16" customWidth="1"/>
    <col min="10242" max="10242" width="13.7109375" style="16" bestFit="1" customWidth="1"/>
    <col min="10243" max="10243" width="17.28515625" style="16" customWidth="1"/>
    <col min="10244" max="10244" width="11" style="16" customWidth="1"/>
    <col min="10245" max="10245" width="12" style="16" bestFit="1" customWidth="1"/>
    <col min="10246" max="10246" width="14.85546875" style="16" customWidth="1"/>
    <col min="10247" max="10496" width="11.42578125" style="16"/>
    <col min="10497" max="10497" width="18.7109375" style="16" customWidth="1"/>
    <col min="10498" max="10498" width="13.7109375" style="16" bestFit="1" customWidth="1"/>
    <col min="10499" max="10499" width="17.28515625" style="16" customWidth="1"/>
    <col min="10500" max="10500" width="11" style="16" customWidth="1"/>
    <col min="10501" max="10501" width="12" style="16" bestFit="1" customWidth="1"/>
    <col min="10502" max="10502" width="14.85546875" style="16" customWidth="1"/>
    <col min="10503" max="10752" width="11.42578125" style="16"/>
    <col min="10753" max="10753" width="18.7109375" style="16" customWidth="1"/>
    <col min="10754" max="10754" width="13.7109375" style="16" bestFit="1" customWidth="1"/>
    <col min="10755" max="10755" width="17.28515625" style="16" customWidth="1"/>
    <col min="10756" max="10756" width="11" style="16" customWidth="1"/>
    <col min="10757" max="10757" width="12" style="16" bestFit="1" customWidth="1"/>
    <col min="10758" max="10758" width="14.85546875" style="16" customWidth="1"/>
    <col min="10759" max="11008" width="11.42578125" style="16"/>
    <col min="11009" max="11009" width="18.7109375" style="16" customWidth="1"/>
    <col min="11010" max="11010" width="13.7109375" style="16" bestFit="1" customWidth="1"/>
    <col min="11011" max="11011" width="17.28515625" style="16" customWidth="1"/>
    <col min="11012" max="11012" width="11" style="16" customWidth="1"/>
    <col min="11013" max="11013" width="12" style="16" bestFit="1" customWidth="1"/>
    <col min="11014" max="11014" width="14.85546875" style="16" customWidth="1"/>
    <col min="11015" max="11264" width="11.42578125" style="16"/>
    <col min="11265" max="11265" width="18.7109375" style="16" customWidth="1"/>
    <col min="11266" max="11266" width="13.7109375" style="16" bestFit="1" customWidth="1"/>
    <col min="11267" max="11267" width="17.28515625" style="16" customWidth="1"/>
    <col min="11268" max="11268" width="11" style="16" customWidth="1"/>
    <col min="11269" max="11269" width="12" style="16" bestFit="1" customWidth="1"/>
    <col min="11270" max="11270" width="14.85546875" style="16" customWidth="1"/>
    <col min="11271" max="11520" width="11.42578125" style="16"/>
    <col min="11521" max="11521" width="18.7109375" style="16" customWidth="1"/>
    <col min="11522" max="11522" width="13.7109375" style="16" bestFit="1" customWidth="1"/>
    <col min="11523" max="11523" width="17.28515625" style="16" customWidth="1"/>
    <col min="11524" max="11524" width="11" style="16" customWidth="1"/>
    <col min="11525" max="11525" width="12" style="16" bestFit="1" customWidth="1"/>
    <col min="11526" max="11526" width="14.85546875" style="16" customWidth="1"/>
    <col min="11527" max="11776" width="11.42578125" style="16"/>
    <col min="11777" max="11777" width="18.7109375" style="16" customWidth="1"/>
    <col min="11778" max="11778" width="13.7109375" style="16" bestFit="1" customWidth="1"/>
    <col min="11779" max="11779" width="17.28515625" style="16" customWidth="1"/>
    <col min="11780" max="11780" width="11" style="16" customWidth="1"/>
    <col min="11781" max="11781" width="12" style="16" bestFit="1" customWidth="1"/>
    <col min="11782" max="11782" width="14.85546875" style="16" customWidth="1"/>
    <col min="11783" max="12032" width="11.42578125" style="16"/>
    <col min="12033" max="12033" width="18.7109375" style="16" customWidth="1"/>
    <col min="12034" max="12034" width="13.7109375" style="16" bestFit="1" customWidth="1"/>
    <col min="12035" max="12035" width="17.28515625" style="16" customWidth="1"/>
    <col min="12036" max="12036" width="11" style="16" customWidth="1"/>
    <col min="12037" max="12037" width="12" style="16" bestFit="1" customWidth="1"/>
    <col min="12038" max="12038" width="14.85546875" style="16" customWidth="1"/>
    <col min="12039" max="12288" width="11.42578125" style="16"/>
    <col min="12289" max="12289" width="18.7109375" style="16" customWidth="1"/>
    <col min="12290" max="12290" width="13.7109375" style="16" bestFit="1" customWidth="1"/>
    <col min="12291" max="12291" width="17.28515625" style="16" customWidth="1"/>
    <col min="12292" max="12292" width="11" style="16" customWidth="1"/>
    <col min="12293" max="12293" width="12" style="16" bestFit="1" customWidth="1"/>
    <col min="12294" max="12294" width="14.85546875" style="16" customWidth="1"/>
    <col min="12295" max="12544" width="11.42578125" style="16"/>
    <col min="12545" max="12545" width="18.7109375" style="16" customWidth="1"/>
    <col min="12546" max="12546" width="13.7109375" style="16" bestFit="1" customWidth="1"/>
    <col min="12547" max="12547" width="17.28515625" style="16" customWidth="1"/>
    <col min="12548" max="12548" width="11" style="16" customWidth="1"/>
    <col min="12549" max="12549" width="12" style="16" bestFit="1" customWidth="1"/>
    <col min="12550" max="12550" width="14.85546875" style="16" customWidth="1"/>
    <col min="12551" max="12800" width="11.42578125" style="16"/>
    <col min="12801" max="12801" width="18.7109375" style="16" customWidth="1"/>
    <col min="12802" max="12802" width="13.7109375" style="16" bestFit="1" customWidth="1"/>
    <col min="12803" max="12803" width="17.28515625" style="16" customWidth="1"/>
    <col min="12804" max="12804" width="11" style="16" customWidth="1"/>
    <col min="12805" max="12805" width="12" style="16" bestFit="1" customWidth="1"/>
    <col min="12806" max="12806" width="14.85546875" style="16" customWidth="1"/>
    <col min="12807" max="13056" width="11.42578125" style="16"/>
    <col min="13057" max="13057" width="18.7109375" style="16" customWidth="1"/>
    <col min="13058" max="13058" width="13.7109375" style="16" bestFit="1" customWidth="1"/>
    <col min="13059" max="13059" width="17.28515625" style="16" customWidth="1"/>
    <col min="13060" max="13060" width="11" style="16" customWidth="1"/>
    <col min="13061" max="13061" width="12" style="16" bestFit="1" customWidth="1"/>
    <col min="13062" max="13062" width="14.85546875" style="16" customWidth="1"/>
    <col min="13063" max="13312" width="11.42578125" style="16"/>
    <col min="13313" max="13313" width="18.7109375" style="16" customWidth="1"/>
    <col min="13314" max="13314" width="13.7109375" style="16" bestFit="1" customWidth="1"/>
    <col min="13315" max="13315" width="17.28515625" style="16" customWidth="1"/>
    <col min="13316" max="13316" width="11" style="16" customWidth="1"/>
    <col min="13317" max="13317" width="12" style="16" bestFit="1" customWidth="1"/>
    <col min="13318" max="13318" width="14.85546875" style="16" customWidth="1"/>
    <col min="13319" max="13568" width="11.42578125" style="16"/>
    <col min="13569" max="13569" width="18.7109375" style="16" customWidth="1"/>
    <col min="13570" max="13570" width="13.7109375" style="16" bestFit="1" customWidth="1"/>
    <col min="13571" max="13571" width="17.28515625" style="16" customWidth="1"/>
    <col min="13572" max="13572" width="11" style="16" customWidth="1"/>
    <col min="13573" max="13573" width="12" style="16" bestFit="1" customWidth="1"/>
    <col min="13574" max="13574" width="14.85546875" style="16" customWidth="1"/>
    <col min="13575" max="13824" width="11.42578125" style="16"/>
    <col min="13825" max="13825" width="18.7109375" style="16" customWidth="1"/>
    <col min="13826" max="13826" width="13.7109375" style="16" bestFit="1" customWidth="1"/>
    <col min="13827" max="13827" width="17.28515625" style="16" customWidth="1"/>
    <col min="13828" max="13828" width="11" style="16" customWidth="1"/>
    <col min="13829" max="13829" width="12" style="16" bestFit="1" customWidth="1"/>
    <col min="13830" max="13830" width="14.85546875" style="16" customWidth="1"/>
    <col min="13831" max="14080" width="11.42578125" style="16"/>
    <col min="14081" max="14081" width="18.7109375" style="16" customWidth="1"/>
    <col min="14082" max="14082" width="13.7109375" style="16" bestFit="1" customWidth="1"/>
    <col min="14083" max="14083" width="17.28515625" style="16" customWidth="1"/>
    <col min="14084" max="14084" width="11" style="16" customWidth="1"/>
    <col min="14085" max="14085" width="12" style="16" bestFit="1" customWidth="1"/>
    <col min="14086" max="14086" width="14.85546875" style="16" customWidth="1"/>
    <col min="14087" max="14336" width="11.42578125" style="16"/>
    <col min="14337" max="14337" width="18.7109375" style="16" customWidth="1"/>
    <col min="14338" max="14338" width="13.7109375" style="16" bestFit="1" customWidth="1"/>
    <col min="14339" max="14339" width="17.28515625" style="16" customWidth="1"/>
    <col min="14340" max="14340" width="11" style="16" customWidth="1"/>
    <col min="14341" max="14341" width="12" style="16" bestFit="1" customWidth="1"/>
    <col min="14342" max="14342" width="14.85546875" style="16" customWidth="1"/>
    <col min="14343" max="14592" width="11.42578125" style="16"/>
    <col min="14593" max="14593" width="18.7109375" style="16" customWidth="1"/>
    <col min="14594" max="14594" width="13.7109375" style="16" bestFit="1" customWidth="1"/>
    <col min="14595" max="14595" width="17.28515625" style="16" customWidth="1"/>
    <col min="14596" max="14596" width="11" style="16" customWidth="1"/>
    <col min="14597" max="14597" width="12" style="16" bestFit="1" customWidth="1"/>
    <col min="14598" max="14598" width="14.85546875" style="16" customWidth="1"/>
    <col min="14599" max="14848" width="11.42578125" style="16"/>
    <col min="14849" max="14849" width="18.7109375" style="16" customWidth="1"/>
    <col min="14850" max="14850" width="13.7109375" style="16" bestFit="1" customWidth="1"/>
    <col min="14851" max="14851" width="17.28515625" style="16" customWidth="1"/>
    <col min="14852" max="14852" width="11" style="16" customWidth="1"/>
    <col min="14853" max="14853" width="12" style="16" bestFit="1" customWidth="1"/>
    <col min="14854" max="14854" width="14.85546875" style="16" customWidth="1"/>
    <col min="14855" max="15104" width="11.42578125" style="16"/>
    <col min="15105" max="15105" width="18.7109375" style="16" customWidth="1"/>
    <col min="15106" max="15106" width="13.7109375" style="16" bestFit="1" customWidth="1"/>
    <col min="15107" max="15107" width="17.28515625" style="16" customWidth="1"/>
    <col min="15108" max="15108" width="11" style="16" customWidth="1"/>
    <col min="15109" max="15109" width="12" style="16" bestFit="1" customWidth="1"/>
    <col min="15110" max="15110" width="14.85546875" style="16" customWidth="1"/>
    <col min="15111" max="15360" width="11.42578125" style="16"/>
    <col min="15361" max="15361" width="18.7109375" style="16" customWidth="1"/>
    <col min="15362" max="15362" width="13.7109375" style="16" bestFit="1" customWidth="1"/>
    <col min="15363" max="15363" width="17.28515625" style="16" customWidth="1"/>
    <col min="15364" max="15364" width="11" style="16" customWidth="1"/>
    <col min="15365" max="15365" width="12" style="16" bestFit="1" customWidth="1"/>
    <col min="15366" max="15366" width="14.85546875" style="16" customWidth="1"/>
    <col min="15367" max="15616" width="11.42578125" style="16"/>
    <col min="15617" max="15617" width="18.7109375" style="16" customWidth="1"/>
    <col min="15618" max="15618" width="13.7109375" style="16" bestFit="1" customWidth="1"/>
    <col min="15619" max="15619" width="17.28515625" style="16" customWidth="1"/>
    <col min="15620" max="15620" width="11" style="16" customWidth="1"/>
    <col min="15621" max="15621" width="12" style="16" bestFit="1" customWidth="1"/>
    <col min="15622" max="15622" width="14.85546875" style="16" customWidth="1"/>
    <col min="15623" max="15872" width="11.42578125" style="16"/>
    <col min="15873" max="15873" width="18.7109375" style="16" customWidth="1"/>
    <col min="15874" max="15874" width="13.7109375" style="16" bestFit="1" customWidth="1"/>
    <col min="15875" max="15875" width="17.28515625" style="16" customWidth="1"/>
    <col min="15876" max="15876" width="11" style="16" customWidth="1"/>
    <col min="15877" max="15877" width="12" style="16" bestFit="1" customWidth="1"/>
    <col min="15878" max="15878" width="14.85546875" style="16" customWidth="1"/>
    <col min="15879" max="16128" width="11.42578125" style="16"/>
    <col min="16129" max="16129" width="18.7109375" style="16" customWidth="1"/>
    <col min="16130" max="16130" width="13.7109375" style="16" bestFit="1" customWidth="1"/>
    <col min="16131" max="16131" width="17.28515625" style="16" customWidth="1"/>
    <col min="16132" max="16132" width="11" style="16" customWidth="1"/>
    <col min="16133" max="16133" width="12" style="16" bestFit="1" customWidth="1"/>
    <col min="16134" max="16134" width="14.85546875" style="16" customWidth="1"/>
    <col min="16135" max="16384" width="11.42578125" style="16"/>
  </cols>
  <sheetData>
    <row r="2" spans="1:11" x14ac:dyDescent="0.2">
      <c r="A2" s="16" t="s">
        <v>70</v>
      </c>
      <c r="B2" s="61">
        <f>'pooled normalised values'!B75</f>
        <v>6.5646572940968706E-2</v>
      </c>
      <c r="D2" s="16" t="s">
        <v>9</v>
      </c>
      <c r="E2" s="17"/>
      <c r="F2" s="18" t="e">
        <f>'pooled normalised values'!#REF!</f>
        <v>#REF!</v>
      </c>
      <c r="G2" s="17"/>
      <c r="H2" s="19"/>
      <c r="I2" s="18" t="e">
        <f>'pooled normalised values'!#REF!</f>
        <v>#REF!</v>
      </c>
      <c r="J2" s="19"/>
      <c r="K2" s="16" t="s">
        <v>9</v>
      </c>
    </row>
    <row r="3" spans="1:11" x14ac:dyDescent="0.2">
      <c r="A3" s="16" t="s">
        <v>71</v>
      </c>
      <c r="B3" s="61">
        <f>'summary results'!E6</f>
        <v>0</v>
      </c>
      <c r="D3" s="20" t="s">
        <v>10</v>
      </c>
      <c r="E3" s="21"/>
      <c r="F3" s="18" t="e">
        <f>HLOOKUP(F2,'pooled normalised values'!B74:L83,2,FALSE)</f>
        <v>#REF!</v>
      </c>
      <c r="G3" s="21"/>
      <c r="H3" s="19"/>
      <c r="I3" s="18" t="e">
        <f>HLOOKUP(I2,'pooled normalised values'!I74:AB83,2,FALSE)</f>
        <v>#REF!</v>
      </c>
      <c r="J3" s="19"/>
      <c r="K3" s="20" t="s">
        <v>10</v>
      </c>
    </row>
    <row r="4" spans="1:11" x14ac:dyDescent="0.2">
      <c r="A4" s="16" t="s">
        <v>72</v>
      </c>
      <c r="B4" s="61">
        <f>'pooled normalised values'!J75</f>
        <v>1</v>
      </c>
      <c r="D4" s="20" t="s">
        <v>2</v>
      </c>
      <c r="E4" s="21"/>
      <c r="F4" s="18" t="e">
        <f>HLOOKUP(F2,'pooled normalised values'!B74:L83,3,FALSE)</f>
        <v>#REF!</v>
      </c>
      <c r="G4" s="21"/>
      <c r="H4" s="19"/>
      <c r="I4" s="18" t="e">
        <f>HLOOKUP(I2,'pooled normalised values'!I74:AB83,3,FALSE)</f>
        <v>#REF!</v>
      </c>
      <c r="J4" s="19"/>
      <c r="K4" s="20" t="s">
        <v>2</v>
      </c>
    </row>
    <row r="5" spans="1:11" x14ac:dyDescent="0.2">
      <c r="A5" s="16" t="s">
        <v>73</v>
      </c>
      <c r="B5" s="61">
        <f>'pooled normalised values'!K75</f>
        <v>2.0839946988433509</v>
      </c>
      <c r="D5" s="22" t="s">
        <v>11</v>
      </c>
      <c r="E5" s="21"/>
      <c r="F5" s="18" t="e">
        <f>HLOOKUP(F2,'pooled normalised values'!B74:L83,10,FALSE)</f>
        <v>#REF!</v>
      </c>
      <c r="G5" s="21"/>
      <c r="H5" s="19"/>
      <c r="I5" s="18" t="e">
        <f>HLOOKUP(I2,'pooled normalised values'!I74:AB83,10,FALSE)</f>
        <v>#REF!</v>
      </c>
      <c r="J5" s="19"/>
      <c r="K5" s="22" t="s">
        <v>11</v>
      </c>
    </row>
    <row r="6" spans="1:11" x14ac:dyDescent="0.2">
      <c r="A6" s="16" t="s">
        <v>74</v>
      </c>
      <c r="B6" s="61">
        <f>'pooled normalised values'!L75</f>
        <v>5.0657143720364679E-2</v>
      </c>
      <c r="D6" s="20" t="s">
        <v>12</v>
      </c>
      <c r="E6" s="23">
        <f>$B$2</f>
        <v>6.5646572940968706E-2</v>
      </c>
      <c r="F6" s="23">
        <f>$B$2</f>
        <v>6.5646572940968706E-2</v>
      </c>
      <c r="G6" s="23">
        <f>$B$2</f>
        <v>6.5646572940968706E-2</v>
      </c>
      <c r="H6" s="24"/>
      <c r="I6" s="24"/>
      <c r="J6" s="24"/>
      <c r="K6" s="20" t="s">
        <v>12</v>
      </c>
    </row>
    <row r="7" spans="1:11" x14ac:dyDescent="0.2">
      <c r="B7" s="25"/>
      <c r="D7" s="25" t="s">
        <v>13</v>
      </c>
      <c r="E7" s="23"/>
      <c r="F7" s="23"/>
      <c r="G7" s="26"/>
      <c r="H7" s="24">
        <f t="shared" ref="H7:J7" si="0">$B$4</f>
        <v>1</v>
      </c>
      <c r="I7" s="24">
        <f t="shared" si="0"/>
        <v>1</v>
      </c>
      <c r="J7" s="24">
        <f t="shared" si="0"/>
        <v>1</v>
      </c>
      <c r="K7" s="25" t="s">
        <v>13</v>
      </c>
    </row>
    <row r="8" spans="1:11" x14ac:dyDescent="0.2">
      <c r="D8" s="27" t="s">
        <v>14</v>
      </c>
      <c r="E8" s="23">
        <v>0</v>
      </c>
      <c r="F8" s="23">
        <v>0</v>
      </c>
      <c r="G8" s="26">
        <v>0</v>
      </c>
      <c r="H8" s="24">
        <f>$B$6</f>
        <v>5.0657143720364679E-2</v>
      </c>
      <c r="I8" s="24">
        <f t="shared" ref="I8:J8" si="1">$B$6</f>
        <v>5.0657143720364679E-2</v>
      </c>
      <c r="J8" s="24">
        <f t="shared" si="1"/>
        <v>5.0657143720364679E-2</v>
      </c>
      <c r="K8" s="27" t="s">
        <v>14</v>
      </c>
    </row>
    <row r="9" spans="1:11" x14ac:dyDescent="0.2">
      <c r="D9" s="27" t="s">
        <v>15</v>
      </c>
      <c r="E9" s="28">
        <f>$B$3-E8</f>
        <v>0</v>
      </c>
      <c r="F9" s="28">
        <f>$B$3-F8</f>
        <v>0</v>
      </c>
      <c r="G9" s="28">
        <f>$B$3-G8</f>
        <v>0</v>
      </c>
      <c r="H9" s="24">
        <f>$B$5-H8</f>
        <v>2.0333375551229862</v>
      </c>
      <c r="I9" s="24">
        <f>$B$5-I8</f>
        <v>2.0333375551229862</v>
      </c>
      <c r="J9" s="24">
        <f>$B$5-J8</f>
        <v>2.0333375551229862</v>
      </c>
      <c r="K9" s="27" t="s">
        <v>15</v>
      </c>
    </row>
    <row r="10" spans="1:11" x14ac:dyDescent="0.2">
      <c r="D10" s="27" t="s">
        <v>16</v>
      </c>
      <c r="E10" s="26">
        <f t="shared" ref="E10:J10" si="2">2.5-E9</f>
        <v>2.5</v>
      </c>
      <c r="F10" s="26">
        <f t="shared" si="2"/>
        <v>2.5</v>
      </c>
      <c r="G10" s="26">
        <f t="shared" si="2"/>
        <v>2.5</v>
      </c>
      <c r="H10" s="24">
        <f t="shared" si="2"/>
        <v>0.4666624448770138</v>
      </c>
      <c r="I10" s="24">
        <f t="shared" si="2"/>
        <v>0.4666624448770138</v>
      </c>
      <c r="J10" s="24">
        <f t="shared" si="2"/>
        <v>0.4666624448770138</v>
      </c>
      <c r="K10" s="27" t="s">
        <v>16</v>
      </c>
    </row>
    <row r="17" spans="2:7" x14ac:dyDescent="0.2">
      <c r="C17" s="22"/>
      <c r="D17" s="22"/>
    </row>
    <row r="18" spans="2:7" x14ac:dyDescent="0.2">
      <c r="B18" s="29"/>
    </row>
    <row r="19" spans="2:7" x14ac:dyDescent="0.2">
      <c r="B19" s="29"/>
    </row>
    <row r="20" spans="2:7" x14ac:dyDescent="0.2">
      <c r="B20" s="30"/>
    </row>
    <row r="21" spans="2:7" x14ac:dyDescent="0.2">
      <c r="B21" s="29"/>
    </row>
    <row r="22" spans="2:7" x14ac:dyDescent="0.2">
      <c r="B22" s="29"/>
      <c r="G22" s="22"/>
    </row>
    <row r="23" spans="2:7" x14ac:dyDescent="0.2">
      <c r="B23" s="30"/>
      <c r="G23" s="22"/>
    </row>
    <row r="24" spans="2:7" x14ac:dyDescent="0.2">
      <c r="G24" s="22"/>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values'!#REF!</xm:f>
          </x14:formula1>
          <xm:sqref>F2</xm:sqref>
        </x14:dataValidation>
        <x14:dataValidation type="list" allowBlank="1" showInputMessage="1" showErrorMessage="1" xr:uid="{00000000-0002-0000-1000-000001000000}">
          <x14:formula1>
            <xm:f>'pooled normalised values'!#REF!</xm:f>
          </x14:formula1>
          <xm:sqref>I2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K5" sqref="K5"/>
    </sheetView>
  </sheetViews>
  <sheetFormatPr baseColWidth="10" defaultRowHeight="15" x14ac:dyDescent="0.25"/>
  <cols>
    <col min="1" max="1" width="11.42578125" style="1"/>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44" t="s">
        <v>102</v>
      </c>
      <c r="B1" s="144" t="s">
        <v>103</v>
      </c>
      <c r="C1" s="141" t="s">
        <v>86</v>
      </c>
      <c r="D1" s="141" t="s">
        <v>87</v>
      </c>
      <c r="E1" s="142" t="s">
        <v>88</v>
      </c>
      <c r="F1" s="142" t="s">
        <v>89</v>
      </c>
      <c r="G1" s="141" t="s">
        <v>90</v>
      </c>
      <c r="H1" s="141" t="s">
        <v>91</v>
      </c>
      <c r="I1" s="141" t="s">
        <v>92</v>
      </c>
      <c r="J1" s="141" t="s">
        <v>93</v>
      </c>
      <c r="K1" s="141" t="s">
        <v>94</v>
      </c>
      <c r="L1" s="141" t="s">
        <v>95</v>
      </c>
      <c r="M1" s="141" t="s">
        <v>96</v>
      </c>
      <c r="N1" s="141" t="s">
        <v>97</v>
      </c>
      <c r="Q1" s="245" t="s">
        <v>99</v>
      </c>
      <c r="R1" s="245"/>
      <c r="S1" s="245"/>
      <c r="U1" s="245" t="s">
        <v>98</v>
      </c>
      <c r="V1" s="245"/>
      <c r="W1" s="245"/>
    </row>
    <row r="2" spans="1:23" x14ac:dyDescent="0.2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values'!$B$74:$L$83,4,FALSE)</f>
        <v>#N/A</v>
      </c>
      <c r="F2" s="1" t="e">
        <f>HLOOKUP(Tableau3[[#This Row],[Nom ND]],'pooled normalised values'!$B$74:$L$83,8,FALSE)</f>
        <v>#N/A</v>
      </c>
      <c r="G2" t="e">
        <f>VLOOKUP(Tableau3[[#This Row],[Nom ND]],'summary results'!$A$6:$N$26,9,FALSE)</f>
        <v>#N/A</v>
      </c>
      <c r="H2" s="1" t="e">
        <f>VLOOKUP(Tableau3[[#This Row],[Nom ND]],'summary results'!$A$6:$N$26,11,FALSE)</f>
        <v>#N/A</v>
      </c>
      <c r="I2" s="1" t="e">
        <f>HLOOKUP(Tableau3[[#This Row],[Nom D]],'pooled normalised values'!$B$74:$L$83,4,FALSE)</f>
        <v>#N/A</v>
      </c>
      <c r="J2" s="1" t="e">
        <f>HLOOKUP(Tableau3[[#This Row],[Nom D]],'pooled normalised values'!$B$74:$L$83,8,FALSE)</f>
        <v>#N/A</v>
      </c>
      <c r="K2" s="1" t="e">
        <f>VLOOKUP(Tableau3[[#This Row],[Nom D]],'summary results'!$A$29:$N$51,9,FALSE)</f>
        <v>#N/A</v>
      </c>
      <c r="L2" s="1" t="e">
        <f>VLOOKUP(Tableau3[[#This Row],[Nom D]],'summary results'!$A$29:$N$51,11,FALSE)</f>
        <v>#N/A</v>
      </c>
      <c r="M2" t="e">
        <f>'summary results'!$G$30</f>
        <v>#NUM!</v>
      </c>
      <c r="N2" t="e">
        <f>'summary results'!$G$31</f>
        <v>#NUM!</v>
      </c>
      <c r="Q2" s="116" t="s">
        <v>7</v>
      </c>
      <c r="R2" s="1" t="s">
        <v>131</v>
      </c>
      <c r="U2" s="116" t="s">
        <v>7</v>
      </c>
      <c r="V2" s="1" t="s">
        <v>131</v>
      </c>
    </row>
    <row r="3" spans="1:23" x14ac:dyDescent="0.25">
      <c r="A3" s="1">
        <f>Q7</f>
        <v>0</v>
      </c>
      <c r="B3">
        <f t="shared" si="0"/>
        <v>0</v>
      </c>
      <c r="D3" t="e">
        <f>CONCATENATE(VLOOKUP(Tableau3[[#This Row],[Nom ND]],liste_groupe[],3,FALSE),VLOOKUP(Tableau3[[#This Row],[Nom ND]],liste_groupe[],4,FALSE))</f>
        <v>#N/A</v>
      </c>
      <c r="E3" t="e">
        <f>HLOOKUP(Tableau3[[#This Row],[Nom ND]],'pooled normalised values'!$B$74:$L$83,4,FALSE)</f>
        <v>#N/A</v>
      </c>
      <c r="F3" t="e">
        <f>HLOOKUP(Tableau3[[#This Row],[Nom ND]],'pooled normalised values'!$B$74:$L$83,8,FALSE)</f>
        <v>#N/A</v>
      </c>
      <c r="G3" t="e">
        <f>VLOOKUP(Tableau3[[#This Row],[Nom ND]],'summary results'!$A$6:$N$26,9,FALSE)</f>
        <v>#N/A</v>
      </c>
      <c r="H3" t="e">
        <f>VLOOKUP(Tableau3[[#This Row],[Nom ND]],'summary results'!$A$6:$N$26,11,FALSE)</f>
        <v>#N/A</v>
      </c>
      <c r="I3" t="e">
        <f>HLOOKUP(Tableau3[[#This Row],[Nom D]],'pooled normalised values'!$B$74:$L$83,4,FALSE)</f>
        <v>#N/A</v>
      </c>
      <c r="J3" t="e">
        <f>HLOOKUP(Tableau3[[#This Row],[Nom D]],'pooled normalised values'!$B$74:$L$83,8,FALSE)</f>
        <v>#N/A</v>
      </c>
      <c r="K3" t="e">
        <f>VLOOKUP(Tableau3[[#This Row],[Nom D]],'summary results'!$A$29:$N$51,9,FALSE)</f>
        <v>#N/A</v>
      </c>
      <c r="L3" t="e">
        <f>VLOOKUP(Tableau3[[#This Row],[Nom D]],'summary results'!$A$29:$N$51,11,FALSE)</f>
        <v>#N/A</v>
      </c>
      <c r="M3" s="1" t="e">
        <f>'summary results'!$G$30</f>
        <v>#NUM!</v>
      </c>
      <c r="N3" s="1" t="e">
        <f>'summary results'!$G$31</f>
        <v>#NUM!</v>
      </c>
      <c r="Q3" s="116" t="s">
        <v>78</v>
      </c>
      <c r="R3" s="1" t="s">
        <v>106</v>
      </c>
      <c r="U3" s="116" t="s">
        <v>78</v>
      </c>
      <c r="V3" s="1" t="s">
        <v>50</v>
      </c>
    </row>
    <row r="4" spans="1:23" x14ac:dyDescent="0.25">
      <c r="A4" s="1">
        <f t="shared" ref="A4:A15" si="1">Q8</f>
        <v>0</v>
      </c>
      <c r="B4" s="43">
        <f t="shared" ref="B4:B15" si="2">U8</f>
        <v>0</v>
      </c>
      <c r="D4" s="43" t="e">
        <f>CONCATENATE(VLOOKUP(Tableau3[[#This Row],[Nom ND]],liste_groupe[],3,FALSE),VLOOKUP(Tableau3[[#This Row],[Nom ND]],liste_groupe[],4,FALSE))</f>
        <v>#N/A</v>
      </c>
      <c r="E4" s="43" t="e">
        <f>HLOOKUP(Tableau3[[#This Row],[Nom ND]],'pooled normalised values'!$B$74:$L$83,4,FALSE)</f>
        <v>#N/A</v>
      </c>
      <c r="F4" s="43" t="e">
        <f>HLOOKUP(Tableau3[[#This Row],[Nom ND]],'pooled normalised values'!$B$74:$L$83,8,FALSE)</f>
        <v>#N/A</v>
      </c>
      <c r="G4" s="43" t="e">
        <f>VLOOKUP(Tableau3[[#This Row],[Nom ND]],'summary results'!$A$6:$N$26,9,FALSE)</f>
        <v>#N/A</v>
      </c>
      <c r="H4" s="43" t="e">
        <f>VLOOKUP(Tableau3[[#This Row],[Nom ND]],'summary results'!$A$6:$N$26,11,FALSE)</f>
        <v>#N/A</v>
      </c>
      <c r="I4" s="43" t="e">
        <f>HLOOKUP(Tableau3[[#This Row],[Nom D]],'pooled normalised values'!$B$74:$L$83,4,FALSE)</f>
        <v>#N/A</v>
      </c>
      <c r="J4" s="43" t="e">
        <f>HLOOKUP(Tableau3[[#This Row],[Nom D]],'pooled normalised values'!$B$74:$L$83,8,FALSE)</f>
        <v>#N/A</v>
      </c>
      <c r="K4" s="43" t="e">
        <f>VLOOKUP(Tableau3[[#This Row],[Nom D]],'summary results'!$A$29:$N$51,9,FALSE)</f>
        <v>#N/A</v>
      </c>
      <c r="L4" s="43" t="e">
        <f>VLOOKUP(Tableau3[[#This Row],[Nom D]],'summary results'!$A$29:$N$51,11,FALSE)</f>
        <v>#N/A</v>
      </c>
      <c r="M4" t="e">
        <f>'summary results'!$G$30</f>
        <v>#NUM!</v>
      </c>
      <c r="N4" t="e">
        <f>'summary results'!$G$31</f>
        <v>#NUM!</v>
      </c>
    </row>
    <row r="5" spans="1:23" x14ac:dyDescent="0.25">
      <c r="A5" s="1">
        <f t="shared" si="1"/>
        <v>0</v>
      </c>
      <c r="B5" s="43">
        <f t="shared" si="2"/>
        <v>0</v>
      </c>
      <c r="D5" s="43" t="e">
        <f>CONCATENATE(VLOOKUP(Tableau3[[#This Row],[Nom ND]],liste_groupe[],3,FALSE),VLOOKUP(Tableau3[[#This Row],[Nom ND]],liste_groupe[],4,FALSE))</f>
        <v>#N/A</v>
      </c>
      <c r="E5" s="43" t="e">
        <f>HLOOKUP(Tableau3[[#This Row],[Nom ND]],'pooled normalised values'!$B$74:$L$83,4,FALSE)</f>
        <v>#N/A</v>
      </c>
      <c r="F5" s="43" t="e">
        <f>HLOOKUP(Tableau3[[#This Row],[Nom ND]],'pooled normalised values'!$B$74:$L$83,8,FALSE)</f>
        <v>#N/A</v>
      </c>
      <c r="G5" s="43" t="e">
        <f>VLOOKUP(Tableau3[[#This Row],[Nom ND]],'summary results'!$A$6:$N$26,9,FALSE)</f>
        <v>#N/A</v>
      </c>
      <c r="H5" s="43" t="e">
        <f>VLOOKUP(Tableau3[[#This Row],[Nom ND]],'summary results'!$A$6:$N$26,11,FALSE)</f>
        <v>#N/A</v>
      </c>
      <c r="I5" s="43" t="e">
        <f>HLOOKUP(Tableau3[[#This Row],[Nom D]],'pooled normalised values'!$B$74:$L$83,4,FALSE)</f>
        <v>#N/A</v>
      </c>
      <c r="J5" s="43" t="e">
        <f>HLOOKUP(Tableau3[[#This Row],[Nom D]],'pooled normalised values'!$B$74:$L$83,8,FALSE)</f>
        <v>#N/A</v>
      </c>
      <c r="K5" s="43" t="e">
        <f>VLOOKUP(Tableau3[[#This Row],[Nom D]],'summary results'!$A$29:$N$51,9,FALSE)</f>
        <v>#N/A</v>
      </c>
      <c r="L5" s="43" t="e">
        <f>VLOOKUP(Tableau3[[#This Row],[Nom D]],'summary results'!$A$29:$N$51,11,FALSE)</f>
        <v>#N/A</v>
      </c>
      <c r="M5" t="e">
        <f>'summary results'!$G$30</f>
        <v>#NUM!</v>
      </c>
      <c r="N5" t="e">
        <f>'summary results'!$G$31</f>
        <v>#NUM!</v>
      </c>
      <c r="Q5" s="116" t="s">
        <v>100</v>
      </c>
      <c r="U5" s="116" t="s">
        <v>100</v>
      </c>
    </row>
    <row r="6" spans="1:23" x14ac:dyDescent="0.25">
      <c r="A6" s="1">
        <f t="shared" si="1"/>
        <v>0</v>
      </c>
      <c r="B6" s="43">
        <f t="shared" si="2"/>
        <v>0</v>
      </c>
      <c r="D6" s="43" t="e">
        <f>CONCATENATE(VLOOKUP(Tableau3[[#This Row],[Nom ND]],liste_groupe[],3,FALSE),VLOOKUP(Tableau3[[#This Row],[Nom ND]],liste_groupe[],4,FALSE))</f>
        <v>#N/A</v>
      </c>
      <c r="E6" s="43" t="e">
        <f>HLOOKUP(Tableau3[[#This Row],[Nom ND]],'pooled normalised values'!$B$74:$L$83,4,FALSE)</f>
        <v>#N/A</v>
      </c>
      <c r="F6" s="43" t="e">
        <f>HLOOKUP(Tableau3[[#This Row],[Nom ND]],'pooled normalised values'!$B$74:$L$83,8,FALSE)</f>
        <v>#N/A</v>
      </c>
      <c r="G6" s="43" t="e">
        <f>VLOOKUP(Tableau3[[#This Row],[Nom ND]],'summary results'!$A$6:$N$26,9,FALSE)</f>
        <v>#N/A</v>
      </c>
      <c r="H6" s="43" t="e">
        <f>VLOOKUP(Tableau3[[#This Row],[Nom ND]],'summary results'!$A$6:$N$26,11,FALSE)</f>
        <v>#N/A</v>
      </c>
      <c r="I6" s="43" t="e">
        <f>HLOOKUP(Tableau3[[#This Row],[Nom D]],'pooled normalised values'!$B$74:$L$83,4,FALSE)</f>
        <v>#N/A</v>
      </c>
      <c r="J6" s="43" t="e">
        <f>HLOOKUP(Tableau3[[#This Row],[Nom D]],'pooled normalised values'!$B$74:$L$83,8,FALSE)</f>
        <v>#N/A</v>
      </c>
      <c r="K6" s="43" t="e">
        <f>VLOOKUP(Tableau3[[#This Row],[Nom D]],'summary results'!$A$29:$N$51,9,FALSE)</f>
        <v>#N/A</v>
      </c>
      <c r="L6" s="43" t="e">
        <f>VLOOKUP(Tableau3[[#This Row],[Nom D]],'summary results'!$A$29:$N$51,11,FALSE)</f>
        <v>#N/A</v>
      </c>
      <c r="M6" t="e">
        <f>'summary results'!$G$30</f>
        <v>#NUM!</v>
      </c>
      <c r="N6" t="e">
        <f>'summary results'!$G$31</f>
        <v>#NUM!</v>
      </c>
      <c r="Q6" s="143" t="s">
        <v>112</v>
      </c>
      <c r="U6" s="143" t="s">
        <v>101</v>
      </c>
    </row>
    <row r="7" spans="1:23" x14ac:dyDescent="0.25">
      <c r="A7" s="1">
        <f t="shared" si="1"/>
        <v>0</v>
      </c>
      <c r="B7" s="43">
        <f t="shared" si="2"/>
        <v>0</v>
      </c>
      <c r="D7" s="43" t="e">
        <f>CONCATENATE(VLOOKUP(Tableau3[[#This Row],[Nom ND]],liste_groupe[],3,FALSE),VLOOKUP(Tableau3[[#This Row],[Nom ND]],liste_groupe[],4,FALSE))</f>
        <v>#N/A</v>
      </c>
      <c r="E7" s="43" t="e">
        <f>HLOOKUP(Tableau3[[#This Row],[Nom ND]],'pooled normalised values'!$B$74:$L$83,4,FALSE)</f>
        <v>#N/A</v>
      </c>
      <c r="F7" s="43" t="e">
        <f>HLOOKUP(Tableau3[[#This Row],[Nom ND]],'pooled normalised values'!$B$74:$L$83,8,FALSE)</f>
        <v>#N/A</v>
      </c>
      <c r="G7" s="43" t="e">
        <f>VLOOKUP(Tableau3[[#This Row],[Nom ND]],'summary results'!$A$6:$N$26,9,FALSE)</f>
        <v>#N/A</v>
      </c>
      <c r="H7" s="43" t="e">
        <f>VLOOKUP(Tableau3[[#This Row],[Nom ND]],'summary results'!$A$6:$N$26,11,FALSE)</f>
        <v>#N/A</v>
      </c>
      <c r="I7" s="43" t="e">
        <f>HLOOKUP(Tableau3[[#This Row],[Nom D]],'pooled normalised values'!$B$74:$L$83,4,FALSE)</f>
        <v>#N/A</v>
      </c>
      <c r="J7" s="43" t="e">
        <f>HLOOKUP(Tableau3[[#This Row],[Nom D]],'pooled normalised values'!$B$74:$L$83,8,FALSE)</f>
        <v>#N/A</v>
      </c>
      <c r="K7" s="43" t="e">
        <f>VLOOKUP(Tableau3[[#This Row],[Nom D]],'summary results'!$A$29:$N$51,9,FALSE)</f>
        <v>#N/A</v>
      </c>
      <c r="L7" s="43" t="e">
        <f>VLOOKUP(Tableau3[[#This Row],[Nom D]],'summary results'!$A$29:$N$51,11,FALSE)</f>
        <v>#N/A</v>
      </c>
      <c r="M7" t="e">
        <f>'summary results'!$G$30</f>
        <v>#NUM!</v>
      </c>
      <c r="N7" t="e">
        <f>'summary results'!$G$31</f>
        <v>#NUM!</v>
      </c>
    </row>
    <row r="8" spans="1:23" x14ac:dyDescent="0.25">
      <c r="A8" s="1">
        <f t="shared" si="1"/>
        <v>0</v>
      </c>
      <c r="B8" s="43">
        <f t="shared" si="2"/>
        <v>0</v>
      </c>
      <c r="D8" s="43" t="e">
        <f>CONCATENATE(VLOOKUP(Tableau3[[#This Row],[Nom ND]],liste_groupe[],3,FALSE),VLOOKUP(Tableau3[[#This Row],[Nom ND]],liste_groupe[],4,FALSE))</f>
        <v>#N/A</v>
      </c>
      <c r="E8" s="145" t="e">
        <f>HLOOKUP(Tableau3[[#This Row],[Nom ND]],'pooled normalised values'!$B$74:$L$83,4,FALSE)</f>
        <v>#N/A</v>
      </c>
      <c r="F8" s="43" t="e">
        <f>HLOOKUP(Tableau3[[#This Row],[Nom ND]],'pooled normalised values'!$B$74:$L$83,8,FALSE)</f>
        <v>#N/A</v>
      </c>
      <c r="G8" s="43" t="e">
        <f>VLOOKUP(Tableau3[[#This Row],[Nom ND]],'summary results'!$A$6:$N$26,9,FALSE)</f>
        <v>#N/A</v>
      </c>
      <c r="H8" s="43" t="e">
        <f>VLOOKUP(Tableau3[[#This Row],[Nom ND]],'summary results'!$A$6:$N$26,11,FALSE)</f>
        <v>#N/A</v>
      </c>
      <c r="I8" s="43" t="e">
        <f>HLOOKUP(Tableau3[[#This Row],[Nom D]],'pooled normalised values'!$B$74:$L$83,4,FALSE)</f>
        <v>#N/A</v>
      </c>
      <c r="J8" s="43" t="e">
        <f>HLOOKUP(Tableau3[[#This Row],[Nom D]],'pooled normalised values'!$B$74:$L$83,8,FALSE)</f>
        <v>#N/A</v>
      </c>
      <c r="K8" s="43" t="e">
        <f>VLOOKUP(Tableau3[[#This Row],[Nom D]],'summary results'!$A$29:$N$51,9,FALSE)</f>
        <v>#N/A</v>
      </c>
      <c r="L8" s="43" t="e">
        <f>VLOOKUP(Tableau3[[#This Row],[Nom D]],'summary results'!$A$29:$N$51,11,FALSE)</f>
        <v>#N/A</v>
      </c>
      <c r="M8" t="e">
        <f>'summary results'!$G$30</f>
        <v>#NUM!</v>
      </c>
      <c r="N8" t="e">
        <f>'summary results'!$G$31</f>
        <v>#NUM!</v>
      </c>
    </row>
    <row r="9" spans="1:23" x14ac:dyDescent="0.25">
      <c r="A9" s="1">
        <f t="shared" si="1"/>
        <v>0</v>
      </c>
      <c r="B9" s="43">
        <f t="shared" si="2"/>
        <v>0</v>
      </c>
      <c r="D9" s="43" t="e">
        <f>CONCATENATE(VLOOKUP(Tableau3[[#This Row],[Nom ND]],liste_groupe[],3,FALSE),VLOOKUP(Tableau3[[#This Row],[Nom ND]],liste_groupe[],4,FALSE))</f>
        <v>#N/A</v>
      </c>
      <c r="E9" s="43" t="e">
        <f>HLOOKUP(Tableau3[[#This Row],[Nom ND]],'pooled normalised values'!$B$74:$L$83,4,FALSE)</f>
        <v>#N/A</v>
      </c>
      <c r="F9" s="43" t="e">
        <f>HLOOKUP(Tableau3[[#This Row],[Nom ND]],'pooled normalised values'!$B$74:$L$83,8,FALSE)</f>
        <v>#N/A</v>
      </c>
      <c r="G9" s="43" t="e">
        <f>VLOOKUP(Tableau3[[#This Row],[Nom ND]],'summary results'!$A$6:$N$26,9,FALSE)</f>
        <v>#N/A</v>
      </c>
      <c r="H9" s="43" t="e">
        <f>VLOOKUP(Tableau3[[#This Row],[Nom ND]],'summary results'!$A$6:$N$26,11,FALSE)</f>
        <v>#N/A</v>
      </c>
      <c r="I9" s="43" t="e">
        <f>HLOOKUP(Tableau3[[#This Row],[Nom D]],'pooled normalised values'!$B$74:$L$83,4,FALSE)</f>
        <v>#N/A</v>
      </c>
      <c r="J9" s="43" t="e">
        <f>HLOOKUP(Tableau3[[#This Row],[Nom D]],'pooled normalised values'!$B$74:$L$83,8,FALSE)</f>
        <v>#N/A</v>
      </c>
      <c r="K9" s="43" t="e">
        <f>VLOOKUP(Tableau3[[#This Row],[Nom D]],'summary results'!$A$29:$N$51,9,FALSE)</f>
        <v>#N/A</v>
      </c>
      <c r="L9" s="43" t="e">
        <f>VLOOKUP(Tableau3[[#This Row],[Nom D]],'summary results'!$A$29:$N$51,11,FALSE)</f>
        <v>#N/A</v>
      </c>
      <c r="M9" t="e">
        <f>'summary results'!$G$30</f>
        <v>#NUM!</v>
      </c>
      <c r="N9" t="e">
        <f>'summary results'!$G$31</f>
        <v>#NUM!</v>
      </c>
    </row>
    <row r="10" spans="1:23" x14ac:dyDescent="0.25">
      <c r="A10" s="1">
        <f t="shared" si="1"/>
        <v>0</v>
      </c>
      <c r="B10" s="43">
        <f t="shared" si="2"/>
        <v>0</v>
      </c>
      <c r="D10" s="43" t="e">
        <f>CONCATENATE(VLOOKUP(Tableau3[[#This Row],[Nom ND]],liste_groupe[],3,FALSE),VLOOKUP(Tableau3[[#This Row],[Nom ND]],liste_groupe[],4,FALSE))</f>
        <v>#N/A</v>
      </c>
      <c r="E10" s="43" t="e">
        <f>HLOOKUP(Tableau3[[#This Row],[Nom ND]],'pooled normalised values'!$B$74:$L$83,4,FALSE)</f>
        <v>#N/A</v>
      </c>
      <c r="F10" s="43" t="e">
        <f>HLOOKUP(Tableau3[[#This Row],[Nom ND]],'pooled normalised values'!$B$74:$L$83,8,FALSE)</f>
        <v>#N/A</v>
      </c>
      <c r="G10" s="43" t="e">
        <f>VLOOKUP(Tableau3[[#This Row],[Nom ND]],'summary results'!$A$6:$N$26,9,FALSE)</f>
        <v>#N/A</v>
      </c>
      <c r="H10" s="43" t="e">
        <f>VLOOKUP(Tableau3[[#This Row],[Nom ND]],'summary results'!$A$6:$N$26,11,FALSE)</f>
        <v>#N/A</v>
      </c>
      <c r="I10" s="43" t="e">
        <f>HLOOKUP(Tableau3[[#This Row],[Nom D]],'pooled normalised values'!$B$74:$L$83,4,FALSE)</f>
        <v>#N/A</v>
      </c>
      <c r="J10" s="43" t="e">
        <f>HLOOKUP(Tableau3[[#This Row],[Nom D]],'pooled normalised values'!$B$74:$L$83,8,FALSE)</f>
        <v>#N/A</v>
      </c>
      <c r="K10" s="43" t="e">
        <f>VLOOKUP(Tableau3[[#This Row],[Nom D]],'summary results'!$A$29:$N$51,9,FALSE)</f>
        <v>#N/A</v>
      </c>
      <c r="L10" s="43" t="e">
        <f>VLOOKUP(Tableau3[[#This Row],[Nom D]],'summary results'!$A$29:$N$51,11,FALSE)</f>
        <v>#N/A</v>
      </c>
      <c r="M10" t="e">
        <f>'summary results'!$G$30</f>
        <v>#NUM!</v>
      </c>
      <c r="N10" t="e">
        <f>'summary results'!$G$31</f>
        <v>#NUM!</v>
      </c>
    </row>
    <row r="11" spans="1:23" x14ac:dyDescent="0.25">
      <c r="A11" s="1">
        <f t="shared" si="1"/>
        <v>0</v>
      </c>
      <c r="B11" s="43">
        <f t="shared" si="2"/>
        <v>0</v>
      </c>
      <c r="D11" s="43" t="e">
        <f>CONCATENATE(VLOOKUP(Tableau3[[#This Row],[Nom ND]],liste_groupe[],3,FALSE),VLOOKUP(Tableau3[[#This Row],[Nom ND]],liste_groupe[],4,FALSE))</f>
        <v>#N/A</v>
      </c>
      <c r="E11" s="43" t="e">
        <f>HLOOKUP(Tableau3[[#This Row],[Nom ND]],'pooled normalised values'!$B$74:$L$83,4,FALSE)</f>
        <v>#N/A</v>
      </c>
      <c r="F11" s="43" t="e">
        <f>HLOOKUP(Tableau3[[#This Row],[Nom ND]],'pooled normalised values'!$B$74:$L$83,8,FALSE)</f>
        <v>#N/A</v>
      </c>
      <c r="G11" s="43" t="e">
        <f>VLOOKUP(Tableau3[[#This Row],[Nom ND]],'summary results'!$A$6:$N$26,9,FALSE)</f>
        <v>#N/A</v>
      </c>
      <c r="H11" s="43" t="e">
        <f>VLOOKUP(Tableau3[[#This Row],[Nom ND]],'summary results'!$A$6:$N$26,11,FALSE)</f>
        <v>#N/A</v>
      </c>
      <c r="I11" s="43" t="e">
        <f>HLOOKUP(Tableau3[[#This Row],[Nom D]],'pooled normalised values'!$B$74:$L$83,4,FALSE)</f>
        <v>#N/A</v>
      </c>
      <c r="J11" s="43" t="e">
        <f>HLOOKUP(Tableau3[[#This Row],[Nom D]],'pooled normalised values'!$B$74:$L$83,8,FALSE)</f>
        <v>#N/A</v>
      </c>
      <c r="K11" s="43" t="e">
        <f>VLOOKUP(Tableau3[[#This Row],[Nom D]],'summary results'!$A$29:$N$51,9,FALSE)</f>
        <v>#N/A</v>
      </c>
      <c r="L11" s="43" t="e">
        <f>VLOOKUP(Tableau3[[#This Row],[Nom D]],'summary results'!$A$29:$N$51,11,FALSE)</f>
        <v>#N/A</v>
      </c>
      <c r="M11" t="e">
        <f>'summary results'!$G$30</f>
        <v>#NUM!</v>
      </c>
      <c r="N11" t="e">
        <f>'summary results'!$G$31</f>
        <v>#NUM!</v>
      </c>
    </row>
    <row r="12" spans="1:23" x14ac:dyDescent="0.25">
      <c r="A12" s="1">
        <f t="shared" si="1"/>
        <v>0</v>
      </c>
      <c r="B12" s="43">
        <f t="shared" si="2"/>
        <v>0</v>
      </c>
      <c r="D12" s="43" t="e">
        <f>CONCATENATE(VLOOKUP(Tableau3[[#This Row],[Nom ND]],liste_groupe[],3,FALSE),VLOOKUP(Tableau3[[#This Row],[Nom ND]],liste_groupe[],4,FALSE))</f>
        <v>#N/A</v>
      </c>
      <c r="E12" s="43" t="e">
        <f>HLOOKUP(Tableau3[[#This Row],[Nom ND]],'pooled normalised values'!$B$74:$L$83,4,FALSE)</f>
        <v>#N/A</v>
      </c>
      <c r="F12" s="43" t="e">
        <f>HLOOKUP(Tableau3[[#This Row],[Nom ND]],'pooled normalised values'!$B$74:$L$83,8,FALSE)</f>
        <v>#N/A</v>
      </c>
      <c r="G12" s="43" t="e">
        <f>VLOOKUP(Tableau3[[#This Row],[Nom ND]],'summary results'!$A$6:$N$26,9,FALSE)</f>
        <v>#N/A</v>
      </c>
      <c r="H12" s="43" t="e">
        <f>VLOOKUP(Tableau3[[#This Row],[Nom ND]],'summary results'!$A$6:$N$26,11,FALSE)</f>
        <v>#N/A</v>
      </c>
      <c r="I12" s="43" t="e">
        <f>HLOOKUP(Tableau3[[#This Row],[Nom D]],'pooled normalised values'!$B$74:$L$83,4,FALSE)</f>
        <v>#N/A</v>
      </c>
      <c r="J12" s="43" t="e">
        <f>HLOOKUP(Tableau3[[#This Row],[Nom D]],'pooled normalised values'!$B$74:$L$83,8,FALSE)</f>
        <v>#N/A</v>
      </c>
      <c r="K12" s="43" t="e">
        <f>VLOOKUP(Tableau3[[#This Row],[Nom D]],'summary results'!$A$29:$N$51,9,FALSE)</f>
        <v>#N/A</v>
      </c>
      <c r="L12" s="43" t="e">
        <f>VLOOKUP(Tableau3[[#This Row],[Nom D]],'summary results'!$A$29:$N$51,11,FALSE)</f>
        <v>#N/A</v>
      </c>
      <c r="M12" t="e">
        <f>'summary results'!$G$30</f>
        <v>#NUM!</v>
      </c>
      <c r="N12" t="e">
        <f>'summary results'!$G$31</f>
        <v>#NUM!</v>
      </c>
    </row>
    <row r="13" spans="1:23" x14ac:dyDescent="0.25">
      <c r="A13" s="1">
        <f t="shared" si="1"/>
        <v>0</v>
      </c>
      <c r="B13" s="43">
        <f t="shared" si="2"/>
        <v>0</v>
      </c>
      <c r="D13" s="43" t="e">
        <f>CONCATENATE(VLOOKUP(Tableau3[[#This Row],[Nom ND]],liste_groupe[],3,FALSE),VLOOKUP(Tableau3[[#This Row],[Nom ND]],liste_groupe[],4,FALSE))</f>
        <v>#N/A</v>
      </c>
      <c r="E13" s="43" t="e">
        <f>HLOOKUP(Tableau3[[#This Row],[Nom ND]],'pooled normalised values'!$B$74:$L$83,4,FALSE)</f>
        <v>#N/A</v>
      </c>
      <c r="F13" s="43" t="e">
        <f>HLOOKUP(Tableau3[[#This Row],[Nom ND]],'pooled normalised values'!$B$74:$L$83,8,FALSE)</f>
        <v>#N/A</v>
      </c>
      <c r="G13" s="43" t="e">
        <f>VLOOKUP(Tableau3[[#This Row],[Nom ND]],'summary results'!$A$6:$N$26,9,FALSE)</f>
        <v>#N/A</v>
      </c>
      <c r="H13" s="43" t="e">
        <f>VLOOKUP(Tableau3[[#This Row],[Nom ND]],'summary results'!$A$6:$N$26,11,FALSE)</f>
        <v>#N/A</v>
      </c>
      <c r="I13" s="43" t="e">
        <f>HLOOKUP(Tableau3[[#This Row],[Nom D]],'pooled normalised values'!$B$74:$L$83,4,FALSE)</f>
        <v>#N/A</v>
      </c>
      <c r="J13" s="43" t="e">
        <f>HLOOKUP(Tableau3[[#This Row],[Nom D]],'pooled normalised values'!$B$74:$L$83,8,FALSE)</f>
        <v>#N/A</v>
      </c>
      <c r="K13" s="43" t="e">
        <f>VLOOKUP(Tableau3[[#This Row],[Nom D]],'summary results'!$A$29:$N$51,9,FALSE)</f>
        <v>#N/A</v>
      </c>
      <c r="L13" s="43" t="e">
        <f>VLOOKUP(Tableau3[[#This Row],[Nom D]],'summary results'!$A$29:$N$51,11,FALSE)</f>
        <v>#N/A</v>
      </c>
      <c r="M13" t="e">
        <f>'summary results'!$G$30</f>
        <v>#NUM!</v>
      </c>
      <c r="N13" t="e">
        <f>'summary results'!$G$31</f>
        <v>#NUM!</v>
      </c>
    </row>
    <row r="14" spans="1:23" x14ac:dyDescent="0.25">
      <c r="A14" s="1">
        <f t="shared" si="1"/>
        <v>0</v>
      </c>
      <c r="B14" s="43">
        <f t="shared" si="2"/>
        <v>0</v>
      </c>
      <c r="D14" s="43" t="e">
        <f>CONCATENATE(VLOOKUP(Tableau3[[#This Row],[Nom ND]],liste_groupe[],3,FALSE),VLOOKUP(Tableau3[[#This Row],[Nom ND]],liste_groupe[],4,FALSE))</f>
        <v>#N/A</v>
      </c>
      <c r="E14" s="43" t="e">
        <f>HLOOKUP(Tableau3[[#This Row],[Nom ND]],'pooled normalised values'!$B$74:$L$83,4,FALSE)</f>
        <v>#N/A</v>
      </c>
      <c r="F14" s="43" t="e">
        <f>HLOOKUP(Tableau3[[#This Row],[Nom ND]],'pooled normalised values'!$B$74:$L$83,8,FALSE)</f>
        <v>#N/A</v>
      </c>
      <c r="G14" s="43" t="e">
        <f>VLOOKUP(Tableau3[[#This Row],[Nom ND]],'summary results'!$A$6:$N$26,9,FALSE)</f>
        <v>#N/A</v>
      </c>
      <c r="H14" s="43" t="e">
        <f>VLOOKUP(Tableau3[[#This Row],[Nom ND]],'summary results'!$A$6:$N$26,11,FALSE)</f>
        <v>#N/A</v>
      </c>
      <c r="I14" s="43" t="e">
        <f>HLOOKUP(Tableau3[[#This Row],[Nom D]],'pooled normalised values'!$B$74:$L$83,4,FALSE)</f>
        <v>#N/A</v>
      </c>
      <c r="J14" s="43" t="e">
        <f>HLOOKUP(Tableau3[[#This Row],[Nom D]],'pooled normalised values'!$B$74:$L$83,8,FALSE)</f>
        <v>#N/A</v>
      </c>
      <c r="K14" s="43" t="e">
        <f>VLOOKUP(Tableau3[[#This Row],[Nom D]],'summary results'!$A$29:$N$51,9,FALSE)</f>
        <v>#N/A</v>
      </c>
      <c r="L14" s="43" t="e">
        <f>VLOOKUP(Tableau3[[#This Row],[Nom D]],'summary results'!$A$29:$N$51,11,FALSE)</f>
        <v>#N/A</v>
      </c>
      <c r="M14" t="e">
        <f>'summary results'!$G$30</f>
        <v>#NUM!</v>
      </c>
      <c r="N14" t="e">
        <f>'summary results'!$G$31</f>
        <v>#NUM!</v>
      </c>
    </row>
    <row r="15" spans="1:23" x14ac:dyDescent="0.25">
      <c r="A15" s="1">
        <f t="shared" si="1"/>
        <v>0</v>
      </c>
      <c r="B15" s="43">
        <f t="shared" si="2"/>
        <v>0</v>
      </c>
      <c r="D15" s="43" t="e">
        <f>CONCATENATE(VLOOKUP(Tableau3[[#This Row],[Nom ND]],liste_groupe[],3,FALSE),VLOOKUP(Tableau3[[#This Row],[Nom ND]],liste_groupe[],4,FALSE))</f>
        <v>#N/A</v>
      </c>
      <c r="E15" s="43" t="e">
        <f>HLOOKUP(Tableau3[[#This Row],[Nom ND]],'pooled normalised values'!$B$74:$L$83,4,FALSE)</f>
        <v>#N/A</v>
      </c>
      <c r="F15" s="43" t="e">
        <f>HLOOKUP(Tableau3[[#This Row],[Nom ND]],'pooled normalised values'!$B$74:$L$83,8,FALSE)</f>
        <v>#N/A</v>
      </c>
      <c r="G15" s="43" t="e">
        <f>VLOOKUP(Tableau3[[#This Row],[Nom ND]],'summary results'!$A$6:$N$26,9,FALSE)</f>
        <v>#N/A</v>
      </c>
      <c r="H15" s="43" t="e">
        <f>VLOOKUP(Tableau3[[#This Row],[Nom ND]],'summary results'!$A$6:$N$26,11,FALSE)</f>
        <v>#N/A</v>
      </c>
      <c r="I15" s="43" t="e">
        <f>HLOOKUP(Tableau3[[#This Row],[Nom D]],'pooled normalised values'!$B$74:$L$83,4,FALSE)</f>
        <v>#N/A</v>
      </c>
      <c r="J15" s="43" t="e">
        <f>HLOOKUP(Tableau3[[#This Row],[Nom D]],'pooled normalised values'!$B$74:$L$83,8,FALSE)</f>
        <v>#N/A</v>
      </c>
      <c r="K15" s="43" t="e">
        <f>VLOOKUP(Tableau3[[#This Row],[Nom D]],'summary results'!$A$29:$N$51,9,FALSE)</f>
        <v>#N/A</v>
      </c>
      <c r="L15" s="43"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E9E0DC-54EB-4E66-9152-317817300BF8}"/>
</file>

<file path=customXml/itemProps2.xml><?xml version="1.0" encoding="utf-8"?>
<ds:datastoreItem xmlns:ds="http://schemas.openxmlformats.org/officeDocument/2006/customXml" ds:itemID="{918DA2B8-F778-432E-8D8D-067B47413B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15</vt:i4>
      </vt:variant>
      <vt:variant>
        <vt:lpstr>Graphiques</vt:lpstr>
      </vt:variant>
      <vt:variant>
        <vt:i4>4</vt:i4>
      </vt:variant>
      <vt:variant>
        <vt:lpstr>Plages nommées</vt:lpstr>
      </vt:variant>
      <vt:variant>
        <vt:i4>1</vt:i4>
      </vt:variant>
    </vt:vector>
  </HeadingPairs>
  <TitlesOfParts>
    <vt:vector size="20" baseType="lpstr">
      <vt:lpstr>Page de garde</vt:lpstr>
      <vt:lpstr>Feuil1</vt:lpstr>
      <vt:lpstr>Feuil2</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2021-12-15T12:17:27Z</dcterms:modified>
</cp:coreProperties>
</file>