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pivotTables/pivotTable2.xml" ContentType="application/vnd.openxmlformats-officedocument.spreadsheetml.pivotTable+xml"/>
  <Override PartName="/xl/tables/table4.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pivotTables/pivotTable3.xml" ContentType="application/vnd.openxmlformats-officedocument.spreadsheetml.pivotTable+xml"/>
  <Override PartName="/xl/tables/table5.xml" ContentType="application/vnd.openxmlformats-officedocument.spreadsheetml.tabl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6.xml" ContentType="application/vnd.openxmlformats-officedocument.spreadsheetml.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drawings/drawing12.xml" ContentType="application/vnd.openxmlformats-officedocument.drawingml.chartshapes+xml"/>
  <Override PartName="/xl/charts/chart12.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filterPrivacy="1" hidePivotFieldList="1" defaultThemeVersion="124226"/>
  <xr:revisionPtr revIDLastSave="22" documentId="13_ncr:1_{58413776-14B9-42DA-B4D2-BE1AE0029A55}" xr6:coauthVersionLast="47" xr6:coauthVersionMax="47" xr10:uidLastSave="{D4BA2BDF-0D17-4851-82CC-0111041269DC}"/>
  <bookViews>
    <workbookView xWindow="32085" yWindow="0" windowWidth="24375" windowHeight="13740" firstSheet="3" activeTab="9"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 r:id="rId20"/>
  </externalReferences>
  <definedNames>
    <definedName name="_xlnm.Print_Area" localSheetId="0">'Page de garde'!$A$1:$I$52</definedName>
  </definedNames>
  <calcPr calcId="191029"/>
  <pivotCaches>
    <pivotCache cacheId="8" r:id="rId21"/>
    <pivotCache cacheId="9" r:id="rId22"/>
    <pivotCache cacheId="10" r:id="rId23"/>
    <pivotCache cacheId="11" r:id="rId2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56" i="33"/>
  <c r="C56" i="33"/>
  <c r="I56" i="33"/>
  <c r="L56" i="33"/>
  <c r="F56" i="33"/>
  <c r="J56" i="33"/>
  <c r="H56" i="33"/>
  <c r="D56" i="33"/>
  <c r="K56" i="33"/>
  <c r="G56" i="33"/>
  <c r="E56" i="33"/>
  <c r="M56" i="33"/>
  <c r="N78" i="4"/>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AK43" i="33"/>
  <c r="AK53" i="4" s="1"/>
  <c r="AJ43" i="33"/>
  <c r="AJ53" i="4" s="1"/>
  <c r="AI43" i="33"/>
  <c r="AI53" i="4" s="1"/>
  <c r="AH43" i="33"/>
  <c r="AH53" i="4" s="1"/>
  <c r="AG43" i="33"/>
  <c r="AG53" i="4" s="1"/>
  <c r="AF43" i="33"/>
  <c r="AF53" i="4" s="1"/>
  <c r="AE43" i="33"/>
  <c r="AE53" i="4" s="1"/>
  <c r="AD43" i="33"/>
  <c r="AD53" i="4" s="1"/>
  <c r="AC43" i="33"/>
  <c r="AC53" i="4" s="1"/>
  <c r="AB43" i="33"/>
  <c r="AB53" i="4" s="1"/>
  <c r="AA43" i="33"/>
  <c r="AA53" i="4" s="1"/>
  <c r="Z43" i="33"/>
  <c r="Z53" i="4" s="1"/>
  <c r="Y43" i="33"/>
  <c r="Y53" i="4" s="1"/>
  <c r="X43" i="33"/>
  <c r="X53" i="4" s="1"/>
  <c r="W43" i="33"/>
  <c r="W53" i="4" s="1"/>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AK42" i="33"/>
  <c r="AK52" i="4" s="1"/>
  <c r="AJ42" i="33"/>
  <c r="AJ52" i="4" s="1"/>
  <c r="AI42" i="33"/>
  <c r="AI52" i="4" s="1"/>
  <c r="AH42" i="33"/>
  <c r="AH52" i="4" s="1"/>
  <c r="AG42" i="33"/>
  <c r="AG52" i="4" s="1"/>
  <c r="AF42" i="33"/>
  <c r="AF52" i="4" s="1"/>
  <c r="AE42" i="33"/>
  <c r="AE52" i="4" s="1"/>
  <c r="AD42" i="33"/>
  <c r="AD52" i="4" s="1"/>
  <c r="AC42" i="33"/>
  <c r="AC52" i="4" s="1"/>
  <c r="AB42" i="33"/>
  <c r="AB52" i="4" s="1"/>
  <c r="AA42" i="33"/>
  <c r="AA52" i="4" s="1"/>
  <c r="Z42" i="33"/>
  <c r="Z52" i="4" s="1"/>
  <c r="Y42" i="33"/>
  <c r="Y52" i="4" s="1"/>
  <c r="X42" i="33"/>
  <c r="X52" i="4" s="1"/>
  <c r="W42" i="33"/>
  <c r="W52"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AK41" i="33"/>
  <c r="AK51" i="4" s="1"/>
  <c r="AJ41" i="33"/>
  <c r="AJ51" i="4" s="1"/>
  <c r="AI41" i="33"/>
  <c r="AI51" i="4" s="1"/>
  <c r="AH41" i="33"/>
  <c r="AH51" i="4" s="1"/>
  <c r="AG41" i="33"/>
  <c r="AG51" i="4" s="1"/>
  <c r="AF41" i="33"/>
  <c r="AF51" i="4" s="1"/>
  <c r="AE41" i="33"/>
  <c r="AE51" i="4" s="1"/>
  <c r="AD41" i="33"/>
  <c r="AD51" i="4" s="1"/>
  <c r="AC41" i="33"/>
  <c r="AC51" i="4" s="1"/>
  <c r="AB41" i="33"/>
  <c r="AB51" i="4" s="1"/>
  <c r="AA41" i="33"/>
  <c r="AA51" i="4" s="1"/>
  <c r="Z41" i="33"/>
  <c r="Z51" i="4" s="1"/>
  <c r="Y41" i="33"/>
  <c r="Y51" i="4" s="1"/>
  <c r="X41" i="33"/>
  <c r="X51" i="4" s="1"/>
  <c r="W41" i="33"/>
  <c r="W51"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AK40" i="33"/>
  <c r="AK50" i="4" s="1"/>
  <c r="AJ40" i="33"/>
  <c r="AJ50" i="4" s="1"/>
  <c r="AI40" i="33"/>
  <c r="AI50" i="4" s="1"/>
  <c r="AH40" i="33"/>
  <c r="AH50" i="4" s="1"/>
  <c r="AG40" i="33"/>
  <c r="AG50" i="4" s="1"/>
  <c r="AF40" i="33"/>
  <c r="AF50" i="4" s="1"/>
  <c r="AE40" i="33"/>
  <c r="AE50" i="4" s="1"/>
  <c r="AD40" i="33"/>
  <c r="AD50" i="4" s="1"/>
  <c r="AC40" i="33"/>
  <c r="AC50" i="4" s="1"/>
  <c r="AB40" i="33"/>
  <c r="AB50" i="4" s="1"/>
  <c r="AA40" i="33"/>
  <c r="AA50" i="4" s="1"/>
  <c r="Z40" i="33"/>
  <c r="Z50" i="4" s="1"/>
  <c r="Y40" i="33"/>
  <c r="Y50" i="4" s="1"/>
  <c r="X40" i="33"/>
  <c r="X50" i="4" s="1"/>
  <c r="W40" i="33"/>
  <c r="W50"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AK39" i="33"/>
  <c r="AK49" i="4" s="1"/>
  <c r="AJ39" i="33"/>
  <c r="AJ49" i="4" s="1"/>
  <c r="AI39" i="33"/>
  <c r="AI49" i="4" s="1"/>
  <c r="AH39" i="33"/>
  <c r="AH49" i="4" s="1"/>
  <c r="AG39" i="33"/>
  <c r="AG49" i="4" s="1"/>
  <c r="AF39" i="33"/>
  <c r="AF49" i="4" s="1"/>
  <c r="AE39" i="33"/>
  <c r="AE49" i="4" s="1"/>
  <c r="AD39" i="33"/>
  <c r="AD49" i="4" s="1"/>
  <c r="AC39" i="33"/>
  <c r="AC49" i="4" s="1"/>
  <c r="AB39" i="33"/>
  <c r="AB49" i="4" s="1"/>
  <c r="AA39" i="33"/>
  <c r="AA49" i="4" s="1"/>
  <c r="Z39" i="33"/>
  <c r="Z49" i="4" s="1"/>
  <c r="Y39" i="33"/>
  <c r="Y49" i="4" s="1"/>
  <c r="X39" i="33"/>
  <c r="X49" i="4" s="1"/>
  <c r="W39" i="33"/>
  <c r="W49"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AK38" i="33"/>
  <c r="AK48" i="4" s="1"/>
  <c r="AJ38" i="33"/>
  <c r="AJ48" i="4" s="1"/>
  <c r="AI38" i="33"/>
  <c r="AI48" i="4" s="1"/>
  <c r="AH38" i="33"/>
  <c r="AH48" i="4" s="1"/>
  <c r="AG38" i="33"/>
  <c r="AG48" i="4" s="1"/>
  <c r="AF38" i="33"/>
  <c r="AF48" i="4" s="1"/>
  <c r="AE38" i="33"/>
  <c r="AE48" i="4" s="1"/>
  <c r="AD38" i="33"/>
  <c r="AD48" i="4" s="1"/>
  <c r="AC38" i="33"/>
  <c r="AC48" i="4" s="1"/>
  <c r="AB38" i="33"/>
  <c r="AB48" i="4" s="1"/>
  <c r="AA38" i="33"/>
  <c r="AA48" i="4" s="1"/>
  <c r="Z38" i="33"/>
  <c r="Z48" i="4" s="1"/>
  <c r="Y38" i="33"/>
  <c r="Y48" i="4" s="1"/>
  <c r="X38" i="33"/>
  <c r="X48" i="4" s="1"/>
  <c r="W38" i="33"/>
  <c r="W48"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AK37" i="33"/>
  <c r="AK47" i="4" s="1"/>
  <c r="AJ37" i="33"/>
  <c r="AJ47" i="4" s="1"/>
  <c r="AI37" i="33"/>
  <c r="AI47" i="4" s="1"/>
  <c r="AH37" i="33"/>
  <c r="AH47" i="4" s="1"/>
  <c r="AG37" i="33"/>
  <c r="AG47" i="4" s="1"/>
  <c r="AF37" i="33"/>
  <c r="AF47" i="4" s="1"/>
  <c r="AE37" i="33"/>
  <c r="AE47" i="4" s="1"/>
  <c r="AD37" i="33"/>
  <c r="AD47" i="4" s="1"/>
  <c r="AC37" i="33"/>
  <c r="AC47" i="4" s="1"/>
  <c r="AB37" i="33"/>
  <c r="AB47" i="4" s="1"/>
  <c r="AA37" i="33"/>
  <c r="AA47" i="4" s="1"/>
  <c r="Z37" i="33"/>
  <c r="Z47" i="4" s="1"/>
  <c r="Y37" i="33"/>
  <c r="Y47" i="4" s="1"/>
  <c r="X37" i="33"/>
  <c r="X47" i="4" s="1"/>
  <c r="W37" i="33"/>
  <c r="W47"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AK36" i="33"/>
  <c r="AK46" i="4" s="1"/>
  <c r="AJ36" i="33"/>
  <c r="AJ46" i="4" s="1"/>
  <c r="AI36" i="33"/>
  <c r="AI46" i="4" s="1"/>
  <c r="AH36" i="33"/>
  <c r="AH46" i="4" s="1"/>
  <c r="AG36" i="33"/>
  <c r="AG46" i="4" s="1"/>
  <c r="AF36" i="33"/>
  <c r="AF46" i="4" s="1"/>
  <c r="AE36" i="33"/>
  <c r="AE46" i="4" s="1"/>
  <c r="AD36" i="33"/>
  <c r="AD46" i="4" s="1"/>
  <c r="AC36" i="33"/>
  <c r="AC46" i="4" s="1"/>
  <c r="AB36" i="33"/>
  <c r="AB46" i="4" s="1"/>
  <c r="AA36" i="33"/>
  <c r="AA46" i="4" s="1"/>
  <c r="Z36" i="33"/>
  <c r="Z46" i="4" s="1"/>
  <c r="Y36" i="33"/>
  <c r="Y46" i="4" s="1"/>
  <c r="X36" i="33"/>
  <c r="X46" i="4" s="1"/>
  <c r="W36" i="33"/>
  <c r="W46"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AK35" i="33"/>
  <c r="AK45" i="4" s="1"/>
  <c r="AJ35" i="33"/>
  <c r="AJ45" i="4" s="1"/>
  <c r="AI35" i="33"/>
  <c r="AI45" i="4" s="1"/>
  <c r="AH35" i="33"/>
  <c r="AH45" i="4" s="1"/>
  <c r="AG35" i="33"/>
  <c r="AG45" i="4" s="1"/>
  <c r="AF35" i="33"/>
  <c r="AF45" i="4" s="1"/>
  <c r="AE35" i="33"/>
  <c r="AE45" i="4" s="1"/>
  <c r="AD35" i="33"/>
  <c r="AD45" i="4" s="1"/>
  <c r="AC35" i="33"/>
  <c r="AC45" i="4" s="1"/>
  <c r="AB35" i="33"/>
  <c r="AB45" i="4" s="1"/>
  <c r="AA35" i="33"/>
  <c r="AA45" i="4" s="1"/>
  <c r="Z35" i="33"/>
  <c r="Z45" i="4" s="1"/>
  <c r="Y35" i="33"/>
  <c r="Y45" i="4" s="1"/>
  <c r="X35" i="33"/>
  <c r="X45" i="4" s="1"/>
  <c r="W35" i="33"/>
  <c r="W45" i="4" s="1"/>
  <c r="M35" i="33"/>
  <c r="M45" i="4" s="1"/>
  <c r="L35" i="33"/>
  <c r="L45" i="4" s="1"/>
  <c r="H35" i="33"/>
  <c r="H45" i="4" s="1"/>
  <c r="AK34" i="33"/>
  <c r="AK44" i="4" s="1"/>
  <c r="AJ34" i="33"/>
  <c r="AJ44" i="4" s="1"/>
  <c r="AI34" i="33"/>
  <c r="AI44" i="4" s="1"/>
  <c r="AH34" i="33"/>
  <c r="AH44" i="4" s="1"/>
  <c r="AG34" i="33"/>
  <c r="AG44" i="4" s="1"/>
  <c r="AF34" i="33"/>
  <c r="AF44" i="4" s="1"/>
  <c r="AE34" i="33"/>
  <c r="AE44" i="4" s="1"/>
  <c r="AD34" i="33"/>
  <c r="AD44" i="4" s="1"/>
  <c r="AC34" i="33"/>
  <c r="AC44" i="4" s="1"/>
  <c r="AB34" i="33"/>
  <c r="AB44" i="4" s="1"/>
  <c r="AA34" i="33"/>
  <c r="AA44" i="4" s="1"/>
  <c r="Z34" i="33"/>
  <c r="Z44" i="4" s="1"/>
  <c r="Y34" i="33"/>
  <c r="Y44" i="4" s="1"/>
  <c r="X34" i="33"/>
  <c r="X44" i="4" s="1"/>
  <c r="W34" i="33"/>
  <c r="W44" i="4" s="1"/>
  <c r="M34" i="33"/>
  <c r="M44" i="4" s="1"/>
  <c r="AK33" i="33"/>
  <c r="AK43" i="4" s="1"/>
  <c r="AJ33" i="33"/>
  <c r="AJ43" i="4" s="1"/>
  <c r="AI33" i="33"/>
  <c r="AI43" i="4" s="1"/>
  <c r="AH33" i="33"/>
  <c r="AH43" i="4" s="1"/>
  <c r="AG33" i="33"/>
  <c r="AG43" i="4" s="1"/>
  <c r="AF33" i="33"/>
  <c r="AF43" i="4" s="1"/>
  <c r="AE33" i="33"/>
  <c r="AE43" i="4" s="1"/>
  <c r="AD33" i="33"/>
  <c r="AD43" i="4" s="1"/>
  <c r="AC33" i="33"/>
  <c r="AC43" i="4" s="1"/>
  <c r="AB33" i="33"/>
  <c r="AB43" i="4" s="1"/>
  <c r="AA33" i="33"/>
  <c r="AA43" i="4" s="1"/>
  <c r="Z33" i="33"/>
  <c r="Z43" i="4" s="1"/>
  <c r="Y33" i="33"/>
  <c r="Y43" i="4" s="1"/>
  <c r="X33" i="33"/>
  <c r="X43" i="4" s="1"/>
  <c r="W33" i="33"/>
  <c r="W43" i="4" s="1"/>
  <c r="P33" i="33"/>
  <c r="P43" i="4" s="1"/>
  <c r="L33" i="33"/>
  <c r="L43" i="4" s="1"/>
  <c r="H33" i="33"/>
  <c r="H43" i="4" s="1"/>
  <c r="C33" i="33"/>
  <c r="C43" i="4" s="1"/>
  <c r="AK32" i="33"/>
  <c r="AK42" i="4" s="1"/>
  <c r="AJ32" i="33"/>
  <c r="AJ42" i="4" s="1"/>
  <c r="AI32" i="33"/>
  <c r="AI42" i="4" s="1"/>
  <c r="AH32" i="33"/>
  <c r="AH42" i="4" s="1"/>
  <c r="AG32" i="33"/>
  <c r="AG42" i="4" s="1"/>
  <c r="AF32" i="33"/>
  <c r="AF42" i="4" s="1"/>
  <c r="AE32" i="33"/>
  <c r="AE42" i="4" s="1"/>
  <c r="AD32" i="33"/>
  <c r="AD42" i="4" s="1"/>
  <c r="AC32" i="33"/>
  <c r="AC42" i="4" s="1"/>
  <c r="AB32" i="33"/>
  <c r="AB42" i="4" s="1"/>
  <c r="AA32" i="33"/>
  <c r="AA42" i="4" s="1"/>
  <c r="Z32" i="33"/>
  <c r="Z42" i="4" s="1"/>
  <c r="Y32" i="33"/>
  <c r="Y42" i="4" s="1"/>
  <c r="X32" i="33"/>
  <c r="X42" i="4" s="1"/>
  <c r="W32" i="33"/>
  <c r="W42" i="4" s="1"/>
  <c r="AK31" i="33"/>
  <c r="AK41" i="4" s="1"/>
  <c r="AJ31" i="33"/>
  <c r="AJ41" i="4" s="1"/>
  <c r="AI31" i="33"/>
  <c r="AI41" i="4" s="1"/>
  <c r="AH31" i="33"/>
  <c r="AH41" i="4" s="1"/>
  <c r="AG31" i="33"/>
  <c r="AG41" i="4" s="1"/>
  <c r="AF31" i="33"/>
  <c r="AF41" i="4" s="1"/>
  <c r="AE31" i="33"/>
  <c r="AE41" i="4" s="1"/>
  <c r="AD31" i="33"/>
  <c r="AD41" i="4" s="1"/>
  <c r="AC31" i="33"/>
  <c r="AC41" i="4" s="1"/>
  <c r="AB31" i="33"/>
  <c r="AB41" i="4" s="1"/>
  <c r="AA31" i="33"/>
  <c r="AA41" i="4" s="1"/>
  <c r="Z31" i="33"/>
  <c r="Z41" i="4" s="1"/>
  <c r="Y31" i="33"/>
  <c r="Y41" i="4" s="1"/>
  <c r="X31" i="33"/>
  <c r="X41" i="4" s="1"/>
  <c r="W31" i="33"/>
  <c r="W41" i="4" s="1"/>
  <c r="AK30" i="33"/>
  <c r="AK40" i="4" s="1"/>
  <c r="AJ30" i="33"/>
  <c r="AJ40" i="4" s="1"/>
  <c r="AI30" i="33"/>
  <c r="AI40" i="4" s="1"/>
  <c r="AH30" i="33"/>
  <c r="AH40" i="4" s="1"/>
  <c r="AG30" i="33"/>
  <c r="AG40" i="4" s="1"/>
  <c r="AF30" i="33"/>
  <c r="AF40" i="4" s="1"/>
  <c r="AE30" i="33"/>
  <c r="AE40" i="4" s="1"/>
  <c r="AD30" i="33"/>
  <c r="AD40" i="4" s="1"/>
  <c r="AC30" i="33"/>
  <c r="AC40" i="4" s="1"/>
  <c r="AB30" i="33"/>
  <c r="AB40" i="4" s="1"/>
  <c r="AA30" i="33"/>
  <c r="AA40" i="4" s="1"/>
  <c r="Z30" i="33"/>
  <c r="Z40" i="4" s="1"/>
  <c r="Y30" i="33"/>
  <c r="Y40" i="4" s="1"/>
  <c r="X30" i="33"/>
  <c r="X40" i="4" s="1"/>
  <c r="W30" i="33"/>
  <c r="W40" i="4" s="1"/>
  <c r="AK29" i="33"/>
  <c r="AK39" i="4" s="1"/>
  <c r="AJ29" i="33"/>
  <c r="AJ39" i="4" s="1"/>
  <c r="AI29" i="33"/>
  <c r="AI39" i="4" s="1"/>
  <c r="AH29" i="33"/>
  <c r="AH39" i="4" s="1"/>
  <c r="AG29" i="33"/>
  <c r="AG39" i="4" s="1"/>
  <c r="AF29" i="33"/>
  <c r="AF39" i="4" s="1"/>
  <c r="AE29" i="33"/>
  <c r="AE39" i="4" s="1"/>
  <c r="AD29" i="33"/>
  <c r="AD39" i="4" s="1"/>
  <c r="AC29" i="33"/>
  <c r="AC39" i="4" s="1"/>
  <c r="AB29" i="33"/>
  <c r="AB39" i="4" s="1"/>
  <c r="AA29" i="33"/>
  <c r="AA39" i="4" s="1"/>
  <c r="Z29" i="33"/>
  <c r="Z39" i="4" s="1"/>
  <c r="Y29" i="33"/>
  <c r="Y39" i="4" s="1"/>
  <c r="X29" i="33"/>
  <c r="X39" i="4" s="1"/>
  <c r="W29" i="33"/>
  <c r="W39" i="4" s="1"/>
  <c r="K29" i="33"/>
  <c r="K39" i="4" s="1"/>
  <c r="G29" i="33"/>
  <c r="G39" i="4" s="1"/>
  <c r="AK28" i="33"/>
  <c r="AJ28" i="33"/>
  <c r="AI28" i="33"/>
  <c r="AH28" i="33"/>
  <c r="AG28" i="33"/>
  <c r="AF28" i="33"/>
  <c r="AE28" i="33"/>
  <c r="AD28" i="33"/>
  <c r="AC28" i="33"/>
  <c r="AB28" i="33"/>
  <c r="AA28" i="33"/>
  <c r="Z28" i="33"/>
  <c r="Y28" i="33"/>
  <c r="X28" i="33"/>
  <c r="W28" i="33"/>
  <c r="R28" i="33"/>
  <c r="AK24" i="33"/>
  <c r="AJ24" i="33"/>
  <c r="AI24" i="33"/>
  <c r="AH24" i="33"/>
  <c r="AG24" i="33"/>
  <c r="AF24" i="33"/>
  <c r="AE24" i="33"/>
  <c r="AD24" i="33"/>
  <c r="AC24" i="33"/>
  <c r="AB24" i="33"/>
  <c r="AA24" i="33"/>
  <c r="Z24" i="33"/>
  <c r="Y24" i="33"/>
  <c r="X24" i="33"/>
  <c r="W24" i="33"/>
  <c r="V24" i="33"/>
  <c r="U24" i="33"/>
  <c r="T24" i="33"/>
  <c r="S24" i="33"/>
  <c r="R24" i="33"/>
  <c r="Q24" i="33"/>
  <c r="P24" i="33"/>
  <c r="O24" i="33"/>
  <c r="L24" i="33"/>
  <c r="J24" i="33"/>
  <c r="I24" i="33"/>
  <c r="H24" i="33"/>
  <c r="G24" i="33"/>
  <c r="F24" i="33"/>
  <c r="E24" i="33"/>
  <c r="D24" i="33"/>
  <c r="C24" i="33"/>
  <c r="B24" i="33"/>
  <c r="AK23" i="33"/>
  <c r="AJ23" i="33"/>
  <c r="AI23" i="33"/>
  <c r="AH23" i="33"/>
  <c r="AG23" i="33"/>
  <c r="AF23" i="33"/>
  <c r="AE23" i="33"/>
  <c r="AD23" i="33"/>
  <c r="AC23" i="33"/>
  <c r="AB23" i="33"/>
  <c r="AA23" i="33"/>
  <c r="Z23" i="33"/>
  <c r="Y23" i="33"/>
  <c r="X23" i="33"/>
  <c r="W23" i="33"/>
  <c r="V23" i="33"/>
  <c r="U23" i="33"/>
  <c r="T23" i="33"/>
  <c r="S23" i="33"/>
  <c r="R23" i="33"/>
  <c r="Q23" i="33"/>
  <c r="P23" i="33"/>
  <c r="O23" i="33"/>
  <c r="B28" i="33" s="1"/>
  <c r="B38" i="4" s="1"/>
  <c r="L23" i="33"/>
  <c r="J23" i="33"/>
  <c r="I23" i="33"/>
  <c r="H23" i="33"/>
  <c r="G23" i="33"/>
  <c r="F23" i="33"/>
  <c r="E23" i="33"/>
  <c r="D23" i="33"/>
  <c r="C23" i="33"/>
  <c r="B23" i="33"/>
  <c r="A22" i="33"/>
  <c r="H22" i="33"/>
  <c r="G45" i="33"/>
  <c r="F27" i="33"/>
  <c r="F52" i="33" s="1"/>
  <c r="E45" i="33"/>
  <c r="D22" i="33"/>
  <c r="C45" i="33"/>
  <c r="B45" i="33"/>
  <c r="X56" i="33"/>
  <c r="Q56" i="33"/>
  <c r="V56" i="33"/>
  <c r="AE56" i="33"/>
  <c r="AK56" i="33"/>
  <c r="AB56" i="33"/>
  <c r="W56" i="33"/>
  <c r="U56" i="33"/>
  <c r="AI56" i="33"/>
  <c r="Z56" i="33"/>
  <c r="T56" i="33"/>
  <c r="AD56" i="33"/>
  <c r="S56" i="33"/>
  <c r="AG56" i="33"/>
  <c r="AC56" i="33"/>
  <c r="O56" i="33"/>
  <c r="AH56" i="33"/>
  <c r="Y56" i="33"/>
  <c r="P56" i="33"/>
  <c r="R56" i="33"/>
  <c r="AF56" i="33"/>
  <c r="AJ56" i="33"/>
  <c r="AA56" i="33"/>
  <c r="S28" i="33" l="1"/>
  <c r="S46" i="33" s="1"/>
  <c r="S53" i="33" s="1"/>
  <c r="S29" i="33"/>
  <c r="S39" i="4" s="1"/>
  <c r="U30" i="33"/>
  <c r="U40" i="4" s="1"/>
  <c r="Q32" i="33"/>
  <c r="Q42" i="4" s="1"/>
  <c r="Q34" i="33"/>
  <c r="Q44" i="4" s="1"/>
  <c r="P35" i="33"/>
  <c r="P45" i="4" s="1"/>
  <c r="T28" i="33"/>
  <c r="T29" i="33"/>
  <c r="T39" i="4" s="1"/>
  <c r="V30" i="33"/>
  <c r="V40" i="4" s="1"/>
  <c r="P31" i="33"/>
  <c r="P41" i="4" s="1"/>
  <c r="R32" i="33"/>
  <c r="R42" i="4" s="1"/>
  <c r="Q33" i="33"/>
  <c r="Q43" i="4" s="1"/>
  <c r="R34" i="33"/>
  <c r="R44" i="4" s="1"/>
  <c r="Q35" i="33"/>
  <c r="Q45" i="4" s="1"/>
  <c r="U28" i="33"/>
  <c r="U29" i="33"/>
  <c r="U39" i="4" s="1"/>
  <c r="Q31" i="33"/>
  <c r="Q41" i="4" s="1"/>
  <c r="S32" i="33"/>
  <c r="S42" i="4" s="1"/>
  <c r="R33" i="33"/>
  <c r="R43" i="4" s="1"/>
  <c r="S34" i="33"/>
  <c r="S44" i="4" s="1"/>
  <c r="R35" i="33"/>
  <c r="R45" i="4" s="1"/>
  <c r="V28" i="33"/>
  <c r="V46" i="33" s="1"/>
  <c r="V53" i="33" s="1"/>
  <c r="V29" i="33"/>
  <c r="V39" i="4" s="1"/>
  <c r="P30" i="33"/>
  <c r="P40" i="4" s="1"/>
  <c r="R31" i="33"/>
  <c r="R41" i="4" s="1"/>
  <c r="T32" i="33"/>
  <c r="T42" i="4" s="1"/>
  <c r="S33" i="33"/>
  <c r="S43" i="4" s="1"/>
  <c r="T34" i="33"/>
  <c r="T44" i="4" s="1"/>
  <c r="S35" i="33"/>
  <c r="S45" i="4" s="1"/>
  <c r="Q30" i="33"/>
  <c r="Q40" i="4" s="1"/>
  <c r="S31" i="33"/>
  <c r="S41" i="4" s="1"/>
  <c r="U32" i="33"/>
  <c r="U42" i="4" s="1"/>
  <c r="T33" i="33"/>
  <c r="T43" i="4" s="1"/>
  <c r="U34" i="33"/>
  <c r="U44" i="4" s="1"/>
  <c r="T35" i="33"/>
  <c r="T45" i="4" s="1"/>
  <c r="P28" i="33"/>
  <c r="P29" i="33"/>
  <c r="P39" i="4" s="1"/>
  <c r="R30" i="33"/>
  <c r="R40" i="4" s="1"/>
  <c r="T31" i="33"/>
  <c r="T41" i="4" s="1"/>
  <c r="V32" i="33"/>
  <c r="V42" i="4" s="1"/>
  <c r="U33" i="33"/>
  <c r="U43" i="4" s="1"/>
  <c r="V34" i="33"/>
  <c r="V44" i="4" s="1"/>
  <c r="U35" i="33"/>
  <c r="U45" i="4" s="1"/>
  <c r="Q28" i="33"/>
  <c r="Q29" i="33"/>
  <c r="Q39" i="4" s="1"/>
  <c r="S30" i="33"/>
  <c r="S40" i="4" s="1"/>
  <c r="U31" i="33"/>
  <c r="U41" i="4" s="1"/>
  <c r="V33" i="33"/>
  <c r="V43" i="4" s="1"/>
  <c r="V35" i="33"/>
  <c r="V45" i="4" s="1"/>
  <c r="R29" i="33"/>
  <c r="R39" i="4" s="1"/>
  <c r="T30" i="33"/>
  <c r="T40" i="4" s="1"/>
  <c r="V31" i="33"/>
  <c r="V41" i="4" s="1"/>
  <c r="P32" i="33"/>
  <c r="P42" i="4" s="1"/>
  <c r="P34" i="33"/>
  <c r="P44" i="4" s="1"/>
  <c r="O36" i="33"/>
  <c r="O46" i="4" s="1"/>
  <c r="O37" i="33"/>
  <c r="O47" i="4" s="1"/>
  <c r="O38" i="33"/>
  <c r="O48" i="4" s="1"/>
  <c r="O39" i="33"/>
  <c r="O49" i="4" s="1"/>
  <c r="O40" i="33"/>
  <c r="O50" i="4" s="1"/>
  <c r="O41" i="33"/>
  <c r="O51" i="4" s="1"/>
  <c r="O42" i="33"/>
  <c r="O52" i="4" s="1"/>
  <c r="O43" i="33"/>
  <c r="O53" i="4" s="1"/>
  <c r="H28" i="33"/>
  <c r="H38" i="4" s="1"/>
  <c r="L28" i="33"/>
  <c r="L38" i="4" s="1"/>
  <c r="E29" i="33"/>
  <c r="E39" i="4" s="1"/>
  <c r="M29" i="33"/>
  <c r="M39" i="4" s="1"/>
  <c r="J30" i="33"/>
  <c r="J40" i="4" s="1"/>
  <c r="O30" i="33"/>
  <c r="O40" i="4" s="1"/>
  <c r="D32" i="33"/>
  <c r="D42" i="4" s="1"/>
  <c r="L32" i="33"/>
  <c r="L42" i="4" s="1"/>
  <c r="E33" i="33"/>
  <c r="E43" i="4" s="1"/>
  <c r="J34" i="33"/>
  <c r="J44" i="4" s="1"/>
  <c r="G35" i="33"/>
  <c r="G45" i="4" s="1"/>
  <c r="K35" i="33"/>
  <c r="K45" i="4" s="1"/>
  <c r="E28" i="33"/>
  <c r="E38" i="4" s="1"/>
  <c r="I28" i="33"/>
  <c r="I38" i="4" s="1"/>
  <c r="M28" i="33"/>
  <c r="M38" i="4" s="1"/>
  <c r="F29" i="33"/>
  <c r="F39" i="4" s="1"/>
  <c r="J29" i="33"/>
  <c r="J39" i="4" s="1"/>
  <c r="O29" i="33"/>
  <c r="O39" i="4" s="1"/>
  <c r="C30" i="33"/>
  <c r="C40" i="4" s="1"/>
  <c r="G30" i="33"/>
  <c r="G40" i="4" s="1"/>
  <c r="K30" i="33"/>
  <c r="K40" i="4" s="1"/>
  <c r="D31" i="33"/>
  <c r="D41" i="4" s="1"/>
  <c r="H31" i="33"/>
  <c r="H41" i="4" s="1"/>
  <c r="L31" i="33"/>
  <c r="L41" i="4" s="1"/>
  <c r="E32" i="33"/>
  <c r="E42" i="4" s="1"/>
  <c r="I32" i="33"/>
  <c r="I42" i="4" s="1"/>
  <c r="M32" i="33"/>
  <c r="M42" i="4" s="1"/>
  <c r="F33" i="33"/>
  <c r="F43" i="4" s="1"/>
  <c r="J33" i="33"/>
  <c r="J43" i="4" s="1"/>
  <c r="O33" i="33"/>
  <c r="O43" i="4" s="1"/>
  <c r="C34" i="33"/>
  <c r="C44" i="4" s="1"/>
  <c r="G34" i="33"/>
  <c r="G44" i="4" s="1"/>
  <c r="K34" i="33"/>
  <c r="K44" i="4" s="1"/>
  <c r="D35" i="33"/>
  <c r="D45" i="4" s="1"/>
  <c r="G31" i="33"/>
  <c r="G41" i="4" s="1"/>
  <c r="H32" i="33"/>
  <c r="H42" i="4" s="1"/>
  <c r="O34" i="33"/>
  <c r="O44" i="4" s="1"/>
  <c r="C35" i="33"/>
  <c r="C45" i="4" s="1"/>
  <c r="F28" i="33"/>
  <c r="J28" i="33"/>
  <c r="O28" i="33"/>
  <c r="C29" i="33"/>
  <c r="C39" i="4" s="1"/>
  <c r="D30" i="33"/>
  <c r="D40" i="4" s="1"/>
  <c r="H30" i="33"/>
  <c r="H40" i="4" s="1"/>
  <c r="L30" i="33"/>
  <c r="L40" i="4" s="1"/>
  <c r="E31" i="33"/>
  <c r="E41" i="4" s="1"/>
  <c r="I31" i="33"/>
  <c r="I41" i="4" s="1"/>
  <c r="M31" i="33"/>
  <c r="M41" i="4" s="1"/>
  <c r="F32" i="33"/>
  <c r="F42" i="4" s="1"/>
  <c r="J32" i="33"/>
  <c r="J42" i="4" s="1"/>
  <c r="O32" i="33"/>
  <c r="O42" i="4" s="1"/>
  <c r="G33" i="33"/>
  <c r="G43" i="4" s="1"/>
  <c r="K33" i="33"/>
  <c r="K43" i="4" s="1"/>
  <c r="D34" i="33"/>
  <c r="D44" i="4" s="1"/>
  <c r="H34" i="33"/>
  <c r="H44" i="4" s="1"/>
  <c r="L34" i="33"/>
  <c r="L44" i="4" s="1"/>
  <c r="E35" i="33"/>
  <c r="E45" i="4" s="1"/>
  <c r="I35" i="33"/>
  <c r="I45" i="4" s="1"/>
  <c r="D28" i="33"/>
  <c r="D38" i="4" s="1"/>
  <c r="I29" i="33"/>
  <c r="I39" i="4" s="1"/>
  <c r="F30" i="33"/>
  <c r="F40" i="4" s="1"/>
  <c r="C31" i="33"/>
  <c r="C41" i="4" s="1"/>
  <c r="K31" i="33"/>
  <c r="K41" i="4" s="1"/>
  <c r="I33" i="33"/>
  <c r="I43" i="4" s="1"/>
  <c r="M33" i="33"/>
  <c r="M43" i="4" s="1"/>
  <c r="F34" i="33"/>
  <c r="F44" i="4" s="1"/>
  <c r="C28" i="33"/>
  <c r="C38" i="4" s="1"/>
  <c r="G28" i="33"/>
  <c r="K28" i="33"/>
  <c r="D29" i="33"/>
  <c r="D39" i="4" s="1"/>
  <c r="H29" i="33"/>
  <c r="H39" i="4" s="1"/>
  <c r="L29" i="33"/>
  <c r="L39" i="4" s="1"/>
  <c r="E30" i="33"/>
  <c r="E40" i="4" s="1"/>
  <c r="I30" i="33"/>
  <c r="I40" i="4" s="1"/>
  <c r="M30" i="33"/>
  <c r="M40" i="4" s="1"/>
  <c r="F31" i="33"/>
  <c r="F41" i="4" s="1"/>
  <c r="J31" i="33"/>
  <c r="J41" i="4" s="1"/>
  <c r="O31" i="33"/>
  <c r="O41" i="4" s="1"/>
  <c r="C32" i="33"/>
  <c r="C42" i="4" s="1"/>
  <c r="G32" i="33"/>
  <c r="G42" i="4" s="1"/>
  <c r="K32" i="33"/>
  <c r="K42" i="4" s="1"/>
  <c r="D33" i="33"/>
  <c r="D43" i="4" s="1"/>
  <c r="E34" i="33"/>
  <c r="E44" i="4" s="1"/>
  <c r="I34" i="33"/>
  <c r="I44" i="4" s="1"/>
  <c r="F35" i="33"/>
  <c r="F45" i="4" s="1"/>
  <c r="J35" i="33"/>
  <c r="J45" i="4" s="1"/>
  <c r="O35" i="33"/>
  <c r="O45" i="4" s="1"/>
  <c r="B29" i="33"/>
  <c r="B39" i="4" s="1"/>
  <c r="B30" i="33"/>
  <c r="B40" i="4" s="1"/>
  <c r="B31" i="33"/>
  <c r="B41" i="4" s="1"/>
  <c r="B32" i="33"/>
  <c r="B42" i="4" s="1"/>
  <c r="B33" i="33"/>
  <c r="B43" i="4" s="1"/>
  <c r="B34" i="33"/>
  <c r="B44" i="4" s="1"/>
  <c r="B35" i="33"/>
  <c r="B45" i="4" s="1"/>
  <c r="U38" i="4"/>
  <c r="Y38" i="4"/>
  <c r="AK38" i="4"/>
  <c r="R38" i="4"/>
  <c r="V38" i="4"/>
  <c r="Z38" i="4"/>
  <c r="AD38" i="4"/>
  <c r="AH38" i="4"/>
  <c r="B22" i="33"/>
  <c r="E22" i="33"/>
  <c r="I45" i="33"/>
  <c r="I52" i="33"/>
  <c r="I27" i="33"/>
  <c r="G38" i="4"/>
  <c r="K38" i="4"/>
  <c r="P38" i="4"/>
  <c r="T38" i="4"/>
  <c r="T47" i="33"/>
  <c r="T48" i="33" s="1"/>
  <c r="T54" i="33" s="1"/>
  <c r="X38" i="4"/>
  <c r="X47" i="33"/>
  <c r="X48" i="33" s="1"/>
  <c r="X54" i="33" s="1"/>
  <c r="X46" i="33"/>
  <c r="X53" i="33" s="1"/>
  <c r="AB47" i="33"/>
  <c r="AB48" i="33" s="1"/>
  <c r="AB54" i="33" s="1"/>
  <c r="AB38" i="4"/>
  <c r="AB46" i="33"/>
  <c r="AB53" i="33" s="1"/>
  <c r="AF46" i="33"/>
  <c r="AF53" i="33" s="1"/>
  <c r="AF38" i="4"/>
  <c r="AF47" i="33"/>
  <c r="AF48" i="33" s="1"/>
  <c r="AF54" i="33" s="1"/>
  <c r="AJ38" i="4"/>
  <c r="AJ46" i="33"/>
  <c r="AJ53" i="33" s="1"/>
  <c r="AJ47" i="33"/>
  <c r="AJ48" i="33" s="1"/>
  <c r="AJ54" i="33" s="1"/>
  <c r="B27" i="33"/>
  <c r="B52" i="33" s="1"/>
  <c r="Q38" i="4"/>
  <c r="AC46" i="33"/>
  <c r="AC53" i="33" s="1"/>
  <c r="AC38" i="4"/>
  <c r="AG47" i="33"/>
  <c r="AG48" i="33" s="1"/>
  <c r="AG54" i="33" s="1"/>
  <c r="AG38" i="4"/>
  <c r="D27" i="33"/>
  <c r="D52" i="33" s="1"/>
  <c r="I22" i="33"/>
  <c r="E27" i="33"/>
  <c r="E52" i="33" s="1"/>
  <c r="F38" i="4"/>
  <c r="J46" i="33"/>
  <c r="J53" i="33" s="1"/>
  <c r="O38" i="4"/>
  <c r="W38" i="4"/>
  <c r="W46" i="33"/>
  <c r="W53" i="33" s="1"/>
  <c r="W47" i="33"/>
  <c r="W48" i="33" s="1"/>
  <c r="W54" i="33" s="1"/>
  <c r="AA38" i="4"/>
  <c r="AA46" i="33"/>
  <c r="AA53" i="33" s="1"/>
  <c r="AA47" i="33"/>
  <c r="AA48" i="33" s="1"/>
  <c r="AA54" i="33" s="1"/>
  <c r="AE38" i="4"/>
  <c r="AE46" i="33"/>
  <c r="AE53" i="33" s="1"/>
  <c r="AE47" i="33"/>
  <c r="AE48" i="33" s="1"/>
  <c r="AE54" i="33" s="1"/>
  <c r="AI38" i="4"/>
  <c r="AI47" i="33"/>
  <c r="AI48" i="33" s="1"/>
  <c r="AI54" i="33" s="1"/>
  <c r="AI46" i="33"/>
  <c r="AI53" i="33" s="1"/>
  <c r="D45" i="33"/>
  <c r="G57" i="33"/>
  <c r="T57" i="33"/>
  <c r="AA57" i="33"/>
  <c r="AI57" i="33"/>
  <c r="H57" i="33"/>
  <c r="O57" i="33"/>
  <c r="U57" i="33"/>
  <c r="AC57" i="33"/>
  <c r="AJ57" i="33"/>
  <c r="C57" i="33"/>
  <c r="J57" i="33"/>
  <c r="P57" i="33"/>
  <c r="X57" i="33"/>
  <c r="AE57" i="33"/>
  <c r="AK57" i="33"/>
  <c r="D57" i="33"/>
  <c r="L57" i="33"/>
  <c r="S57" i="33"/>
  <c r="Y57" i="33"/>
  <c r="AF57" i="33"/>
  <c r="F57" i="33"/>
  <c r="K57" i="33"/>
  <c r="Q57" i="33"/>
  <c r="W57" i="33"/>
  <c r="AB57" i="33"/>
  <c r="AG57" i="33"/>
  <c r="B57" i="33"/>
  <c r="E57" i="33"/>
  <c r="I57" i="33"/>
  <c r="M57" i="33"/>
  <c r="R57" i="33"/>
  <c r="V57" i="33"/>
  <c r="Z57" i="33"/>
  <c r="AD57" i="33"/>
  <c r="AH57" i="33"/>
  <c r="U47" i="33"/>
  <c r="U48" i="33" s="1"/>
  <c r="U54" i="33" s="1"/>
  <c r="Y46" i="33"/>
  <c r="Y53" i="33" s="1"/>
  <c r="Y47" i="33"/>
  <c r="Y48" i="33" s="1"/>
  <c r="Y54" i="33" s="1"/>
  <c r="AK46" i="33"/>
  <c r="AK53" i="33" s="1"/>
  <c r="AK47" i="33"/>
  <c r="AK48" i="33" s="1"/>
  <c r="AK54" i="33" s="1"/>
  <c r="Q46" i="33"/>
  <c r="Q53" i="33" s="1"/>
  <c r="AG46" i="33"/>
  <c r="AG53" i="33" s="1"/>
  <c r="AC47" i="33"/>
  <c r="AC48" i="33" s="1"/>
  <c r="AC54" i="33" s="1"/>
  <c r="F22" i="33"/>
  <c r="B46" i="33"/>
  <c r="Z47" i="33"/>
  <c r="Z48" i="33" s="1"/>
  <c r="Z54" i="33" s="1"/>
  <c r="Z46" i="33"/>
  <c r="Z53" i="33" s="1"/>
  <c r="AD47" i="33"/>
  <c r="AD48" i="33" s="1"/>
  <c r="AD54" i="33" s="1"/>
  <c r="AD46" i="33"/>
  <c r="AD53" i="33" s="1"/>
  <c r="AH47" i="33"/>
  <c r="AH48" i="33" s="1"/>
  <c r="AH54" i="33" s="1"/>
  <c r="AH46" i="33"/>
  <c r="AH53" i="33" s="1"/>
  <c r="F45" i="33"/>
  <c r="G22" i="33"/>
  <c r="G27" i="33"/>
  <c r="G52" i="33" s="1"/>
  <c r="C22" i="33"/>
  <c r="C27" i="33"/>
  <c r="C52" i="33" s="1"/>
  <c r="H27" i="33"/>
  <c r="H52" i="33" s="1"/>
  <c r="H45" i="33"/>
  <c r="U46" i="33" l="1"/>
  <c r="U53" i="33" s="1"/>
  <c r="Q47" i="33"/>
  <c r="Q48" i="33" s="1"/>
  <c r="Q54" i="33" s="1"/>
  <c r="T46" i="33"/>
  <c r="T53" i="33" s="1"/>
  <c r="D47" i="33"/>
  <c r="D48" i="33" s="1"/>
  <c r="D54" i="33" s="1"/>
  <c r="V47" i="33"/>
  <c r="V48" i="33" s="1"/>
  <c r="V54" i="33" s="1"/>
  <c r="R47" i="33"/>
  <c r="R48" i="33" s="1"/>
  <c r="R54" i="33" s="1"/>
  <c r="S38" i="4"/>
  <c r="P46" i="33"/>
  <c r="P53" i="33" s="1"/>
  <c r="S47" i="33"/>
  <c r="S48" i="33" s="1"/>
  <c r="S54" i="33" s="1"/>
  <c r="P47" i="33"/>
  <c r="P48" i="33" s="1"/>
  <c r="P54" i="33" s="1"/>
  <c r="R46" i="33"/>
  <c r="R53" i="33" s="1"/>
  <c r="I47" i="33"/>
  <c r="I48" i="33" s="1"/>
  <c r="I54" i="33" s="1"/>
  <c r="J47" i="33"/>
  <c r="J48" i="33" s="1"/>
  <c r="J54" i="33" s="1"/>
  <c r="G46" i="33"/>
  <c r="G53" i="33" s="1"/>
  <c r="B47" i="33"/>
  <c r="B48" i="33" s="1"/>
  <c r="B54" i="33" s="1"/>
  <c r="L47" i="33"/>
  <c r="L48" i="33" s="1"/>
  <c r="L54" i="33" s="1"/>
  <c r="L46" i="33"/>
  <c r="L53" i="33" s="1"/>
  <c r="K46" i="33"/>
  <c r="K53" i="33" s="1"/>
  <c r="I46" i="33"/>
  <c r="I53" i="33" s="1"/>
  <c r="M46" i="33"/>
  <c r="M53" i="33" s="1"/>
  <c r="E46" i="33"/>
  <c r="E53" i="33" s="1"/>
  <c r="D46" i="33"/>
  <c r="D53" i="33" s="1"/>
  <c r="AA55" i="33"/>
  <c r="O46" i="33"/>
  <c r="O53" i="33" s="1"/>
  <c r="O55" i="33" s="1"/>
  <c r="J38" i="4"/>
  <c r="C46" i="33"/>
  <c r="C53" i="33" s="1"/>
  <c r="F46" i="33"/>
  <c r="F53" i="33" s="1"/>
  <c r="M47" i="33"/>
  <c r="M48" i="33" s="1"/>
  <c r="M54" i="33" s="1"/>
  <c r="E47" i="33"/>
  <c r="E48" i="33" s="1"/>
  <c r="E54" i="33" s="1"/>
  <c r="H47" i="33"/>
  <c r="H48" i="33" s="1"/>
  <c r="H54" i="33" s="1"/>
  <c r="O47" i="33"/>
  <c r="O48" i="33" s="1"/>
  <c r="O54" i="33" s="1"/>
  <c r="F47" i="33"/>
  <c r="F48" i="33" s="1"/>
  <c r="F54" i="33" s="1"/>
  <c r="K47" i="33"/>
  <c r="K48" i="33" s="1"/>
  <c r="K54" i="33" s="1"/>
  <c r="C47" i="33"/>
  <c r="C48" i="33" s="1"/>
  <c r="C54" i="33" s="1"/>
  <c r="H46" i="33"/>
  <c r="H53" i="33" s="1"/>
  <c r="G47" i="33"/>
  <c r="G48" i="33" s="1"/>
  <c r="G54" i="33" s="1"/>
  <c r="AD55" i="33"/>
  <c r="V55" i="33"/>
  <c r="AG55" i="33"/>
  <c r="AK55" i="33"/>
  <c r="T55" i="33"/>
  <c r="P55" i="33"/>
  <c r="AH55" i="33"/>
  <c r="Z55" i="33"/>
  <c r="R55" i="33"/>
  <c r="AC55" i="33"/>
  <c r="AB55" i="33"/>
  <c r="O59" i="33"/>
  <c r="J59" i="33"/>
  <c r="F59" i="33"/>
  <c r="I59" i="33"/>
  <c r="D59" i="33"/>
  <c r="H59" i="33"/>
  <c r="M59" i="33"/>
  <c r="G59" i="33"/>
  <c r="L59" i="33"/>
  <c r="E59" i="33"/>
  <c r="K59" i="33"/>
  <c r="C59" i="33"/>
  <c r="AI59" i="33"/>
  <c r="AE59" i="33"/>
  <c r="AA59" i="33"/>
  <c r="W59" i="33"/>
  <c r="S59" i="33"/>
  <c r="AK59" i="33"/>
  <c r="AF59" i="33"/>
  <c r="Z59" i="33"/>
  <c r="U59" i="33"/>
  <c r="P59" i="33"/>
  <c r="AJ59" i="33"/>
  <c r="AC59" i="33"/>
  <c r="V59" i="33"/>
  <c r="AH59" i="33"/>
  <c r="AB59" i="33"/>
  <c r="T59" i="33"/>
  <c r="AG59" i="33"/>
  <c r="Y59" i="33"/>
  <c r="R59" i="33"/>
  <c r="AD59" i="33"/>
  <c r="X59" i="33"/>
  <c r="Q59" i="33"/>
  <c r="B53" i="33"/>
  <c r="M55" i="33" s="1"/>
  <c r="X55" i="33" l="1"/>
  <c r="AE55" i="33"/>
  <c r="AJ55" i="33"/>
  <c r="B64" i="33"/>
  <c r="Y55" i="33"/>
  <c r="W55" i="33"/>
  <c r="B65" i="33"/>
  <c r="U55" i="33"/>
  <c r="AI55" i="33"/>
  <c r="AF55" i="33"/>
  <c r="S55" i="33"/>
  <c r="Q55" i="33"/>
  <c r="V60" i="33"/>
  <c r="V61" i="33" s="1"/>
  <c r="AI60" i="33"/>
  <c r="AI61" i="33" s="1"/>
  <c r="AG60" i="33"/>
  <c r="AG61" i="33" s="1"/>
  <c r="S60" i="33"/>
  <c r="S61" i="33" s="1"/>
  <c r="AD60" i="33"/>
  <c r="AD61" i="33" s="1"/>
  <c r="X60" i="33"/>
  <c r="X61" i="33" s="1"/>
  <c r="U60" i="33"/>
  <c r="U61" i="33" s="1"/>
  <c r="T60" i="33"/>
  <c r="T61" i="33" s="1"/>
  <c r="AC60" i="33"/>
  <c r="AC61" i="33" s="1"/>
  <c r="Z60" i="33"/>
  <c r="Z61" i="33" s="1"/>
  <c r="W60" i="33"/>
  <c r="W61" i="33" s="1"/>
  <c r="R60" i="33"/>
  <c r="R61" i="33" s="1"/>
  <c r="AB60" i="33"/>
  <c r="AB61" i="33" s="1"/>
  <c r="AJ60" i="33"/>
  <c r="AJ61" i="33" s="1"/>
  <c r="AF60" i="33"/>
  <c r="AF61" i="33" s="1"/>
  <c r="AA60" i="33"/>
  <c r="AA61" i="33" s="1"/>
  <c r="Q60" i="33"/>
  <c r="Q61" i="33" s="1"/>
  <c r="Y60" i="33"/>
  <c r="Y61" i="33" s="1"/>
  <c r="AH60" i="33"/>
  <c r="AH61" i="33" s="1"/>
  <c r="P60" i="33"/>
  <c r="P61" i="33" s="1"/>
  <c r="AK60" i="33"/>
  <c r="AK61" i="33" s="1"/>
  <c r="AE60" i="33"/>
  <c r="AE61" i="33" s="1"/>
  <c r="J60" i="33"/>
  <c r="J61" i="33" s="1"/>
  <c r="C60" i="33"/>
  <c r="C61" i="33" s="1"/>
  <c r="E60" i="33"/>
  <c r="E61" i="33" s="1"/>
  <c r="G60" i="33"/>
  <c r="G61" i="33" s="1"/>
  <c r="H60" i="33"/>
  <c r="H61" i="33" s="1"/>
  <c r="D60" i="33"/>
  <c r="D61" i="33" s="1"/>
  <c r="O60" i="33"/>
  <c r="O61" i="33" s="1"/>
  <c r="K60" i="33"/>
  <c r="K61" i="33" s="1"/>
  <c r="L60" i="33"/>
  <c r="L61" i="33" s="1"/>
  <c r="M60" i="33"/>
  <c r="M61" i="33" s="1"/>
  <c r="I60" i="33"/>
  <c r="I61" i="33" s="1"/>
  <c r="F60" i="33"/>
  <c r="F61" i="33" s="1"/>
  <c r="D55" i="33"/>
  <c r="B55" i="33"/>
  <c r="K55" i="33"/>
  <c r="L55" i="33"/>
  <c r="G55" i="33"/>
  <c r="F55" i="33"/>
  <c r="C55" i="33"/>
  <c r="J55" i="33"/>
  <c r="H55" i="33"/>
  <c r="I55" i="33"/>
  <c r="E55" i="33"/>
  <c r="M4" i="33" l="1"/>
  <c r="L4" i="33" l="1"/>
  <c r="L22" i="33" s="1"/>
  <c r="K4" i="33"/>
  <c r="K22" i="33" s="1"/>
  <c r="J4" i="33"/>
  <c r="J52" i="33" s="1"/>
  <c r="M45" i="33"/>
  <c r="M52" i="33"/>
  <c r="M27" i="33"/>
  <c r="M22" i="33"/>
  <c r="K45" i="33" l="1"/>
  <c r="K52"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W28" i="23"/>
  <c r="W22" i="4" s="1"/>
  <c r="X28" i="23"/>
  <c r="Y28" i="23"/>
  <c r="Z28" i="23"/>
  <c r="AA28" i="23"/>
  <c r="AA22" i="4" s="1"/>
  <c r="AB28" i="23"/>
  <c r="AC28" i="23"/>
  <c r="AD28" i="23"/>
  <c r="AE28" i="23"/>
  <c r="AE22" i="4" s="1"/>
  <c r="AF28" i="23"/>
  <c r="AG28" i="23"/>
  <c r="AH28" i="23"/>
  <c r="AI28" i="23"/>
  <c r="AJ28" i="23"/>
  <c r="AK28" i="23"/>
  <c r="W29" i="23"/>
  <c r="W23" i="4" s="1"/>
  <c r="X29" i="23"/>
  <c r="X23" i="4" s="1"/>
  <c r="Y29" i="23"/>
  <c r="Y23" i="4" s="1"/>
  <c r="Z29" i="23"/>
  <c r="Z23" i="4" s="1"/>
  <c r="AA29" i="23"/>
  <c r="AB29" i="23"/>
  <c r="AC29" i="23"/>
  <c r="AC23" i="4" s="1"/>
  <c r="AD29" i="23"/>
  <c r="AD23" i="4" s="1"/>
  <c r="AE29" i="23"/>
  <c r="AE23" i="4" s="1"/>
  <c r="AF29" i="23"/>
  <c r="AF23" i="4" s="1"/>
  <c r="AG29" i="23"/>
  <c r="AG23" i="4" s="1"/>
  <c r="AH29" i="23"/>
  <c r="AH23" i="4" s="1"/>
  <c r="AI29" i="23"/>
  <c r="AI23" i="4" s="1"/>
  <c r="AJ29" i="23"/>
  <c r="AJ23" i="4" s="1"/>
  <c r="AK29" i="23"/>
  <c r="AK23" i="4" s="1"/>
  <c r="W30" i="23"/>
  <c r="W24" i="4" s="1"/>
  <c r="X30" i="23"/>
  <c r="Y30" i="23"/>
  <c r="Y24" i="4" s="1"/>
  <c r="Z30" i="23"/>
  <c r="Z24" i="4" s="1"/>
  <c r="AA30" i="23"/>
  <c r="AA24" i="4" s="1"/>
  <c r="AB30" i="23"/>
  <c r="AC30" i="23"/>
  <c r="AC24" i="4" s="1"/>
  <c r="AD30" i="23"/>
  <c r="AD24" i="4" s="1"/>
  <c r="AE30" i="23"/>
  <c r="AE24" i="4" s="1"/>
  <c r="AF30" i="23"/>
  <c r="AF24" i="4" s="1"/>
  <c r="AG30" i="23"/>
  <c r="AG24" i="4" s="1"/>
  <c r="AH30" i="23"/>
  <c r="AH24" i="4" s="1"/>
  <c r="AI30" i="23"/>
  <c r="AI24" i="4" s="1"/>
  <c r="AJ30" i="23"/>
  <c r="AJ24" i="4" s="1"/>
  <c r="AK30" i="23"/>
  <c r="AK24" i="4" s="1"/>
  <c r="W31" i="23"/>
  <c r="W25" i="4" s="1"/>
  <c r="X31" i="23"/>
  <c r="X25" i="4" s="1"/>
  <c r="Y31" i="23"/>
  <c r="Y25" i="4" s="1"/>
  <c r="Z31" i="23"/>
  <c r="AA31" i="23"/>
  <c r="AA25" i="4" s="1"/>
  <c r="AB31" i="23"/>
  <c r="AB25" i="4" s="1"/>
  <c r="AC31" i="23"/>
  <c r="AC25" i="4" s="1"/>
  <c r="AD31" i="23"/>
  <c r="AD25" i="4" s="1"/>
  <c r="AE31" i="23"/>
  <c r="AE25" i="4" s="1"/>
  <c r="AF31" i="23"/>
  <c r="AF25" i="4" s="1"/>
  <c r="AG31" i="23"/>
  <c r="AG25" i="4" s="1"/>
  <c r="AH31" i="23"/>
  <c r="AH25" i="4" s="1"/>
  <c r="AI31" i="23"/>
  <c r="AI25" i="4" s="1"/>
  <c r="AJ31" i="23"/>
  <c r="AJ25" i="4" s="1"/>
  <c r="AK31" i="23"/>
  <c r="AK25" i="4" s="1"/>
  <c r="W32" i="23"/>
  <c r="W26" i="4" s="1"/>
  <c r="X32" i="23"/>
  <c r="X26" i="4" s="1"/>
  <c r="Y32" i="23"/>
  <c r="Y26" i="4" s="1"/>
  <c r="Z32" i="23"/>
  <c r="Z26" i="4" s="1"/>
  <c r="AA32" i="23"/>
  <c r="AA26" i="4" s="1"/>
  <c r="AB32" i="23"/>
  <c r="AB26" i="4" s="1"/>
  <c r="AC32" i="23"/>
  <c r="AC26" i="4" s="1"/>
  <c r="AD32" i="23"/>
  <c r="AD26" i="4" s="1"/>
  <c r="AE32" i="23"/>
  <c r="AE26" i="4" s="1"/>
  <c r="AF32" i="23"/>
  <c r="AF26" i="4" s="1"/>
  <c r="AG32" i="23"/>
  <c r="AG26" i="4" s="1"/>
  <c r="AH32" i="23"/>
  <c r="AH26" i="4" s="1"/>
  <c r="AI32" i="23"/>
  <c r="AI26" i="4" s="1"/>
  <c r="AJ32" i="23"/>
  <c r="AJ26" i="4" s="1"/>
  <c r="AK32" i="23"/>
  <c r="AK26" i="4" s="1"/>
  <c r="W33" i="23"/>
  <c r="W27" i="4" s="1"/>
  <c r="X33" i="23"/>
  <c r="Y33" i="23"/>
  <c r="Y27" i="4" s="1"/>
  <c r="Z33" i="23"/>
  <c r="Z27" i="4" s="1"/>
  <c r="AA33" i="23"/>
  <c r="AA27" i="4" s="1"/>
  <c r="AB33" i="23"/>
  <c r="AC33" i="23"/>
  <c r="AC27" i="4" s="1"/>
  <c r="AD33" i="23"/>
  <c r="AD27" i="4" s="1"/>
  <c r="AE33" i="23"/>
  <c r="AE27" i="4" s="1"/>
  <c r="AF33" i="23"/>
  <c r="AF27" i="4" s="1"/>
  <c r="AG33" i="23"/>
  <c r="AG27" i="4" s="1"/>
  <c r="AH33" i="23"/>
  <c r="AH27" i="4" s="1"/>
  <c r="AI33" i="23"/>
  <c r="AI27" i="4" s="1"/>
  <c r="AJ33" i="23"/>
  <c r="AJ27" i="4" s="1"/>
  <c r="AK33" i="23"/>
  <c r="AK27" i="4" s="1"/>
  <c r="W34" i="23"/>
  <c r="W28" i="4" s="1"/>
  <c r="X34" i="23"/>
  <c r="X28" i="4" s="1"/>
  <c r="Y34" i="23"/>
  <c r="Y28" i="4" s="1"/>
  <c r="Z34" i="23"/>
  <c r="Z28" i="4" s="1"/>
  <c r="AA34" i="23"/>
  <c r="AA28" i="4" s="1"/>
  <c r="AB34" i="23"/>
  <c r="AB28" i="4" s="1"/>
  <c r="AC34" i="23"/>
  <c r="AC28" i="4" s="1"/>
  <c r="AD34" i="23"/>
  <c r="AD28" i="4" s="1"/>
  <c r="AE34" i="23"/>
  <c r="AE28" i="4" s="1"/>
  <c r="AF34" i="23"/>
  <c r="AF28" i="4" s="1"/>
  <c r="AG34" i="23"/>
  <c r="AG28" i="4" s="1"/>
  <c r="AH34" i="23"/>
  <c r="AH28" i="4" s="1"/>
  <c r="AI34" i="23"/>
  <c r="AI28" i="4" s="1"/>
  <c r="AJ34" i="23"/>
  <c r="AJ28" i="4" s="1"/>
  <c r="AK34" i="23"/>
  <c r="AK28" i="4" s="1"/>
  <c r="W35" i="23"/>
  <c r="W29" i="4" s="1"/>
  <c r="X35" i="23"/>
  <c r="X29" i="4" s="1"/>
  <c r="Y35" i="23"/>
  <c r="Y29" i="4" s="1"/>
  <c r="Z35" i="23"/>
  <c r="Z29" i="4" s="1"/>
  <c r="AA35" i="23"/>
  <c r="AA29" i="4" s="1"/>
  <c r="AB35" i="23"/>
  <c r="AB29" i="4" s="1"/>
  <c r="AC35" i="23"/>
  <c r="AC29" i="4" s="1"/>
  <c r="AD35" i="23"/>
  <c r="AD29" i="4" s="1"/>
  <c r="AE35" i="23"/>
  <c r="AE29" i="4" s="1"/>
  <c r="AF35" i="23"/>
  <c r="AF29" i="4" s="1"/>
  <c r="AG35" i="23"/>
  <c r="AG29" i="4" s="1"/>
  <c r="AH35" i="23"/>
  <c r="AH29" i="4" s="1"/>
  <c r="AI35" i="23"/>
  <c r="AI29" i="4" s="1"/>
  <c r="AJ35" i="23"/>
  <c r="AJ29" i="4" s="1"/>
  <c r="AK35" i="23"/>
  <c r="AK29" i="4" s="1"/>
  <c r="P36" i="23"/>
  <c r="P30" i="4" s="1"/>
  <c r="Q36" i="23"/>
  <c r="Q30" i="4" s="1"/>
  <c r="R36" i="23"/>
  <c r="R30" i="4" s="1"/>
  <c r="S36" i="23"/>
  <c r="S30" i="4" s="1"/>
  <c r="T36" i="23"/>
  <c r="T30" i="4" s="1"/>
  <c r="U36" i="23"/>
  <c r="U30" i="4" s="1"/>
  <c r="V36" i="23"/>
  <c r="V30" i="4" s="1"/>
  <c r="W36" i="23"/>
  <c r="W30" i="4" s="1"/>
  <c r="X36" i="23"/>
  <c r="X30" i="4" s="1"/>
  <c r="Y36" i="23"/>
  <c r="Y30" i="4" s="1"/>
  <c r="Z36" i="23"/>
  <c r="Z30" i="4" s="1"/>
  <c r="AA36" i="23"/>
  <c r="AA30" i="4" s="1"/>
  <c r="AB36" i="23"/>
  <c r="AB30" i="4" s="1"/>
  <c r="AC36" i="23"/>
  <c r="AC30" i="4" s="1"/>
  <c r="AD36" i="23"/>
  <c r="AD30" i="4" s="1"/>
  <c r="AE36" i="23"/>
  <c r="AE30" i="4" s="1"/>
  <c r="AF36" i="23"/>
  <c r="AF30" i="4" s="1"/>
  <c r="AG36" i="23"/>
  <c r="AG30" i="4" s="1"/>
  <c r="AH36" i="23"/>
  <c r="AI36" i="23"/>
  <c r="AI30" i="4" s="1"/>
  <c r="AJ36" i="23"/>
  <c r="AJ30" i="4" s="1"/>
  <c r="AK36" i="23"/>
  <c r="AK30" i="4" s="1"/>
  <c r="P37" i="23"/>
  <c r="P31" i="4" s="1"/>
  <c r="Q37" i="23"/>
  <c r="Q31" i="4" s="1"/>
  <c r="R37" i="23"/>
  <c r="R31" i="4" s="1"/>
  <c r="S37" i="23"/>
  <c r="S31" i="4" s="1"/>
  <c r="T37" i="23"/>
  <c r="T31" i="4" s="1"/>
  <c r="U37" i="23"/>
  <c r="U31" i="4" s="1"/>
  <c r="V37" i="23"/>
  <c r="V31" i="4" s="1"/>
  <c r="W37" i="23"/>
  <c r="W31" i="4" s="1"/>
  <c r="X37" i="23"/>
  <c r="X31" i="4" s="1"/>
  <c r="Y37" i="23"/>
  <c r="Y31" i="4" s="1"/>
  <c r="Z37" i="23"/>
  <c r="Z31" i="4" s="1"/>
  <c r="AA37" i="23"/>
  <c r="AA31" i="4" s="1"/>
  <c r="AB37" i="23"/>
  <c r="AB31" i="4" s="1"/>
  <c r="AC37" i="23"/>
  <c r="AC31" i="4" s="1"/>
  <c r="AD37" i="23"/>
  <c r="AD31" i="4" s="1"/>
  <c r="AE37" i="23"/>
  <c r="AE31" i="4" s="1"/>
  <c r="AF37" i="23"/>
  <c r="AF31" i="4" s="1"/>
  <c r="AG37" i="23"/>
  <c r="AG31" i="4" s="1"/>
  <c r="AH37" i="23"/>
  <c r="AH31" i="4" s="1"/>
  <c r="AI37" i="23"/>
  <c r="AI31" i="4" s="1"/>
  <c r="AJ37" i="23"/>
  <c r="AJ31" i="4" s="1"/>
  <c r="AK37" i="23"/>
  <c r="AK31" i="4" s="1"/>
  <c r="P38" i="23"/>
  <c r="P32" i="4" s="1"/>
  <c r="Q38" i="23"/>
  <c r="Q32" i="4" s="1"/>
  <c r="R38" i="23"/>
  <c r="R32" i="4" s="1"/>
  <c r="S38" i="23"/>
  <c r="S32" i="4" s="1"/>
  <c r="T38" i="23"/>
  <c r="T32" i="4" s="1"/>
  <c r="U38" i="23"/>
  <c r="U32" i="4" s="1"/>
  <c r="V38" i="23"/>
  <c r="V32" i="4" s="1"/>
  <c r="W38" i="23"/>
  <c r="W32" i="4" s="1"/>
  <c r="X38" i="23"/>
  <c r="X32" i="4" s="1"/>
  <c r="Y38" i="23"/>
  <c r="Y32" i="4" s="1"/>
  <c r="Z38" i="23"/>
  <c r="Z32" i="4" s="1"/>
  <c r="AA38" i="23"/>
  <c r="AA32" i="4" s="1"/>
  <c r="AB38" i="23"/>
  <c r="AB32" i="4" s="1"/>
  <c r="AC38" i="23"/>
  <c r="AC32" i="4" s="1"/>
  <c r="AD38" i="23"/>
  <c r="AD32" i="4" s="1"/>
  <c r="AE38" i="23"/>
  <c r="AE32" i="4" s="1"/>
  <c r="AF38" i="23"/>
  <c r="AF32" i="4" s="1"/>
  <c r="AG38" i="23"/>
  <c r="AG32" i="4" s="1"/>
  <c r="AH38" i="23"/>
  <c r="AH32" i="4" s="1"/>
  <c r="AI38" i="23"/>
  <c r="AI32" i="4" s="1"/>
  <c r="AJ38" i="23"/>
  <c r="AJ32" i="4" s="1"/>
  <c r="AK38" i="23"/>
  <c r="AK32" i="4" s="1"/>
  <c r="P39" i="23"/>
  <c r="P33" i="4" s="1"/>
  <c r="Q39" i="23"/>
  <c r="Q33" i="4" s="1"/>
  <c r="R39" i="23"/>
  <c r="R33" i="4" s="1"/>
  <c r="S39" i="23"/>
  <c r="S33" i="4" s="1"/>
  <c r="T39" i="23"/>
  <c r="T33" i="4" s="1"/>
  <c r="U39" i="23"/>
  <c r="U33" i="4" s="1"/>
  <c r="V39" i="23"/>
  <c r="V33" i="4" s="1"/>
  <c r="W39" i="23"/>
  <c r="W33" i="4" s="1"/>
  <c r="X39" i="23"/>
  <c r="X33" i="4" s="1"/>
  <c r="Y39" i="23"/>
  <c r="Y33" i="4" s="1"/>
  <c r="Z39" i="23"/>
  <c r="Z33" i="4" s="1"/>
  <c r="AA39" i="23"/>
  <c r="AA33" i="4" s="1"/>
  <c r="AB39" i="23"/>
  <c r="AB33" i="4" s="1"/>
  <c r="AC39" i="23"/>
  <c r="AC33" i="4" s="1"/>
  <c r="AD39" i="23"/>
  <c r="AD33" i="4" s="1"/>
  <c r="AE39" i="23"/>
  <c r="AE33" i="4" s="1"/>
  <c r="AF39" i="23"/>
  <c r="AF33" i="4" s="1"/>
  <c r="AG39" i="23"/>
  <c r="AG33" i="4" s="1"/>
  <c r="AH39" i="23"/>
  <c r="AH33" i="4" s="1"/>
  <c r="AI39" i="23"/>
  <c r="AI33" i="4" s="1"/>
  <c r="AJ39" i="23"/>
  <c r="AJ33" i="4" s="1"/>
  <c r="AK39" i="23"/>
  <c r="AK33" i="4" s="1"/>
  <c r="P40" i="23"/>
  <c r="P34" i="4" s="1"/>
  <c r="Q40" i="23"/>
  <c r="Q34" i="4" s="1"/>
  <c r="R40" i="23"/>
  <c r="R34" i="4" s="1"/>
  <c r="S40" i="23"/>
  <c r="S34" i="4" s="1"/>
  <c r="T40" i="23"/>
  <c r="T34" i="4" s="1"/>
  <c r="U40" i="23"/>
  <c r="U34" i="4" s="1"/>
  <c r="V40" i="23"/>
  <c r="V34" i="4" s="1"/>
  <c r="W40" i="23"/>
  <c r="W34" i="4" s="1"/>
  <c r="X40" i="23"/>
  <c r="X34" i="4" s="1"/>
  <c r="Y40" i="23"/>
  <c r="Y34" i="4" s="1"/>
  <c r="Z40" i="23"/>
  <c r="Z34" i="4" s="1"/>
  <c r="AA40" i="23"/>
  <c r="AA34" i="4" s="1"/>
  <c r="AB40" i="23"/>
  <c r="AB34" i="4" s="1"/>
  <c r="AC40" i="23"/>
  <c r="AC34" i="4" s="1"/>
  <c r="AD40" i="23"/>
  <c r="AD34" i="4" s="1"/>
  <c r="AE40" i="23"/>
  <c r="AE34" i="4" s="1"/>
  <c r="AF40" i="23"/>
  <c r="AF34" i="4" s="1"/>
  <c r="AG40" i="23"/>
  <c r="AG34" i="4" s="1"/>
  <c r="AH40" i="23"/>
  <c r="AH34" i="4" s="1"/>
  <c r="AI40" i="23"/>
  <c r="AI34" i="4" s="1"/>
  <c r="AJ40" i="23"/>
  <c r="AJ34" i="4" s="1"/>
  <c r="AK40" i="23"/>
  <c r="AK34" i="4" s="1"/>
  <c r="P41" i="23"/>
  <c r="P35" i="4" s="1"/>
  <c r="Q41" i="23"/>
  <c r="Q35" i="4" s="1"/>
  <c r="R41" i="23"/>
  <c r="R35" i="4" s="1"/>
  <c r="S41" i="23"/>
  <c r="S35" i="4" s="1"/>
  <c r="T41" i="23"/>
  <c r="T35" i="4" s="1"/>
  <c r="U41" i="23"/>
  <c r="U35" i="4" s="1"/>
  <c r="V41" i="23"/>
  <c r="V35" i="4" s="1"/>
  <c r="W41" i="23"/>
  <c r="W35" i="4" s="1"/>
  <c r="X41" i="23"/>
  <c r="X35" i="4" s="1"/>
  <c r="Y41" i="23"/>
  <c r="Y35" i="4" s="1"/>
  <c r="Z41" i="23"/>
  <c r="Z35" i="4" s="1"/>
  <c r="AA41" i="23"/>
  <c r="AA35" i="4" s="1"/>
  <c r="AB41" i="23"/>
  <c r="AB35" i="4" s="1"/>
  <c r="AC41" i="23"/>
  <c r="AC35" i="4" s="1"/>
  <c r="AD41" i="23"/>
  <c r="AD35" i="4" s="1"/>
  <c r="AE41" i="23"/>
  <c r="AE35" i="4" s="1"/>
  <c r="AF41" i="23"/>
  <c r="AF35" i="4" s="1"/>
  <c r="AG41" i="23"/>
  <c r="AG35" i="4" s="1"/>
  <c r="AH41" i="23"/>
  <c r="AH35" i="4" s="1"/>
  <c r="AI41" i="23"/>
  <c r="AI35" i="4" s="1"/>
  <c r="AJ41" i="23"/>
  <c r="AJ35" i="4" s="1"/>
  <c r="AK41" i="23"/>
  <c r="AK35" i="4" s="1"/>
  <c r="P42" i="23"/>
  <c r="P36" i="4" s="1"/>
  <c r="Q42" i="23"/>
  <c r="Q36" i="4" s="1"/>
  <c r="R42" i="23"/>
  <c r="R36" i="4" s="1"/>
  <c r="S42" i="23"/>
  <c r="S36" i="4" s="1"/>
  <c r="T42" i="23"/>
  <c r="T36" i="4" s="1"/>
  <c r="U42" i="23"/>
  <c r="U36" i="4" s="1"/>
  <c r="V42" i="23"/>
  <c r="V36" i="4" s="1"/>
  <c r="W42" i="23"/>
  <c r="W36" i="4" s="1"/>
  <c r="X42" i="23"/>
  <c r="X36" i="4" s="1"/>
  <c r="Y42" i="23"/>
  <c r="Y36" i="4" s="1"/>
  <c r="Z42" i="23"/>
  <c r="Z36" i="4" s="1"/>
  <c r="AA42" i="23"/>
  <c r="AA36" i="4" s="1"/>
  <c r="AB42" i="23"/>
  <c r="AB36" i="4" s="1"/>
  <c r="AC42" i="23"/>
  <c r="AC36" i="4" s="1"/>
  <c r="AD42" i="23"/>
  <c r="AD36" i="4" s="1"/>
  <c r="AE42" i="23"/>
  <c r="AE36" i="4" s="1"/>
  <c r="AF42" i="23"/>
  <c r="AF36" i="4" s="1"/>
  <c r="AG42" i="23"/>
  <c r="AG36" i="4" s="1"/>
  <c r="AH42" i="23"/>
  <c r="AH36" i="4" s="1"/>
  <c r="AI42" i="23"/>
  <c r="AI36" i="4" s="1"/>
  <c r="AJ42" i="23"/>
  <c r="AJ36" i="4" s="1"/>
  <c r="AK42" i="23"/>
  <c r="AK36" i="4" s="1"/>
  <c r="P43" i="23"/>
  <c r="Q43" i="23"/>
  <c r="Q37" i="4" s="1"/>
  <c r="R43" i="23"/>
  <c r="S43" i="23"/>
  <c r="T43" i="23"/>
  <c r="U43" i="23"/>
  <c r="U37" i="4" s="1"/>
  <c r="V43" i="23"/>
  <c r="W43" i="23"/>
  <c r="X43" i="23"/>
  <c r="Y43" i="23"/>
  <c r="Y37" i="4" s="1"/>
  <c r="Z43" i="23"/>
  <c r="AA43" i="23"/>
  <c r="AB43" i="23"/>
  <c r="AC43" i="23"/>
  <c r="AC37" i="4" s="1"/>
  <c r="AD43" i="23"/>
  <c r="AE43" i="23"/>
  <c r="AF43" i="23"/>
  <c r="AG43" i="23"/>
  <c r="AH43" i="23"/>
  <c r="AI43" i="23"/>
  <c r="AJ43" i="23"/>
  <c r="AK43" i="23"/>
  <c r="O36" i="23"/>
  <c r="O30"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28" i="1"/>
  <c r="W28" i="1"/>
  <c r="X28" i="1"/>
  <c r="Y28" i="1"/>
  <c r="Z28" i="1"/>
  <c r="AA28" i="1"/>
  <c r="AB28" i="1"/>
  <c r="AC28" i="1"/>
  <c r="AD28" i="1"/>
  <c r="AE28" i="1"/>
  <c r="AF28" i="1"/>
  <c r="AG28" i="1"/>
  <c r="AH28" i="1"/>
  <c r="AI28" i="1"/>
  <c r="AJ28" i="1"/>
  <c r="AK28" i="1"/>
  <c r="W29" i="1"/>
  <c r="W7" i="4" s="1"/>
  <c r="X29" i="1"/>
  <c r="Y29" i="1"/>
  <c r="Y7" i="4" s="1"/>
  <c r="Z29" i="1"/>
  <c r="Z7" i="4" s="1"/>
  <c r="AA29" i="1"/>
  <c r="AA7" i="4" s="1"/>
  <c r="AB29" i="1"/>
  <c r="AB7" i="4" s="1"/>
  <c r="AC29" i="1"/>
  <c r="AC7" i="4" s="1"/>
  <c r="AD29" i="1"/>
  <c r="AD7" i="4" s="1"/>
  <c r="AE29" i="1"/>
  <c r="AE7" i="4" s="1"/>
  <c r="AF29" i="1"/>
  <c r="AF7" i="4" s="1"/>
  <c r="AG29" i="1"/>
  <c r="AG7" i="4" s="1"/>
  <c r="AH29" i="1"/>
  <c r="AH7" i="4" s="1"/>
  <c r="AI29" i="1"/>
  <c r="AI7" i="4" s="1"/>
  <c r="AJ29" i="1"/>
  <c r="AJ7" i="4" s="1"/>
  <c r="AK29" i="1"/>
  <c r="AK7" i="4" s="1"/>
  <c r="W30" i="1"/>
  <c r="W8" i="4" s="1"/>
  <c r="X30" i="1"/>
  <c r="X8" i="4" s="1"/>
  <c r="Y30" i="1"/>
  <c r="Y8" i="4" s="1"/>
  <c r="Z30" i="1"/>
  <c r="Z8" i="4" s="1"/>
  <c r="AA30" i="1"/>
  <c r="AA8" i="4" s="1"/>
  <c r="AB30" i="1"/>
  <c r="AB8" i="4" s="1"/>
  <c r="AC30" i="1"/>
  <c r="AC8" i="4" s="1"/>
  <c r="AD30" i="1"/>
  <c r="AD8" i="4" s="1"/>
  <c r="AE30" i="1"/>
  <c r="AE8" i="4" s="1"/>
  <c r="AF30" i="1"/>
  <c r="AF8" i="4" s="1"/>
  <c r="AG30" i="1"/>
  <c r="AG8" i="4" s="1"/>
  <c r="AH30" i="1"/>
  <c r="AH8" i="4" s="1"/>
  <c r="AI30" i="1"/>
  <c r="AI8" i="4" s="1"/>
  <c r="AJ30" i="1"/>
  <c r="AJ8" i="4" s="1"/>
  <c r="AK30" i="1"/>
  <c r="AK8" i="4" s="1"/>
  <c r="W31" i="1"/>
  <c r="W9" i="4" s="1"/>
  <c r="X31" i="1"/>
  <c r="X9" i="4" s="1"/>
  <c r="Y31" i="1"/>
  <c r="Y9" i="4" s="1"/>
  <c r="Z31" i="1"/>
  <c r="Z9" i="4" s="1"/>
  <c r="AA31" i="1"/>
  <c r="AA9" i="4" s="1"/>
  <c r="AB31" i="1"/>
  <c r="AB9" i="4" s="1"/>
  <c r="AC31" i="1"/>
  <c r="AC9" i="4" s="1"/>
  <c r="AD31" i="1"/>
  <c r="AD9" i="4" s="1"/>
  <c r="AE31" i="1"/>
  <c r="AE9" i="4" s="1"/>
  <c r="AF31" i="1"/>
  <c r="AG31" i="1"/>
  <c r="AG9" i="4" s="1"/>
  <c r="AH31" i="1"/>
  <c r="AH9" i="4" s="1"/>
  <c r="AI31" i="1"/>
  <c r="AI9" i="4" s="1"/>
  <c r="AJ31" i="1"/>
  <c r="AJ9" i="4" s="1"/>
  <c r="AK31" i="1"/>
  <c r="AK9" i="4" s="1"/>
  <c r="W32" i="1"/>
  <c r="W10" i="4" s="1"/>
  <c r="X32" i="1"/>
  <c r="X10" i="4" s="1"/>
  <c r="Y32" i="1"/>
  <c r="Y10" i="4" s="1"/>
  <c r="Z32" i="1"/>
  <c r="Z10" i="4" s="1"/>
  <c r="AA32" i="1"/>
  <c r="AA10" i="4" s="1"/>
  <c r="AB32" i="1"/>
  <c r="AB10" i="4" s="1"/>
  <c r="AC32" i="1"/>
  <c r="AC10" i="4" s="1"/>
  <c r="AD32" i="1"/>
  <c r="AD10" i="4" s="1"/>
  <c r="AE32" i="1"/>
  <c r="AE10" i="4" s="1"/>
  <c r="AF32" i="1"/>
  <c r="AF10" i="4" s="1"/>
  <c r="AG32" i="1"/>
  <c r="AG10" i="4" s="1"/>
  <c r="AH32" i="1"/>
  <c r="AH10" i="4" s="1"/>
  <c r="AI32" i="1"/>
  <c r="AI10" i="4" s="1"/>
  <c r="AJ32" i="1"/>
  <c r="AJ10" i="4" s="1"/>
  <c r="AK32" i="1"/>
  <c r="AK10" i="4" s="1"/>
  <c r="W33" i="1"/>
  <c r="W11" i="4" s="1"/>
  <c r="X33" i="1"/>
  <c r="Y33" i="1"/>
  <c r="Y11" i="4" s="1"/>
  <c r="Z33" i="1"/>
  <c r="Z11" i="4" s="1"/>
  <c r="AA33" i="1"/>
  <c r="AA11" i="4" s="1"/>
  <c r="AB33" i="1"/>
  <c r="AB11" i="4" s="1"/>
  <c r="AC33" i="1"/>
  <c r="AC11" i="4" s="1"/>
  <c r="AD33" i="1"/>
  <c r="AD11" i="4" s="1"/>
  <c r="AE33" i="1"/>
  <c r="AE11" i="4" s="1"/>
  <c r="AF33" i="1"/>
  <c r="AF11" i="4" s="1"/>
  <c r="AG33" i="1"/>
  <c r="AH33" i="1"/>
  <c r="AH11" i="4" s="1"/>
  <c r="AI33" i="1"/>
  <c r="AI11" i="4" s="1"/>
  <c r="AJ33" i="1"/>
  <c r="AJ11" i="4" s="1"/>
  <c r="AK33" i="1"/>
  <c r="AK11" i="4" s="1"/>
  <c r="W34" i="1"/>
  <c r="W12" i="4" s="1"/>
  <c r="X34" i="1"/>
  <c r="X12" i="4" s="1"/>
  <c r="Y34" i="1"/>
  <c r="Z34" i="1"/>
  <c r="Z12" i="4" s="1"/>
  <c r="AA34" i="1"/>
  <c r="AA12" i="4" s="1"/>
  <c r="AB34" i="1"/>
  <c r="AB12" i="4" s="1"/>
  <c r="AC34" i="1"/>
  <c r="AC12" i="4" s="1"/>
  <c r="AD34" i="1"/>
  <c r="AD12" i="4" s="1"/>
  <c r="AE34" i="1"/>
  <c r="AE12" i="4" s="1"/>
  <c r="AF34" i="1"/>
  <c r="AF12" i="4" s="1"/>
  <c r="AG34" i="1"/>
  <c r="AG12" i="4" s="1"/>
  <c r="AH34" i="1"/>
  <c r="AH12" i="4" s="1"/>
  <c r="AI34" i="1"/>
  <c r="AI12" i="4" s="1"/>
  <c r="AJ34" i="1"/>
  <c r="AJ12" i="4" s="1"/>
  <c r="AK34" i="1"/>
  <c r="AK12" i="4" s="1"/>
  <c r="W35" i="1"/>
  <c r="W13" i="4" s="1"/>
  <c r="X35" i="1"/>
  <c r="X13" i="4" s="1"/>
  <c r="Y35" i="1"/>
  <c r="Y13" i="4" s="1"/>
  <c r="Z35" i="1"/>
  <c r="Z13" i="4" s="1"/>
  <c r="AA35" i="1"/>
  <c r="AA13" i="4" s="1"/>
  <c r="AB35" i="1"/>
  <c r="AB13" i="4" s="1"/>
  <c r="AC35" i="1"/>
  <c r="AC13" i="4" s="1"/>
  <c r="AD35" i="1"/>
  <c r="AD13" i="4" s="1"/>
  <c r="AE35" i="1"/>
  <c r="AE13" i="4" s="1"/>
  <c r="AF35" i="1"/>
  <c r="AF13" i="4" s="1"/>
  <c r="AG35" i="1"/>
  <c r="AG13" i="4" s="1"/>
  <c r="AH35" i="1"/>
  <c r="AH13" i="4" s="1"/>
  <c r="AI35" i="1"/>
  <c r="AI13" i="4" s="1"/>
  <c r="AJ35" i="1"/>
  <c r="AJ13" i="4" s="1"/>
  <c r="AK35" i="1"/>
  <c r="AK13" i="4" s="1"/>
  <c r="S36" i="1"/>
  <c r="S14" i="4" s="1"/>
  <c r="T36" i="1"/>
  <c r="T14" i="4" s="1"/>
  <c r="U36" i="1"/>
  <c r="U14" i="4" s="1"/>
  <c r="V36" i="1"/>
  <c r="V14" i="4" s="1"/>
  <c r="W36" i="1"/>
  <c r="W14" i="4" s="1"/>
  <c r="X36" i="1"/>
  <c r="X14" i="4" s="1"/>
  <c r="Y36" i="1"/>
  <c r="Y14" i="4" s="1"/>
  <c r="Z36" i="1"/>
  <c r="Z14" i="4" s="1"/>
  <c r="AA36" i="1"/>
  <c r="AA14" i="4" s="1"/>
  <c r="AB36" i="1"/>
  <c r="AB14" i="4" s="1"/>
  <c r="AC36" i="1"/>
  <c r="AC14" i="4" s="1"/>
  <c r="AD36" i="1"/>
  <c r="AD14" i="4" s="1"/>
  <c r="AE36" i="1"/>
  <c r="AE14" i="4" s="1"/>
  <c r="AF36" i="1"/>
  <c r="AF14" i="4" s="1"/>
  <c r="AG36" i="1"/>
  <c r="AG14" i="4" s="1"/>
  <c r="AH36" i="1"/>
  <c r="AH14" i="4" s="1"/>
  <c r="AI36" i="1"/>
  <c r="AI14" i="4" s="1"/>
  <c r="AJ36" i="1"/>
  <c r="AJ14" i="4" s="1"/>
  <c r="AK36" i="1"/>
  <c r="AK14" i="4" s="1"/>
  <c r="S37" i="1"/>
  <c r="S15" i="4" s="1"/>
  <c r="T37" i="1"/>
  <c r="T15" i="4" s="1"/>
  <c r="U37" i="1"/>
  <c r="U15" i="4" s="1"/>
  <c r="V37" i="1"/>
  <c r="V15" i="4" s="1"/>
  <c r="W37" i="1"/>
  <c r="W15" i="4" s="1"/>
  <c r="X37" i="1"/>
  <c r="X15" i="4" s="1"/>
  <c r="Y37" i="1"/>
  <c r="Y15" i="4" s="1"/>
  <c r="Z37" i="1"/>
  <c r="Z15" i="4" s="1"/>
  <c r="AA37" i="1"/>
  <c r="AA15" i="4" s="1"/>
  <c r="AB37" i="1"/>
  <c r="AB15" i="4" s="1"/>
  <c r="AC37" i="1"/>
  <c r="AC15" i="4" s="1"/>
  <c r="AD37" i="1"/>
  <c r="AD15" i="4" s="1"/>
  <c r="AE37" i="1"/>
  <c r="AE15" i="4" s="1"/>
  <c r="AF37" i="1"/>
  <c r="AF15" i="4" s="1"/>
  <c r="AG37" i="1"/>
  <c r="AG15" i="4" s="1"/>
  <c r="AH37" i="1"/>
  <c r="AH15" i="4" s="1"/>
  <c r="AI37" i="1"/>
  <c r="AI15" i="4" s="1"/>
  <c r="AJ37" i="1"/>
  <c r="AJ15" i="4" s="1"/>
  <c r="AK37" i="1"/>
  <c r="AK15" i="4" s="1"/>
  <c r="S38" i="1"/>
  <c r="S16" i="4" s="1"/>
  <c r="T38" i="1"/>
  <c r="T16" i="4" s="1"/>
  <c r="U38" i="1"/>
  <c r="U16" i="4" s="1"/>
  <c r="V38" i="1"/>
  <c r="V16" i="4" s="1"/>
  <c r="W38" i="1"/>
  <c r="W16" i="4" s="1"/>
  <c r="X38" i="1"/>
  <c r="X16" i="4" s="1"/>
  <c r="Y38" i="1"/>
  <c r="Y16" i="4" s="1"/>
  <c r="Z38" i="1"/>
  <c r="Z16" i="4" s="1"/>
  <c r="AA38" i="1"/>
  <c r="AA16" i="4" s="1"/>
  <c r="AB38" i="1"/>
  <c r="AB16" i="4" s="1"/>
  <c r="AC38" i="1"/>
  <c r="AC16" i="4" s="1"/>
  <c r="AD38" i="1"/>
  <c r="AD16" i="4" s="1"/>
  <c r="AE38" i="1"/>
  <c r="AE16" i="4" s="1"/>
  <c r="AF38" i="1"/>
  <c r="AF16" i="4" s="1"/>
  <c r="AG38" i="1"/>
  <c r="AG16" i="4" s="1"/>
  <c r="AH38" i="1"/>
  <c r="AH16" i="4" s="1"/>
  <c r="AI38" i="1"/>
  <c r="AI16" i="4" s="1"/>
  <c r="AJ38" i="1"/>
  <c r="AJ16" i="4" s="1"/>
  <c r="AK38" i="1"/>
  <c r="AK16" i="4" s="1"/>
  <c r="S39" i="1"/>
  <c r="S17" i="4" s="1"/>
  <c r="T39" i="1"/>
  <c r="T17" i="4" s="1"/>
  <c r="U39" i="1"/>
  <c r="U17" i="4" s="1"/>
  <c r="V39" i="1"/>
  <c r="V17" i="4" s="1"/>
  <c r="W39" i="1"/>
  <c r="W17" i="4" s="1"/>
  <c r="X39" i="1"/>
  <c r="X17" i="4" s="1"/>
  <c r="Y39" i="1"/>
  <c r="Y17" i="4" s="1"/>
  <c r="Z39" i="1"/>
  <c r="Z17" i="4" s="1"/>
  <c r="AA39" i="1"/>
  <c r="AA17" i="4" s="1"/>
  <c r="AB39" i="1"/>
  <c r="AB17" i="4" s="1"/>
  <c r="AC39" i="1"/>
  <c r="AC17" i="4" s="1"/>
  <c r="AD39" i="1"/>
  <c r="AD17" i="4" s="1"/>
  <c r="AE39" i="1"/>
  <c r="AE17" i="4" s="1"/>
  <c r="AF39" i="1"/>
  <c r="AF17" i="4" s="1"/>
  <c r="AG39" i="1"/>
  <c r="AG17" i="4" s="1"/>
  <c r="AH39" i="1"/>
  <c r="AH17" i="4" s="1"/>
  <c r="AI39" i="1"/>
  <c r="AI17" i="4" s="1"/>
  <c r="AJ39" i="1"/>
  <c r="AJ17" i="4" s="1"/>
  <c r="AK39" i="1"/>
  <c r="AK17" i="4" s="1"/>
  <c r="S40" i="1"/>
  <c r="S18" i="4" s="1"/>
  <c r="T40" i="1"/>
  <c r="T18" i="4" s="1"/>
  <c r="U40" i="1"/>
  <c r="U18" i="4" s="1"/>
  <c r="V40" i="1"/>
  <c r="V18" i="4" s="1"/>
  <c r="W40" i="1"/>
  <c r="W18" i="4" s="1"/>
  <c r="X40" i="1"/>
  <c r="X18" i="4" s="1"/>
  <c r="Y40" i="1"/>
  <c r="Y18" i="4" s="1"/>
  <c r="Z40" i="1"/>
  <c r="Z18" i="4" s="1"/>
  <c r="AA40" i="1"/>
  <c r="AA18" i="4" s="1"/>
  <c r="AB40" i="1"/>
  <c r="AB18" i="4" s="1"/>
  <c r="AC40" i="1"/>
  <c r="AC18" i="4" s="1"/>
  <c r="AD40" i="1"/>
  <c r="AD18" i="4" s="1"/>
  <c r="AE40" i="1"/>
  <c r="AE18" i="4" s="1"/>
  <c r="AF40" i="1"/>
  <c r="AF18" i="4" s="1"/>
  <c r="AG40" i="1"/>
  <c r="AG18" i="4" s="1"/>
  <c r="AH40" i="1"/>
  <c r="AH18" i="4" s="1"/>
  <c r="AI40" i="1"/>
  <c r="AI18" i="4" s="1"/>
  <c r="AJ40" i="1"/>
  <c r="AJ18" i="4" s="1"/>
  <c r="AK40" i="1"/>
  <c r="AK18" i="4" s="1"/>
  <c r="S41" i="1"/>
  <c r="S19" i="4" s="1"/>
  <c r="T41" i="1"/>
  <c r="T19" i="4" s="1"/>
  <c r="U41" i="1"/>
  <c r="U19" i="4" s="1"/>
  <c r="V41" i="1"/>
  <c r="V19" i="4" s="1"/>
  <c r="W41" i="1"/>
  <c r="W19" i="4" s="1"/>
  <c r="X41" i="1"/>
  <c r="X19" i="4" s="1"/>
  <c r="Y41" i="1"/>
  <c r="Y19" i="4" s="1"/>
  <c r="Z41" i="1"/>
  <c r="Z19" i="4" s="1"/>
  <c r="AA41" i="1"/>
  <c r="AA19" i="4" s="1"/>
  <c r="AB41" i="1"/>
  <c r="AB19" i="4" s="1"/>
  <c r="AC41" i="1"/>
  <c r="AC19" i="4" s="1"/>
  <c r="AD41" i="1"/>
  <c r="AD19" i="4" s="1"/>
  <c r="AE41" i="1"/>
  <c r="AE19" i="4" s="1"/>
  <c r="AF41" i="1"/>
  <c r="AF19" i="4" s="1"/>
  <c r="AG41" i="1"/>
  <c r="AG19" i="4" s="1"/>
  <c r="AH41" i="1"/>
  <c r="AH19" i="4" s="1"/>
  <c r="AI41" i="1"/>
  <c r="AI19" i="4" s="1"/>
  <c r="AJ41" i="1"/>
  <c r="AJ19" i="4" s="1"/>
  <c r="AK41" i="1"/>
  <c r="AK19" i="4" s="1"/>
  <c r="S42" i="1"/>
  <c r="S20" i="4" s="1"/>
  <c r="T42" i="1"/>
  <c r="T20" i="4" s="1"/>
  <c r="U42" i="1"/>
  <c r="U20" i="4" s="1"/>
  <c r="V42" i="1"/>
  <c r="V20" i="4" s="1"/>
  <c r="W42" i="1"/>
  <c r="W20" i="4" s="1"/>
  <c r="X42" i="1"/>
  <c r="X20" i="4" s="1"/>
  <c r="Y42" i="1"/>
  <c r="Y20" i="4" s="1"/>
  <c r="Z42" i="1"/>
  <c r="Z20" i="4" s="1"/>
  <c r="AA42" i="1"/>
  <c r="AA20" i="4" s="1"/>
  <c r="AB42" i="1"/>
  <c r="AB20" i="4" s="1"/>
  <c r="AC42" i="1"/>
  <c r="AC20" i="4" s="1"/>
  <c r="AD42" i="1"/>
  <c r="AD20" i="4" s="1"/>
  <c r="AE42" i="1"/>
  <c r="AE20" i="4" s="1"/>
  <c r="AF42" i="1"/>
  <c r="AF20" i="4" s="1"/>
  <c r="AG42" i="1"/>
  <c r="AG20" i="4" s="1"/>
  <c r="AH42" i="1"/>
  <c r="AH20" i="4" s="1"/>
  <c r="AI42" i="1"/>
  <c r="AI20" i="4" s="1"/>
  <c r="AJ42" i="1"/>
  <c r="AJ20" i="4" s="1"/>
  <c r="AK42" i="1"/>
  <c r="AK20" i="4" s="1"/>
  <c r="S43" i="1"/>
  <c r="S21" i="4" s="1"/>
  <c r="T43" i="1"/>
  <c r="U43" i="1"/>
  <c r="V43" i="1"/>
  <c r="W43" i="1"/>
  <c r="W21" i="4" s="1"/>
  <c r="X43" i="1"/>
  <c r="Y43" i="1"/>
  <c r="Z43" i="1"/>
  <c r="AA43" i="1"/>
  <c r="AA21" i="4" s="1"/>
  <c r="AB43" i="1"/>
  <c r="AC43" i="1"/>
  <c r="AD43" i="1"/>
  <c r="AE43" i="1"/>
  <c r="AF43" i="1"/>
  <c r="AG43" i="1"/>
  <c r="AH43" i="1"/>
  <c r="AI43" i="1"/>
  <c r="AJ43" i="1"/>
  <c r="AK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AE23" i="23"/>
  <c r="AF23" i="23"/>
  <c r="AG23" i="23"/>
  <c r="AH23" i="23"/>
  <c r="AI23" i="23"/>
  <c r="AJ23" i="23"/>
  <c r="AK23" i="23"/>
  <c r="AE24" i="23"/>
  <c r="AF24" i="23"/>
  <c r="AG24" i="23"/>
  <c r="AH24" i="23"/>
  <c r="AI24" i="23"/>
  <c r="AJ24" i="23"/>
  <c r="AK24" i="23"/>
  <c r="AF23" i="1"/>
  <c r="AG23" i="1"/>
  <c r="AH23" i="1"/>
  <c r="AI23" i="1"/>
  <c r="AJ23" i="1"/>
  <c r="AK23" i="1"/>
  <c r="AF24" i="1"/>
  <c r="AG24" i="1"/>
  <c r="AH24" i="1"/>
  <c r="AI24" i="1"/>
  <c r="AJ24" i="1"/>
  <c r="AK24" i="1"/>
  <c r="N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Z25" i="4"/>
  <c r="AB24" i="4"/>
  <c r="AD24" i="23"/>
  <c r="AC24" i="23"/>
  <c r="AB24" i="23"/>
  <c r="AA24" i="23"/>
  <c r="Z24" i="23"/>
  <c r="Y24" i="23"/>
  <c r="X24" i="23"/>
  <c r="W24" i="23"/>
  <c r="V24" i="23"/>
  <c r="U24" i="23"/>
  <c r="T24" i="23"/>
  <c r="S24" i="23"/>
  <c r="R24" i="23"/>
  <c r="Q24" i="23"/>
  <c r="P24" i="23"/>
  <c r="O24" i="23"/>
  <c r="L24" i="23"/>
  <c r="J24" i="23"/>
  <c r="I24" i="23"/>
  <c r="H24" i="23"/>
  <c r="G24" i="23"/>
  <c r="F24" i="23"/>
  <c r="E24" i="23"/>
  <c r="D24" i="23"/>
  <c r="C24" i="23"/>
  <c r="B24" i="23"/>
  <c r="AD23" i="23"/>
  <c r="AC23" i="23"/>
  <c r="AB23" i="23"/>
  <c r="AA23" i="23"/>
  <c r="Z23" i="23"/>
  <c r="Y23" i="23"/>
  <c r="X23" i="23"/>
  <c r="W23"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J42" i="23"/>
  <c r="J36" i="4" s="1"/>
  <c r="J38" i="23"/>
  <c r="J32" i="4" s="1"/>
  <c r="J41" i="23"/>
  <c r="J35" i="4" s="1"/>
  <c r="J37" i="23"/>
  <c r="J31" i="4" s="1"/>
  <c r="J43" i="23"/>
  <c r="J39" i="23"/>
  <c r="J33" i="4" s="1"/>
  <c r="X24" i="4"/>
  <c r="P22" i="23"/>
  <c r="S23" i="1"/>
  <c r="T23" i="1"/>
  <c r="U23" i="1"/>
  <c r="V23" i="1"/>
  <c r="W23" i="1"/>
  <c r="X23" i="1"/>
  <c r="Y23" i="1"/>
  <c r="Z23" i="1"/>
  <c r="AA23" i="1"/>
  <c r="AB23" i="1"/>
  <c r="AC23" i="1"/>
  <c r="AD23" i="1"/>
  <c r="S24" i="1"/>
  <c r="T24" i="1"/>
  <c r="U24" i="1"/>
  <c r="V24" i="1"/>
  <c r="W24" i="1"/>
  <c r="X24" i="1"/>
  <c r="Y24" i="1"/>
  <c r="Z24" i="1"/>
  <c r="AA24" i="1"/>
  <c r="AB24" i="1"/>
  <c r="AC24" i="1"/>
  <c r="AD24" i="1"/>
  <c r="L23" i="1"/>
  <c r="M23" i="1"/>
  <c r="L24" i="1"/>
  <c r="M24" i="1"/>
  <c r="O9" i="12"/>
  <c r="O10" i="12" s="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I29" i="1"/>
  <c r="I33" i="1"/>
  <c r="I11" i="4" s="1"/>
  <c r="F33" i="1"/>
  <c r="F11" i="4" s="1"/>
  <c r="G34" i="1"/>
  <c r="G12" i="4" s="1"/>
  <c r="O39" i="1"/>
  <c r="O17" i="4" s="1"/>
  <c r="O40" i="1"/>
  <c r="O18" i="4" s="1"/>
  <c r="P30" i="1"/>
  <c r="P8" i="4" s="1"/>
  <c r="P33" i="1"/>
  <c r="P11" i="4" s="1"/>
  <c r="Q35" i="1"/>
  <c r="Q13" i="4" s="1"/>
  <c r="Q27" i="1"/>
  <c r="Q52" i="1" s="1"/>
  <c r="K24" i="1"/>
  <c r="J24" i="1"/>
  <c r="H24" i="1"/>
  <c r="G24" i="1"/>
  <c r="F24" i="1"/>
  <c r="E24" i="1"/>
  <c r="D24" i="1"/>
  <c r="C24" i="1"/>
  <c r="B24" i="1"/>
  <c r="K23" i="1"/>
  <c r="J23" i="1"/>
  <c r="H23" i="1"/>
  <c r="G23" i="1"/>
  <c r="F23" i="1"/>
  <c r="E23" i="1"/>
  <c r="D23" i="1"/>
  <c r="C23" i="1"/>
  <c r="AE24" i="1"/>
  <c r="R24" i="1"/>
  <c r="AE23" i="1"/>
  <c r="R23" i="1"/>
  <c r="K4" i="4"/>
  <c r="K62" i="4" s="1"/>
  <c r="L4" i="4"/>
  <c r="K4" i="23"/>
  <c r="K52" i="23" s="1"/>
  <c r="L4" i="23"/>
  <c r="L27" i="23" s="1"/>
  <c r="T56" i="23"/>
  <c r="S56" i="23"/>
  <c r="AG56" i="23"/>
  <c r="AD56" i="1"/>
  <c r="AC56" i="1"/>
  <c r="Q56" i="23"/>
  <c r="AK56" i="1"/>
  <c r="AF56" i="1"/>
  <c r="U56" i="23"/>
  <c r="AB56" i="1"/>
  <c r="AJ56" i="1"/>
  <c r="J56" i="1"/>
  <c r="AK56" i="23"/>
  <c r="P56" i="23"/>
  <c r="AG56" i="1"/>
  <c r="AB56" i="23"/>
  <c r="I56" i="23"/>
  <c r="G56" i="23"/>
  <c r="E56" i="23"/>
  <c r="AE56" i="1"/>
  <c r="AA56" i="1"/>
  <c r="U56" i="1"/>
  <c r="W56" i="1"/>
  <c r="L56" i="1"/>
  <c r="M56" i="1"/>
  <c r="W56" i="23"/>
  <c r="L56" i="23"/>
  <c r="AI56" i="1"/>
  <c r="K56" i="1"/>
  <c r="M56" i="23"/>
  <c r="AJ56" i="23"/>
  <c r="AI56" i="23"/>
  <c r="Z56" i="23"/>
  <c r="V56" i="23"/>
  <c r="Z56" i="1"/>
  <c r="Y56" i="23"/>
  <c r="AH56" i="1"/>
  <c r="C56" i="23"/>
  <c r="X56" i="1"/>
  <c r="F56" i="23"/>
  <c r="AC56" i="23"/>
  <c r="AE56" i="23"/>
  <c r="S56" i="1"/>
  <c r="R56" i="23"/>
  <c r="H56" i="23"/>
  <c r="X56" i="23"/>
  <c r="T56" i="1"/>
  <c r="AD56" i="23"/>
  <c r="V56" i="1"/>
  <c r="AA56" i="23"/>
  <c r="D56" i="23"/>
  <c r="K56" i="23"/>
  <c r="J56" i="23"/>
  <c r="AH56" i="23"/>
  <c r="Y56" i="1"/>
  <c r="AF56" i="23"/>
  <c r="P28" i="1" l="1"/>
  <c r="H32" i="1"/>
  <c r="H10" i="4" s="1"/>
  <c r="Q34" i="1"/>
  <c r="Q12" i="4" s="1"/>
  <c r="I34" i="1"/>
  <c r="I12" i="4" s="1"/>
  <c r="Q33" i="1"/>
  <c r="Q11" i="4" s="1"/>
  <c r="Q31" i="1"/>
  <c r="Q9" i="4" s="1"/>
  <c r="Q28" i="1"/>
  <c r="Q6" i="4" s="1"/>
  <c r="P34" i="1"/>
  <c r="P12" i="4" s="1"/>
  <c r="I30" i="1"/>
  <c r="I8" i="4" s="1"/>
  <c r="J32" i="1"/>
  <c r="L35" i="1"/>
  <c r="L13" i="4" s="1"/>
  <c r="M32" i="1"/>
  <c r="M10" i="4" s="1"/>
  <c r="K30" i="1"/>
  <c r="K8" i="4" s="1"/>
  <c r="T35" i="1"/>
  <c r="T13" i="4" s="1"/>
  <c r="U32" i="1"/>
  <c r="U10" i="4" s="1"/>
  <c r="S30" i="1"/>
  <c r="S8" i="4" s="1"/>
  <c r="V29" i="1"/>
  <c r="V7" i="4" s="1"/>
  <c r="J31" i="1"/>
  <c r="J9" i="4" s="1"/>
  <c r="K35" i="1"/>
  <c r="K13" i="4" s="1"/>
  <c r="L32" i="1"/>
  <c r="L10" i="4" s="1"/>
  <c r="M29" i="1"/>
  <c r="M7" i="4" s="1"/>
  <c r="S35" i="1"/>
  <c r="S13" i="4" s="1"/>
  <c r="V34" i="1"/>
  <c r="V12" i="4" s="1"/>
  <c r="T32" i="1"/>
  <c r="T10" i="4" s="1"/>
  <c r="U29" i="1"/>
  <c r="U7" i="4" s="1"/>
  <c r="J30" i="1"/>
  <c r="J8" i="4" s="1"/>
  <c r="M34" i="1"/>
  <c r="M12" i="4" s="1"/>
  <c r="K32" i="1"/>
  <c r="K10" i="4" s="1"/>
  <c r="L29" i="1"/>
  <c r="L7" i="4" s="1"/>
  <c r="U34" i="1"/>
  <c r="U12" i="4" s="1"/>
  <c r="S32" i="1"/>
  <c r="S10" i="4" s="1"/>
  <c r="V31" i="1"/>
  <c r="V9" i="4" s="1"/>
  <c r="T29" i="1"/>
  <c r="T7" i="4" s="1"/>
  <c r="C35" i="1"/>
  <c r="C13" i="4" s="1"/>
  <c r="R33" i="1"/>
  <c r="R11" i="4" s="1"/>
  <c r="J29" i="1"/>
  <c r="J7" i="4" s="1"/>
  <c r="L34" i="1"/>
  <c r="L12" i="4" s="1"/>
  <c r="M31" i="1"/>
  <c r="M9" i="4" s="1"/>
  <c r="K29" i="1"/>
  <c r="K7" i="4" s="1"/>
  <c r="T34" i="1"/>
  <c r="T12" i="4" s="1"/>
  <c r="U31" i="1"/>
  <c r="U9" i="4" s="1"/>
  <c r="S29" i="1"/>
  <c r="S7" i="4" s="1"/>
  <c r="V28" i="1"/>
  <c r="K34" i="1"/>
  <c r="K12" i="4" s="1"/>
  <c r="L31" i="1"/>
  <c r="L9" i="4" s="1"/>
  <c r="M28" i="1"/>
  <c r="S34" i="1"/>
  <c r="S12" i="4" s="1"/>
  <c r="V33" i="1"/>
  <c r="V11" i="4" s="1"/>
  <c r="T31" i="1"/>
  <c r="T9" i="4" s="1"/>
  <c r="U28" i="1"/>
  <c r="J35" i="1"/>
  <c r="J13" i="4" s="1"/>
  <c r="M33" i="1"/>
  <c r="M11" i="4" s="1"/>
  <c r="K31" i="1"/>
  <c r="L28" i="1"/>
  <c r="U33" i="1"/>
  <c r="U11" i="4" s="1"/>
  <c r="S31" i="1"/>
  <c r="S9" i="4" s="1"/>
  <c r="V30" i="1"/>
  <c r="V8" i="4" s="1"/>
  <c r="T28" i="1"/>
  <c r="T31" i="23"/>
  <c r="T25" i="4" s="1"/>
  <c r="U30" i="23"/>
  <c r="U24" i="4" s="1"/>
  <c r="J34" i="1"/>
  <c r="J12" i="4" s="1"/>
  <c r="J28" i="1"/>
  <c r="L33" i="1"/>
  <c r="L11" i="4" s="1"/>
  <c r="M30" i="1"/>
  <c r="M8" i="4" s="1"/>
  <c r="K28" i="1"/>
  <c r="V35" i="1"/>
  <c r="V13" i="4" s="1"/>
  <c r="T33" i="1"/>
  <c r="T11" i="4" s="1"/>
  <c r="U30" i="1"/>
  <c r="U8" i="4" s="1"/>
  <c r="J33" i="1"/>
  <c r="J11" i="4" s="1"/>
  <c r="M35" i="1"/>
  <c r="M13" i="4" s="1"/>
  <c r="K33" i="1"/>
  <c r="K11" i="4" s="1"/>
  <c r="L30" i="1"/>
  <c r="L8" i="4" s="1"/>
  <c r="U35" i="1"/>
  <c r="U13" i="4" s="1"/>
  <c r="S33" i="1"/>
  <c r="S11" i="4" s="1"/>
  <c r="V32" i="1"/>
  <c r="V10" i="4" s="1"/>
  <c r="T30" i="1"/>
  <c r="T8" i="4" s="1"/>
  <c r="U34" i="23"/>
  <c r="U28" i="4" s="1"/>
  <c r="Q35" i="23"/>
  <c r="Q29" i="4" s="1"/>
  <c r="Q31" i="23"/>
  <c r="Q25" i="4" s="1"/>
  <c r="U35" i="23"/>
  <c r="U29" i="4" s="1"/>
  <c r="S34" i="23"/>
  <c r="S28" i="4" s="1"/>
  <c r="U33" i="23"/>
  <c r="U27" i="4" s="1"/>
  <c r="S30" i="23"/>
  <c r="S24" i="4" s="1"/>
  <c r="U29" i="23"/>
  <c r="U23" i="4" s="1"/>
  <c r="E30" i="23"/>
  <c r="E24" i="4" s="1"/>
  <c r="L31" i="23"/>
  <c r="L25" i="4" s="1"/>
  <c r="Q33" i="23"/>
  <c r="Q27" i="4" s="1"/>
  <c r="S32" i="23"/>
  <c r="S26" i="4" s="1"/>
  <c r="U31" i="23"/>
  <c r="U25" i="4" s="1"/>
  <c r="Q29" i="23"/>
  <c r="Q23" i="4" s="1"/>
  <c r="S28" i="23"/>
  <c r="S22" i="4" s="1"/>
  <c r="M28" i="23"/>
  <c r="M22" i="4" s="1"/>
  <c r="T35" i="23"/>
  <c r="T29" i="4" s="1"/>
  <c r="P35" i="23"/>
  <c r="P29" i="4" s="1"/>
  <c r="V34" i="23"/>
  <c r="V28" i="4" s="1"/>
  <c r="R34" i="23"/>
  <c r="R28" i="4" s="1"/>
  <c r="T33" i="23"/>
  <c r="T27" i="4" s="1"/>
  <c r="P33" i="23"/>
  <c r="P27" i="4" s="1"/>
  <c r="V32" i="23"/>
  <c r="V26" i="4" s="1"/>
  <c r="R32" i="23"/>
  <c r="R26" i="4" s="1"/>
  <c r="P31" i="23"/>
  <c r="P25" i="4" s="1"/>
  <c r="V30" i="23"/>
  <c r="V24" i="4" s="1"/>
  <c r="R30" i="23"/>
  <c r="R24" i="4" s="1"/>
  <c r="T29" i="23"/>
  <c r="T23" i="4" s="1"/>
  <c r="P29" i="23"/>
  <c r="P23" i="4" s="1"/>
  <c r="V28" i="23"/>
  <c r="R28" i="23"/>
  <c r="G31" i="23"/>
  <c r="G25" i="4" s="1"/>
  <c r="C28" i="23"/>
  <c r="C22" i="4" s="1"/>
  <c r="L28" i="23"/>
  <c r="L22" i="4" s="1"/>
  <c r="S35" i="23"/>
  <c r="S29" i="4" s="1"/>
  <c r="Q34" i="23"/>
  <c r="Q28" i="4" s="1"/>
  <c r="S33" i="23"/>
  <c r="S27" i="4" s="1"/>
  <c r="U32" i="23"/>
  <c r="U26" i="4" s="1"/>
  <c r="Q32" i="23"/>
  <c r="Q26" i="4" s="1"/>
  <c r="S31" i="23"/>
  <c r="S25" i="4" s="1"/>
  <c r="Q30" i="23"/>
  <c r="Q24" i="4" s="1"/>
  <c r="S29" i="23"/>
  <c r="S23" i="4" s="1"/>
  <c r="U28" i="23"/>
  <c r="U22" i="4" s="1"/>
  <c r="Q28" i="23"/>
  <c r="Q22" i="4" s="1"/>
  <c r="V35" i="23"/>
  <c r="V29" i="4" s="1"/>
  <c r="R35" i="23"/>
  <c r="R29" i="4" s="1"/>
  <c r="T34" i="23"/>
  <c r="T28" i="4" s="1"/>
  <c r="P34" i="23"/>
  <c r="P28" i="4" s="1"/>
  <c r="V33" i="23"/>
  <c r="V27" i="4" s="1"/>
  <c r="R33" i="23"/>
  <c r="R27" i="4" s="1"/>
  <c r="T32" i="23"/>
  <c r="T26" i="4" s="1"/>
  <c r="P32" i="23"/>
  <c r="P26" i="4" s="1"/>
  <c r="V31" i="23"/>
  <c r="V25" i="4" s="1"/>
  <c r="R31" i="23"/>
  <c r="R25" i="4" s="1"/>
  <c r="T30" i="23"/>
  <c r="T24" i="4" s="1"/>
  <c r="P30" i="23"/>
  <c r="P24" i="4" s="1"/>
  <c r="V29" i="23"/>
  <c r="V23" i="4" s="1"/>
  <c r="R29" i="23"/>
  <c r="R23" i="4" s="1"/>
  <c r="T28" i="23"/>
  <c r="T22" i="4" s="1"/>
  <c r="P28" i="23"/>
  <c r="P22" i="4" s="1"/>
  <c r="D35" i="23"/>
  <c r="D29" i="4" s="1"/>
  <c r="E35" i="23"/>
  <c r="E29" i="4" s="1"/>
  <c r="J31" i="23"/>
  <c r="J25" i="4" s="1"/>
  <c r="C34" i="23"/>
  <c r="C28" i="4" s="1"/>
  <c r="C32" i="23"/>
  <c r="C26" i="4" s="1"/>
  <c r="F28" i="23"/>
  <c r="F22" i="4" s="1"/>
  <c r="J32" i="23"/>
  <c r="J26" i="4" s="1"/>
  <c r="C35" i="23"/>
  <c r="C29" i="4" s="1"/>
  <c r="K34" i="23"/>
  <c r="K28" i="4" s="1"/>
  <c r="O41" i="23"/>
  <c r="O35" i="4" s="1"/>
  <c r="G28" i="23"/>
  <c r="G22" i="4" s="1"/>
  <c r="G29" i="23"/>
  <c r="G23" i="4" s="1"/>
  <c r="E28" i="23"/>
  <c r="E22" i="4" s="1"/>
  <c r="I32" i="23"/>
  <c r="I26" i="4" s="1"/>
  <c r="F35" i="23"/>
  <c r="F29" i="4" s="1"/>
  <c r="J30" i="23"/>
  <c r="J24" i="4" s="1"/>
  <c r="F34" i="23"/>
  <c r="F28" i="4" s="1"/>
  <c r="E29" i="23"/>
  <c r="E23" i="4" s="1"/>
  <c r="D31" i="23"/>
  <c r="D25" i="4" s="1"/>
  <c r="M32" i="23"/>
  <c r="M26" i="4" s="1"/>
  <c r="O40" i="23"/>
  <c r="O34" i="4" s="1"/>
  <c r="O43" i="23"/>
  <c r="O39" i="23"/>
  <c r="O33" i="4" s="1"/>
  <c r="D29" i="23"/>
  <c r="D23" i="4" s="1"/>
  <c r="H33" i="23"/>
  <c r="H27" i="4" s="1"/>
  <c r="E34" i="23"/>
  <c r="E28" i="4" s="1"/>
  <c r="I31" i="23"/>
  <c r="I25" i="4" s="1"/>
  <c r="H30" i="23"/>
  <c r="H24" i="4" s="1"/>
  <c r="E33" i="23"/>
  <c r="E27" i="4" s="1"/>
  <c r="F33" i="23"/>
  <c r="F27" i="4" s="1"/>
  <c r="D32" i="23"/>
  <c r="D26" i="4" s="1"/>
  <c r="G30" i="23"/>
  <c r="G24" i="4" s="1"/>
  <c r="H35" i="23"/>
  <c r="H29" i="4" s="1"/>
  <c r="D28" i="23"/>
  <c r="D22" i="4" s="1"/>
  <c r="C33" i="23"/>
  <c r="C27" i="4" s="1"/>
  <c r="D34" i="23"/>
  <c r="D28" i="4" s="1"/>
  <c r="J29" i="23"/>
  <c r="J23" i="4" s="1"/>
  <c r="L35" i="23"/>
  <c r="L29" i="4" s="1"/>
  <c r="K30" i="23"/>
  <c r="K24" i="4" s="1"/>
  <c r="O42" i="23"/>
  <c r="O36" i="4" s="1"/>
  <c r="I30" i="23"/>
  <c r="I24" i="4" s="1"/>
  <c r="G32" i="23"/>
  <c r="G26" i="4" s="1"/>
  <c r="H28" i="23"/>
  <c r="H22" i="4" s="1"/>
  <c r="G33" i="23"/>
  <c r="G27" i="4" s="1"/>
  <c r="I28" i="23"/>
  <c r="C30" i="23"/>
  <c r="C24" i="4" s="1"/>
  <c r="E32" i="23"/>
  <c r="E26" i="4" s="1"/>
  <c r="J35" i="23"/>
  <c r="J29" i="4" s="1"/>
  <c r="C29" i="23"/>
  <c r="C23" i="4" s="1"/>
  <c r="E31" i="23"/>
  <c r="E25" i="4" s="1"/>
  <c r="I29" i="23"/>
  <c r="I23" i="4" s="1"/>
  <c r="C31" i="23"/>
  <c r="C25" i="4" s="1"/>
  <c r="H34" i="23"/>
  <c r="H28" i="4" s="1"/>
  <c r="F29" i="23"/>
  <c r="F23" i="4" s="1"/>
  <c r="K35" i="23"/>
  <c r="K29" i="4" s="1"/>
  <c r="M33" i="23"/>
  <c r="M27" i="4" s="1"/>
  <c r="L32" i="23"/>
  <c r="L26" i="4" s="1"/>
  <c r="K31" i="23"/>
  <c r="K25" i="4" s="1"/>
  <c r="M29" i="23"/>
  <c r="M23" i="4" s="1"/>
  <c r="O35" i="23"/>
  <c r="O29" i="4" s="1"/>
  <c r="M34" i="23"/>
  <c r="M28" i="4" s="1"/>
  <c r="L33" i="23"/>
  <c r="L27" i="4" s="1"/>
  <c r="K32" i="23"/>
  <c r="K26" i="4" s="1"/>
  <c r="M30" i="23"/>
  <c r="M24" i="4" s="1"/>
  <c r="L29" i="23"/>
  <c r="L23" i="4" s="1"/>
  <c r="K28" i="23"/>
  <c r="K22" i="4" s="1"/>
  <c r="O33" i="23"/>
  <c r="O27" i="4" s="1"/>
  <c r="H31" i="23"/>
  <c r="H25" i="4" s="1"/>
  <c r="J33" i="23"/>
  <c r="J27" i="4" s="1"/>
  <c r="I35" i="23"/>
  <c r="I29" i="4" s="1"/>
  <c r="H29" i="23"/>
  <c r="H23" i="4" s="1"/>
  <c r="F31" i="23"/>
  <c r="F25" i="4" s="1"/>
  <c r="D33" i="23"/>
  <c r="D27" i="4" s="1"/>
  <c r="G34" i="23"/>
  <c r="G28" i="4" s="1"/>
  <c r="I34" i="23"/>
  <c r="I28" i="4" s="1"/>
  <c r="F30" i="23"/>
  <c r="F24" i="4" s="1"/>
  <c r="H32" i="23"/>
  <c r="H26" i="4" s="1"/>
  <c r="J34" i="23"/>
  <c r="J28" i="4" s="1"/>
  <c r="J28" i="23"/>
  <c r="J22" i="4" s="1"/>
  <c r="D30" i="23"/>
  <c r="D24" i="4" s="1"/>
  <c r="F32" i="23"/>
  <c r="F26" i="4" s="1"/>
  <c r="I33" i="23"/>
  <c r="I27" i="4" s="1"/>
  <c r="G35" i="23"/>
  <c r="G29" i="4" s="1"/>
  <c r="M35" i="23"/>
  <c r="M29" i="4" s="1"/>
  <c r="L34" i="23"/>
  <c r="L28" i="4" s="1"/>
  <c r="K33" i="23"/>
  <c r="K27" i="4" s="1"/>
  <c r="M31" i="23"/>
  <c r="M25" i="4" s="1"/>
  <c r="L30" i="23"/>
  <c r="L24" i="4" s="1"/>
  <c r="K29" i="23"/>
  <c r="K23" i="4" s="1"/>
  <c r="O29" i="23"/>
  <c r="O23" i="4" s="1"/>
  <c r="H31" i="1"/>
  <c r="H30" i="1"/>
  <c r="H8" i="4" s="1"/>
  <c r="O32" i="1"/>
  <c r="O10" i="4" s="1"/>
  <c r="G30" i="1"/>
  <c r="G8" i="4" s="1"/>
  <c r="G29" i="1"/>
  <c r="G7" i="4" s="1"/>
  <c r="O42" i="1"/>
  <c r="O20" i="4" s="1"/>
  <c r="F29" i="1"/>
  <c r="F7" i="4" s="1"/>
  <c r="E29" i="1"/>
  <c r="E7" i="4" s="1"/>
  <c r="H33" i="1"/>
  <c r="H11" i="4" s="1"/>
  <c r="H35" i="1"/>
  <c r="H13" i="4" s="1"/>
  <c r="H34" i="1"/>
  <c r="H12" i="4" s="1"/>
  <c r="O43" i="1"/>
  <c r="O21" i="4" s="1"/>
  <c r="F34" i="1"/>
  <c r="F12" i="4" s="1"/>
  <c r="E30" i="1"/>
  <c r="E8" i="4" s="1"/>
  <c r="E35" i="1"/>
  <c r="E13" i="4" s="1"/>
  <c r="O38" i="1"/>
  <c r="O16" i="4" s="1"/>
  <c r="O41" i="1"/>
  <c r="O19" i="4" s="1"/>
  <c r="G35" i="1"/>
  <c r="G13" i="4" s="1"/>
  <c r="E33" i="1"/>
  <c r="E11" i="4" s="1"/>
  <c r="F35" i="1"/>
  <c r="F13" i="4" s="1"/>
  <c r="D33" i="1"/>
  <c r="D11" i="4" s="1"/>
  <c r="D35" i="1"/>
  <c r="D13" i="4" s="1"/>
  <c r="F32" i="1"/>
  <c r="F10" i="4" s="1"/>
  <c r="F30" i="1"/>
  <c r="F8" i="4" s="1"/>
  <c r="E32" i="1"/>
  <c r="E10" i="4" s="1"/>
  <c r="C33" i="1"/>
  <c r="C11" i="4" s="1"/>
  <c r="B33" i="1"/>
  <c r="B11" i="4" s="1"/>
  <c r="L6" i="4"/>
  <c r="AJ6" i="4"/>
  <c r="AF6" i="4"/>
  <c r="AB6" i="4"/>
  <c r="X6" i="4"/>
  <c r="T6" i="4"/>
  <c r="P6" i="4"/>
  <c r="I22" i="4"/>
  <c r="J6" i="4"/>
  <c r="K6" i="4"/>
  <c r="AE6" i="4"/>
  <c r="AA6" i="4"/>
  <c r="S6" i="4"/>
  <c r="AH22" i="4"/>
  <c r="AD22" i="4"/>
  <c r="Z22" i="4"/>
  <c r="AH6" i="4"/>
  <c r="AD6" i="4"/>
  <c r="AK22" i="4"/>
  <c r="AG22" i="4"/>
  <c r="AC22" i="4"/>
  <c r="Y22" i="4"/>
  <c r="M6" i="4"/>
  <c r="AK6" i="4"/>
  <c r="AG6" i="4"/>
  <c r="AC6" i="4"/>
  <c r="Y6" i="4"/>
  <c r="U6" i="4"/>
  <c r="AJ22" i="4"/>
  <c r="AF22" i="4"/>
  <c r="AB22" i="4"/>
  <c r="X22" i="4"/>
  <c r="AI4" i="33"/>
  <c r="AI27" i="33" s="1"/>
  <c r="AI52" i="33" s="1"/>
  <c r="AH4" i="33"/>
  <c r="AH22" i="33" s="1"/>
  <c r="AJ4" i="33"/>
  <c r="AJ22" i="33" s="1"/>
  <c r="AF4" i="33"/>
  <c r="AF27" i="33" s="1"/>
  <c r="AF52" i="33" s="1"/>
  <c r="AB4" i="33"/>
  <c r="AB27" i="33" s="1"/>
  <c r="AB52" i="33" s="1"/>
  <c r="X4" i="33"/>
  <c r="X45" i="33" s="1"/>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AB45" i="33"/>
  <c r="E55" i="4"/>
  <c r="E62" i="4"/>
  <c r="AI45" i="33"/>
  <c r="AI22" i="33"/>
  <c r="K9" i="12"/>
  <c r="K10" i="12" s="1"/>
  <c r="P21" i="4"/>
  <c r="I52" i="23"/>
  <c r="R4" i="33"/>
  <c r="AD4" i="33"/>
  <c r="Z4" i="33"/>
  <c r="X21" i="4"/>
  <c r="AD37" i="4"/>
  <c r="Z37" i="4"/>
  <c r="V37" i="4"/>
  <c r="R37" i="4"/>
  <c r="K37" i="4"/>
  <c r="I45" i="23"/>
  <c r="AK4" i="33"/>
  <c r="AG4" i="33"/>
  <c r="AC4" i="33"/>
  <c r="U4" i="33"/>
  <c r="R21" i="4"/>
  <c r="Q21" i="4"/>
  <c r="AE4" i="33"/>
  <c r="AA4" i="33"/>
  <c r="S4" i="33"/>
  <c r="C27" i="23"/>
  <c r="C52" i="23" s="1"/>
  <c r="I27" i="23"/>
  <c r="AD21" i="4"/>
  <c r="AB21" i="4"/>
  <c r="Z21" i="4"/>
  <c r="V21" i="4"/>
  <c r="T21" i="4"/>
  <c r="B21" i="4"/>
  <c r="O37" i="23"/>
  <c r="O31" i="4" s="1"/>
  <c r="O34" i="23"/>
  <c r="O28" i="4" s="1"/>
  <c r="O38" i="23"/>
  <c r="AB37" i="4"/>
  <c r="T37" i="4"/>
  <c r="B38" i="23"/>
  <c r="F37" i="4"/>
  <c r="AA37" i="4"/>
  <c r="AH37" i="4"/>
  <c r="L37" i="4"/>
  <c r="X37" i="4"/>
  <c r="P37" i="4"/>
  <c r="W37" i="4"/>
  <c r="S37" i="4"/>
  <c r="J37" i="4"/>
  <c r="H37" i="4"/>
  <c r="M37" i="4"/>
  <c r="O37" i="4"/>
  <c r="AK37" i="4"/>
  <c r="Q4" i="4"/>
  <c r="Q62" i="4" s="1"/>
  <c r="H7" i="22"/>
  <c r="Z4" i="1"/>
  <c r="Z4" i="4" s="1"/>
  <c r="Z74" i="4" s="1"/>
  <c r="A44" i="22"/>
  <c r="H22" i="22"/>
  <c r="H19" i="22"/>
  <c r="H15" i="22"/>
  <c r="H25" i="22"/>
  <c r="H21" i="22"/>
  <c r="H18" i="22"/>
  <c r="P27" i="23"/>
  <c r="P52" i="23" s="1"/>
  <c r="H20" i="22"/>
  <c r="H17" i="22"/>
  <c r="H23" i="22"/>
  <c r="H16" i="22"/>
  <c r="A49" i="22"/>
  <c r="J4" i="4"/>
  <c r="J4" i="23"/>
  <c r="J45" i="23" s="1"/>
  <c r="M4" i="23"/>
  <c r="M27" i="23" s="1"/>
  <c r="H10" i="22"/>
  <c r="M4" i="4"/>
  <c r="H13" i="22"/>
  <c r="H12" i="22"/>
  <c r="H11" i="22"/>
  <c r="L45" i="1"/>
  <c r="L27" i="1"/>
  <c r="L52" i="1" s="1"/>
  <c r="H9" i="22"/>
  <c r="H8" i="22"/>
  <c r="O32" i="23"/>
  <c r="O31" i="23"/>
  <c r="O25" i="4" s="1"/>
  <c r="O30" i="23"/>
  <c r="O24" i="4" s="1"/>
  <c r="B33" i="23"/>
  <c r="B27" i="4" s="1"/>
  <c r="B28" i="23"/>
  <c r="B30" i="23"/>
  <c r="B24" i="4" s="1"/>
  <c r="B34" i="23"/>
  <c r="B28" i="4" s="1"/>
  <c r="B35" i="23"/>
  <c r="AA46" i="23"/>
  <c r="AA53" i="23" s="1"/>
  <c r="O28" i="23"/>
  <c r="B31" i="23"/>
  <c r="B25" i="4" s="1"/>
  <c r="B29" i="23"/>
  <c r="B23" i="4" s="1"/>
  <c r="Q32" i="1"/>
  <c r="P32" i="1"/>
  <c r="P10" i="4" s="1"/>
  <c r="D4" i="4"/>
  <c r="O29" i="1"/>
  <c r="O7" i="4" s="1"/>
  <c r="B27" i="23"/>
  <c r="B52" i="23" s="1"/>
  <c r="K45" i="23"/>
  <c r="E27" i="23"/>
  <c r="E52" i="23" s="1"/>
  <c r="Q30" i="1"/>
  <c r="Q8" i="4" s="1"/>
  <c r="B29" i="1"/>
  <c r="B7" i="4" s="1"/>
  <c r="P35" i="1"/>
  <c r="P13" i="4" s="1"/>
  <c r="P31" i="1"/>
  <c r="P9" i="4" s="1"/>
  <c r="H22" i="23"/>
  <c r="AA23" i="4"/>
  <c r="AB47" i="23"/>
  <c r="AB48" i="23" s="1"/>
  <c r="AB54" i="23" s="1"/>
  <c r="Z47" i="23"/>
  <c r="Z48" i="23" s="1"/>
  <c r="Z54" i="23" s="1"/>
  <c r="P37" i="1"/>
  <c r="F22" i="23"/>
  <c r="AF46" i="23"/>
  <c r="AF53" i="23" s="1"/>
  <c r="AD47" i="23"/>
  <c r="AD48" i="23" s="1"/>
  <c r="AD54" i="23" s="1"/>
  <c r="O36" i="1"/>
  <c r="H45" i="23"/>
  <c r="AK47" i="23"/>
  <c r="AK48" i="23" s="1"/>
  <c r="AK54" i="23" s="1"/>
  <c r="AA47" i="23"/>
  <c r="AA48" i="23" s="1"/>
  <c r="AA54" i="23" s="1"/>
  <c r="AB23" i="4"/>
  <c r="AB46" i="23"/>
  <c r="AB53" i="23" s="1"/>
  <c r="X47" i="23"/>
  <c r="X48" i="23" s="1"/>
  <c r="X54" i="23" s="1"/>
  <c r="M47" i="1"/>
  <c r="M48" i="1" s="1"/>
  <c r="M54" i="1" s="1"/>
  <c r="R31" i="1"/>
  <c r="R9" i="4" s="1"/>
  <c r="R22" i="4"/>
  <c r="V22" i="4"/>
  <c r="X27" i="4"/>
  <c r="AB27" i="4"/>
  <c r="AJ46" i="23"/>
  <c r="AJ53" i="23" s="1"/>
  <c r="AF47" i="23"/>
  <c r="AF48" i="23" s="1"/>
  <c r="AF54" i="23" s="1"/>
  <c r="AC46" i="23"/>
  <c r="AC53" i="23" s="1"/>
  <c r="X46" i="23"/>
  <c r="X53" i="23" s="1"/>
  <c r="Y47" i="23"/>
  <c r="Y48" i="23" s="1"/>
  <c r="Y54" i="23" s="1"/>
  <c r="AJ47" i="23"/>
  <c r="AJ48" i="23" s="1"/>
  <c r="AJ54" i="23" s="1"/>
  <c r="AG46" i="23"/>
  <c r="AG53" i="23" s="1"/>
  <c r="AG47" i="23"/>
  <c r="AG48" i="23" s="1"/>
  <c r="AG54" i="23" s="1"/>
  <c r="AK46" i="23"/>
  <c r="AK53" i="23" s="1"/>
  <c r="J57" i="1"/>
  <c r="E57" i="23"/>
  <c r="M57" i="1"/>
  <c r="AH57" i="1"/>
  <c r="AD57" i="1"/>
  <c r="Z57" i="1"/>
  <c r="V57" i="1"/>
  <c r="AJ57" i="23"/>
  <c r="AG57" i="23"/>
  <c r="AC57" i="23"/>
  <c r="Y57" i="23"/>
  <c r="U57" i="23"/>
  <c r="Q57" i="23"/>
  <c r="J57" i="23"/>
  <c r="H57" i="23"/>
  <c r="L57" i="1"/>
  <c r="AK57" i="1"/>
  <c r="AG57" i="1"/>
  <c r="AC57" i="1"/>
  <c r="Y57" i="1"/>
  <c r="U57" i="1"/>
  <c r="M57" i="23"/>
  <c r="AI57" i="23"/>
  <c r="AF57" i="23"/>
  <c r="AB57" i="23"/>
  <c r="X57" i="23"/>
  <c r="T57" i="23"/>
  <c r="P57" i="23"/>
  <c r="C57" i="23"/>
  <c r="F57" i="23"/>
  <c r="I57" i="23"/>
  <c r="K57" i="1"/>
  <c r="AJ57" i="1"/>
  <c r="AF57" i="1"/>
  <c r="AB57" i="1"/>
  <c r="X57" i="1"/>
  <c r="T57" i="1"/>
  <c r="L57" i="23"/>
  <c r="AE57" i="23"/>
  <c r="AA57" i="23"/>
  <c r="W57" i="23"/>
  <c r="S57" i="23"/>
  <c r="D57" i="23"/>
  <c r="G57" i="23"/>
  <c r="AI57" i="1"/>
  <c r="AE57" i="1"/>
  <c r="AA57" i="1"/>
  <c r="W57" i="1"/>
  <c r="S57" i="1"/>
  <c r="K57" i="23"/>
  <c r="AK57" i="23"/>
  <c r="AH57" i="23"/>
  <c r="AD57" i="23"/>
  <c r="Z57" i="23"/>
  <c r="V57" i="23"/>
  <c r="R57" i="23"/>
  <c r="J21" i="4"/>
  <c r="E37" i="4"/>
  <c r="M21" i="4"/>
  <c r="R28" i="1"/>
  <c r="AJ37" i="4"/>
  <c r="AG37" i="4"/>
  <c r="R30" i="1"/>
  <c r="R8" i="4" s="1"/>
  <c r="L21" i="4"/>
  <c r="AG21" i="4"/>
  <c r="AC21" i="4"/>
  <c r="Y21" i="4"/>
  <c r="U21" i="4"/>
  <c r="AI37" i="4"/>
  <c r="AF37" i="4"/>
  <c r="R29" i="1"/>
  <c r="R7" i="4" s="1"/>
  <c r="D21" i="4"/>
  <c r="C37" i="4"/>
  <c r="I37" i="4"/>
  <c r="K21" i="4"/>
  <c r="AE37" i="4"/>
  <c r="P36" i="1"/>
  <c r="P14" i="4" s="1"/>
  <c r="R32" i="1"/>
  <c r="C21" i="4"/>
  <c r="B37" i="4"/>
  <c r="D37" i="4"/>
  <c r="G37" i="4"/>
  <c r="O34" i="1"/>
  <c r="O12" i="4" s="1"/>
  <c r="O35" i="1"/>
  <c r="O13" i="4" s="1"/>
  <c r="O33" i="1"/>
  <c r="O11" i="4" s="1"/>
  <c r="O30" i="1"/>
  <c r="O8" i="4" s="1"/>
  <c r="B31" i="1"/>
  <c r="B9" i="4" s="1"/>
  <c r="O31" i="1"/>
  <c r="O9" i="4" s="1"/>
  <c r="W47" i="1"/>
  <c r="W48" i="1" s="1"/>
  <c r="W54" i="1" s="1"/>
  <c r="X46" i="1"/>
  <c r="X53" i="1" s="1"/>
  <c r="K9" i="4"/>
  <c r="Y46" i="1"/>
  <c r="Y53" i="1" s="1"/>
  <c r="B32" i="1"/>
  <c r="D28" i="1"/>
  <c r="C32" i="1"/>
  <c r="X7" i="4"/>
  <c r="AH46" i="1"/>
  <c r="AH53" i="1" s="1"/>
  <c r="J47" i="1"/>
  <c r="J48" i="1" s="1"/>
  <c r="J54" i="1" s="1"/>
  <c r="M46" i="1"/>
  <c r="M53" i="1" s="1"/>
  <c r="B28" i="1"/>
  <c r="D32" i="1"/>
  <c r="X47" i="1"/>
  <c r="X48" i="1" s="1"/>
  <c r="X54" i="1" s="1"/>
  <c r="B30" i="1"/>
  <c r="B8" i="4" s="1"/>
  <c r="C28" i="1"/>
  <c r="D31" i="1"/>
  <c r="D9" i="4" s="1"/>
  <c r="AB47" i="1"/>
  <c r="AB48" i="1" s="1"/>
  <c r="AB54" i="1" s="1"/>
  <c r="AI6" i="4"/>
  <c r="AI47" i="1"/>
  <c r="AI48" i="1" s="1"/>
  <c r="AI54" i="1" s="1"/>
  <c r="AI46" i="1"/>
  <c r="AI53" i="1" s="1"/>
  <c r="AA46" i="1"/>
  <c r="AA53" i="1" s="1"/>
  <c r="AA47" i="1"/>
  <c r="AA48" i="1" s="1"/>
  <c r="AA54" i="1" s="1"/>
  <c r="W46" i="1"/>
  <c r="W53" i="1" s="1"/>
  <c r="Z46" i="1"/>
  <c r="Z53" i="1" s="1"/>
  <c r="Z47" i="1"/>
  <c r="Z48" i="1" s="1"/>
  <c r="Z54" i="1" s="1"/>
  <c r="Z6" i="4"/>
  <c r="O28" i="1"/>
  <c r="C30" i="1"/>
  <c r="C8" i="4" s="1"/>
  <c r="C31" i="1"/>
  <c r="C9" i="4" s="1"/>
  <c r="D29" i="1"/>
  <c r="D7" i="4" s="1"/>
  <c r="D30" i="1"/>
  <c r="AC47" i="1"/>
  <c r="AC48" i="1" s="1"/>
  <c r="AC54" i="1" s="1"/>
  <c r="AB46" i="1"/>
  <c r="AB53" i="1" s="1"/>
  <c r="T46" i="1"/>
  <c r="T53" i="1" s="1"/>
  <c r="Y12" i="4"/>
  <c r="X11" i="4"/>
  <c r="AH47" i="1"/>
  <c r="AH48" i="1" s="1"/>
  <c r="AH54" i="1" s="1"/>
  <c r="AF9" i="4"/>
  <c r="AF46" i="1"/>
  <c r="AF53" i="1" s="1"/>
  <c r="AF47" i="1"/>
  <c r="AF48" i="1" s="1"/>
  <c r="AF54" i="1" s="1"/>
  <c r="T47" i="1"/>
  <c r="T48" i="1" s="1"/>
  <c r="T54" i="1" s="1"/>
  <c r="S46" i="1"/>
  <c r="S53" i="1" s="1"/>
  <c r="AD46" i="1"/>
  <c r="AD53" i="1" s="1"/>
  <c r="AD47" i="1"/>
  <c r="AD48" i="1" s="1"/>
  <c r="AD54" i="1" s="1"/>
  <c r="V6" i="4"/>
  <c r="Y47" i="1"/>
  <c r="Y48" i="1" s="1"/>
  <c r="Y54" i="1" s="1"/>
  <c r="W6" i="4"/>
  <c r="AG46" i="1"/>
  <c r="AG53" i="1" s="1"/>
  <c r="AG11" i="4"/>
  <c r="AG47" i="1"/>
  <c r="AG48" i="1" s="1"/>
  <c r="AG54" i="1" s="1"/>
  <c r="AC46" i="1"/>
  <c r="AC53" i="1" s="1"/>
  <c r="AH21" i="4"/>
  <c r="AE21" i="4"/>
  <c r="G21" i="4"/>
  <c r="AK21" i="4"/>
  <c r="I21" i="4"/>
  <c r="F21" i="4"/>
  <c r="AJ21" i="4"/>
  <c r="H21" i="4"/>
  <c r="E21" i="4"/>
  <c r="AI21" i="4"/>
  <c r="AF21" i="4"/>
  <c r="L52" i="23"/>
  <c r="D17" i="4"/>
  <c r="H9" i="4"/>
  <c r="J10" i="4"/>
  <c r="J46" i="1"/>
  <c r="J53" i="1" s="1"/>
  <c r="C4" i="4"/>
  <c r="A47" i="22"/>
  <c r="G27" i="23"/>
  <c r="G52" i="23" s="1"/>
  <c r="A50" i="22"/>
  <c r="H50" i="22" s="1"/>
  <c r="AC47" i="23"/>
  <c r="AC48" i="23" s="1"/>
  <c r="AC54" i="23" s="1"/>
  <c r="Y46" i="23"/>
  <c r="Y53" i="23" s="1"/>
  <c r="K27" i="23"/>
  <c r="L22" i="1"/>
  <c r="I7" i="4"/>
  <c r="D27" i="1"/>
  <c r="D52" i="1" s="1"/>
  <c r="D45" i="1"/>
  <c r="D22" i="23"/>
  <c r="D45" i="23"/>
  <c r="D27" i="23"/>
  <c r="D52" i="23" s="1"/>
  <c r="W47" i="23"/>
  <c r="W48" i="23" s="1"/>
  <c r="W54" i="23" s="1"/>
  <c r="AD46" i="23"/>
  <c r="AD53" i="23" s="1"/>
  <c r="AE47" i="23"/>
  <c r="AE48" i="23" s="1"/>
  <c r="AE54" i="23" s="1"/>
  <c r="AK46" i="1"/>
  <c r="AK53" i="1" s="1"/>
  <c r="AE46" i="1"/>
  <c r="AE53" i="1" s="1"/>
  <c r="F45" i="23"/>
  <c r="AE47" i="1"/>
  <c r="AE48" i="1" s="1"/>
  <c r="AE54" i="1" s="1"/>
  <c r="AK47" i="1"/>
  <c r="AK48" i="1" s="1"/>
  <c r="AK54" i="1" s="1"/>
  <c r="AH47" i="23"/>
  <c r="AH48" i="23" s="1"/>
  <c r="AH54" i="23" s="1"/>
  <c r="W46" i="23"/>
  <c r="W53" i="23" s="1"/>
  <c r="AI46" i="23"/>
  <c r="AI53" i="23" s="1"/>
  <c r="AI22" i="4"/>
  <c r="AI47" i="23"/>
  <c r="AI48" i="23" s="1"/>
  <c r="AI54" i="23" s="1"/>
  <c r="Z46" i="23"/>
  <c r="Z53" i="23" s="1"/>
  <c r="E22" i="23"/>
  <c r="AJ47" i="1"/>
  <c r="AJ48" i="1" s="1"/>
  <c r="AJ54" i="1" s="1"/>
  <c r="AJ46" i="1"/>
  <c r="AJ53" i="1" s="1"/>
  <c r="AE46" i="23"/>
  <c r="AE53" i="23" s="1"/>
  <c r="AH30" i="4"/>
  <c r="AH46" i="23"/>
  <c r="AH53" i="23" s="1"/>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H56" i="1"/>
  <c r="B56" i="1"/>
  <c r="G56" i="1"/>
  <c r="B56" i="23"/>
  <c r="I56" i="1"/>
  <c r="O56" i="1"/>
  <c r="R56" i="1"/>
  <c r="C56" i="1"/>
  <c r="D56" i="1"/>
  <c r="E56" i="1"/>
  <c r="P56" i="1"/>
  <c r="Q56" i="1"/>
  <c r="F56" i="1"/>
  <c r="O56" i="23"/>
  <c r="AD78" i="4"/>
  <c r="U78" i="4"/>
  <c r="AB78" i="4"/>
  <c r="Z78" i="4"/>
  <c r="K78" i="4"/>
  <c r="X78" i="4"/>
  <c r="AF78" i="4"/>
  <c r="V78" i="4"/>
  <c r="AE78" i="4"/>
  <c r="AA78" i="4"/>
  <c r="AG78" i="4"/>
  <c r="Y78" i="4"/>
  <c r="AH78" i="4"/>
  <c r="AI78" i="4"/>
  <c r="AJ78" i="4"/>
  <c r="AK78" i="4"/>
  <c r="J78" i="4"/>
  <c r="L78" i="4"/>
  <c r="AC78" i="4"/>
  <c r="M78" i="4"/>
  <c r="T78" i="4"/>
  <c r="W78" i="4"/>
  <c r="S78" i="4"/>
  <c r="I47" i="23" l="1"/>
  <c r="I48" i="23" s="1"/>
  <c r="I54" i="23" s="1"/>
  <c r="T46" i="23"/>
  <c r="T53" i="23" s="1"/>
  <c r="L47" i="1"/>
  <c r="L48" i="1" s="1"/>
  <c r="L54" i="1" s="1"/>
  <c r="S47" i="1"/>
  <c r="S48" i="1" s="1"/>
  <c r="S54" i="1" s="1"/>
  <c r="K47" i="1"/>
  <c r="K48" i="1" s="1"/>
  <c r="K54" i="1" s="1"/>
  <c r="V47" i="1"/>
  <c r="V48" i="1" s="1"/>
  <c r="V54" i="1" s="1"/>
  <c r="U47" i="1"/>
  <c r="U48" i="1" s="1"/>
  <c r="U54" i="1" s="1"/>
  <c r="L46" i="1"/>
  <c r="L53" i="1" s="1"/>
  <c r="V46" i="1"/>
  <c r="V53" i="1" s="1"/>
  <c r="U46" i="1"/>
  <c r="U53" i="1" s="1"/>
  <c r="K46" i="1"/>
  <c r="K53" i="1" s="1"/>
  <c r="AB22" i="33"/>
  <c r="R47" i="23"/>
  <c r="R48" i="23" s="1"/>
  <c r="R54" i="23" s="1"/>
  <c r="E46" i="23"/>
  <c r="E53" i="23" s="1"/>
  <c r="P46" i="23"/>
  <c r="P53" i="23" s="1"/>
  <c r="V46" i="23"/>
  <c r="V53" i="23" s="1"/>
  <c r="E47" i="23"/>
  <c r="E48" i="23" s="1"/>
  <c r="E54" i="23" s="1"/>
  <c r="P47" i="23"/>
  <c r="P48" i="23" s="1"/>
  <c r="P54" i="23" s="1"/>
  <c r="R46" i="23"/>
  <c r="R53" i="23" s="1"/>
  <c r="Q47" i="23"/>
  <c r="Q48" i="23" s="1"/>
  <c r="Q54" i="23" s="1"/>
  <c r="S47" i="23"/>
  <c r="S48" i="23" s="1"/>
  <c r="S54" i="23" s="1"/>
  <c r="U47" i="23"/>
  <c r="U48" i="23" s="1"/>
  <c r="U54" i="23" s="1"/>
  <c r="T47" i="23"/>
  <c r="T48" i="23" s="1"/>
  <c r="T54" i="23" s="1"/>
  <c r="Q46" i="23"/>
  <c r="Q53" i="23" s="1"/>
  <c r="K47" i="23"/>
  <c r="K48" i="23" s="1"/>
  <c r="K54" i="23" s="1"/>
  <c r="V47" i="23"/>
  <c r="V48" i="23" s="1"/>
  <c r="V54" i="23" s="1"/>
  <c r="S46" i="23"/>
  <c r="S53" i="23" s="1"/>
  <c r="I46" i="23"/>
  <c r="I53" i="23" s="1"/>
  <c r="U46" i="23"/>
  <c r="U53" i="23" s="1"/>
  <c r="K46" i="23"/>
  <c r="K53" i="23" s="1"/>
  <c r="L63" i="4"/>
  <c r="L64" i="4" s="1"/>
  <c r="G47" i="23"/>
  <c r="G48" i="23" s="1"/>
  <c r="G54" i="23" s="1"/>
  <c r="W63" i="4"/>
  <c r="W64" i="4" s="1"/>
  <c r="L46" i="23"/>
  <c r="L53" i="23" s="1"/>
  <c r="J46" i="23"/>
  <c r="J53" i="23" s="1"/>
  <c r="F47" i="23"/>
  <c r="F48" i="23" s="1"/>
  <c r="F54" i="23" s="1"/>
  <c r="J47" i="23"/>
  <c r="J48" i="23" s="1"/>
  <c r="J54" i="23" s="1"/>
  <c r="H46" i="23"/>
  <c r="H53" i="23" s="1"/>
  <c r="D46" i="23"/>
  <c r="D53" i="23" s="1"/>
  <c r="G46" i="23"/>
  <c r="G53" i="23" s="1"/>
  <c r="F46" i="23"/>
  <c r="F53" i="23" s="1"/>
  <c r="C47" i="23"/>
  <c r="C48" i="23" s="1"/>
  <c r="C54" i="23" s="1"/>
  <c r="H47" i="23"/>
  <c r="H48" i="23" s="1"/>
  <c r="H54" i="23" s="1"/>
  <c r="D47" i="23"/>
  <c r="D48" i="23" s="1"/>
  <c r="D54" i="23" s="1"/>
  <c r="M47" i="23"/>
  <c r="M48" i="23" s="1"/>
  <c r="M54" i="23" s="1"/>
  <c r="M46" i="23"/>
  <c r="M53" i="23" s="1"/>
  <c r="C46" i="23"/>
  <c r="C53" i="23" s="1"/>
  <c r="M63" i="4"/>
  <c r="M64" i="4" s="1"/>
  <c r="L47" i="23"/>
  <c r="L48" i="23" s="1"/>
  <c r="L54" i="23" s="1"/>
  <c r="Y57" i="4"/>
  <c r="Y58" i="4" s="1"/>
  <c r="Y76" i="4" s="1"/>
  <c r="AK63" i="4"/>
  <c r="AK64" i="4" s="1"/>
  <c r="AJ63" i="4"/>
  <c r="AJ64" i="4" s="1"/>
  <c r="AE63" i="4"/>
  <c r="AE64" i="4" s="1"/>
  <c r="AC63" i="4"/>
  <c r="AC64" i="4" s="1"/>
  <c r="S63" i="4"/>
  <c r="S64" i="4" s="1"/>
  <c r="F46" i="1"/>
  <c r="F53" i="1" s="1"/>
  <c r="P47" i="1"/>
  <c r="P48" i="1" s="1"/>
  <c r="P54" i="1" s="1"/>
  <c r="AA63" i="4"/>
  <c r="AA64" i="4" s="1"/>
  <c r="AG63" i="4"/>
  <c r="AG64" i="4" s="1"/>
  <c r="AD63" i="4"/>
  <c r="AD64" i="4" s="1"/>
  <c r="D6" i="4"/>
  <c r="R6" i="4"/>
  <c r="C6" i="4"/>
  <c r="B22" i="4"/>
  <c r="I6" i="4"/>
  <c r="P7" i="4"/>
  <c r="E6" i="4"/>
  <c r="H6" i="4"/>
  <c r="F6" i="4"/>
  <c r="O6" i="4"/>
  <c r="B6" i="4"/>
  <c r="G6" i="4"/>
  <c r="Q7" i="4"/>
  <c r="AF63" i="4"/>
  <c r="AF64" i="4" s="1"/>
  <c r="X63" i="4"/>
  <c r="X64" i="4" s="1"/>
  <c r="K63" i="4"/>
  <c r="K64" i="4" s="1"/>
  <c r="U63" i="4"/>
  <c r="U64" i="4" s="1"/>
  <c r="AB63" i="4"/>
  <c r="AB64" i="4" s="1"/>
  <c r="J63" i="4"/>
  <c r="J64" i="4" s="1"/>
  <c r="AH63" i="4"/>
  <c r="AH64" i="4" s="1"/>
  <c r="V63" i="4"/>
  <c r="V64" i="4" s="1"/>
  <c r="T63" i="4"/>
  <c r="T64" i="4" s="1"/>
  <c r="Z63" i="4"/>
  <c r="Z64" i="4" s="1"/>
  <c r="AI63" i="4"/>
  <c r="AI64" i="4" s="1"/>
  <c r="AC56" i="4"/>
  <c r="AC75" i="4" s="1"/>
  <c r="Y63" i="4"/>
  <c r="Y64" i="4" s="1"/>
  <c r="AH27" i="33"/>
  <c r="AH52" i="33" s="1"/>
  <c r="AJ27" i="33"/>
  <c r="AJ52" i="33" s="1"/>
  <c r="H47" i="22"/>
  <c r="H49" i="22"/>
  <c r="H44" i="22"/>
  <c r="AH45" i="33"/>
  <c r="AF45" i="33"/>
  <c r="A46" i="22"/>
  <c r="H46" i="22" s="1"/>
  <c r="AD4" i="1"/>
  <c r="AD22" i="1" s="1"/>
  <c r="T27" i="33"/>
  <c r="T52" i="33" s="1"/>
  <c r="AF22" i="33"/>
  <c r="AJ45" i="33"/>
  <c r="A34" i="22"/>
  <c r="H34" i="22" s="1"/>
  <c r="A35" i="22"/>
  <c r="H35" i="22" s="1"/>
  <c r="AE4" i="1"/>
  <c r="AE45" i="1" s="1"/>
  <c r="T45" i="33"/>
  <c r="A38" i="22"/>
  <c r="H38" i="22" s="1"/>
  <c r="X27" i="33"/>
  <c r="X52" i="33" s="1"/>
  <c r="A42" i="22"/>
  <c r="H42" i="22" s="1"/>
  <c r="X22" i="33"/>
  <c r="AD4" i="23"/>
  <c r="AD22" i="23"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E4" i="23"/>
  <c r="AE27" i="23" s="1"/>
  <c r="AE52" i="23" s="1"/>
  <c r="Z4" i="23"/>
  <c r="Z45" i="23" s="1"/>
  <c r="A45" i="22"/>
  <c r="H45" i="22" s="1"/>
  <c r="M57" i="4"/>
  <c r="M58" i="4" s="1"/>
  <c r="M76" i="4" s="1"/>
  <c r="AH56" i="4"/>
  <c r="AH75" i="4" s="1"/>
  <c r="AG56" i="4"/>
  <c r="AG75" i="4" s="1"/>
  <c r="T57" i="4"/>
  <c r="T58" i="4" s="1"/>
  <c r="T76" i="4" s="1"/>
  <c r="H57" i="1"/>
  <c r="G57" i="1"/>
  <c r="F57" i="1"/>
  <c r="I57" i="1"/>
  <c r="E57" i="1"/>
  <c r="H7" i="4"/>
  <c r="G46" i="1"/>
  <c r="G53" i="1" s="1"/>
  <c r="H46" i="1"/>
  <c r="H53" i="1" s="1"/>
  <c r="H47" i="1"/>
  <c r="H48" i="1" s="1"/>
  <c r="H54" i="1" s="1"/>
  <c r="G11" i="4"/>
  <c r="F9" i="4"/>
  <c r="AF57" i="4"/>
  <c r="AF58" i="4" s="1"/>
  <c r="AF76" i="4" s="1"/>
  <c r="X56" i="4"/>
  <c r="X75" i="4" s="1"/>
  <c r="I13" i="4"/>
  <c r="E12" i="4"/>
  <c r="I55" i="4"/>
  <c r="I62" i="4"/>
  <c r="V57" i="4"/>
  <c r="V58" i="4" s="1"/>
  <c r="V76" i="4" s="1"/>
  <c r="V56" i="4"/>
  <c r="V75" i="4" s="1"/>
  <c r="Z55" i="4"/>
  <c r="Z62" i="4"/>
  <c r="W4" i="1"/>
  <c r="W45" i="1" s="1"/>
  <c r="W4" i="33"/>
  <c r="AC22" i="33"/>
  <c r="AC45" i="33"/>
  <c r="AC27" i="33"/>
  <c r="AC52" i="33" s="1"/>
  <c r="Z45" i="33"/>
  <c r="Z27" i="33"/>
  <c r="Z52" i="33" s="1"/>
  <c r="Z22" i="33"/>
  <c r="U57" i="4"/>
  <c r="U58" i="4" s="1"/>
  <c r="U76" i="4" s="1"/>
  <c r="AK57" i="4"/>
  <c r="AK58" i="4" s="1"/>
  <c r="AK76" i="4" s="1"/>
  <c r="X57" i="4"/>
  <c r="X58" i="4" s="1"/>
  <c r="X76" i="4" s="1"/>
  <c r="L56" i="4"/>
  <c r="L75" i="4" s="1"/>
  <c r="AD57" i="4"/>
  <c r="AD58" i="4" s="1"/>
  <c r="AD76" i="4" s="1"/>
  <c r="AB56" i="4"/>
  <c r="AB75" i="4" s="1"/>
  <c r="S56" i="4"/>
  <c r="S75" i="4" s="1"/>
  <c r="K57" i="4"/>
  <c r="K58" i="4" s="1"/>
  <c r="J56" i="4"/>
  <c r="J75" i="4" s="1"/>
  <c r="O55" i="4"/>
  <c r="O62" i="4"/>
  <c r="F55" i="4"/>
  <c r="F62" i="4"/>
  <c r="W56" i="4"/>
  <c r="W75" i="4" s="1"/>
  <c r="W57" i="4"/>
  <c r="W58" i="4" s="1"/>
  <c r="W76" i="4" s="1"/>
  <c r="M55" i="4"/>
  <c r="M62" i="4"/>
  <c r="J55" i="4"/>
  <c r="J62" i="4"/>
  <c r="AA27" i="33"/>
  <c r="AA52" i="33" s="1"/>
  <c r="AA22" i="33"/>
  <c r="AA45" i="33"/>
  <c r="AG22" i="33"/>
  <c r="AG27" i="33"/>
  <c r="AG52" i="33" s="1"/>
  <c r="AG45" i="33"/>
  <c r="AD45" i="33"/>
  <c r="AD27" i="33"/>
  <c r="AD52" i="33" s="1"/>
  <c r="AD22" i="33"/>
  <c r="Y56" i="4"/>
  <c r="Y75" i="4" s="1"/>
  <c r="AG57" i="4"/>
  <c r="AG58" i="4" s="1"/>
  <c r="AG76" i="4" s="1"/>
  <c r="L57" i="4"/>
  <c r="L58" i="4" s="1"/>
  <c r="L76" i="4" s="1"/>
  <c r="AB57" i="4"/>
  <c r="AB58" i="4" s="1"/>
  <c r="AB76" i="4" s="1"/>
  <c r="AE57" i="4"/>
  <c r="AE58" i="4" s="1"/>
  <c r="AE76" i="4" s="1"/>
  <c r="K56" i="4"/>
  <c r="K75" i="4" s="1"/>
  <c r="J57" i="4"/>
  <c r="J58" i="4" s="1"/>
  <c r="J76" i="4" s="1"/>
  <c r="AJ56" i="4"/>
  <c r="AJ75" i="4" s="1"/>
  <c r="P55" i="4"/>
  <c r="P62" i="4"/>
  <c r="G55" i="4"/>
  <c r="G62" i="4"/>
  <c r="H74" i="4"/>
  <c r="H62" i="4"/>
  <c r="AE27" i="33"/>
  <c r="AE52" i="33" s="1"/>
  <c r="AE22" i="33"/>
  <c r="AE45" i="33"/>
  <c r="U22" i="33"/>
  <c r="U45" i="33"/>
  <c r="U27" i="33"/>
  <c r="U52" i="33" s="1"/>
  <c r="AK22" i="33"/>
  <c r="AK45" i="33"/>
  <c r="AK27" i="33"/>
  <c r="AK52" i="33" s="1"/>
  <c r="R45" i="33"/>
  <c r="R27" i="33"/>
  <c r="R52" i="33" s="1"/>
  <c r="R22" i="33"/>
  <c r="U56" i="4"/>
  <c r="U75" i="4" s="1"/>
  <c r="AC57" i="4"/>
  <c r="AC58" i="4" s="1"/>
  <c r="AC76" i="4" s="1"/>
  <c r="AK56" i="4"/>
  <c r="AK75" i="4" s="1"/>
  <c r="M56" i="4"/>
  <c r="M75" i="4" s="1"/>
  <c r="AH57" i="4"/>
  <c r="AH58" i="4" s="1"/>
  <c r="AH76" i="4" s="1"/>
  <c r="AA57" i="4"/>
  <c r="AA58" i="4" s="1"/>
  <c r="AA76" i="4" s="1"/>
  <c r="AE56" i="4"/>
  <c r="AE75" i="4" s="1"/>
  <c r="AF56" i="4"/>
  <c r="AF75" i="4" s="1"/>
  <c r="AJ57" i="4"/>
  <c r="AJ58" i="4" s="1"/>
  <c r="AJ76" i="4" s="1"/>
  <c r="T56" i="4"/>
  <c r="T75" i="4" s="1"/>
  <c r="C74" i="4"/>
  <c r="C62" i="4"/>
  <c r="Z56" i="4"/>
  <c r="Z75" i="4" s="1"/>
  <c r="Z57" i="4"/>
  <c r="Z58" i="4" s="1"/>
  <c r="Z76" i="4" s="1"/>
  <c r="AI56" i="4"/>
  <c r="AI75" i="4" s="1"/>
  <c r="AI57" i="4"/>
  <c r="AI58" i="4" s="1"/>
  <c r="AI76" i="4" s="1"/>
  <c r="D55" i="4"/>
  <c r="D62" i="4"/>
  <c r="S27" i="33"/>
  <c r="S52" i="33" s="1"/>
  <c r="S22" i="33"/>
  <c r="S45" i="33"/>
  <c r="Y4" i="23"/>
  <c r="Y45" i="23" s="1"/>
  <c r="Y4" i="33"/>
  <c r="A36" i="22"/>
  <c r="H36" i="22" s="1"/>
  <c r="V4" i="33"/>
  <c r="AD56" i="4"/>
  <c r="AD75" i="4" s="1"/>
  <c r="S57" i="4"/>
  <c r="S58" i="4" s="1"/>
  <c r="S76" i="4" s="1"/>
  <c r="AA56" i="4"/>
  <c r="AA75" i="4" s="1"/>
  <c r="Q55" i="4"/>
  <c r="V4" i="1"/>
  <c r="V45" i="1" s="1"/>
  <c r="O32" i="4"/>
  <c r="Q10" i="4"/>
  <c r="B32" i="4"/>
  <c r="H55" i="4"/>
  <c r="R10" i="4"/>
  <c r="O14" i="4"/>
  <c r="P15" i="4"/>
  <c r="V4" i="23"/>
  <c r="V45" i="23" s="1"/>
  <c r="Z45" i="1"/>
  <c r="Z22" i="1"/>
  <c r="Z27" i="1"/>
  <c r="Z52" i="1" s="1"/>
  <c r="W4" i="23"/>
  <c r="W22" i="23" s="1"/>
  <c r="Y79" i="4"/>
  <c r="Z79" i="4"/>
  <c r="AD79" i="4"/>
  <c r="K79" i="4"/>
  <c r="AC79" i="4"/>
  <c r="B10" i="4"/>
  <c r="A32" i="22"/>
  <c r="H32" i="22" s="1"/>
  <c r="D13" i="28"/>
  <c r="D9" i="28"/>
  <c r="D5" i="28"/>
  <c r="D14" i="28"/>
  <c r="D10" i="28"/>
  <c r="D6" i="28"/>
  <c r="D15" i="28"/>
  <c r="D11" i="28"/>
  <c r="D7" i="28"/>
  <c r="D3" i="28"/>
  <c r="D12" i="28"/>
  <c r="D8" i="28"/>
  <c r="D4" i="28"/>
  <c r="W79" i="4"/>
  <c r="L79" i="4"/>
  <c r="AE79" i="4"/>
  <c r="AJ79" i="4"/>
  <c r="V79" i="4"/>
  <c r="M79" i="4"/>
  <c r="J79" i="4"/>
  <c r="AA79" i="4"/>
  <c r="AG79" i="4"/>
  <c r="AF79" i="4"/>
  <c r="U79" i="4"/>
  <c r="T79" i="4"/>
  <c r="AI79" i="4"/>
  <c r="AK79" i="4"/>
  <c r="S79" i="4"/>
  <c r="X79" i="4"/>
  <c r="AH79" i="4"/>
  <c r="AB79" i="4"/>
  <c r="O26" i="4"/>
  <c r="P46" i="1"/>
  <c r="P53" i="1" s="1"/>
  <c r="A37" i="22"/>
  <c r="H37" i="22" s="1"/>
  <c r="AF4" i="23"/>
  <c r="AF22" i="23" s="1"/>
  <c r="AI4" i="23"/>
  <c r="AI22" i="23" s="1"/>
  <c r="U4" i="1"/>
  <c r="U22" i="1" s="1"/>
  <c r="AJ4" i="1"/>
  <c r="AJ4" i="4" s="1"/>
  <c r="AJ62" i="4" s="1"/>
  <c r="AI4" i="1"/>
  <c r="AI22" i="1" s="1"/>
  <c r="M74" i="4"/>
  <c r="I2" i="12" s="1"/>
  <c r="M27" i="1"/>
  <c r="M52" i="1" s="1"/>
  <c r="M22" i="1"/>
  <c r="J52" i="1"/>
  <c r="J74" i="4"/>
  <c r="F2" i="12" s="1"/>
  <c r="J27" i="1"/>
  <c r="J45" i="1"/>
  <c r="AH4" i="1"/>
  <c r="AH22" i="1" s="1"/>
  <c r="A48" i="22"/>
  <c r="H48" i="22" s="1"/>
  <c r="S4" i="1"/>
  <c r="A33" i="22"/>
  <c r="H33" i="22" s="1"/>
  <c r="S4" i="23"/>
  <c r="AC4" i="1"/>
  <c r="A43" i="22"/>
  <c r="H43" i="22" s="1"/>
  <c r="AC4" i="23"/>
  <c r="AC27" i="23" s="1"/>
  <c r="AC52" i="23" s="1"/>
  <c r="AF4" i="1"/>
  <c r="AF4" i="4" s="1"/>
  <c r="AF62" i="4" s="1"/>
  <c r="AA4" i="23"/>
  <c r="A41" i="22"/>
  <c r="H41" i="22" s="1"/>
  <c r="Y4" i="1"/>
  <c r="A39" i="22"/>
  <c r="H39" i="22" s="1"/>
  <c r="C55" i="4"/>
  <c r="AJ4" i="23"/>
  <c r="AJ27" i="23" s="1"/>
  <c r="AJ52" i="23" s="1"/>
  <c r="U4" i="23"/>
  <c r="U22" i="23" s="1"/>
  <c r="AA4" i="1"/>
  <c r="AA22" i="1" s="1"/>
  <c r="J22" i="23"/>
  <c r="J52" i="23"/>
  <c r="J22" i="1"/>
  <c r="J27" i="23"/>
  <c r="R4" i="1"/>
  <c r="R22" i="1" s="1"/>
  <c r="R4" i="23"/>
  <c r="R22" i="23" s="1"/>
  <c r="AH4" i="23"/>
  <c r="AH45" i="23" s="1"/>
  <c r="M52" i="23"/>
  <c r="M22" i="23"/>
  <c r="M45" i="23"/>
  <c r="L2" i="12"/>
  <c r="M45" i="1"/>
  <c r="B46" i="23"/>
  <c r="B53" i="23" s="1"/>
  <c r="B55" i="23" s="1"/>
  <c r="O46" i="23"/>
  <c r="O53" i="23" s="1"/>
  <c r="O55" i="23" s="1"/>
  <c r="O47" i="23"/>
  <c r="O48" i="23" s="1"/>
  <c r="O54" i="23" s="1"/>
  <c r="B47" i="23"/>
  <c r="B48" i="23" s="1"/>
  <c r="B54" i="23" s="1"/>
  <c r="B57" i="23"/>
  <c r="O57" i="23"/>
  <c r="W59" i="23" s="1"/>
  <c r="W60" i="23" s="1"/>
  <c r="B29" i="4"/>
  <c r="O22" i="4"/>
  <c r="F55" i="23"/>
  <c r="R47" i="1"/>
  <c r="R48" i="1" s="1"/>
  <c r="R54" i="1" s="1"/>
  <c r="Q57" i="1"/>
  <c r="D74" i="4"/>
  <c r="K76"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X4" i="23"/>
  <c r="X4" i="1"/>
  <c r="AG4" i="1"/>
  <c r="AG4" i="23"/>
  <c r="AB4" i="23"/>
  <c r="AB4" i="1"/>
  <c r="T4" i="1"/>
  <c r="T4" i="23"/>
  <c r="AK4" i="1"/>
  <c r="AK4" i="23"/>
  <c r="F74" i="4"/>
  <c r="I74" i="4"/>
  <c r="O74" i="4"/>
  <c r="P74" i="4"/>
  <c r="AD2" i="12"/>
  <c r="Q78" i="4"/>
  <c r="O78" i="4"/>
  <c r="H78" i="4"/>
  <c r="P78" i="4"/>
  <c r="F78" i="4"/>
  <c r="R78" i="4"/>
  <c r="E78" i="4"/>
  <c r="I78" i="4"/>
  <c r="G78" i="4"/>
  <c r="B78" i="4"/>
  <c r="D78" i="4"/>
  <c r="C78" i="4"/>
  <c r="V4" i="4" l="1"/>
  <c r="V55" i="4" s="1"/>
  <c r="C55" i="23"/>
  <c r="G55" i="1"/>
  <c r="AE27" i="1"/>
  <c r="AE52" i="1" s="1"/>
  <c r="C63" i="4"/>
  <c r="C64" i="4" s="1"/>
  <c r="F63" i="4"/>
  <c r="F64" i="4" s="1"/>
  <c r="H56" i="4"/>
  <c r="H75" i="4" s="1"/>
  <c r="I57" i="4"/>
  <c r="I58" i="4" s="1"/>
  <c r="I76" i="4" s="1"/>
  <c r="R63" i="4"/>
  <c r="R64" i="4" s="1"/>
  <c r="I63" i="4"/>
  <c r="I64" i="4" s="1"/>
  <c r="P55" i="23"/>
  <c r="V55" i="23"/>
  <c r="AE55" i="1"/>
  <c r="Q55" i="23"/>
  <c r="AK55" i="23"/>
  <c r="AD55" i="1"/>
  <c r="AJ55" i="1"/>
  <c r="U55" i="23"/>
  <c r="T55" i="1"/>
  <c r="AB55" i="23"/>
  <c r="AA55" i="1"/>
  <c r="AK55" i="1"/>
  <c r="R55" i="23"/>
  <c r="W55" i="23"/>
  <c r="T55" i="23"/>
  <c r="X55" i="1"/>
  <c r="W55" i="1"/>
  <c r="AC55" i="1"/>
  <c r="AH55" i="23"/>
  <c r="X55" i="23"/>
  <c r="AI55" i="1"/>
  <c r="V55" i="1"/>
  <c r="R55" i="1"/>
  <c r="P55" i="1"/>
  <c r="AJ55" i="23"/>
  <c r="S55" i="1"/>
  <c r="AE55" i="23"/>
  <c r="AC55" i="23"/>
  <c r="Y55" i="1"/>
  <c r="AB55" i="1"/>
  <c r="AI55" i="23"/>
  <c r="U55" i="1"/>
  <c r="AG55" i="1"/>
  <c r="Q55" i="1"/>
  <c r="Y55" i="23"/>
  <c r="S55" i="23"/>
  <c r="AA55" i="23"/>
  <c r="AG55" i="23"/>
  <c r="AH55" i="1"/>
  <c r="AF55" i="1"/>
  <c r="Z55" i="23"/>
  <c r="AF55" i="23"/>
  <c r="Z55" i="1"/>
  <c r="AD55" i="23"/>
  <c r="D63" i="4"/>
  <c r="D64" i="4" s="1"/>
  <c r="B63" i="4"/>
  <c r="B64" i="4" s="1"/>
  <c r="O63" i="4"/>
  <c r="O64" i="4" s="1"/>
  <c r="G56" i="4"/>
  <c r="G75" i="4" s="1"/>
  <c r="H57" i="4"/>
  <c r="H58" i="4" s="1"/>
  <c r="H76" i="4" s="1"/>
  <c r="H63" i="4"/>
  <c r="H64" i="4" s="1"/>
  <c r="P63" i="4"/>
  <c r="P64" i="4" s="1"/>
  <c r="G63" i="4"/>
  <c r="G64" i="4" s="1"/>
  <c r="E63" i="4"/>
  <c r="E64" i="4" s="1"/>
  <c r="Q63" i="4"/>
  <c r="Q64" i="4" s="1"/>
  <c r="AJ45" i="23"/>
  <c r="Y27" i="23"/>
  <c r="Y52" i="23" s="1"/>
  <c r="W27" i="1"/>
  <c r="W52" i="1" s="1"/>
  <c r="Y22" i="23"/>
  <c r="AD27" i="1"/>
  <c r="AD52" i="1" s="1"/>
  <c r="AD45" i="23"/>
  <c r="V27" i="23"/>
  <c r="V52" i="23" s="1"/>
  <c r="I56" i="4"/>
  <c r="I75" i="4" s="1"/>
  <c r="J4" i="12"/>
  <c r="M4" i="12"/>
  <c r="AE22" i="1"/>
  <c r="AE4" i="4"/>
  <c r="AE62" i="4" s="1"/>
  <c r="G4" i="12"/>
  <c r="Z27" i="23"/>
  <c r="Z52" i="23" s="1"/>
  <c r="AD4" i="4"/>
  <c r="AD55" i="4" s="1"/>
  <c r="AD45" i="1"/>
  <c r="W4" i="4"/>
  <c r="W62" i="4" s="1"/>
  <c r="H4" i="12"/>
  <c r="F4" i="12"/>
  <c r="AI27" i="1"/>
  <c r="AI52" i="1" s="1"/>
  <c r="I4" i="12"/>
  <c r="AE22" i="23"/>
  <c r="L4" i="12"/>
  <c r="AD27" i="23"/>
  <c r="AD52" i="23" s="1"/>
  <c r="Z22" i="23"/>
  <c r="AE45" i="23"/>
  <c r="AI4" i="4"/>
  <c r="AI62" i="4" s="1"/>
  <c r="U45" i="1"/>
  <c r="V22" i="1"/>
  <c r="W22" i="1"/>
  <c r="V22" i="23"/>
  <c r="V27" i="1"/>
  <c r="V52" i="1" s="1"/>
  <c r="AG80" i="4"/>
  <c r="G57" i="4"/>
  <c r="G58" i="4" s="1"/>
  <c r="G76" i="4" s="1"/>
  <c r="AB80" i="4"/>
  <c r="F57" i="4"/>
  <c r="F58" i="4" s="1"/>
  <c r="F76" i="4" s="1"/>
  <c r="B56" i="4"/>
  <c r="E79" i="4"/>
  <c r="G79" i="4"/>
  <c r="I79" i="4"/>
  <c r="H79" i="4"/>
  <c r="F79" i="4"/>
  <c r="J80" i="4"/>
  <c r="E57" i="4"/>
  <c r="E58" i="4" s="1"/>
  <c r="E76" i="4" s="1"/>
  <c r="E56" i="4"/>
  <c r="E75" i="4" s="1"/>
  <c r="W80" i="4"/>
  <c r="F56" i="4"/>
  <c r="F75" i="4" s="1"/>
  <c r="P57" i="4"/>
  <c r="P58" i="4" s="1"/>
  <c r="P76" i="4" s="1"/>
  <c r="R56" i="4"/>
  <c r="R75" i="4" s="1"/>
  <c r="D56" i="4"/>
  <c r="D75" i="4" s="1"/>
  <c r="B57" i="4"/>
  <c r="B58" i="4" s="1"/>
  <c r="B76" i="4" s="1"/>
  <c r="V45" i="33"/>
  <c r="V27" i="33"/>
  <c r="V52" i="33" s="1"/>
  <c r="V22" i="33"/>
  <c r="D57" i="4"/>
  <c r="D58" i="4" s="1"/>
  <c r="D76" i="4" s="1"/>
  <c r="W27" i="33"/>
  <c r="W52" i="33" s="1"/>
  <c r="W22" i="33"/>
  <c r="W45" i="33"/>
  <c r="O57" i="4"/>
  <c r="O58" i="4" s="1"/>
  <c r="O76" i="4" s="1"/>
  <c r="C57" i="4"/>
  <c r="C58" i="4" s="1"/>
  <c r="C76" i="4" s="1"/>
  <c r="Q2" i="12"/>
  <c r="Q4" i="12" s="1"/>
  <c r="P2" i="12"/>
  <c r="P4" i="12" s="1"/>
  <c r="Q56" i="4"/>
  <c r="Q75" i="4" s="1"/>
  <c r="O56" i="4"/>
  <c r="O75" i="4" s="1"/>
  <c r="C56" i="4"/>
  <c r="C75" i="4" s="1"/>
  <c r="R2" i="12"/>
  <c r="R4" i="12" s="1"/>
  <c r="Y22" i="33"/>
  <c r="Y45" i="33"/>
  <c r="Y27" i="33"/>
  <c r="Y52" i="33" s="1"/>
  <c r="P56" i="4"/>
  <c r="R57" i="4"/>
  <c r="R58" i="4" s="1"/>
  <c r="R76" i="4" s="1"/>
  <c r="Q57" i="4"/>
  <c r="Q58" i="4" s="1"/>
  <c r="Q76" i="4" s="1"/>
  <c r="Q79" i="4"/>
  <c r="P79" i="4"/>
  <c r="R79" i="4"/>
  <c r="R80" i="4" s="1"/>
  <c r="AJ45" i="1"/>
  <c r="AF27" i="1"/>
  <c r="AF52" i="1" s="1"/>
  <c r="AF45" i="23"/>
  <c r="U4" i="4"/>
  <c r="AF45" i="1"/>
  <c r="AJ22" i="1"/>
  <c r="AJ27" i="1"/>
  <c r="AJ52" i="1" s="1"/>
  <c r="AH27" i="1"/>
  <c r="AH52" i="1" s="1"/>
  <c r="F2" i="27"/>
  <c r="F4" i="27" s="1"/>
  <c r="AJ22" i="23"/>
  <c r="AH45" i="1"/>
  <c r="O2" i="12"/>
  <c r="O4" i="12" s="1"/>
  <c r="AF27" i="23"/>
  <c r="AF52" i="23" s="1"/>
  <c r="AC22" i="23"/>
  <c r="U27" i="1"/>
  <c r="U52" i="1" s="1"/>
  <c r="W27" i="23"/>
  <c r="W52" i="23" s="1"/>
  <c r="W45" i="23"/>
  <c r="C79" i="4"/>
  <c r="D79" i="4"/>
  <c r="K15" i="28"/>
  <c r="K13" i="28"/>
  <c r="K11" i="28"/>
  <c r="K9" i="28"/>
  <c r="L14" i="28"/>
  <c r="L12" i="28"/>
  <c r="L10" i="28"/>
  <c r="L8" i="28"/>
  <c r="L15" i="28"/>
  <c r="L13" i="28"/>
  <c r="L11" i="28"/>
  <c r="L9" i="28"/>
  <c r="K14" i="28"/>
  <c r="K12" i="28"/>
  <c r="K10" i="28"/>
  <c r="K8" i="28"/>
  <c r="L55" i="23"/>
  <c r="D55" i="23"/>
  <c r="H55" i="23"/>
  <c r="K55" i="23"/>
  <c r="J55" i="23"/>
  <c r="M55" i="23"/>
  <c r="G55" i="23"/>
  <c r="E55" i="23"/>
  <c r="I55" i="23"/>
  <c r="AA59" i="23"/>
  <c r="AA60" i="23" s="1"/>
  <c r="AF59" i="23"/>
  <c r="AF60" i="23" s="1"/>
  <c r="R59" i="23"/>
  <c r="R60" i="23" s="1"/>
  <c r="O79" i="4"/>
  <c r="B79" i="4"/>
  <c r="B64" i="23"/>
  <c r="W61" i="23"/>
  <c r="L59" i="23"/>
  <c r="L60" i="23" s="1"/>
  <c r="F59" i="23"/>
  <c r="F60" i="23" s="1"/>
  <c r="AC59" i="23"/>
  <c r="AC60" i="23" s="1"/>
  <c r="AH59" i="23"/>
  <c r="AH60" i="23" s="1"/>
  <c r="X59" i="23"/>
  <c r="X60" i="23" s="1"/>
  <c r="Q59" i="23"/>
  <c r="Q60" i="23" s="1"/>
  <c r="AG59" i="23"/>
  <c r="AG60" i="23" s="1"/>
  <c r="V59" i="23"/>
  <c r="V60" i="23" s="1"/>
  <c r="P59" i="23"/>
  <c r="P60" i="23" s="1"/>
  <c r="AE59" i="23"/>
  <c r="AE60" i="23" s="1"/>
  <c r="T59" i="23"/>
  <c r="T60" i="23" s="1"/>
  <c r="U59" i="23"/>
  <c r="U60" i="23" s="1"/>
  <c r="AK59" i="23"/>
  <c r="AK60" i="23" s="1"/>
  <c r="Z59" i="23"/>
  <c r="Z60" i="23" s="1"/>
  <c r="S59" i="23"/>
  <c r="S60" i="23" s="1"/>
  <c r="AI59" i="23"/>
  <c r="AI60" i="23" s="1"/>
  <c r="AB59" i="23"/>
  <c r="AB60" i="23" s="1"/>
  <c r="Y59" i="23"/>
  <c r="Y60" i="23" s="1"/>
  <c r="AJ59" i="23"/>
  <c r="AJ60" i="23" s="1"/>
  <c r="AD59" i="23"/>
  <c r="AD60" i="23" s="1"/>
  <c r="B65" i="23"/>
  <c r="AH4" i="4"/>
  <c r="AH55" i="4" s="1"/>
  <c r="AF22" i="1"/>
  <c r="AH22" i="23"/>
  <c r="AI45" i="1"/>
  <c r="AI45" i="23"/>
  <c r="AH27" i="23"/>
  <c r="AH52" i="23" s="1"/>
  <c r="AI27" i="23"/>
  <c r="AI52" i="23" s="1"/>
  <c r="N2" i="12"/>
  <c r="N4" i="12" s="1"/>
  <c r="R45" i="23"/>
  <c r="AC4" i="4"/>
  <c r="AC62" i="4" s="1"/>
  <c r="AC27" i="1"/>
  <c r="AC52" i="1" s="1"/>
  <c r="AC22" i="1"/>
  <c r="AC45" i="1"/>
  <c r="S4" i="4"/>
  <c r="S62" i="4" s="1"/>
  <c r="S45" i="1"/>
  <c r="S27" i="1"/>
  <c r="S52" i="1" s="1"/>
  <c r="S22" i="1"/>
  <c r="AA27" i="23"/>
  <c r="AA52" i="23" s="1"/>
  <c r="AA22" i="23"/>
  <c r="AA45" i="23"/>
  <c r="AA45" i="1"/>
  <c r="AA27" i="1"/>
  <c r="AA52" i="1" s="1"/>
  <c r="S2" i="12"/>
  <c r="S4" i="12" s="1"/>
  <c r="AC45" i="23"/>
  <c r="U27" i="23"/>
  <c r="U52" i="23" s="1"/>
  <c r="U45" i="23"/>
  <c r="Y27" i="1"/>
  <c r="Y52" i="1" s="1"/>
  <c r="Y4" i="4"/>
  <c r="Y62" i="4" s="1"/>
  <c r="Y45" i="1"/>
  <c r="Y22" i="1"/>
  <c r="S45" i="23"/>
  <c r="S27" i="23"/>
  <c r="S52" i="23" s="1"/>
  <c r="S22" i="23"/>
  <c r="AA4" i="4"/>
  <c r="R45" i="1"/>
  <c r="R4" i="4"/>
  <c r="R62" i="4" s="1"/>
  <c r="R27" i="1"/>
  <c r="R52" i="1" s="1"/>
  <c r="R27" i="23"/>
  <c r="R52" i="23" s="1"/>
  <c r="C59" i="23"/>
  <c r="C60" i="23" s="1"/>
  <c r="E59" i="23"/>
  <c r="E60" i="23" s="1"/>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H3" i="12"/>
  <c r="O59" i="1"/>
  <c r="O60" i="1" s="1"/>
  <c r="J59" i="1"/>
  <c r="J60" i="1" s="1"/>
  <c r="F59" i="1"/>
  <c r="F60" i="1" s="1"/>
  <c r="M59" i="1"/>
  <c r="M60" i="1" s="1"/>
  <c r="I59" i="1"/>
  <c r="I60" i="1" s="1"/>
  <c r="E59" i="1"/>
  <c r="E60" i="1" s="1"/>
  <c r="L59" i="1"/>
  <c r="L60" i="1" s="1"/>
  <c r="H59" i="1"/>
  <c r="H60" i="1" s="1"/>
  <c r="D59" i="1"/>
  <c r="D60" i="1" s="1"/>
  <c r="K59" i="1"/>
  <c r="K60" i="1" s="1"/>
  <c r="C59" i="1"/>
  <c r="C60" i="1" s="1"/>
  <c r="G59" i="1"/>
  <c r="G60" i="1" s="1"/>
  <c r="M55" i="1"/>
  <c r="AJ59" i="1"/>
  <c r="AJ60" i="1" s="1"/>
  <c r="AF59" i="1"/>
  <c r="AF60" i="1" s="1"/>
  <c r="AB59" i="1"/>
  <c r="AB60" i="1" s="1"/>
  <c r="X59" i="1"/>
  <c r="X60" i="1" s="1"/>
  <c r="T59" i="1"/>
  <c r="T60" i="1" s="1"/>
  <c r="P59" i="1"/>
  <c r="P60" i="1" s="1"/>
  <c r="AI59" i="1"/>
  <c r="AI60" i="1" s="1"/>
  <c r="AE59" i="1"/>
  <c r="AE60" i="1" s="1"/>
  <c r="AA59" i="1"/>
  <c r="AA60" i="1" s="1"/>
  <c r="W59" i="1"/>
  <c r="W60" i="1" s="1"/>
  <c r="S59" i="1"/>
  <c r="S60" i="1" s="1"/>
  <c r="AH59" i="1"/>
  <c r="AH60" i="1" s="1"/>
  <c r="AD59" i="1"/>
  <c r="AD60" i="1" s="1"/>
  <c r="Z59" i="1"/>
  <c r="Z60" i="1" s="1"/>
  <c r="V59" i="1"/>
  <c r="V60" i="1" s="1"/>
  <c r="R59" i="1"/>
  <c r="R60" i="1" s="1"/>
  <c r="Y59" i="1"/>
  <c r="Y60" i="1" s="1"/>
  <c r="AK59" i="1"/>
  <c r="AK60" i="1" s="1"/>
  <c r="U59" i="1"/>
  <c r="U60" i="1" s="1"/>
  <c r="AC59" i="1"/>
  <c r="AC60" i="1" s="1"/>
  <c r="AG59" i="1"/>
  <c r="AG60" i="1" s="1"/>
  <c r="Q59" i="1"/>
  <c r="Q60" i="1" s="1"/>
  <c r="B65" i="1"/>
  <c r="B64" i="1"/>
  <c r="B55" i="1"/>
  <c r="AB45" i="23"/>
  <c r="AB27" i="23"/>
  <c r="AB52" i="23" s="1"/>
  <c r="AB22" i="23"/>
  <c r="AG22" i="23"/>
  <c r="AG27" i="23"/>
  <c r="AG52" i="23" s="1"/>
  <c r="AG45" i="23"/>
  <c r="X45" i="23"/>
  <c r="X27" i="23"/>
  <c r="X52" i="23" s="1"/>
  <c r="X22" i="23"/>
  <c r="AG4" i="4"/>
  <c r="AG62" i="4" s="1"/>
  <c r="AG45" i="1"/>
  <c r="AG27" i="1"/>
  <c r="AG52" i="1" s="1"/>
  <c r="AG22" i="1"/>
  <c r="X27" i="1"/>
  <c r="X52" i="1" s="1"/>
  <c r="X22" i="1"/>
  <c r="X45" i="1"/>
  <c r="X4" i="4"/>
  <c r="X62" i="4" s="1"/>
  <c r="G3" i="12"/>
  <c r="AB22" i="1"/>
  <c r="AB45" i="1"/>
  <c r="AB4" i="4"/>
  <c r="AB62" i="4" s="1"/>
  <c r="AB27" i="1"/>
  <c r="AB52" i="1" s="1"/>
  <c r="AJ74" i="4"/>
  <c r="AJ55" i="4"/>
  <c r="T27" i="23"/>
  <c r="T52" i="23" s="1"/>
  <c r="T45" i="23"/>
  <c r="T22" i="23"/>
  <c r="F3" i="12"/>
  <c r="J3" i="12"/>
  <c r="AK22" i="23"/>
  <c r="AK27" i="23"/>
  <c r="AK52" i="23" s="1"/>
  <c r="AK45" i="23"/>
  <c r="I3" i="12"/>
  <c r="T27" i="1"/>
  <c r="T52" i="1" s="1"/>
  <c r="T45" i="1"/>
  <c r="T4" i="4"/>
  <c r="T62" i="4" s="1"/>
  <c r="T22" i="1"/>
  <c r="AK4" i="4"/>
  <c r="AK62" i="4" s="1"/>
  <c r="AK22" i="1"/>
  <c r="AK27" i="1"/>
  <c r="AK52" i="1" s="1"/>
  <c r="AK45" i="1"/>
  <c r="AF74" i="4"/>
  <c r="AF55" i="4"/>
  <c r="V62" i="4" l="1"/>
  <c r="V74" i="4"/>
  <c r="Z2" i="12" s="1"/>
  <c r="AD74" i="4"/>
  <c r="AH2" i="12" s="1"/>
  <c r="T77" i="4"/>
  <c r="W74" i="4"/>
  <c r="AA2" i="12" s="1"/>
  <c r="W55" i="4"/>
  <c r="AE55" i="4"/>
  <c r="AE74" i="4"/>
  <c r="AI74" i="4"/>
  <c r="AD62" i="4"/>
  <c r="AI55" i="4"/>
  <c r="B80" i="4"/>
  <c r="P75" i="4"/>
  <c r="B5" i="12" s="1"/>
  <c r="O81" i="4"/>
  <c r="AH74" i="4"/>
  <c r="AH62" i="4"/>
  <c r="AA74" i="4"/>
  <c r="AE2" i="12" s="1"/>
  <c r="AA62" i="4"/>
  <c r="U74" i="4"/>
  <c r="Y2" i="12" s="1"/>
  <c r="U62" i="4"/>
  <c r="B6" i="12"/>
  <c r="B6" i="27"/>
  <c r="R61" i="23"/>
  <c r="AF61" i="23"/>
  <c r="AA61" i="23"/>
  <c r="U55" i="4"/>
  <c r="F3" i="27"/>
  <c r="AK77" i="4"/>
  <c r="AB77" i="4"/>
  <c r="AH77" i="4"/>
  <c r="W77" i="4"/>
  <c r="V77" i="4"/>
  <c r="U77" i="4"/>
  <c r="Z77" i="4"/>
  <c r="X77" i="4"/>
  <c r="O77" i="4"/>
  <c r="AA77" i="4"/>
  <c r="AC77" i="4"/>
  <c r="S77" i="4"/>
  <c r="AD77" i="4"/>
  <c r="Y77" i="4"/>
  <c r="Q77" i="4"/>
  <c r="AJ77" i="4"/>
  <c r="AI77" i="4"/>
  <c r="R77" i="4"/>
  <c r="AF77" i="4"/>
  <c r="AG77" i="4"/>
  <c r="AE77" i="4"/>
  <c r="AK81" i="4"/>
  <c r="AK82" i="4" s="1"/>
  <c r="W81" i="4"/>
  <c r="W82" i="4" s="1"/>
  <c r="Y81" i="4"/>
  <c r="Y82" i="4" s="1"/>
  <c r="T81" i="4"/>
  <c r="AG81" i="4"/>
  <c r="AG82" i="4" s="1"/>
  <c r="AA81" i="4"/>
  <c r="AA82" i="4" s="1"/>
  <c r="AF81" i="4"/>
  <c r="AF82" i="4" s="1"/>
  <c r="AH81" i="4"/>
  <c r="AH82" i="4" s="1"/>
  <c r="AJ81" i="4"/>
  <c r="AJ82" i="4" s="1"/>
  <c r="AD81" i="4"/>
  <c r="AD82" i="4" s="1"/>
  <c r="U81" i="4"/>
  <c r="AI81" i="4"/>
  <c r="AI82" i="4" s="1"/>
  <c r="AC81" i="4"/>
  <c r="AC82" i="4" s="1"/>
  <c r="AE81" i="4"/>
  <c r="AE82" i="4" s="1"/>
  <c r="P81" i="4"/>
  <c r="V81" i="4"/>
  <c r="AB81" i="4"/>
  <c r="AB82" i="4" s="1"/>
  <c r="S81" i="4"/>
  <c r="X81" i="4"/>
  <c r="X82" i="4" s="1"/>
  <c r="Z81" i="4"/>
  <c r="Z82" i="4" s="1"/>
  <c r="Q81" i="4"/>
  <c r="R81" i="4"/>
  <c r="B86" i="4"/>
  <c r="B87" i="4"/>
  <c r="B75" i="4"/>
  <c r="E94" i="4" s="1"/>
  <c r="M81" i="4"/>
  <c r="J81" i="4"/>
  <c r="K81" i="4"/>
  <c r="L81" i="4"/>
  <c r="M61" i="23"/>
  <c r="I61" i="23"/>
  <c r="E61" i="23"/>
  <c r="AD61" i="23"/>
  <c r="Z61" i="23"/>
  <c r="AG61" i="23"/>
  <c r="AC61" i="23"/>
  <c r="D61" i="23"/>
  <c r="C61" i="23"/>
  <c r="AJ61" i="23"/>
  <c r="AK61" i="23"/>
  <c r="AE61" i="23"/>
  <c r="Q61" i="23"/>
  <c r="Y61" i="23"/>
  <c r="AI61" i="23"/>
  <c r="U61" i="23"/>
  <c r="P61" i="23"/>
  <c r="X61" i="23"/>
  <c r="F61" i="23"/>
  <c r="H61" i="23"/>
  <c r="K61" i="23"/>
  <c r="G61" i="23"/>
  <c r="J61" i="23"/>
  <c r="AB61" i="23"/>
  <c r="S61" i="23"/>
  <c r="T61" i="23"/>
  <c r="V61" i="23"/>
  <c r="AH61" i="23"/>
  <c r="L61" i="23"/>
  <c r="AC61" i="1"/>
  <c r="AH61" i="1"/>
  <c r="X61" i="1"/>
  <c r="D61" i="1"/>
  <c r="U61" i="1"/>
  <c r="S61" i="1"/>
  <c r="AI61" i="1"/>
  <c r="G61" i="1"/>
  <c r="M61" i="1"/>
  <c r="AK61" i="1"/>
  <c r="Z61" i="1"/>
  <c r="W61" i="1"/>
  <c r="AF61" i="1"/>
  <c r="L61" i="1"/>
  <c r="AG61" i="1"/>
  <c r="Y61" i="1"/>
  <c r="AD61" i="1"/>
  <c r="AA61" i="1"/>
  <c r="T61" i="1"/>
  <c r="AJ61" i="1"/>
  <c r="E61" i="1"/>
  <c r="F61" i="1"/>
  <c r="AE61" i="1"/>
  <c r="K61" i="1"/>
  <c r="I61" i="1"/>
  <c r="J61" i="1"/>
  <c r="V61" i="1"/>
  <c r="AB61" i="1"/>
  <c r="H61" i="1"/>
  <c r="AA55" i="4"/>
  <c r="O3" i="12"/>
  <c r="R3" i="12"/>
  <c r="S3" i="12"/>
  <c r="N3" i="12"/>
  <c r="M3" i="12"/>
  <c r="L3" i="12"/>
  <c r="Y55" i="4"/>
  <c r="Y74" i="4"/>
  <c r="AC2" i="12" s="1"/>
  <c r="S55" i="4"/>
  <c r="S74" i="4"/>
  <c r="W2" i="12" s="1"/>
  <c r="AC55" i="4"/>
  <c r="AC74" i="4"/>
  <c r="AG2" i="12" s="1"/>
  <c r="R55" i="4"/>
  <c r="R74" i="4"/>
  <c r="P3" i="12"/>
  <c r="Q3" i="12"/>
  <c r="K2" i="12"/>
  <c r="K4" i="12" s="1"/>
  <c r="B4" i="27"/>
  <c r="B4" i="12"/>
  <c r="O61" i="1"/>
  <c r="Q61" i="1"/>
  <c r="P61" i="1"/>
  <c r="C61" i="1"/>
  <c r="R61" i="1"/>
  <c r="X55" i="4"/>
  <c r="X74" i="4"/>
  <c r="AB2" i="12" s="1"/>
  <c r="AG55" i="4"/>
  <c r="AG74" i="4"/>
  <c r="AB74" i="4"/>
  <c r="AF2" i="12" s="1"/>
  <c r="AB55" i="4"/>
  <c r="T55" i="4"/>
  <c r="T74" i="4"/>
  <c r="AK74" i="4"/>
  <c r="AK55" i="4"/>
  <c r="H94" i="4" l="1"/>
  <c r="C94" i="4"/>
  <c r="B5" i="27"/>
  <c r="P94" i="4"/>
  <c r="F94" i="4"/>
  <c r="R94" i="4"/>
  <c r="B94" i="4"/>
  <c r="N94" i="4"/>
  <c r="L94" i="4"/>
  <c r="V94" i="4"/>
  <c r="M94" i="4"/>
  <c r="K94" i="4"/>
  <c r="J94" i="4"/>
  <c r="U94" i="4"/>
  <c r="T94" i="4"/>
  <c r="S94" i="4"/>
  <c r="O94" i="4"/>
  <c r="G94" i="4"/>
  <c r="I94" i="4"/>
  <c r="D94" i="4"/>
  <c r="Q94" i="4"/>
  <c r="AD4" i="12"/>
  <c r="AB4" i="12"/>
  <c r="P77" i="4"/>
  <c r="AE4" i="12"/>
  <c r="Z4" i="12"/>
  <c r="W4" i="12"/>
  <c r="AG4" i="12"/>
  <c r="AC4" i="12"/>
  <c r="AH4" i="12"/>
  <c r="AF4" i="12"/>
  <c r="Y4" i="12"/>
  <c r="AA4" i="12"/>
  <c r="I81" i="4"/>
  <c r="F3" i="28" s="1"/>
  <c r="F81" i="4"/>
  <c r="F83" i="4" s="1"/>
  <c r="G81" i="4"/>
  <c r="H81" i="4"/>
  <c r="D81" i="4"/>
  <c r="D83" i="4" s="1"/>
  <c r="E81" i="4"/>
  <c r="C81" i="4"/>
  <c r="K77" i="4"/>
  <c r="E5" i="28" s="1"/>
  <c r="J77" i="4"/>
  <c r="E4" i="28" s="1"/>
  <c r="G77" i="4"/>
  <c r="F77" i="4"/>
  <c r="L77" i="4"/>
  <c r="B77" i="4"/>
  <c r="B2" i="27"/>
  <c r="G6" i="27" s="1"/>
  <c r="M77" i="4"/>
  <c r="E7" i="28" s="1"/>
  <c r="I77" i="4"/>
  <c r="E3" i="28" s="1"/>
  <c r="B2" i="12"/>
  <c r="E6" i="12" s="1"/>
  <c r="H77" i="4"/>
  <c r="D77" i="4"/>
  <c r="C77" i="4"/>
  <c r="E77" i="4"/>
  <c r="AG8" i="12"/>
  <c r="AG9" i="12" s="1"/>
  <c r="AG10" i="12" s="1"/>
  <c r="U8" i="12"/>
  <c r="U9" i="12" s="1"/>
  <c r="U10" i="12" s="1"/>
  <c r="AJ8" i="12"/>
  <c r="AJ9" i="12" s="1"/>
  <c r="AJ10" i="12" s="1"/>
  <c r="AB8" i="12"/>
  <c r="AB9" i="12" s="1"/>
  <c r="AB10" i="12" s="1"/>
  <c r="Z8" i="12"/>
  <c r="Z9" i="12" s="1"/>
  <c r="Z10" i="12" s="1"/>
  <c r="AC8" i="12"/>
  <c r="AC9" i="12" s="1"/>
  <c r="AC10" i="12" s="1"/>
  <c r="V8" i="12"/>
  <c r="V9" i="12" s="1"/>
  <c r="V10" i="12" s="1"/>
  <c r="X8" i="12"/>
  <c r="X9" i="12" s="1"/>
  <c r="X10" i="12" s="1"/>
  <c r="AH8" i="12"/>
  <c r="AH9" i="12" s="1"/>
  <c r="AH10" i="12" s="1"/>
  <c r="AD8" i="12"/>
  <c r="AD9" i="12" s="1"/>
  <c r="AD10" i="12" s="1"/>
  <c r="AI8" i="12"/>
  <c r="AI9" i="12" s="1"/>
  <c r="AI10" i="12" s="1"/>
  <c r="W8" i="12"/>
  <c r="W9" i="12" s="1"/>
  <c r="W10" i="12" s="1"/>
  <c r="Y8" i="12"/>
  <c r="Y9" i="12" s="1"/>
  <c r="Y10" i="12" s="1"/>
  <c r="AE8" i="12"/>
  <c r="AE9" i="12" s="1"/>
  <c r="AE10" i="12" s="1"/>
  <c r="AA8" i="12"/>
  <c r="AA9" i="12" s="1"/>
  <c r="AA10" i="12" s="1"/>
  <c r="AF8" i="12"/>
  <c r="AF9" i="12" s="1"/>
  <c r="AF10" i="12" s="1"/>
  <c r="H8" i="27"/>
  <c r="H9" i="27" s="1"/>
  <c r="H10" i="27" s="1"/>
  <c r="J8" i="27"/>
  <c r="J9" i="27" s="1"/>
  <c r="J10" i="27" s="1"/>
  <c r="I8" i="27"/>
  <c r="I9" i="27" s="1"/>
  <c r="I10" i="27" s="1"/>
  <c r="AB83" i="4"/>
  <c r="AJ83" i="4"/>
  <c r="AG83" i="4"/>
  <c r="L83" i="4"/>
  <c r="V83" i="4"/>
  <c r="AI83" i="4"/>
  <c r="T83" i="4"/>
  <c r="M83" i="4"/>
  <c r="X83" i="4"/>
  <c r="P83" i="4"/>
  <c r="U83" i="4"/>
  <c r="AF83" i="4"/>
  <c r="Y83" i="4"/>
  <c r="S5" i="12"/>
  <c r="Q83" i="4"/>
  <c r="AC83" i="4"/>
  <c r="AK83" i="4"/>
  <c r="Z83" i="4"/>
  <c r="AH83" i="4"/>
  <c r="K83" i="4"/>
  <c r="J83" i="4"/>
  <c r="R83" i="4"/>
  <c r="S83" i="4"/>
  <c r="AE83" i="4"/>
  <c r="AD83" i="4"/>
  <c r="AA83" i="4"/>
  <c r="W83" i="4"/>
  <c r="O83" i="4"/>
  <c r="O61" i="23"/>
  <c r="AG3" i="12"/>
  <c r="AD3" i="12"/>
  <c r="AE3" i="12"/>
  <c r="AC3" i="12"/>
  <c r="W3" i="12"/>
  <c r="Y3" i="12"/>
  <c r="I2" i="27"/>
  <c r="I4" i="27" s="1"/>
  <c r="V2" i="12"/>
  <c r="V4" i="12" s="1"/>
  <c r="J2" i="28"/>
  <c r="K3" i="12"/>
  <c r="F2" i="28"/>
  <c r="J3" i="28"/>
  <c r="Z3" i="12"/>
  <c r="AA3" i="12"/>
  <c r="AH3" i="12"/>
  <c r="I3" i="28"/>
  <c r="I2"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F4" i="28"/>
  <c r="J11" i="28"/>
  <c r="I6" i="28"/>
  <c r="J9" i="28"/>
  <c r="I8" i="28"/>
  <c r="F14"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R5" i="12" l="1"/>
  <c r="Q5" i="12"/>
  <c r="P5" i="12"/>
  <c r="G83" i="4"/>
  <c r="I83" i="4"/>
  <c r="C83" i="4"/>
  <c r="H83" i="4"/>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I9" i="22" s="1"/>
  <c r="F12" i="22"/>
  <c r="K12" i="22" s="1"/>
  <c r="M12" i="22" s="1"/>
  <c r="F16" i="22"/>
  <c r="G16" i="22" s="1"/>
  <c r="F22" i="22"/>
  <c r="I22" i="22" s="1"/>
  <c r="J5" i="12"/>
  <c r="F15" i="22"/>
  <c r="K15" i="22" s="1"/>
  <c r="M15" i="22" s="1"/>
  <c r="L5" i="12"/>
  <c r="F21" i="22"/>
  <c r="G21" i="22" s="1"/>
  <c r="F5" i="12"/>
  <c r="F24" i="22"/>
  <c r="K24" i="22" s="1"/>
  <c r="M24" i="22" s="1"/>
  <c r="F10" i="22"/>
  <c r="K10" i="22" s="1"/>
  <c r="F11" i="22"/>
  <c r="I11" i="22" s="1"/>
  <c r="F13" i="22"/>
  <c r="I13" i="22" s="1"/>
  <c r="F14" i="22"/>
  <c r="I14" i="22" s="1"/>
  <c r="F18" i="22"/>
  <c r="G18" i="22" s="1"/>
  <c r="F8" i="22"/>
  <c r="G8" i="22" s="1"/>
  <c r="F5" i="27"/>
  <c r="F25" i="22"/>
  <c r="K25" i="22" s="1"/>
  <c r="M25" i="22" s="1"/>
  <c r="G5" i="12"/>
  <c r="H5" i="12"/>
  <c r="F17" i="22"/>
  <c r="K17" i="22" s="1"/>
  <c r="M17" i="22" s="1"/>
  <c r="K5" i="12"/>
  <c r="G51" i="22"/>
  <c r="J51" i="22" s="1"/>
  <c r="I51" i="22"/>
  <c r="M51" i="22" s="1"/>
  <c r="K51" i="22"/>
  <c r="N51" i="22" s="1"/>
  <c r="G44" i="22"/>
  <c r="J44" i="22" s="1"/>
  <c r="I44" i="22"/>
  <c r="M44" i="22" s="1"/>
  <c r="K44" i="22"/>
  <c r="N44" i="22" s="1"/>
  <c r="G38" i="22"/>
  <c r="J38" i="22" s="1"/>
  <c r="I38" i="22"/>
  <c r="M38" i="22" s="1"/>
  <c r="K38" i="22"/>
  <c r="N38" i="22" s="1"/>
  <c r="G33" i="22"/>
  <c r="J33" i="22" s="1"/>
  <c r="I33" i="22"/>
  <c r="K33" i="22"/>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G50" i="22"/>
  <c r="J50" i="22" s="1"/>
  <c r="I50" i="22"/>
  <c r="M50" i="22" s="1"/>
  <c r="K50" i="22"/>
  <c r="N50" i="22" s="1"/>
  <c r="G35" i="22"/>
  <c r="J35" i="22" s="1"/>
  <c r="I35" i="22"/>
  <c r="K35" i="22"/>
  <c r="G42" i="22"/>
  <c r="J42" i="22" s="1"/>
  <c r="I42" i="22"/>
  <c r="M42" i="22" s="1"/>
  <c r="K42" i="22"/>
  <c r="N42" i="22" s="1"/>
  <c r="G47" i="22"/>
  <c r="J47" i="22" s="1"/>
  <c r="I47" i="22"/>
  <c r="M47" i="22" s="1"/>
  <c r="K47" i="22"/>
  <c r="N47" i="22" s="1"/>
  <c r="G49" i="22"/>
  <c r="J49" i="22" s="1"/>
  <c r="I49" i="22"/>
  <c r="M49" i="22" s="1"/>
  <c r="K49" i="22"/>
  <c r="N49" i="22" s="1"/>
  <c r="G34" i="22"/>
  <c r="J34" i="22" s="1"/>
  <c r="I34" i="22"/>
  <c r="K34" i="22"/>
  <c r="G39" i="22"/>
  <c r="J39" i="22" s="1"/>
  <c r="I39" i="22"/>
  <c r="M39" i="22" s="1"/>
  <c r="K39" i="22"/>
  <c r="N39" i="22" s="1"/>
  <c r="G32" i="22"/>
  <c r="J32" i="22" s="1"/>
  <c r="I32" i="22"/>
  <c r="K32" i="22"/>
  <c r="L3" i="28" s="1"/>
  <c r="G45" i="22"/>
  <c r="J45" i="22" s="1"/>
  <c r="I45" i="22"/>
  <c r="M45" i="22" s="1"/>
  <c r="K45" i="22"/>
  <c r="N45" i="22" s="1"/>
  <c r="G36" i="22"/>
  <c r="J36" i="22" s="1"/>
  <c r="I36" i="22"/>
  <c r="K36" i="22"/>
  <c r="G48" i="22"/>
  <c r="J48" i="22" s="1"/>
  <c r="I48" i="22"/>
  <c r="M48" i="22" s="1"/>
  <c r="K48" i="22"/>
  <c r="N48" i="22" s="1"/>
  <c r="G43" i="22"/>
  <c r="J43" i="22" s="1"/>
  <c r="I43" i="22"/>
  <c r="M43" i="22" s="1"/>
  <c r="K43" i="22"/>
  <c r="N43" i="22" s="1"/>
  <c r="G9" i="22" l="1"/>
  <c r="G14" i="22"/>
  <c r="M32" i="22"/>
  <c r="K16" i="22"/>
  <c r="M16" i="22" s="1"/>
  <c r="I19" i="22"/>
  <c r="I10" i="22"/>
  <c r="G6" i="28" s="1"/>
  <c r="I18" i="22"/>
  <c r="G12" i="22"/>
  <c r="N34" i="22"/>
  <c r="L5" i="28"/>
  <c r="I15" i="22"/>
  <c r="N36" i="22"/>
  <c r="L7" i="28"/>
  <c r="I12" i="22"/>
  <c r="G15" i="22"/>
  <c r="K14" i="22"/>
  <c r="M14" i="22" s="1"/>
  <c r="N33" i="22"/>
  <c r="L4" i="28"/>
  <c r="M33" i="22"/>
  <c r="K4" i="28"/>
  <c r="M36" i="22"/>
  <c r="K7" i="28"/>
  <c r="M34" i="22"/>
  <c r="K5" i="28"/>
  <c r="N35" i="22"/>
  <c r="L6" i="28"/>
  <c r="M35" i="22"/>
  <c r="K6" i="28"/>
  <c r="I25" i="22"/>
  <c r="K18" i="22"/>
  <c r="M18" i="22" s="1"/>
  <c r="G10" i="22"/>
  <c r="G13" i="22"/>
  <c r="K26" i="22"/>
  <c r="M26" i="22" s="1"/>
  <c r="G25" i="22"/>
  <c r="K7" i="22"/>
  <c r="H3" i="28" s="1"/>
  <c r="K19" i="22"/>
  <c r="M19" i="22" s="1"/>
  <c r="I24" i="22"/>
  <c r="I7" i="22"/>
  <c r="G3" i="28" s="1"/>
  <c r="G24" i="22"/>
  <c r="G22" i="22"/>
  <c r="K21" i="22"/>
  <c r="M21" i="22" s="1"/>
  <c r="G11" i="22"/>
  <c r="I17" i="22"/>
  <c r="I26" i="22"/>
  <c r="G17" i="22"/>
  <c r="K13" i="22"/>
  <c r="M13" i="22" s="1"/>
  <c r="K9" i="22"/>
  <c r="M9" i="22" s="1"/>
  <c r="M10" i="22"/>
  <c r="N10" i="22"/>
  <c r="I16" i="22"/>
  <c r="G20" i="22"/>
  <c r="K8" i="22"/>
  <c r="M8" i="22" s="1"/>
  <c r="K23" i="22"/>
  <c r="M23" i="22" s="1"/>
  <c r="I21" i="22"/>
  <c r="K22" i="22"/>
  <c r="M22" i="22" s="1"/>
  <c r="I8" i="22"/>
  <c r="G4" i="28" s="1"/>
  <c r="I23" i="22"/>
  <c r="K20" i="22"/>
  <c r="M20" i="22" s="1"/>
  <c r="K11" i="22"/>
  <c r="M11" i="22" s="1"/>
  <c r="N15" i="22"/>
  <c r="N12" i="22"/>
  <c r="N24" i="22"/>
  <c r="N25" i="22"/>
  <c r="N17" i="22"/>
  <c r="L2" i="28"/>
  <c r="N32" i="22"/>
  <c r="K3" i="28"/>
  <c r="K2" i="28"/>
  <c r="G13" i="28"/>
  <c r="G14" i="28"/>
  <c r="G8" i="28"/>
  <c r="G11" i="28"/>
  <c r="G12" i="28"/>
  <c r="G9" i="28"/>
  <c r="G15" i="28"/>
  <c r="G7" i="28"/>
  <c r="G5" i="28"/>
  <c r="G10" i="28"/>
  <c r="H6" i="28"/>
  <c r="H15" i="28"/>
  <c r="H12" i="28"/>
  <c r="H9" i="28"/>
  <c r="H14" i="28"/>
  <c r="H10" i="28"/>
  <c r="H13" i="28"/>
  <c r="H11" i="28"/>
  <c r="H8" i="28"/>
  <c r="H7" i="28" l="1"/>
  <c r="N16" i="22"/>
  <c r="H4" i="28"/>
  <c r="H5" i="28"/>
  <c r="N14" i="22"/>
  <c r="N18" i="22"/>
  <c r="N26" i="22"/>
  <c r="N21" i="22"/>
  <c r="N19" i="22"/>
  <c r="H2" i="28"/>
  <c r="N7" i="22"/>
  <c r="M7" i="22"/>
  <c r="N8" i="22"/>
  <c r="N20" i="22"/>
  <c r="N13" i="22"/>
  <c r="G2" i="28"/>
  <c r="N11" i="22"/>
  <c r="N9" i="22"/>
  <c r="N23" i="22"/>
  <c r="N2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<sst xmlns="http://schemas.openxmlformats.org/spreadsheetml/2006/main" count="10937" uniqueCount="6241">
  <si>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</si>
  <si>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</si>
  <si>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</si>
  <si>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</si>
  <si>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</si>
  <si>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</si>
  <si>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</si>
  <si>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</si>
  <si>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</si>
  <si>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</si>
  <si>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</si>
  <si>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</si>
  <si>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</si>
  <si>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</si>
  <si>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</si>
  <si>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</si>
  <si>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</si>
  <si>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</si>
  <si>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</si>
  <si>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</si>
  <si>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</si>
  <si>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</si>
  <si>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</si>
  <si>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</si>
  <si>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</si>
  <si>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</si>
  <si>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</si>
  <si>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</si>
  <si>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</si>
  <si>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</si>
  <si>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</si>
  <si>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</si>
  <si>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</si>
  <si>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</si>
  <si>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</si>
  <si>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</si>
  <si>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</si>
  <si>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</si>
  <si>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</si>
  <si>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</si>
  <si>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</si>
  <si>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</si>
  <si>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</si>
  <si>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</si>
  <si>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</si>
  <si>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</si>
  <si>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</si>
  <si>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</si>
  <si>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</si>
  <si>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</si>
  <si>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</si>
  <si>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</si>
  <si>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</si>
  <si>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</si>
  <si>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</si>
  <si>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</si>
  <si>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</si>
  <si>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</si>
  <si>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</si>
  <si>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</si>
  <si>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</si>
  <si>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</si>
  <si>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</si>
  <si>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</si>
  <si>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</si>
  <si>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</si>
  <si>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</si>
  <si>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</si>
  <si>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</si>
  <si>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</si>
  <si>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</si>
  <si>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</si>
  <si>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</si>
  <si>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</si>
  <si>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</si>
  <si>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</si>
  <si>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</si>
  <si>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</si>
  <si>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</si>
  <si>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</si>
  <si>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</si>
  <si>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</si>
  <si>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</si>
  <si>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</si>
  <si>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</si>
  <si>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</si>
  <si>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</si>
  <si>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</si>
  <si>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</si>
  <si>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</si>
  <si>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</si>
  <si>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</si>
  <si>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</si>
  <si>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</si>
  <si>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</si>
  <si>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</si>
  <si>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</si>
  <si>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</si>
  <si>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</si>
  <si>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</si>
  <si>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</si>
  <si>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</si>
  <si>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</si>
  <si>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</si>
  <si>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</si>
  <si>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</si>
  <si>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</si>
  <si>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</si>
  <si>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</si>
  <si>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</si>
  <si>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</si>
  <si>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</si>
  <si>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</si>
  <si>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</si>
  <si>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</si>
  <si>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</si>
  <si>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</si>
  <si>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</si>
  <si>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</si>
  <si>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</si>
  <si>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</si>
  <si>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</si>
  <si>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</si>
  <si>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</si>
  <si>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</si>
  <si>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</si>
  <si>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</si>
  <si>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</si>
  <si>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</si>
  <si>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</si>
  <si>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</si>
  <si>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</si>
  <si>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</si>
  <si>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</si>
  <si>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</si>
  <si>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</si>
  <si>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</si>
  <si>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</si>
  <si>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</si>
  <si>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</si>
  <si>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</si>
  <si>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</si>
  <si>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</si>
  <si>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</si>
  <si>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</si>
  <si>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</si>
  <si>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</si>
  <si>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</si>
  <si>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</si>
  <si>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</si>
  <si>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</si>
  <si>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</si>
  <si>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</si>
  <si>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</si>
  <si>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</si>
  <si>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</si>
  <si>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</si>
  <si>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</si>
  <si>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</si>
  <si>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</si>
  <si>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</si>
  <si>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</si>
  <si>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</si>
  <si>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</si>
  <si>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</si>
  <si>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</si>
  <si>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 xml:space="preserve">C:\Users\andre\Desktop\REACTIV CEFAS\Prochloraz\Prochloraz/20201116_Cefas_Test6-Run1/Plate 1/@1/A10_01.tif </t>
  </si>
  <si>
    <t xml:space="preserve"> 9473.8938 </t>
  </si>
  <si>
    <t xml:space="preserve"> 38.9132 </t>
  </si>
  <si>
    <t xml:space="preserve">C:\Users\andre\Desktop\REACTIV CEFAS\Prochloraz\Prochloraz/20201116_Cefas_Test6-Run1/Plate 1/@1/A10_02.tif </t>
  </si>
  <si>
    <t xml:space="preserve"> 2746.9966 </t>
  </si>
  <si>
    <t xml:space="preserve"> 38.8819 </t>
  </si>
  <si>
    <t xml:space="preserve">C:\Users\andre\Desktop\REACTIV CEFAS\Prochloraz\Prochloraz/20201116_Cefas_Test6-Run1/Plate 1/@1/A10_03.tif </t>
  </si>
  <si>
    <t xml:space="preserve"> 4563.9078 </t>
  </si>
  <si>
    <t xml:space="preserve"> 33.7488 </t>
  </si>
  <si>
    <t xml:space="preserve">C:\Users\andre\Desktop\REACTIV CEFAS\Prochloraz\Prochloraz/20201116_Cefas_Test6-Run1/Plate 1/@1/B10_01.tif </t>
  </si>
  <si>
    <t xml:space="preserve"> 3741.9718 </t>
  </si>
  <si>
    <t xml:space="preserve"> 39.4566 </t>
  </si>
  <si>
    <t xml:space="preserve">C:\Users\andre\Desktop\REACTIV CEFAS\Prochloraz\Prochloraz/20201116_Cefas_Test6-Run1/Plate 1/@1/B10_02.tif </t>
  </si>
  <si>
    <t xml:space="preserve"> 5818.4417 </t>
  </si>
  <si>
    <t xml:space="preserve"> 39.7286 </t>
  </si>
  <si>
    <t xml:space="preserve">C:\Users\andre\Desktop\REACTIV CEFAS\Prochloraz\Prochloraz/20201116_Cefas_Test6-Run1/Plate 1/@1/B10_03.tif </t>
  </si>
  <si>
    <t xml:space="preserve"> 7246.0147 </t>
  </si>
  <si>
    <t xml:space="preserve"> 37.4627 </t>
  </si>
  <si>
    <t xml:space="preserve">C:\Users\andre\Desktop\REACTIV CEFAS\Prochloraz\Prochloraz/20201116_Cefas_Test6-Run1/Plate 1/@1/C10_01.tif </t>
  </si>
  <si>
    <t xml:space="preserve"> 14297.3603 </t>
  </si>
  <si>
    <t xml:space="preserve"> 43.6263 </t>
  </si>
  <si>
    <t xml:space="preserve">C:\Users\andre\Desktop\REACTIV CEFAS\Prochloraz\Prochloraz/20201116_Cefas_Test6-Run1/Plate 1/@1/C10_02.tif </t>
  </si>
  <si>
    <t xml:space="preserve"> 11398.9545 </t>
  </si>
  <si>
    <t xml:space="preserve"> 42.8577 </t>
  </si>
  <si>
    <t xml:space="preserve">C:\Users\andre\Desktop\REACTIV CEFAS\Prochloraz\Prochloraz/20201116_Cefas_Test6-Run1/Plate 1/@1/C10_03.tif </t>
  </si>
  <si>
    <t xml:space="preserve"> 3893.381 </t>
  </si>
  <si>
    <t xml:space="preserve"> 37.2444 </t>
  </si>
  <si>
    <t xml:space="preserve">C:\Users\andre\Desktop\REACTIV CEFAS\Prochloraz\Prochloraz/20201116_Cefas_Test6-Run1/Plate 1/@1/D10_01.tif </t>
  </si>
  <si>
    <t xml:space="preserve"> 10166.0505 </t>
  </si>
  <si>
    <t xml:space="preserve"> 41.4787 </t>
  </si>
  <si>
    <t xml:space="preserve">C:\Users\andre\Desktop\REACTIV CEFAS\Prochloraz\Prochloraz/20201116_Cefas_Test6-Run1/Plate 1/@1/D10_02.tif </t>
  </si>
  <si>
    <t xml:space="preserve"> 5083.0252 </t>
  </si>
  <si>
    <t xml:space="preserve"> 40.0809 </t>
  </si>
  <si>
    <t xml:space="preserve">C:\Users\andre\Desktop\REACTIV CEFAS\Prochloraz\Prochloraz/20201116_Cefas_Test6-Run1/Plate 1/@1/D10_03.tif </t>
  </si>
  <si>
    <t xml:space="preserve"> 497.4876 </t>
  </si>
  <si>
    <t xml:space="preserve"> 31.3043 </t>
  </si>
  <si>
    <t xml:space="preserve">C:\Users\andre\Desktop\REACTIV CEFAS\Prochloraz\Prochloraz/20201116_Cefas_Test6-Run1/Plate 1/@1/E10_01.tif </t>
  </si>
  <si>
    <t xml:space="preserve"> 7332.5343 </t>
  </si>
  <si>
    <t xml:space="preserve"> 37.8643 </t>
  </si>
  <si>
    <t xml:space="preserve">C:\Users\andre\Desktop\REACTIV CEFAS\Prochloraz\Prochloraz/20201116_Cefas_Test6-Run1/Plate 1/@1/E10_02.tif </t>
  </si>
  <si>
    <t xml:space="preserve"> 7072.9755 </t>
  </si>
  <si>
    <t xml:space="preserve"> 34.7034 </t>
  </si>
  <si>
    <t xml:space="preserve">C:\Users\andre\Desktop\REACTIV CEFAS\Prochloraz\Prochloraz/20201116_Cefas_Test6-Run1/Plate 1/@1/E10_03.tif </t>
  </si>
  <si>
    <t xml:space="preserve"> 10295.8298 </t>
  </si>
  <si>
    <t xml:space="preserve"> 35.7563 </t>
  </si>
  <si>
    <t xml:space="preserve">C:\Users\andre\Desktop\REACTIV CEFAS\Prochloraz\Prochloraz/20201116_Cefas_Test6-Run1/Plate 1/@1/F10_01.tif </t>
  </si>
  <si>
    <t xml:space="preserve"> 4996.5057 </t>
  </si>
  <si>
    <t xml:space="preserve"> 36.4719 </t>
  </si>
  <si>
    <t xml:space="preserve">C:\Users\andre\Desktop\REACTIV CEFAS\Prochloraz\Prochloraz/20201116_Cefas_Test6-Run1/Plate 1/@1/F10_02.tif </t>
  </si>
  <si>
    <t xml:space="preserve"> 2898.4059 </t>
  </si>
  <si>
    <t xml:space="preserve"> 35.7388 </t>
  </si>
  <si>
    <t xml:space="preserve">C:\Users\andre\Desktop\REACTIV CEFAS\Prochloraz\Prochloraz/20201116_Cefas_Test6-Run1/Plate 1/@1/F10_03.tif </t>
  </si>
  <si>
    <t xml:space="preserve"> 2660.477 </t>
  </si>
  <si>
    <t xml:space="preserve"> 33.5854 </t>
  </si>
  <si>
    <t xml:space="preserve">C:\Users\andre\Desktop\REACTIV CEFAS\Prochloraz\Prochloraz/20201116_Cefas_Test6-Run1/Plate 1/@1/G10_01.tif </t>
  </si>
  <si>
    <t xml:space="preserve"> 4412.4985 </t>
  </si>
  <si>
    <t xml:space="preserve"> 37.0343 </t>
  </si>
  <si>
    <t xml:space="preserve">C:\Users\andre\Desktop\REACTIV CEFAS\Prochloraz\Prochloraz/20201116_Cefas_Test6-Run1/Plate 1/@1/G10_02.tif </t>
  </si>
  <si>
    <t xml:space="preserve"> 3655.4522 </t>
  </si>
  <si>
    <t xml:space="preserve"> 40.3609 </t>
  </si>
  <si>
    <t xml:space="preserve">C:\Users\andre\Desktop\REACTIV CEFAS\Prochloraz\Prochloraz/20201116_Cefas_Test6-Run1/Plate 1/@1/G10_03.tif </t>
  </si>
  <si>
    <t xml:space="preserve"> 43.2598 </t>
  </si>
  <si>
    <t xml:space="preserve">C:\Users\andre\Desktop\REACTIV CEFAS\Prochloraz\Prochloraz/20201116_Cefas_Test6-Run1/Plate 1/@1/H10_01.tif </t>
  </si>
  <si>
    <t xml:space="preserve"> 1124.7545 </t>
  </si>
  <si>
    <t xml:space="preserve"> 32.8269 </t>
  </si>
  <si>
    <t xml:space="preserve">C:\Users\andre\Desktop\REACTIV CEFAS\Prochloraz\Prochloraz/20201116_Cefas_Test6-Run1/Plate 1/@1/H10_02.tif </t>
  </si>
  <si>
    <t xml:space="preserve"> 3071.445 </t>
  </si>
  <si>
    <t xml:space="preserve"> 36.2113 </t>
  </si>
  <si>
    <t xml:space="preserve">C:\Users\andre\Desktop\REACTIV CEFAS\Prochloraz\Prochloraz/20201116_Cefas_Test6-Run1/Plate 1/@1/H10_03.tif </t>
  </si>
  <si>
    <t xml:space="preserve"> 2876.776 </t>
  </si>
  <si>
    <t xml:space="preserve"> 35.1429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</si>
  <si>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</si>
  <si>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</si>
  <si>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</si>
  <si>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</si>
  <si>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</si>
  <si>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</si>
  <si>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</si>
  <si>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C:\Users\andre\Desktop\REACTIV CEFAS\Prochloraz\Prochloraz/20201116_Cefas_Test6-Run1/Plate 1/@1/ </t>
  </si>
  <si>
    <t xml:space="preserve"> 37.1034 </t>
  </si>
  <si>
    <t xml:space="preserve"> 3.4538 </t>
  </si>
  <si>
    <t xml:space="preserve"> 208579.833 </t>
  </si>
  <si>
    <t xml:space="preserve"> 153416.885 </t>
  </si>
  <si>
    <t xml:space="preserve">file name </t>
  </si>
  <si>
    <t xml:space="preserve">C:\Users\andre\Desktop\REACTIV CEFAS\Prochloraz\Prochloraz/20201116_Cefas_Test6-Run1/Plate 1/@13/A8_01.tif </t>
  </si>
  <si>
    <t xml:space="preserve"> 54658.7437 </t>
  </si>
  <si>
    <t xml:space="preserve"> 36.9577 </t>
  </si>
  <si>
    <t xml:space="preserve">C:\Users\andre\Desktop\REACTIV CEFAS\Prochloraz\Prochloraz/20201116_Cefas_Test6-Run1/Plate 1/@13/A8_02.tif </t>
  </si>
  <si>
    <t xml:space="preserve"> 38782.4011 </t>
  </si>
  <si>
    <t xml:space="preserve"> 34.9927 </t>
  </si>
  <si>
    <t xml:space="preserve">C:\Users\andre\Desktop\REACTIV CEFAS\Prochloraz\Prochloraz/20201116_Cefas_Test6-Run1/Plate 1/@13/A8_03.tif </t>
  </si>
  <si>
    <t xml:space="preserve"> 47758.8073 </t>
  </si>
  <si>
    <t xml:space="preserve"> 35.5077 </t>
  </si>
  <si>
    <t xml:space="preserve">C:\Users\andre\Desktop\REACTIV CEFAS\Prochloraz\Prochloraz/20201116_Cefas_Test6-Run1/Plate 1/@13/B8_01.tif </t>
  </si>
  <si>
    <t xml:space="preserve"> 994.9752 </t>
  </si>
  <si>
    <t xml:space="preserve"> 31.6957 </t>
  </si>
  <si>
    <t xml:space="preserve">C:\Users\andre\Desktop\REACTIV CEFAS\Prochloraz\Prochloraz/20201116_Cefas_Test6-Run1/Plate 1/@13/B8_02.tif </t>
  </si>
  <si>
    <t xml:space="preserve"> 1427.573 </t>
  </si>
  <si>
    <t xml:space="preserve"> 31.1061 </t>
  </si>
  <si>
    <t xml:space="preserve">C:\Users\andre\Desktop\REACTIV CEFAS\Prochloraz\Prochloraz/20201116_Cefas_Test6-Run1/Plate 1/@13/B8_03.tif </t>
  </si>
  <si>
    <t xml:space="preserve"> 4455.7583 </t>
  </si>
  <si>
    <t xml:space="preserve"> 31.7184 </t>
  </si>
  <si>
    <t xml:space="preserve">C:\Users\andre\Desktop\REACTIV CEFAS\Prochloraz\Prochloraz/20201116_Cefas_Test6-Run1/Plate 1/@13/C8_01.tif </t>
  </si>
  <si>
    <t xml:space="preserve"> 47196.4301 </t>
  </si>
  <si>
    <t xml:space="preserve"> 36.9418 </t>
  </si>
  <si>
    <t xml:space="preserve">C:\Users\andre\Desktop\REACTIV CEFAS\Prochloraz\Prochloraz/20201116_Cefas_Test6-Run1/Plate 1/@13/C8_02.tif </t>
  </si>
  <si>
    <t xml:space="preserve"> 34045.4541 </t>
  </si>
  <si>
    <t xml:space="preserve"> 34.6499 </t>
  </si>
  <si>
    <t xml:space="preserve">C:\Users\andre\Desktop\REACTIV CEFAS\Prochloraz\Prochloraz/20201116_Cefas_Test6-Run1/Plate 1/@13/C8_03.tif </t>
  </si>
  <si>
    <t xml:space="preserve"> 41983.6255 </t>
  </si>
  <si>
    <t xml:space="preserve"> 36.1783 </t>
  </si>
  <si>
    <t xml:space="preserve">C:\Users\andre\Desktop\REACTIV CEFAS\Prochloraz\Prochloraz/20201116_Cefas_Test6-Run1/Plate 1/@13/D8_01.tif </t>
  </si>
  <si>
    <t xml:space="preserve"> 24528.3005 </t>
  </si>
  <si>
    <t xml:space="preserve"> 33.0467 </t>
  </si>
  <si>
    <t>C:\Users\andre\Desktop\REACTIV CEFAS\Prochloraz\Prochloraz/20201116_Cefas_Test6-Run1/Plate 1/@13/D8_02- exclu.tif</t>
  </si>
  <si>
    <t xml:space="preserve">C:\Users\andre\Desktop\REACTIV CEFAS\Prochloraz\Prochloraz/20201116_Cefas_Test6-Run1/Plate 1/@13/D8_03.tif </t>
  </si>
  <si>
    <t xml:space="preserve"> 37679.2764 </t>
  </si>
  <si>
    <t xml:space="preserve"> 34.7365 </t>
  </si>
  <si>
    <t xml:space="preserve">C:\Users\andre\Desktop\REACTIV CEFAS\Prochloraz\Prochloraz/20201116_Cefas_Test6-Run1/Plate 1/@13/E8_01.tif </t>
  </si>
  <si>
    <t xml:space="preserve"> 14340.6201 </t>
  </si>
  <si>
    <t xml:space="preserve"> 34.0332 </t>
  </si>
  <si>
    <t xml:space="preserve">C:\Users\andre\Desktop\REACTIV CEFAS\Prochloraz\Prochloraz/20201116_Cefas_Test6-Run1/Plate 1/@13/E8_02.tif </t>
  </si>
  <si>
    <t xml:space="preserve"> 9300.8547 </t>
  </si>
  <si>
    <t xml:space="preserve"> 32.8163 </t>
  </si>
  <si>
    <t xml:space="preserve">C:\Users\andre\Desktop\REACTIV CEFAS\Prochloraz\Prochloraz/20201116_Cefas_Test6-Run1/Plate 1/@13/E8_03.tif </t>
  </si>
  <si>
    <t xml:space="preserve"> 6683.6374 </t>
  </si>
  <si>
    <t xml:space="preserve"> 32.7217 </t>
  </si>
  <si>
    <t xml:space="preserve">C:\Users\andre\Desktop\REACTIV CEFAS\Prochloraz\Prochloraz/20201116_Cefas_Test6-Run1/Plate 1/@13/F8_01.tif </t>
  </si>
  <si>
    <t xml:space="preserve"> 57405.7403 </t>
  </si>
  <si>
    <t xml:space="preserve"> 39.8425 </t>
  </si>
  <si>
    <t xml:space="preserve">C:\Users\andre\Desktop\REACTIV CEFAS\Prochloraz\Prochloraz/20201116_Cefas_Test6-Run1/Plate 1/@13/F8_02.tif </t>
  </si>
  <si>
    <t xml:space="preserve"> 42978.6006 </t>
  </si>
  <si>
    <t xml:space="preserve"> 37.4459 </t>
  </si>
  <si>
    <t xml:space="preserve">C:\Users\andre\Desktop\REACTIV CEFAS\Prochloraz\Prochloraz/20201116_Cefas_Test6-Run1/Plate 1/@13/F8_03.tif </t>
  </si>
  <si>
    <t xml:space="preserve"> 56194.4662 </t>
  </si>
  <si>
    <t xml:space="preserve"> 40.0481 </t>
  </si>
  <si>
    <t xml:space="preserve">C:\Users\andre\Desktop\REACTIV CEFAS\Prochloraz\Prochloraz/20201116_Cefas_Test6-Run1/Plate 1/@13/G8_01.tif </t>
  </si>
  <si>
    <t xml:space="preserve"> 129.7794 </t>
  </si>
  <si>
    <t xml:space="preserve"> 31.3333 </t>
  </si>
  <si>
    <t xml:space="preserve">C:\Users\andre\Desktop\REACTIV CEFAS\Prochloraz\Prochloraz/20201116_Cefas_Test6-Run1/Plate 1/@13/G8_02.tif </t>
  </si>
  <si>
    <t xml:space="preserve"> 1838.541 </t>
  </si>
  <si>
    <t xml:space="preserve"> 34.6 </t>
  </si>
  <si>
    <t xml:space="preserve">C:\Users\andre\Desktop\REACTIV CEFAS\Prochloraz\Prochloraz/20201116_Cefas_Test6-Run1/Plate 1/@13/G8_03.tif </t>
  </si>
  <si>
    <t xml:space="preserve"> 216.2989 </t>
  </si>
  <si>
    <t xml:space="preserve"> 31.4 </t>
  </si>
  <si>
    <t xml:space="preserve">C:\Users\andre\Desktop\REACTIV CEFAS\Prochloraz\Prochloraz/20201116_Cefas_Test6-Run1/Plate 1/@13/H8_01.tif </t>
  </si>
  <si>
    <t xml:space="preserve"> 13670.0934 </t>
  </si>
  <si>
    <t xml:space="preserve"> 35.4589 </t>
  </si>
  <si>
    <t>C:\Users\andre\Desktop\REACTIV CEFAS\Prochloraz\Prochloraz/20201116_Cefas_Test6-Run1/Plate 1/@13/H8_02- exclu.tif</t>
  </si>
  <si>
    <t>C:\Users\andre\Desktop\REACTIV CEFAS\Prochloraz\Prochloraz/20201116_Cefas_Test6-Run1/Plate 1/@13/H8_03- exclu.tif</t>
  </si>
  <si>
    <t xml:space="preserve">C:\Users\andre\Desktop\REACTIV CEFAS\Prochloraz\Prochloraz/20201116_Cefas_Test6-Run1/Plate 1/@13/ </t>
  </si>
  <si>
    <t xml:space="preserve"> 35.253 </t>
  </si>
  <si>
    <t xml:space="preserve"> 3.3678 </t>
  </si>
  <si>
    <t xml:space="preserve"> 899741.375 </t>
  </si>
  <si>
    <t xml:space="preserve"> 764905.496 </t>
  </si>
  <si>
    <t xml:space="preserve">C:\Users\andre\Desktop\REACTIV CEFAS\Prochloraz\Prochloraz/20201116_Cefas_Test6-Run1/Plate 1/@14/A9_01.tif </t>
  </si>
  <si>
    <t xml:space="preserve"> 2422.5482 </t>
  </si>
  <si>
    <t xml:space="preserve"> 34.5179 </t>
  </si>
  <si>
    <t xml:space="preserve">C:\Users\andre\Desktop\REACTIV CEFAS\Prochloraz\Prochloraz/20201116_Cefas_Test6-Run1/Plate 1/@14/A9_02.tif </t>
  </si>
  <si>
    <t xml:space="preserve"> 3049.8151 </t>
  </si>
  <si>
    <t xml:space="preserve"> 39.5887 </t>
  </si>
  <si>
    <t xml:space="preserve">C:\Users\andre\Desktop\REACTIV CEFAS\Prochloraz\Prochloraz/20201116_Cefas_Test6-Run1/Plate 1/@14/A9_03.tif </t>
  </si>
  <si>
    <t xml:space="preserve"> 151.4093 </t>
  </si>
  <si>
    <t xml:space="preserve"> 30.8571 </t>
  </si>
  <si>
    <t xml:space="preserve">C:\Users\andre\Desktop\REACTIV CEFAS\Prochloraz\Prochloraz/20201116_Cefas_Test6-Run1/Plate 1/@14/B9_01.tif </t>
  </si>
  <si>
    <t xml:space="preserve"> 33.7589 </t>
  </si>
  <si>
    <t xml:space="preserve">C:\Users\andre\Desktop\REACTIV CEFAS\Prochloraz\Prochloraz/20201116_Cefas_Test6-Run1/Plate 1/@14/B9_02.tif </t>
  </si>
  <si>
    <t xml:space="preserve"> 1384.3133 </t>
  </si>
  <si>
    <t xml:space="preserve"> 31.4531 </t>
  </si>
  <si>
    <t xml:space="preserve">C:\Users\andre\Desktop\REACTIV CEFAS\Prochloraz\Prochloraz/20201116_Cefas_Test6-Run1/Plate 1/@14/B9_03.tif </t>
  </si>
  <si>
    <t xml:space="preserve"> 1730.3916 </t>
  </si>
  <si>
    <t xml:space="preserve"> 32.25 </t>
  </si>
  <si>
    <t xml:space="preserve">C:\Users\andre\Desktop\REACTIV CEFAS\Prochloraz\Prochloraz/20201116_Cefas_Test6-Run1/Plate 1/@14/C9_01.tif </t>
  </si>
  <si>
    <t xml:space="preserve"> 44060.0954 </t>
  </si>
  <si>
    <t xml:space="preserve"> 38.1816 </t>
  </si>
  <si>
    <t xml:space="preserve">C:\Users\andre\Desktop\REACTIV CEFAS\Prochloraz\Prochloraz/20201116_Cefas_Test6-Run1/Plate 1/@14/C9_02.tif </t>
  </si>
  <si>
    <t xml:space="preserve"> 45509.2983 </t>
  </si>
  <si>
    <t xml:space="preserve"> 38.9187 </t>
  </si>
  <si>
    <t xml:space="preserve">C:\Users\andre\Desktop\REACTIV CEFAS\Prochloraz\Prochloraz/20201116_Cefas_Test6-Run1/Plate 1/@14/C9_03.tif </t>
  </si>
  <si>
    <t xml:space="preserve"> 46547.5332 </t>
  </si>
  <si>
    <t xml:space="preserve"> 40.0316 </t>
  </si>
  <si>
    <t>C:\Users\andre\Desktop\REACTIV CEFAS\Prochloraz\Prochloraz/20201116_Cefas_Test6-Run1/Plate 1/@14/D9_01- exclu.tif</t>
  </si>
  <si>
    <t>C:\Users\andre\Desktop\REACTIV CEFAS\Prochloraz\Prochloraz/20201116_Cefas_Test6-Run1/Plate 1/@14/D9_02- exclu.tif</t>
  </si>
  <si>
    <t>C:\Users\andre\Desktop\REACTIV CEFAS\Prochloraz\Prochloraz/20201116_Cefas_Test6-Run1/Plate 1/@14/D9_03- exclu.tif</t>
  </si>
  <si>
    <t xml:space="preserve">C:\Users\andre\Desktop\REACTIV CEFAS\Prochloraz\Prochloraz/20201116_Cefas_Test6-Run1/Plate 1/@14/E9_01.tif </t>
  </si>
  <si>
    <t xml:space="preserve"> 16114.2715 </t>
  </si>
  <si>
    <t xml:space="preserve"> 32.5732 </t>
  </si>
  <si>
    <t xml:space="preserve">C:\Users\andre\Desktop\REACTIV CEFAS\Prochloraz\Prochloraz/20201116_Cefas_Test6-Run1/Plate 1/@14/E9_02.tif </t>
  </si>
  <si>
    <t xml:space="preserve"> 8760.1073 </t>
  </si>
  <si>
    <t xml:space="preserve"> 31.6691 </t>
  </si>
  <si>
    <t xml:space="preserve">C:\Users\andre\Desktop\REACTIV CEFAS\Prochloraz\Prochloraz/20201116_Cefas_Test6-Run1/Plate 1/@14/E9_03.tif </t>
  </si>
  <si>
    <t xml:space="preserve"> 10447.2391 </t>
  </si>
  <si>
    <t xml:space="preserve"> 31.9379 </t>
  </si>
  <si>
    <t xml:space="preserve">C:\Users\andre\Desktop\REACTIV CEFAS\Prochloraz\Prochloraz/20201116_Cefas_Test6-Run1/Plate 1/@14/F9_01.tif </t>
  </si>
  <si>
    <t xml:space="preserve"> 13324.0151 </t>
  </si>
  <si>
    <t xml:space="preserve"> 33.2451 </t>
  </si>
  <si>
    <t xml:space="preserve">C:\Users\andre\Desktop\REACTIV CEFAS\Prochloraz\Prochloraz/20201116_Cefas_Test6-Run1/Plate 1/@14/F9_02.tif </t>
  </si>
  <si>
    <t xml:space="preserve"> 15184.186 </t>
  </si>
  <si>
    <t xml:space="preserve"> 33.584 </t>
  </si>
  <si>
    <t xml:space="preserve">C:\Users\andre\Desktop\REACTIV CEFAS\Prochloraz\Prochloraz/20201116_Cefas_Test6-Run1/Plate 1/@14/F9_03.tif </t>
  </si>
  <si>
    <t xml:space="preserve"> 18861.2681 </t>
  </si>
  <si>
    <t xml:space="preserve"> 33.836 </t>
  </si>
  <si>
    <t xml:space="preserve">C:\Users\andre\Desktop\REACTIV CEFAS\Prochloraz\Prochloraz/20201116_Cefas_Test6-Run1/Plate 1/@14/G9_01.tif </t>
  </si>
  <si>
    <t xml:space="preserve"> 6575.488 </t>
  </si>
  <si>
    <t xml:space="preserve"> 36.1447 </t>
  </si>
  <si>
    <t xml:space="preserve">C:\Users\andre\Desktop\REACTIV CEFAS\Prochloraz\Prochloraz/20201116_Cefas_Test6-Run1/Plate 1/@14/G9_02.tif </t>
  </si>
  <si>
    <t xml:space="preserve"> 4109.68 </t>
  </si>
  <si>
    <t xml:space="preserve"> 34.9895 </t>
  </si>
  <si>
    <t xml:space="preserve">C:\Users\andre\Desktop\REACTIV CEFAS\Prochloraz\Prochloraz/20201116_Cefas_Test6-Run1/Plate 1/@14/G9_03.tif </t>
  </si>
  <si>
    <t xml:space="preserve"> 4758.5768 </t>
  </si>
  <si>
    <t xml:space="preserve"> 36.7727 </t>
  </si>
  <si>
    <t xml:space="preserve">C:\Users\andre\Desktop\REACTIV CEFAS\Prochloraz\Prochloraz/20201116_Cefas_Test6-Run1/Plate 1/@14/H9_01.tif </t>
  </si>
  <si>
    <t xml:space="preserve"> 18969.4176 </t>
  </si>
  <si>
    <t xml:space="preserve"> 32.7241 </t>
  </si>
  <si>
    <t xml:space="preserve">C:\Users\andre\Desktop\REACTIV CEFAS\Prochloraz\Prochloraz/20201116_Cefas_Test6-Run1/Plate 1/@14/H9_02.tif </t>
  </si>
  <si>
    <t xml:space="preserve"> 26280.322 </t>
  </si>
  <si>
    <t xml:space="preserve"> 33.8543 </t>
  </si>
  <si>
    <t xml:space="preserve">C:\Users\andre\Desktop\REACTIV CEFAS\Prochloraz\Prochloraz/20201116_Cefas_Test6-Run1/Plate 1/@14/H9_03.tif </t>
  </si>
  <si>
    <t xml:space="preserve"> 17065.9869 </t>
  </si>
  <si>
    <t xml:space="preserve"> 33.4081 </t>
  </si>
  <si>
    <t xml:space="preserve">C:\Users\andre\Desktop\REACTIV CEFAS\Prochloraz\Prochloraz/20201116_Cefas_Test6-Run1/Plate 1/@14/ </t>
  </si>
  <si>
    <t xml:space="preserve"> 34.8573 </t>
  </si>
  <si>
    <t xml:space="preserve"> 2.9528 </t>
  </si>
  <si>
    <t xml:space="preserve"> 513082.708 </t>
  </si>
  <si>
    <t xml:space="preserve"> 544247.102 </t>
  </si>
  <si>
    <t xml:space="preserve">C:\Users\andre\Desktop\REACTIV CEFAS\Prochloraz\Prochloraz/20201116_Cefas_Test6-Run1/Plate 1/@15/A11_01.tif </t>
  </si>
  <si>
    <t xml:space="preserve"> 99648.9246 </t>
  </si>
  <si>
    <t xml:space="preserve"> 51.2633 </t>
  </si>
  <si>
    <t xml:space="preserve">C:\Users\andre\Desktop\REACTIV CEFAS\Prochloraz\Prochloraz/20201116_Cefas_Test6-Run1/Plate 1/@15/A11_02.tif </t>
  </si>
  <si>
    <t xml:space="preserve"> 100254.562 </t>
  </si>
  <si>
    <t xml:space="preserve"> 50.2412 </t>
  </si>
  <si>
    <t xml:space="preserve">C:\Users\andre\Desktop\REACTIV CEFAS\Prochloraz\Prochloraz/20201116_Cefas_Test6-Run1/Plate 1/@15/A11_03.tif </t>
  </si>
  <si>
    <t xml:space="preserve"> 95517.6147 </t>
  </si>
  <si>
    <t xml:space="preserve"> 54.0562 </t>
  </si>
  <si>
    <t xml:space="preserve">C:\Users\andre\Desktop\REACTIV CEFAS\Prochloraz\Prochloraz/20201116_Cefas_Test6-Run1/Plate 1/@15/B11_01.tif </t>
  </si>
  <si>
    <t xml:space="preserve"> 82907.3861 </t>
  </si>
  <si>
    <t xml:space="preserve"> 52.2507 </t>
  </si>
  <si>
    <t xml:space="preserve">C:\Users\andre\Desktop\REACTIV CEFAS\Prochloraz\Prochloraz/20201116_Cefas_Test6-Run1/Plate 1/@15/B11_02.tif </t>
  </si>
  <si>
    <t xml:space="preserve"> 79273.5638 </t>
  </si>
  <si>
    <t xml:space="preserve"> 49.949 </t>
  </si>
  <si>
    <t xml:space="preserve">C:\Users\andre\Desktop\REACTIV CEFAS\Prochloraz\Prochloraz/20201116_Cefas_Test6-Run1/Plate 1/@15/B11_03.tif </t>
  </si>
  <si>
    <t xml:space="preserve"> 83058.7954 </t>
  </si>
  <si>
    <t xml:space="preserve"> 49.032 </t>
  </si>
  <si>
    <t xml:space="preserve">C:\Users\andre\Desktop\REACTIV CEFAS\Prochloraz\Prochloraz/20201116_Cefas_Test6-Run1/Plate 1/@15/C11_01.tif </t>
  </si>
  <si>
    <t xml:space="preserve"> 76829.3857 </t>
  </si>
  <si>
    <t xml:space="preserve"> 49.2123 </t>
  </si>
  <si>
    <t xml:space="preserve">C:\Users\andre\Desktop\REACTIV CEFAS\Prochloraz\Prochloraz/20201116_Cefas_Test6-Run1/Plate 1/@15/C11_02.tif </t>
  </si>
  <si>
    <t xml:space="preserve"> 78213.699 </t>
  </si>
  <si>
    <t xml:space="preserve"> 50.9051 </t>
  </si>
  <si>
    <t xml:space="preserve">C:\Users\andre\Desktop\REACTIV CEFAS\Prochloraz\Prochloraz/20201116_Cefas_Test6-Run1/Plate 1/@15/C11_03.tif </t>
  </si>
  <si>
    <t xml:space="preserve"> 79944.0905 </t>
  </si>
  <si>
    <t xml:space="preserve"> 51.7018 </t>
  </si>
  <si>
    <t xml:space="preserve">C:\Users\andre\Desktop\REACTIV CEFAS\Prochloraz\Prochloraz/20201116_Cefas_Test6-Run1/Plate 1/@15/D11_01.tif </t>
  </si>
  <si>
    <t xml:space="preserve"> 74168.9087 </t>
  </si>
  <si>
    <t xml:space="preserve"> 45.5894 </t>
  </si>
  <si>
    <t xml:space="preserve">C:\Users\andre\Desktop\REACTIV CEFAS\Prochloraz\Prochloraz/20201116_Cefas_Test6-Run1/Plate 1/@15/D11_02.tif </t>
  </si>
  <si>
    <t xml:space="preserve"> 73736.3108 </t>
  </si>
  <si>
    <t xml:space="preserve"> 44.2077 </t>
  </si>
  <si>
    <t xml:space="preserve">C:\Users\andre\Desktop\REACTIV CEFAS\Prochloraz\Prochloraz/20201116_Cefas_Test6-Run1/Plate 1/@15/D11_03.tif </t>
  </si>
  <si>
    <t xml:space="preserve"> 81003.9554 </t>
  </si>
  <si>
    <t xml:space="preserve"> 47.2475 </t>
  </si>
  <si>
    <t xml:space="preserve">C:\Users\andre\Desktop\REACTIV CEFAS\Prochloraz\Prochloraz/20201116_Cefas_Test6-Run1/Plate 1/@15/E11_01.tif </t>
  </si>
  <si>
    <t xml:space="preserve"> 47412.729 </t>
  </si>
  <si>
    <t xml:space="preserve"> 42.927 </t>
  </si>
  <si>
    <t xml:space="preserve">C:\Users\andre\Desktop\REACTIV CEFAS\Prochloraz\Prochloraz/20201116_Cefas_Test6-Run1/Plate 1/@15/E11_02.tif </t>
  </si>
  <si>
    <t xml:space="preserve"> 41010.2802 </t>
  </si>
  <si>
    <t xml:space="preserve"> 41.6108 </t>
  </si>
  <si>
    <t xml:space="preserve">C:\Users\andre\Desktop\REACTIV CEFAS\Prochloraz\Prochloraz/20201116_Cefas_Test6-Run1/Plate 1/@15/E11_03.tif </t>
  </si>
  <si>
    <t xml:space="preserve"> 43043.4903 </t>
  </si>
  <si>
    <t xml:space="preserve"> 43.8065 </t>
  </si>
  <si>
    <t xml:space="preserve">C:\Users\andre\Desktop\REACTIV CEFAS\Prochloraz\Prochloraz/20201116_Cefas_Test6-Run1/Plate 1/@15/F11_01.tif </t>
  </si>
  <si>
    <t xml:space="preserve"> 64846.4241 </t>
  </si>
  <si>
    <t xml:space="preserve"> 45.6044 </t>
  </si>
  <si>
    <t xml:space="preserve">C:\Users\andre\Desktop\REACTIV CEFAS\Prochloraz\Prochloraz/20201116_Cefas_Test6-Run1/Plate 1/@15/F11_02.tif </t>
  </si>
  <si>
    <t xml:space="preserve"> 60606.9648 </t>
  </si>
  <si>
    <t xml:space="preserve"> 51.2434 </t>
  </si>
  <si>
    <t xml:space="preserve">C:\Users\andre\Desktop\REACTIV CEFAS\Prochloraz\Prochloraz/20201116_Cefas_Test6-Run1/Plate 1/@15/F11_03.tif </t>
  </si>
  <si>
    <t xml:space="preserve"> 60542.0751 </t>
  </si>
  <si>
    <t xml:space="preserve"> 48.1168 </t>
  </si>
  <si>
    <t xml:space="preserve">C:\Users\andre\Desktop\REACTIV CEFAS\Prochloraz\Prochloraz/20201116_Cefas_Test6-Run1/Plate 1/@15/G11_01.tif </t>
  </si>
  <si>
    <t xml:space="preserve"> 74731.2859 </t>
  </si>
  <si>
    <t xml:space="preserve"> 45.2104 </t>
  </si>
  <si>
    <t xml:space="preserve">C:\Users\andre\Desktop\REACTIV CEFAS\Prochloraz\Prochloraz/20201116_Cefas_Test6-Run1/Plate 1/@15/G11_02.tif </t>
  </si>
  <si>
    <t xml:space="preserve"> 76937.5352 </t>
  </si>
  <si>
    <t xml:space="preserve"> 48.8336 </t>
  </si>
  <si>
    <t xml:space="preserve">C:\Users\andre\Desktop\REACTIV CEFAS\Prochloraz\Prochloraz/20201116_Cefas_Test6-Run1/Plate 1/@15/G11_03.tif </t>
  </si>
  <si>
    <t xml:space="preserve"> 77975.7701 </t>
  </si>
  <si>
    <t xml:space="preserve"> 49.6419 </t>
  </si>
  <si>
    <t xml:space="preserve">C:\Users\andre\Desktop\REACTIV CEFAS\Prochloraz\Prochloraz/20201116_Cefas_Test6-Run1/Plate 1/@15/H11_01.tif </t>
  </si>
  <si>
    <t xml:space="preserve"> 81328.4038 </t>
  </si>
  <si>
    <t xml:space="preserve"> 41.8516 </t>
  </si>
  <si>
    <t xml:space="preserve">C:\Users\andre\Desktop\REACTIV CEFAS\Prochloraz\Prochloraz/20201116_Cefas_Test6-Run1/Plate 1/@15/H11_02.tif </t>
  </si>
  <si>
    <t xml:space="preserve"> 90737.408 </t>
  </si>
  <si>
    <t xml:space="preserve"> 41.2737 </t>
  </si>
  <si>
    <t xml:space="preserve">C:\Users\andre\Desktop\REACTIV CEFAS\Prochloraz\Prochloraz/20201116_Cefas_Test6-Run1/Plate 1/@15/H11_03.tif </t>
  </si>
  <si>
    <t xml:space="preserve"> 71119.0935 </t>
  </si>
  <si>
    <t xml:space="preserve"> 41.8656 </t>
  </si>
  <si>
    <t xml:space="preserve">C:\Users\andre\Desktop\REACTIV CEFAS\Prochloraz\Prochloraz/20201116_Cefas_Test6-Run1/Plate 1/@15/ </t>
  </si>
  <si>
    <t xml:space="preserve"> 47.4017 </t>
  </si>
  <si>
    <t xml:space="preserve"> 3.8636 </t>
  </si>
  <si>
    <t xml:space="preserve"> 3573872.33 </t>
  </si>
  <si>
    <t xml:space="preserve"> 909613.124 </t>
  </si>
  <si>
    <t xml:space="preserve">C:\Users\andre\Desktop\REACTIV CEFAS\Prochloraz\Prochloraz/20201116_Cefas_Test6-Run1/Plate 1/@16/A12_01.tif </t>
  </si>
  <si>
    <t xml:space="preserve"> 1146.3844 </t>
  </si>
  <si>
    <t xml:space="preserve"> 33.8868 </t>
  </si>
  <si>
    <t xml:space="preserve">C:\Users\andre\Desktop\REACTIV CEFAS\Prochloraz\Prochloraz/20201116_Cefas_Test6-Run1/Plate 1/@16/A12_02.tif </t>
  </si>
  <si>
    <t xml:space="preserve"> 2098.0998 </t>
  </si>
  <si>
    <t xml:space="preserve"> 34.6804 </t>
  </si>
  <si>
    <t xml:space="preserve">C:\Users\andre\Desktop\REACTIV CEFAS\Prochloraz\Prochloraz/20201116_Cefas_Test6-Run1/Plate 1/@16/A12_03.tif </t>
  </si>
  <si>
    <t xml:space="preserve"> 1211.2741 </t>
  </si>
  <si>
    <t xml:space="preserve"> 32.1429 </t>
  </si>
  <si>
    <t xml:space="preserve">C:\Users\andre\Desktop\REACTIV CEFAS\Prochloraz\Prochloraz/20201116_Cefas_Test6-Run1/Plate 1/@16/B12_01.tif </t>
  </si>
  <si>
    <t xml:space="preserve"> 36.7388 </t>
  </si>
  <si>
    <t xml:space="preserve">C:\Users\andre\Desktop\REACTIV CEFAS\Prochloraz\Prochloraz/20201116_Cefas_Test6-Run1/Plate 1/@16/B12_02.tif </t>
  </si>
  <si>
    <t xml:space="preserve"> 2054.84 </t>
  </si>
  <si>
    <t xml:space="preserve"> 34.7158 </t>
  </si>
  <si>
    <t xml:space="preserve">C:\Users\andre\Desktop\REACTIV CEFAS\Prochloraz\Prochloraz/20201116_Cefas_Test6-Run1/Plate 1/@16/B12_03.tif </t>
  </si>
  <si>
    <t xml:space="preserve"> 6078.0004 </t>
  </si>
  <si>
    <t xml:space="preserve"> 36.4199 </t>
  </si>
  <si>
    <t xml:space="preserve">C:\Users\andre\Desktop\REACTIV CEFAS\Prochloraz\Prochloraz/20201116_Cefas_Test6-Run1/Plate 1/@16/C12_01.tif </t>
  </si>
  <si>
    <t xml:space="preserve"> 1276.1638 </t>
  </si>
  <si>
    <t xml:space="preserve"> 34.6271 </t>
  </si>
  <si>
    <t>C:\Users\andre\Desktop\REACTIV CEFAS\Prochloraz\Prochloraz/20201116_Cefas_Test6-Run1/Plate 1/@16/C12_02- exclu.tif</t>
  </si>
  <si>
    <t xml:space="preserve">C:\Users\andre\Desktop\REACTIV CEFAS\Prochloraz\Prochloraz/20201116_Cefas_Test6-Run1/Plate 1/@16/C12_03.tif </t>
  </si>
  <si>
    <t xml:space="preserve"> 3633.8223 </t>
  </si>
  <si>
    <t xml:space="preserve"> 36.131 </t>
  </si>
  <si>
    <t xml:space="preserve">C:\Users\andre\Desktop\REACTIV CEFAS\Prochloraz\Prochloraz/20201116_Cefas_Test6-Run1/Plate 1/@16/D12_01.tif </t>
  </si>
  <si>
    <t xml:space="preserve"> 2855.1461 </t>
  </si>
  <si>
    <t xml:space="preserve"> 36.8636 </t>
  </si>
  <si>
    <t xml:space="preserve">C:\Users\andre\Desktop\REACTIV CEFAS\Prochloraz\Prochloraz/20201116_Cefas_Test6-Run1/Plate 1/@16/D12_02.tif </t>
  </si>
  <si>
    <t xml:space="preserve"> 1557.3524 </t>
  </si>
  <si>
    <t xml:space="preserve"> 33.625 </t>
  </si>
  <si>
    <t xml:space="preserve">C:\Users\andre\Desktop\REACTIV CEFAS\Prochloraz\Prochloraz/20201116_Cefas_Test6-Run1/Plate 1/@16/D12_03.tif </t>
  </si>
  <si>
    <t xml:space="preserve"> 237.9288 </t>
  </si>
  <si>
    <t xml:space="preserve"> 31.2727 </t>
  </si>
  <si>
    <t xml:space="preserve">C:\Users\andre\Desktop\REACTIV CEFAS\Prochloraz\Prochloraz/20201116_Cefas_Test6-Run1/Plate 1/@16/E12_01.tif </t>
  </si>
  <si>
    <t xml:space="preserve"> 2444.1781 </t>
  </si>
  <si>
    <t xml:space="preserve"> 31.0265 </t>
  </si>
  <si>
    <t xml:space="preserve">C:\Users\andre\Desktop\REACTIV CEFAS\Prochloraz\Prochloraz/20201116_Cefas_Test6-Run1/Plate 1/@16/E12_02.tif </t>
  </si>
  <si>
    <t xml:space="preserve"> 9646.933 </t>
  </si>
  <si>
    <t xml:space="preserve"> 36.704 </t>
  </si>
  <si>
    <t xml:space="preserve">C:\Users\andre\Desktop\REACTIV CEFAS\Prochloraz\Prochloraz/20201116_Cefas_Test6-Run1/Plate 1/@16/E12_03.tif </t>
  </si>
  <si>
    <t xml:space="preserve"> 9949.7515 </t>
  </si>
  <si>
    <t xml:space="preserve"> 40.5152 </t>
  </si>
  <si>
    <t xml:space="preserve">C:\Users\andre\Desktop\REACTIV CEFAS\Prochloraz\Prochloraz/20201116_Cefas_Test6-Run1/Plate 1/@16/F12_01.tif </t>
  </si>
  <si>
    <t xml:space="preserve"> 1405.9432 </t>
  </si>
  <si>
    <t xml:space="preserve"> 32.9385 </t>
  </si>
  <si>
    <t xml:space="preserve">C:\Users\andre\Desktop\REACTIV CEFAS\Prochloraz\Prochloraz/20201116_Cefas_Test6-Run1/Plate 1/@16/F12_02.tif </t>
  </si>
  <si>
    <t xml:space="preserve"> 1535.7225 </t>
  </si>
  <si>
    <t xml:space="preserve"> 32.6056 </t>
  </si>
  <si>
    <t xml:space="preserve">C:\Users\andre\Desktop\REACTIV CEFAS\Prochloraz\Prochloraz/20201116_Cefas_Test6-Run1/Plate 1/@16/F12_03.tif </t>
  </si>
  <si>
    <t xml:space="preserve">C:\Users\andre\Desktop\REACTIV CEFAS\Prochloraz\Prochloraz/20201116_Cefas_Test6-Run1/Plate 1/@16/G12_01.tif </t>
  </si>
  <si>
    <t xml:space="preserve"> 41.4657 </t>
  </si>
  <si>
    <t xml:space="preserve">C:\Users\andre\Desktop\REACTIV CEFAS\Prochloraz\Prochloraz/20201116_Cefas_Test6-Run1/Plate 1/@16/G12_02.tif </t>
  </si>
  <si>
    <t xml:space="preserve"> 584.0072 </t>
  </si>
  <si>
    <t xml:space="preserve"> 31.8519 </t>
  </si>
  <si>
    <t xml:space="preserve">C:\Users\andre\Desktop\REACTIV CEFAS\Prochloraz\Prochloraz/20201116_Cefas_Test6-Run1/Plate 1/@16/G12_03.tif </t>
  </si>
  <si>
    <t xml:space="preserve"> 1643.872 </t>
  </si>
  <si>
    <t xml:space="preserve"> 32.8684 </t>
  </si>
  <si>
    <t xml:space="preserve">C:\Users\andre\Desktop\REACTIV CEFAS\Prochloraz\Prochloraz/20201116_Cefas_Test6-Run1/Plate 1/@16/H12_01.tif </t>
  </si>
  <si>
    <t xml:space="preserve"> 7483.9435 </t>
  </si>
  <si>
    <t xml:space="preserve"> 37.3728 </t>
  </si>
  <si>
    <t xml:space="preserve">C:\Users\andre\Desktop\REACTIV CEFAS\Prochloraz\Prochloraz/20201116_Cefas_Test6-Run1/Plate 1/@16/H12_02.tif </t>
  </si>
  <si>
    <t xml:space="preserve"> 5775.1819 </t>
  </si>
  <si>
    <t xml:space="preserve"> 37.1873 </t>
  </si>
  <si>
    <t xml:space="preserve">C:\Users\andre\Desktop\REACTIV CEFAS\Prochloraz\Prochloraz/20201116_Cefas_Test6-Run1/Plate 1/@16/H12_03.tif </t>
  </si>
  <si>
    <t xml:space="preserve"> 2941.6657 </t>
  </si>
  <si>
    <t xml:space="preserve"> 33.5588 </t>
  </si>
  <si>
    <t xml:space="preserve">C:\Users\andre\Desktop\REACTIV CEFAS\Prochloraz\Prochloraz/20201116_Cefas_Test6-Run1/Plate 1/@16/ </t>
  </si>
  <si>
    <t xml:space="preserve"> 33.415 </t>
  </si>
  <si>
    <t xml:space="preserve"> 7.6125 </t>
  </si>
  <si>
    <t xml:space="preserve"> 114020.083 </t>
  </si>
  <si>
    <t xml:space="preserve"> 108055.155 </t>
  </si>
  <si>
    <t xml:space="preserve">C:\Users\andre\Desktop\REACTIV CEFAS\Prochloraz\Prochloraz/20201116_Cefas_Test6-Run1/Plate 1/@2/A2_01.tif </t>
  </si>
  <si>
    <t xml:space="preserve"> 7419.0539 </t>
  </si>
  <si>
    <t xml:space="preserve"> 36.3907 </t>
  </si>
  <si>
    <t xml:space="preserve">C:\Users\andre\Desktop\REACTIV CEFAS\Prochloraz\Prochloraz/20201116_Cefas_Test6-Run1/Plate 1/@2/A2_02.tif </t>
  </si>
  <si>
    <t xml:space="preserve"> 10079.5309 </t>
  </si>
  <si>
    <t xml:space="preserve"> 36.7146 </t>
  </si>
  <si>
    <t xml:space="preserve">C:\Users\andre\Desktop\REACTIV CEFAS\Prochloraz\Prochloraz/20201116_Cefas_Test6-Run1/Plate 1/@2/A2_03.tif </t>
  </si>
  <si>
    <t xml:space="preserve"> 3179.5945 </t>
  </si>
  <si>
    <t xml:space="preserve"> 33.898 </t>
  </si>
  <si>
    <t xml:space="preserve">C:\Users\andre\Desktop\REACTIV CEFAS\Prochloraz\Prochloraz/20201116_Cefas_Test6-Run1/Plate 1/@2/B2_01.tif </t>
  </si>
  <si>
    <t xml:space="preserve"> 21.6299 </t>
  </si>
  <si>
    <t xml:space="preserve">C:\Users\andre\Desktop\REACTIV CEFAS\Prochloraz\Prochloraz/20201116_Cefas_Test6-Run1/Plate 1/@2/B2_02.tif </t>
  </si>
  <si>
    <t xml:space="preserve"> 86.5196 </t>
  </si>
  <si>
    <t xml:space="preserve"> 31.25 </t>
  </si>
  <si>
    <t xml:space="preserve">C:\Users\andre\Desktop\REACTIV CEFAS\Prochloraz\Prochloraz/20201116_Cefas_Test6-Run1/Plate 1/@2/B2_03.tif </t>
  </si>
  <si>
    <t xml:space="preserve"> 3395.8935 </t>
  </si>
  <si>
    <t xml:space="preserve"> 33.4968 </t>
  </si>
  <si>
    <t xml:space="preserve">C:\Users\andre\Desktop\REACTIV CEFAS\Prochloraz\Prochloraz/20201116_Cefas_Test6-Run1/Plate 1/@2/C2_01.tif </t>
  </si>
  <si>
    <t xml:space="preserve"> 5320.9541 </t>
  </si>
  <si>
    <t xml:space="preserve"> 36.378 </t>
  </si>
  <si>
    <t xml:space="preserve">C:\Users\andre\Desktop\REACTIV CEFAS\Prochloraz\Prochloraz/20201116_Cefas_Test6-Run1/Plate 1/@2/C2_02.tif </t>
  </si>
  <si>
    <t xml:space="preserve"> 34.8582 </t>
  </si>
  <si>
    <t xml:space="preserve">C:\Users\andre\Desktop\REACTIV CEFAS\Prochloraz\Prochloraz/20201116_Cefas_Test6-Run1/Plate 1/@2/C2_03.tif </t>
  </si>
  <si>
    <t xml:space="preserve"> 4888.3562 </t>
  </si>
  <si>
    <t xml:space="preserve"> 36.9956 </t>
  </si>
  <si>
    <t xml:space="preserve">C:\Users\andre\Desktop\REACTIV CEFAS\Prochloraz\Prochloraz/20201116_Cefas_Test6-Run1/Plate 1/@2/D2_01.tif </t>
  </si>
  <si>
    <t xml:space="preserve"> 5904.9612 </t>
  </si>
  <si>
    <t xml:space="preserve"> 40.8132 </t>
  </si>
  <si>
    <t xml:space="preserve">C:\Users\andre\Desktop\REACTIV CEFAS\Prochloraz\Prochloraz/20201116_Cefas_Test6-Run1/Plate 1/@2/D2_02.tif </t>
  </si>
  <si>
    <t xml:space="preserve"> 4044.7903 </t>
  </si>
  <si>
    <t xml:space="preserve"> 37.1497 </t>
  </si>
  <si>
    <t xml:space="preserve">C:\Users\andre\Desktop\REACTIV CEFAS\Prochloraz\Prochloraz/20201116_Cefas_Test6-Run1/Plate 1/@2/D2_03.tif </t>
  </si>
  <si>
    <t xml:space="preserve"> 3266.1141 </t>
  </si>
  <si>
    <t xml:space="preserve"> 37.1589 </t>
  </si>
  <si>
    <t>C:\Users\andre\Desktop\REACTIV CEFAS\Prochloraz\Prochloraz/20201116_Cefas_Test6-Run1/Plate 1/@2/E2_01- exclu.tif</t>
  </si>
  <si>
    <t>C:\Users\andre\Desktop\REACTIV CEFAS\Prochloraz\Prochloraz/20201116_Cefas_Test6-Run1/Plate 1/@2/E2_02- exclu.tif</t>
  </si>
  <si>
    <t>C:\Users\andre\Desktop\REACTIV CEFAS\Prochloraz\Prochloraz/20201116_Cefas_Test6-Run1/Plate 1/@2/E2_03- exclu.tif</t>
  </si>
  <si>
    <t xml:space="preserve">C:\Users\andre\Desktop\REACTIV CEFAS\Prochloraz\Prochloraz/20201116_Cefas_Test6-Run1/Plate 1/@2/F2_01.tif </t>
  </si>
  <si>
    <t xml:space="preserve"> 15335.5953 </t>
  </si>
  <si>
    <t xml:space="preserve"> 38.0409 </t>
  </si>
  <si>
    <t xml:space="preserve">C:\Users\andre\Desktop\REACTIV CEFAS\Prochloraz\Prochloraz/20201116_Cefas_Test6-Run1/Plate 1/@2/F2_02.tif </t>
  </si>
  <si>
    <t xml:space="preserve"> 11182.6555 </t>
  </si>
  <si>
    <t xml:space="preserve"> 38.8414 </t>
  </si>
  <si>
    <t xml:space="preserve">C:\Users\andre\Desktop\REACTIV CEFAS\Prochloraz\Prochloraz/20201116_Cefas_Test6-Run1/Plate 1/@2/F2_03.tif </t>
  </si>
  <si>
    <t xml:space="preserve"> 16633.389 </t>
  </si>
  <si>
    <t xml:space="preserve"> 37.6931 </t>
  </si>
  <si>
    <t xml:space="preserve">C:\Users\andre\Desktop\REACTIV CEFAS\Prochloraz\Prochloraz/20201116_Cefas_Test6-Run1/Plate 1/@2/G2_01.tif </t>
  </si>
  <si>
    <t xml:space="preserve"> 7029.7158 </t>
  </si>
  <si>
    <t xml:space="preserve"> 36.3231 </t>
  </si>
  <si>
    <t xml:space="preserve">C:\Users\andre\Desktop\REACTIV CEFAS\Prochloraz\Prochloraz/20201116_Cefas_Test6-Run1/Plate 1/@2/G2_02.tif </t>
  </si>
  <si>
    <t xml:space="preserve"> 4736.9469 </t>
  </si>
  <si>
    <t xml:space="preserve"> 38.6712 </t>
  </si>
  <si>
    <t xml:space="preserve">C:\Users\andre\Desktop\REACTIV CEFAS\Prochloraz\Prochloraz/20201116_Cefas_Test6-Run1/Plate 1/@2/G2_03.tif </t>
  </si>
  <si>
    <t xml:space="preserve"> 3093.0749 </t>
  </si>
  <si>
    <t xml:space="preserve"> 37.5105 </t>
  </si>
  <si>
    <t xml:space="preserve">C:\Users\andre\Desktop\REACTIV CEFAS\Prochloraz\Prochloraz/20201116_Cefas_Test6-Run1/Plate 1/@2/H2_01.tif </t>
  </si>
  <si>
    <t xml:space="preserve"> 3287.744 </t>
  </si>
  <si>
    <t xml:space="preserve"> 34.4474 </t>
  </si>
  <si>
    <t xml:space="preserve">C:\Users\andre\Desktop\REACTIV CEFAS\Prochloraz\Prochloraz/20201116_Cefas_Test6-Run1/Plate 1/@2/H2_02.tif </t>
  </si>
  <si>
    <t xml:space="preserve">C:\Users\andre\Desktop\REACTIV CEFAS\Prochloraz\Prochloraz/20201116_Cefas_Test6-Run1/Plate 1/@2/H2_03.tif </t>
  </si>
  <si>
    <t xml:space="preserve"> 2768.6265 </t>
  </si>
  <si>
    <t xml:space="preserve"> 32.0391 </t>
  </si>
  <si>
    <t xml:space="preserve">C:\Users\andre\Desktop\REACTIV CEFAS\Prochloraz\Prochloraz/20201116_Cefas_Test6-Run1/Plate 1/@2/ </t>
  </si>
  <si>
    <t xml:space="preserve"> 33.4716 </t>
  </si>
  <si>
    <t xml:space="preserve"> 10.7565 </t>
  </si>
  <si>
    <t xml:space="preserve"> 208391.458 </t>
  </si>
  <si>
    <t xml:space="preserve"> 174745.777 </t>
  </si>
  <si>
    <t xml:space="preserve">C:\Users\andre\Desktop\REACTIV CEFAS\Prochloraz\Prochloraz/20201116_Cefas_Test6-Run1/Plate 1/@3/A3_01.tif </t>
  </si>
  <si>
    <t xml:space="preserve"> 8651.9579 </t>
  </si>
  <si>
    <t xml:space="preserve"> 34.8525 </t>
  </si>
  <si>
    <t xml:space="preserve">C:\Users\andre\Desktop\REACTIV CEFAS\Prochloraz\Prochloraz/20201116_Cefas_Test6-Run1/Plate 1/@3/A3_02.tif </t>
  </si>
  <si>
    <t xml:space="preserve"> 3677.0821 </t>
  </si>
  <si>
    <t xml:space="preserve"> 32.8706 </t>
  </si>
  <si>
    <t xml:space="preserve">C:\Users\andre\Desktop\REACTIV CEFAS\Prochloraz\Prochloraz/20201116_Cefas_Test6-Run1/Plate 1/@3/A3_03.tif </t>
  </si>
  <si>
    <t xml:space="preserve"> 1038.2349 </t>
  </si>
  <si>
    <t xml:space="preserve"> 31.1875 </t>
  </si>
  <si>
    <t xml:space="preserve">C:\Users\andre\Desktop\REACTIV CEFAS\Prochloraz\Prochloraz/20201116_Cefas_Test6-Run1/Plate 1/@3/B3_01.tif </t>
  </si>
  <si>
    <t xml:space="preserve"> 33.5033 </t>
  </si>
  <si>
    <t>C:\Users\andre\Desktop\REACTIV CEFAS\Prochloraz\Prochloraz/20201116_Cefas_Test6-Run1/Plate 1/@3/B3_02- exclu.tif</t>
  </si>
  <si>
    <t xml:space="preserve">C:\Users\andre\Desktop\REACTIV CEFAS\Prochloraz\Prochloraz/20201116_Cefas_Test6-Run1/Plate 1/@3/B3_03.tif </t>
  </si>
  <si>
    <t xml:space="preserve"> 2595.5874 </t>
  </si>
  <si>
    <t xml:space="preserve"> 33.4083 </t>
  </si>
  <si>
    <t xml:space="preserve">C:\Users\andre\Desktop\REACTIV CEFAS\Prochloraz\Prochloraz/20201116_Cefas_Test6-Run1/Plate 1/@3/C3_01.tif </t>
  </si>
  <si>
    <t xml:space="preserve"> 8630.328 </t>
  </si>
  <si>
    <t xml:space="preserve"> 37.3333 </t>
  </si>
  <si>
    <t xml:space="preserve">C:\Users\andre\Desktop\REACTIV CEFAS\Prochloraz\Prochloraz/20201116_Cefas_Test6-Run1/Plate 1/@3/C3_02.tif </t>
  </si>
  <si>
    <t xml:space="preserve"> 4607.1676 </t>
  </si>
  <si>
    <t xml:space="preserve"> 37.4742 </t>
  </si>
  <si>
    <t xml:space="preserve">C:\Users\andre\Desktop\REACTIV CEFAS\Prochloraz\Prochloraz/20201116_Cefas_Test6-Run1/Plate 1/@3/C3_03.tif </t>
  </si>
  <si>
    <t xml:space="preserve"> 34.9371 </t>
  </si>
  <si>
    <t xml:space="preserve">C:\Users\andre\Desktop\REACTIV CEFAS\Prochloraz\Prochloraz/20201116_Cefas_Test6-Run1/Plate 1/@3/D3_01.tif </t>
  </si>
  <si>
    <t xml:space="preserve"> 6229.4097 </t>
  </si>
  <si>
    <t xml:space="preserve"> 35.1181 </t>
  </si>
  <si>
    <t xml:space="preserve">C:\Users\andre\Desktop\REACTIV CEFAS\Prochloraz\Prochloraz/20201116_Cefas_Test6-Run1/Plate 1/@3/D3_02.tif </t>
  </si>
  <si>
    <t xml:space="preserve"> 31.5833 </t>
  </si>
  <si>
    <t xml:space="preserve">C:\Users\andre\Desktop\REACTIV CEFAS\Prochloraz\Prochloraz/20201116_Cefas_Test6-Run1/Plate 1/@3/D3_03.tif </t>
  </si>
  <si>
    <t xml:space="preserve"> 9452.264 </t>
  </si>
  <si>
    <t xml:space="preserve"> 34.0114 </t>
  </si>
  <si>
    <t xml:space="preserve">C:\Users\andre\Desktop\REACTIV CEFAS\Prochloraz\Prochloraz/20201116_Cefas_Test6-Run1/Plate 1/@3/E3_01.tif </t>
  </si>
  <si>
    <t xml:space="preserve"> 32.7632 </t>
  </si>
  <si>
    <t xml:space="preserve">C:\Users\andre\Desktop\REACTIV CEFAS\Prochloraz\Prochloraz/20201116_Cefas_Test6-Run1/Plate 1/@3/E3_02.tif </t>
  </si>
  <si>
    <t xml:space="preserve"> 3309.3739 </t>
  </si>
  <si>
    <t xml:space="preserve"> 33.3072 </t>
  </si>
  <si>
    <t xml:space="preserve">C:\Users\andre\Desktop\REACTIV CEFAS\Prochloraz\Prochloraz/20201116_Cefas_Test6-Run1/Plate 1/@3/E3_03.tif </t>
  </si>
  <si>
    <t xml:space="preserve"> 3525.6728 </t>
  </si>
  <si>
    <t xml:space="preserve">C:\Users\andre\Desktop\REACTIV CEFAS\Prochloraz\Prochloraz/20201116_Cefas_Test6-Run1/Plate 1/@3/F3_01.tif </t>
  </si>
  <si>
    <t xml:space="preserve"> 4520.648 </t>
  </si>
  <si>
    <t xml:space="preserve"> 37.0335 </t>
  </si>
  <si>
    <t xml:space="preserve">C:\Users\andre\Desktop\REACTIV CEFAS\Prochloraz\Prochloraz/20201116_Cefas_Test6-Run1/Plate 1/@3/F3_02.tif </t>
  </si>
  <si>
    <t xml:space="preserve"> 2984.9255 </t>
  </si>
  <si>
    <t xml:space="preserve"> 31.587 </t>
  </si>
  <si>
    <t xml:space="preserve">C:\Users\andre\Desktop\REACTIV CEFAS\Prochloraz\Prochloraz/20201116_Cefas_Test6-Run1/Plate 1/@3/F3_03.tif </t>
  </si>
  <si>
    <t xml:space="preserve"> 37.4079 </t>
  </si>
  <si>
    <t xml:space="preserve">C:\Users\andre\Desktop\REACTIV CEFAS\Prochloraz\Prochloraz/20201116_Cefas_Test6-Run1/Plate 1/@3/G3_01.tif </t>
  </si>
  <si>
    <t xml:space="preserve"> 22559.9801 </t>
  </si>
  <si>
    <t xml:space="preserve"> 33.0786 </t>
  </si>
  <si>
    <t xml:space="preserve">C:\Users\andre\Desktop\REACTIV CEFAS\Prochloraz\Prochloraz/20201116_Cefas_Test6-Run1/Plate 1/@3/G3_02.tif </t>
  </si>
  <si>
    <t xml:space="preserve"> 34889.02 </t>
  </si>
  <si>
    <t xml:space="preserve"> 34.7328 </t>
  </si>
  <si>
    <t xml:space="preserve">C:\Users\andre\Desktop\REACTIV CEFAS\Prochloraz\Prochloraz/20201116_Cefas_Test6-Run1/Plate 1/@3/G3_03.tif </t>
  </si>
  <si>
    <t xml:space="preserve"> 1341.0535 </t>
  </si>
  <si>
    <t xml:space="preserve"> 30.9355 </t>
  </si>
  <si>
    <t xml:space="preserve">C:\Users\andre\Desktop\REACTIV CEFAS\Prochloraz\Prochloraz/20201116_Cefas_Test6-Run1/Plate 1/@3/H3_01.tif </t>
  </si>
  <si>
    <t xml:space="preserve"> 3460.7831 </t>
  </si>
  <si>
    <t xml:space="preserve"> 31.6438 </t>
  </si>
  <si>
    <t xml:space="preserve">C:\Users\andre\Desktop\REACTIV CEFAS\Prochloraz\Prochloraz/20201116_Cefas_Test6-Run1/Plate 1/@3/H3_02.tif </t>
  </si>
  <si>
    <t xml:space="preserve"> 3720.3419 </t>
  </si>
  <si>
    <t xml:space="preserve"> 31.7791 </t>
  </si>
  <si>
    <t xml:space="preserve">C:\Users\andre\Desktop\REACTIV CEFAS\Prochloraz\Prochloraz/20201116_Cefas_Test6-Run1/Plate 1/@3/H3_03.tif </t>
  </si>
  <si>
    <t xml:space="preserve"> 7224.3848 </t>
  </si>
  <si>
    <t xml:space="preserve"> 32.6347 </t>
  </si>
  <si>
    <t xml:space="preserve">C:\Users\andre\Desktop\REACTIV CEFAS\Prochloraz\Prochloraz/20201116_Cefas_Test6-Run1/Plate 1/@3/ </t>
  </si>
  <si>
    <t xml:space="preserve"> 32.4243 </t>
  </si>
  <si>
    <t xml:space="preserve"> 7.1955 </t>
  </si>
  <si>
    <t xml:space="preserve"> 210803.167 </t>
  </si>
  <si>
    <t xml:space="preserve"> 260822.988 </t>
  </si>
  <si>
    <t xml:space="preserve">C:\Users\andre\Desktop\REACTIV CEFAS\Prochloraz\Prochloraz/20201116_Cefas_Test6-Run1/Plate 1/@4/A4_01.tif </t>
  </si>
  <si>
    <t xml:space="preserve"> 20245.5814 </t>
  </si>
  <si>
    <t xml:space="preserve"> 34.969 </t>
  </si>
  <si>
    <t xml:space="preserve">C:\Users\andre\Desktop\REACTIV CEFAS\Prochloraz\Prochloraz/20201116_Cefas_Test6-Run1/Plate 1/@4/A4_02.tif </t>
  </si>
  <si>
    <t xml:space="preserve"> 40.5149 </t>
  </si>
  <si>
    <t xml:space="preserve">C:\Users\andre\Desktop\REACTIV CEFAS\Prochloraz\Prochloraz/20201116_Cefas_Test6-Run1/Plate 1/@4/A4_03.tif </t>
  </si>
  <si>
    <t xml:space="preserve"> 18125.8517 </t>
  </si>
  <si>
    <t xml:space="preserve"> 35.0823 </t>
  </si>
  <si>
    <t xml:space="preserve">C:\Users\andre\Desktop\REACTIV CEFAS\Prochloraz\Prochloraz/20201116_Cefas_Test6-Run1/Plate 1/@4/B4_01.tif </t>
  </si>
  <si>
    <t xml:space="preserve"> 54442.4448 </t>
  </si>
  <si>
    <t xml:space="preserve"> 39.4358 </t>
  </si>
  <si>
    <t xml:space="preserve">C:\Users\andre\Desktop\REACTIV CEFAS\Prochloraz\Prochloraz/20201116_Cefas_Test6-Run1/Plate 1/@4/B4_02.tif </t>
  </si>
  <si>
    <t xml:space="preserve"> 37527.8672 </t>
  </si>
  <si>
    <t xml:space="preserve"> 40.717 </t>
  </si>
  <si>
    <t>C:\Users\andre\Desktop\REACTIV CEFAS\Prochloraz\Prochloraz/20201116_Cefas_Test6-Run1/Plate 1/@4/B4_03- exclu.tif</t>
  </si>
  <si>
    <t xml:space="preserve">C:\Users\andre\Desktop\REACTIV CEFAS\Prochloraz\Prochloraz/20201116_Cefas_Test6-Run1/Plate 1/@4/C4_01.tif </t>
  </si>
  <si>
    <t xml:space="preserve"> 10490.4989 </t>
  </si>
  <si>
    <t xml:space="preserve"> 33.1773 </t>
  </si>
  <si>
    <t xml:space="preserve">C:\Users\andre\Desktop\REACTIV CEFAS\Prochloraz\Prochloraz/20201116_Cefas_Test6-Run1/Plate 1/@4/C4_02.tif </t>
  </si>
  <si>
    <t xml:space="preserve"> 31.6833 </t>
  </si>
  <si>
    <t xml:space="preserve">C:\Users\andre\Desktop\REACTIV CEFAS\Prochloraz\Prochloraz/20201116_Cefas_Test6-Run1/Plate 1/@4/C4_03.tif </t>
  </si>
  <si>
    <t xml:space="preserve"> 12653.4884 </t>
  </si>
  <si>
    <t xml:space="preserve"> 33.1658 </t>
  </si>
  <si>
    <t xml:space="preserve">C:\Users\andre\Desktop\REACTIV CEFAS\Prochloraz\Prochloraz/20201116_Cefas_Test6-Run1/Plate 1/@4/D4_01.tif </t>
  </si>
  <si>
    <t xml:space="preserve"> 65235.7622 </t>
  </si>
  <si>
    <t xml:space="preserve"> 40.4015 </t>
  </si>
  <si>
    <t xml:space="preserve">C:\Users\andre\Desktop\REACTIV CEFAS\Prochloraz\Prochloraz/20201116_Cefas_Test6-Run1/Plate 1/@4/D4_02.tif </t>
  </si>
  <si>
    <t xml:space="preserve"> 66922.894 </t>
  </si>
  <si>
    <t xml:space="preserve"> 39.914 </t>
  </si>
  <si>
    <t xml:space="preserve">C:\Users\andre\Desktop\REACTIV CEFAS\Prochloraz\Prochloraz/20201116_Cefas_Test6-Run1/Plate 1/@4/D4_03.tif </t>
  </si>
  <si>
    <t xml:space="preserve"> 66641.7054 </t>
  </si>
  <si>
    <t xml:space="preserve"> 41.5748 </t>
  </si>
  <si>
    <t xml:space="preserve">C:\Users\andre\Desktop\REACTIV CEFAS\Prochloraz\Prochloraz/20201116_Cefas_Test6-Run1/Plate 1/@4/E4_01.tif </t>
  </si>
  <si>
    <t xml:space="preserve"> 8543.8084 </t>
  </si>
  <si>
    <t xml:space="preserve"> 31.9215 </t>
  </si>
  <si>
    <t xml:space="preserve">C:\Users\andre\Desktop\REACTIV CEFAS\Prochloraz\Prochloraz/20201116_Cefas_Test6-Run1/Plate 1/@4/E4_02.tif </t>
  </si>
  <si>
    <t xml:space="preserve"> 4131.3099 </t>
  </si>
  <si>
    <t xml:space="preserve"> 31.911 </t>
  </si>
  <si>
    <t xml:space="preserve">C:\Users\andre\Desktop\REACTIV CEFAS\Prochloraz\Prochloraz/20201116_Cefas_Test6-Run1/Plate 1/@4/E4_03.tif </t>
  </si>
  <si>
    <t xml:space="preserve"> 6359.189 </t>
  </si>
  <si>
    <t xml:space="preserve"> 38.8027 </t>
  </si>
  <si>
    <t xml:space="preserve">C:\Users\andre\Desktop\REACTIV CEFAS\Prochloraz\Prochloraz/20201116_Cefas_Test6-Run1/Plate 1/@4/F4_01.tif </t>
  </si>
  <si>
    <t xml:space="preserve"> 64.8897 </t>
  </si>
  <si>
    <t xml:space="preserve">C:\Users\andre\Desktop\REACTIV CEFAS\Prochloraz\Prochloraz/20201116_Cefas_Test6-Run1/Plate 1/@4/F4_02.tif </t>
  </si>
  <si>
    <t xml:space="preserve"> 3374.2636 </t>
  </si>
  <si>
    <t xml:space="preserve"> 35.4487 </t>
  </si>
  <si>
    <t xml:space="preserve">C:\Users\andre\Desktop\REACTIV CEFAS\Prochloraz\Prochloraz/20201116_Cefas_Test6-Run1/Plate 1/@4/F4_03.tif </t>
  </si>
  <si>
    <t xml:space="preserve"> 6770.157 </t>
  </si>
  <si>
    <t xml:space="preserve"> 39.2875 </t>
  </si>
  <si>
    <t xml:space="preserve">C:\Users\andre\Desktop\REACTIV CEFAS\Prochloraz\Prochloraz/20201116_Cefas_Test6-Run1/Plate 1/@4/G4_01.tif </t>
  </si>
  <si>
    <t xml:space="preserve"> 38479.5825 </t>
  </si>
  <si>
    <t xml:space="preserve"> 34.5346 </t>
  </si>
  <si>
    <t xml:space="preserve">C:\Users\andre\Desktop\REACTIV CEFAS\Prochloraz\Prochloraz/20201116_Cefas_Test6-Run1/Plate 1/@4/G4_02.tif </t>
  </si>
  <si>
    <t xml:space="preserve"> 32769.2904 </t>
  </si>
  <si>
    <t xml:space="preserve"> 34.3465 </t>
  </si>
  <si>
    <t xml:space="preserve">C:\Users\andre\Desktop\REACTIV CEFAS\Prochloraz\Prochloraz/20201116_Cefas_Test6-Run1/Plate 1/@4/G4_03.tif </t>
  </si>
  <si>
    <t xml:space="preserve"> 37052.0095 </t>
  </si>
  <si>
    <t xml:space="preserve"> 33.7782 </t>
  </si>
  <si>
    <t xml:space="preserve">C:\Users\andre\Desktop\REACTIV CEFAS\Prochloraz\Prochloraz/20201116_Cefas_Test6-Run1/Plate 1/@4/H4_01.tif </t>
  </si>
  <si>
    <t xml:space="preserve"> 65127.6127 </t>
  </si>
  <si>
    <t xml:space="preserve"> 38.4756 </t>
  </si>
  <si>
    <t xml:space="preserve">C:\Users\andre\Desktop\REACTIV CEFAS\Prochloraz\Prochloraz/20201116_Cefas_Test6-Run1/Plate 1/@4/H4_02.tif </t>
  </si>
  <si>
    <t xml:space="preserve"> 62185.9471 </t>
  </si>
  <si>
    <t xml:space="preserve"> 38.408 </t>
  </si>
  <si>
    <t xml:space="preserve">C:\Users\andre\Desktop\REACTIV CEFAS\Prochloraz\Prochloraz/20201116_Cefas_Test6-Run1/Plate 1/@4/H4_03.tif </t>
  </si>
  <si>
    <t xml:space="preserve"> 53360.95 </t>
  </si>
  <si>
    <t xml:space="preserve"> 35.7921 </t>
  </si>
  <si>
    <t xml:space="preserve">C:\Users\andre\Desktop\REACTIV CEFAS\Prochloraz\Prochloraz/20201116_Cefas_Test6-Run1/Plate 1/@4/ </t>
  </si>
  <si>
    <t xml:space="preserve"> 36.5336 </t>
  </si>
  <si>
    <t xml:space="preserve"> 3.3163 </t>
  </si>
  <si>
    <t xml:space="preserve"> 1156559.38 </t>
  </si>
  <si>
    <t xml:space="preserve"> 977012.752 </t>
  </si>
  <si>
    <t xml:space="preserve">C:\Users\andre\Desktop\REACTIV CEFAS\Prochloraz\Prochloraz/20201116_Cefas_Test6-Run1/Plate 1/@5/A5_01.tif </t>
  </si>
  <si>
    <t xml:space="preserve"> 41.0869 </t>
  </si>
  <si>
    <t xml:space="preserve">C:\Users\andre\Desktop\REACTIV CEFAS\Prochloraz\Prochloraz/20201116_Cefas_Test6-Run1/Plate 1/@5/A5_02.tif </t>
  </si>
  <si>
    <t xml:space="preserve"> 68436.9866 </t>
  </si>
  <si>
    <t xml:space="preserve"> 34.3056 </t>
  </si>
  <si>
    <t xml:space="preserve">C:\Users\andre\Desktop\REACTIV CEFAS\Prochloraz\Prochloraz/20201116_Cefas_Test6-Run1/Plate 1/@5/A5_03.tif </t>
  </si>
  <si>
    <t xml:space="preserve"> 73952.6097 </t>
  </si>
  <si>
    <t xml:space="preserve"> 40.7672 </t>
  </si>
  <si>
    <t xml:space="preserve">C:\Users\andre\Desktop\REACTIV CEFAS\Prochloraz\Prochloraz/20201116_Cefas_Test6-Run1/Plate 1/@5/B5_01.tif </t>
  </si>
  <si>
    <t xml:space="preserve"> 37376.4579 </t>
  </si>
  <si>
    <t xml:space="preserve"> 38.4977 </t>
  </si>
  <si>
    <t xml:space="preserve">C:\Users\andre\Desktop\REACTIV CEFAS\Prochloraz\Prochloraz/20201116_Cefas_Test6-Run1/Plate 1/@5/B5_02.tif </t>
  </si>
  <si>
    <t xml:space="preserve"> 39214.999 </t>
  </si>
  <si>
    <t xml:space="preserve"> 38.6674 </t>
  </si>
  <si>
    <t xml:space="preserve">C:\Users\andre\Desktop\REACTIV CEFAS\Prochloraz\Prochloraz/20201116_Cefas_Test6-Run1/Plate 1/@5/B5_03.tif </t>
  </si>
  <si>
    <t xml:space="preserve"> 44081.7253 </t>
  </si>
  <si>
    <t xml:space="preserve"> 43.5751 </t>
  </si>
  <si>
    <t xml:space="preserve">C:\Users\andre\Desktop\REACTIV CEFAS\Prochloraz\Prochloraz/20201116_Cefas_Test6-Run1/Plate 1/@5/C5_01.tif </t>
  </si>
  <si>
    <t xml:space="preserve"> 70491.8266 </t>
  </si>
  <si>
    <t xml:space="preserve"> 40.7389 </t>
  </si>
  <si>
    <t xml:space="preserve">C:\Users\andre\Desktop\REACTIV CEFAS\Prochloraz\Prochloraz/20201116_Cefas_Test6-Run1/Plate 1/@5/C5_02.tif </t>
  </si>
  <si>
    <t xml:space="preserve"> 70729.7554 </t>
  </si>
  <si>
    <t xml:space="preserve"> 41.4128 </t>
  </si>
  <si>
    <t xml:space="preserve">C:\Users\andre\Desktop\REACTIV CEFAS\Prochloraz\Prochloraz/20201116_Cefas_Test6-Run1/Plate 1/@5/C5_03.tif </t>
  </si>
  <si>
    <t xml:space="preserve"> 69453.5917 </t>
  </si>
  <si>
    <t xml:space="preserve"> 41.0972 </t>
  </si>
  <si>
    <t xml:space="preserve">C:\Users\andre\Desktop\REACTIV CEFAS\Prochloraz\Prochloraz/20201116_Cefas_Test6-Run1/Plate 1/@5/D5_01.tif </t>
  </si>
  <si>
    <t xml:space="preserve"> 56713.5837 </t>
  </si>
  <si>
    <t xml:space="preserve"> 39.7616 </t>
  </si>
  <si>
    <t xml:space="preserve">C:\Users\andre\Desktop\REACTIV CEFAS\Prochloraz\Prochloraz/20201116_Cefas_Test6-Run1/Plate 1/@5/D5_02.tif </t>
  </si>
  <si>
    <t xml:space="preserve"> 54572.2241 </t>
  </si>
  <si>
    <t xml:space="preserve"> 38.4308 </t>
  </si>
  <si>
    <t xml:space="preserve">C:\Users\andre\Desktop\REACTIV CEFAS\Prochloraz\Prochloraz/20201116_Cefas_Test6-Run1/Plate 1/@5/D5_03.tif </t>
  </si>
  <si>
    <t xml:space="preserve"> 58790.0536 </t>
  </si>
  <si>
    <t xml:space="preserve"> 39.94 </t>
  </si>
  <si>
    <t xml:space="preserve">C:\Users\andre\Desktop\REACTIV CEFAS\Prochloraz\Prochloraz/20201116_Cefas_Test6-Run1/Plate 1/@5/E5_01.tif </t>
  </si>
  <si>
    <t xml:space="preserve"> 58400.7155 </t>
  </si>
  <si>
    <t xml:space="preserve"> 47.9378 </t>
  </si>
  <si>
    <t xml:space="preserve">C:\Users\andre\Desktop\REACTIV CEFAS\Prochloraz\Prochloraz/20201116_Cefas_Test6-Run1/Plate 1/@5/E5_02.tif </t>
  </si>
  <si>
    <t xml:space="preserve"> 68047.6485 </t>
  </si>
  <si>
    <t xml:space="preserve"> 47.5842 </t>
  </si>
  <si>
    <t xml:space="preserve">C:\Users\andre\Desktop\REACTIV CEFAS\Prochloraz\Prochloraz/20201116_Cefas_Test6-Run1/Plate 1/@5/E5_03.tif </t>
  </si>
  <si>
    <t xml:space="preserve"> 64543.6056 </t>
  </si>
  <si>
    <t xml:space="preserve"> 46.7983 </t>
  </si>
  <si>
    <t xml:space="preserve">C:\Users\andre\Desktop\REACTIV CEFAS\Prochloraz\Prochloraz/20201116_Cefas_Test6-Run1/Plate 1/@5/F5_01.tif </t>
  </si>
  <si>
    <t xml:space="preserve"> 38933.8103 </t>
  </si>
  <si>
    <t xml:space="preserve"> 37.5089 </t>
  </si>
  <si>
    <t xml:space="preserve">C:\Users\andre\Desktop\REACTIV CEFAS\Prochloraz\Prochloraz/20201116_Cefas_Test6-Run1/Plate 1/@5/F5_02.tif </t>
  </si>
  <si>
    <t xml:space="preserve"> 39452.9278 </t>
  </si>
  <si>
    <t xml:space="preserve"> 41.0099 </t>
  </si>
  <si>
    <t xml:space="preserve">C:\Users\andre\Desktop\REACTIV CEFAS\Prochloraz\Prochloraz/20201116_Cefas_Test6-Run1/Plate 1/@5/F5_03.tif </t>
  </si>
  <si>
    <t xml:space="preserve"> 34002.1944 </t>
  </si>
  <si>
    <t xml:space="preserve"> 39.1972 </t>
  </si>
  <si>
    <t xml:space="preserve">C:\Users\andre\Desktop\REACTIV CEFAS\Prochloraz\Prochloraz/20201116_Cefas_Test6-Run1/Plate 1/@5/G5_01.tif </t>
  </si>
  <si>
    <t xml:space="preserve"> 67701.5702 </t>
  </si>
  <si>
    <t xml:space="preserve"> 41.3486 </t>
  </si>
  <si>
    <t xml:space="preserve">C:\Users\andre\Desktop\REACTIV CEFAS\Prochloraz\Prochloraz/20201116_Cefas_Test6-Run1/Plate 1/@5/G5_02.tif </t>
  </si>
  <si>
    <t xml:space="preserve"> 68242.3176 </t>
  </si>
  <si>
    <t xml:space="preserve"> 41.6406 </t>
  </si>
  <si>
    <t xml:space="preserve">C:\Users\andre\Desktop\REACTIV CEFAS\Prochloraz\Prochloraz/20201116_Cefas_Test6-Run1/Plate 1/@5/G5_03.tif </t>
  </si>
  <si>
    <t xml:space="preserve"> 61234.2317 </t>
  </si>
  <si>
    <t xml:space="preserve"> 41.3539 </t>
  </si>
  <si>
    <t xml:space="preserve">C:\Users\andre\Desktop\REACTIV CEFAS\Prochloraz\Prochloraz/20201116_Cefas_Test6-Run1/Plate 1/@5/H5_01.tif </t>
  </si>
  <si>
    <t xml:space="preserve"> 71075.8338 </t>
  </si>
  <si>
    <t xml:space="preserve"> 41.8561 </t>
  </si>
  <si>
    <t xml:space="preserve">C:\Users\andre\Desktop\REACTIV CEFAS\Prochloraz\Prochloraz/20201116_Cefas_Test6-Run1/Plate 1/@5/H5_02.tif </t>
  </si>
  <si>
    <t xml:space="preserve"> 65019.4633 </t>
  </si>
  <si>
    <t xml:space="preserve"> 42.345 </t>
  </si>
  <si>
    <t xml:space="preserve">C:\Users\andre\Desktop\REACTIV CEFAS\Prochloraz\Prochloraz/20201116_Cefas_Test6-Run1/Plate 1/@5/H5_03.tif </t>
  </si>
  <si>
    <t xml:space="preserve"> 59482.2102 </t>
  </si>
  <si>
    <t xml:space="preserve"> 37.6633 </t>
  </si>
  <si>
    <t xml:space="preserve">C:\Users\andre\Desktop\REACTIV CEFAS\Prochloraz\Prochloraz/20201116_Cefas_Test6-Run1/Plate 1/@5/ </t>
  </si>
  <si>
    <t xml:space="preserve"> 41.0219 </t>
  </si>
  <si>
    <t xml:space="preserve"> 3.1456 </t>
  </si>
  <si>
    <t xml:space="preserve"> 2431935.62 </t>
  </si>
  <si>
    <t xml:space="preserve"> 605315.057 </t>
  </si>
  <si>
    <t xml:space="preserve">C:\Users\andre\Desktop\REACTIV CEFAS\Prochloraz\Prochloraz/20201116_Cefas_Test6-Run1/Plate 1/@6/A6_01.tif </t>
  </si>
  <si>
    <t xml:space="preserve"> 65279.022 </t>
  </si>
  <si>
    <t xml:space="preserve"> 47.0971 </t>
  </si>
  <si>
    <t xml:space="preserve">C:\Users\andre\Desktop\REACTIV CEFAS\Prochloraz\Prochloraz/20201116_Cefas_Test6-Run1/Plate 1/@6/A6_02.tif </t>
  </si>
  <si>
    <t xml:space="preserve"> 67593.4207 </t>
  </si>
  <si>
    <t xml:space="preserve"> 48.3126 </t>
  </si>
  <si>
    <t xml:space="preserve">C:\Users\andre\Desktop\REACTIV CEFAS\Prochloraz\Prochloraz/20201116_Cefas_Test6-Run1/Plate 1/@6/A6_03.tif </t>
  </si>
  <si>
    <t xml:space="preserve"> 59633.6195 </t>
  </si>
  <si>
    <t xml:space="preserve"> 47.4868 </t>
  </si>
  <si>
    <t xml:space="preserve">C:\Users\andre\Desktop\REACTIV CEFAS\Prochloraz\Prochloraz/20201116_Cefas_Test6-Run1/Plate 1/@6/B6_01.tif </t>
  </si>
  <si>
    <t xml:space="preserve"> 33.135 </t>
  </si>
  <si>
    <t xml:space="preserve">C:\Users\andre\Desktop\REACTIV CEFAS\Prochloraz\Prochloraz/20201116_Cefas_Test6-Run1/Plate 1/@6/B6_02.tif </t>
  </si>
  <si>
    <t xml:space="preserve"> 14189.2109 </t>
  </si>
  <si>
    <t xml:space="preserve"> 38.8613 </t>
  </si>
  <si>
    <t xml:space="preserve">C:\Users\andre\Desktop\REACTIV CEFAS\Prochloraz\Prochloraz/20201116_Cefas_Test6-Run1/Plate 1/@6/B6_03.tif </t>
  </si>
  <si>
    <t xml:space="preserve"> 13972.9119 </t>
  </si>
  <si>
    <t xml:space="preserve"> 38.356 </t>
  </si>
  <si>
    <t xml:space="preserve">C:\Users\andre\Desktop\REACTIV CEFAS\Prochloraz\Prochloraz/20201116_Cefas_Test6-Run1/Plate 1/@6/C6_01.tif </t>
  </si>
  <si>
    <t xml:space="preserve"> 60628.5946 </t>
  </si>
  <si>
    <t xml:space="preserve"> 52.7039 </t>
  </si>
  <si>
    <t>C:\Users\andre\Desktop\REACTIV CEFAS\Prochloraz\Prochloraz/20201116_Cefas_Test6-Run1/Plate 1/@6/C6_02- exclu.tif</t>
  </si>
  <si>
    <t xml:space="preserve">C:\Users\andre\Desktop\REACTIV CEFAS\Prochloraz\Prochloraz/20201116_Cefas_Test6-Run1/Plate 1/@6/C6_03.tif </t>
  </si>
  <si>
    <t xml:space="preserve"> 63202.5521 </t>
  </si>
  <si>
    <t xml:space="preserve"> 49.9493 </t>
  </si>
  <si>
    <t xml:space="preserve">C:\Users\andre\Desktop\REACTIV CEFAS\Prochloraz\Prochloraz/20201116_Cefas_Test6-Run1/Plate 1/@6/D6_01.tif </t>
  </si>
  <si>
    <t xml:space="preserve"> 81176.9945 </t>
  </si>
  <si>
    <t xml:space="preserve"> 48.016 </t>
  </si>
  <si>
    <t xml:space="preserve">C:\Users\andre\Desktop\REACTIV CEFAS\Prochloraz\Prochloraz/20201116_Cefas_Test6-Run1/Plate 1/@6/D6_02.tif </t>
  </si>
  <si>
    <t xml:space="preserve"> 82885.7562 </t>
  </si>
  <si>
    <t xml:space="preserve"> 51.3578 </t>
  </si>
  <si>
    <t xml:space="preserve">C:\Users\andre\Desktop\REACTIV CEFAS\Prochloraz\Prochloraz/20201116_Cefas_Test6-Run1/Plate 1/@6/D6_03.tif </t>
  </si>
  <si>
    <t xml:space="preserve"> 75380.1828 </t>
  </si>
  <si>
    <t xml:space="preserve"> 47.6494 </t>
  </si>
  <si>
    <t xml:space="preserve">C:\Users\andre\Desktop\REACTIV CEFAS\Prochloraz\Prochloraz/20201116_Cefas_Test6-Run1/Plate 1/@6/E6_01.tif </t>
  </si>
  <si>
    <t xml:space="preserve"> 92640.8387 </t>
  </si>
  <si>
    <t xml:space="preserve"> 50.4982 </t>
  </si>
  <si>
    <t xml:space="preserve">C:\Users\andre\Desktop\REACTIV CEFAS\Prochloraz\Prochloraz/20201116_Cefas_Test6-Run1/Plate 1/@6/E6_02.tif </t>
  </si>
  <si>
    <t xml:space="preserve"> 99865.2235 </t>
  </si>
  <si>
    <t xml:space="preserve"> 50.3405 </t>
  </si>
  <si>
    <t xml:space="preserve">C:\Users\andre\Desktop\REACTIV CEFAS\Prochloraz\Prochloraz/20201116_Cefas_Test6-Run1/Plate 1/@6/E6_03.tif </t>
  </si>
  <si>
    <t xml:space="preserve"> 88574.4185 </t>
  </si>
  <si>
    <t xml:space="preserve"> 48.6369 </t>
  </si>
  <si>
    <t xml:space="preserve">C:\Users\andre\Desktop\REACTIV CEFAS\Prochloraz\Prochloraz/20201116_Cefas_Test6-Run1/Plate 1/@6/F6_01.tif </t>
  </si>
  <si>
    <t xml:space="preserve"> 73433.4923 </t>
  </si>
  <si>
    <t xml:space="preserve"> 44.8872 </t>
  </si>
  <si>
    <t xml:space="preserve">C:\Users\andre\Desktop\REACTIV CEFAS\Prochloraz\Prochloraz/20201116_Cefas_Test6-Run1/Plate 1/@6/F6_02.tif </t>
  </si>
  <si>
    <t xml:space="preserve"> 69150.7731 </t>
  </si>
  <si>
    <t xml:space="preserve"> 41.9697 </t>
  </si>
  <si>
    <t xml:space="preserve">C:\Users\andre\Desktop\REACTIV CEFAS\Prochloraz\Prochloraz/20201116_Cefas_Test6-Run1/Plate 1/@6/F6_03.tif </t>
  </si>
  <si>
    <t xml:space="preserve"> 69020.9938 </t>
  </si>
  <si>
    <t xml:space="preserve"> 41.4698 </t>
  </si>
  <si>
    <t>C:\Users\andre\Desktop\REACTIV CEFAS\Prochloraz\Prochloraz/20201116_Cefas_Test6-Run1/Plate 1/@6/G6_01- exclu.tif</t>
  </si>
  <si>
    <t>C:\Users\andre\Desktop\REACTIV CEFAS\Prochloraz\Prochloraz/20201116_Cefas_Test6-Run1/Plate 1/@6/G6_02- exclu.tif</t>
  </si>
  <si>
    <t>C:\Users\andre\Desktop\REACTIV CEFAS\Prochloraz\Prochloraz/20201116_Cefas_Test6-Run1/Plate 1/@6/G6_03- exclu.tif</t>
  </si>
  <si>
    <t xml:space="preserve">C:\Users\andre\Desktop\REACTIV CEFAS\Prochloraz\Prochloraz/20201116_Cefas_Test6-Run1/Plate 1/@6/H6_01.tif </t>
  </si>
  <si>
    <t xml:space="preserve"> 39323.1484 </t>
  </si>
  <si>
    <t xml:space="preserve"> 38.2525 </t>
  </si>
  <si>
    <t xml:space="preserve">C:\Users\andre\Desktop\REACTIV CEFAS\Prochloraz\Prochloraz/20201116_Cefas_Test6-Run1/Plate 1/@6/H6_02.tif </t>
  </si>
  <si>
    <t xml:space="preserve"> 48083.2558 </t>
  </si>
  <si>
    <t xml:space="preserve"> 37.9613 </t>
  </si>
  <si>
    <t xml:space="preserve">C:\Users\andre\Desktop\REACTIV CEFAS\Prochloraz\Prochloraz/20201116_Cefas_Test6-Run1/Plate 1/@6/H6_03.tif </t>
  </si>
  <si>
    <t xml:space="preserve"> 24960.8984 </t>
  </si>
  <si>
    <t xml:space="preserve"> 42.1464 </t>
  </si>
  <si>
    <t xml:space="preserve">C:\Users\andre\Desktop\REACTIV CEFAS\Prochloraz\Prochloraz/20201116_Cefas_Test6-Run1/Plate 1/@6/ </t>
  </si>
  <si>
    <t xml:space="preserve"> 43.5561 </t>
  </si>
  <si>
    <t xml:space="preserve"> 7.1074 </t>
  </si>
  <si>
    <t xml:space="preserve"> 2409464.88 </t>
  </si>
  <si>
    <t xml:space="preserve"> 1595160.51 </t>
  </si>
  <si>
    <t xml:space="preserve">C:\Users\andre\Desktop\REACTIV CEFAS\Prochloraz\Prochloraz/20201116_Cefas_Test6-Run1/Plate 1/@7/A7_01.tif </t>
  </si>
  <si>
    <t xml:space="preserve"> 76872.6455 </t>
  </si>
  <si>
    <t xml:space="preserve"> 58.3655 </t>
  </si>
  <si>
    <t xml:space="preserve">C:\Users\andre\Desktop\REACTIV CEFAS\Prochloraz\Prochloraz/20201116_Cefas_Test6-Run1/Plate 1/@7/A7_02.tif </t>
  </si>
  <si>
    <t xml:space="preserve"> 73563.2716 </t>
  </si>
  <si>
    <t xml:space="preserve"> 51.4699 </t>
  </si>
  <si>
    <t xml:space="preserve">C:\Users\andre\Desktop\REACTIV CEFAS\Prochloraz\Prochloraz/20201116_Cefas_Test6-Run1/Plate 1/@7/A7_03.tif </t>
  </si>
  <si>
    <t xml:space="preserve"> 79662.9019 </t>
  </si>
  <si>
    <t xml:space="preserve"> 52.3649 </t>
  </si>
  <si>
    <t xml:space="preserve">C:\Users\andre\Desktop\REACTIV CEFAS\Prochloraz\Prochloraz/20201116_Cefas_Test6-Run1/Plate 1/@7/B7_01.tif </t>
  </si>
  <si>
    <t xml:space="preserve"> 64911.3138 </t>
  </si>
  <si>
    <t xml:space="preserve"> 53.7048 </t>
  </si>
  <si>
    <t xml:space="preserve">C:\Users\andre\Desktop\REACTIV CEFAS\Prochloraz\Prochloraz/20201116_Cefas_Test6-Run1/Plate 1/@7/B7_02.tif </t>
  </si>
  <si>
    <t xml:space="preserve"> 67831.3496 </t>
  </si>
  <si>
    <t xml:space="preserve"> 53.6489 </t>
  </si>
  <si>
    <t xml:space="preserve">C:\Users\andre\Desktop\REACTIV CEFAS\Prochloraz\Prochloraz/20201116_Cefas_Test6-Run1/Plate 1/@7/B7_03.tif </t>
  </si>
  <si>
    <t xml:space="preserve"> 72438.5171 </t>
  </si>
  <si>
    <t xml:space="preserve"> 57.0911 </t>
  </si>
  <si>
    <t xml:space="preserve">C:\Users\andre\Desktop\REACTIV CEFAS\Prochloraz\Prochloraz/20201116_Cefas_Test6-Run1/Plate 1/@7/C7_01.tif </t>
  </si>
  <si>
    <t xml:space="preserve"> 84551.2581 </t>
  </si>
  <si>
    <t xml:space="preserve"> 62.3154 </t>
  </si>
  <si>
    <t xml:space="preserve">C:\Users\andre\Desktop\REACTIV CEFAS\Prochloraz\Prochloraz/20201116_Cefas_Test6-Run1/Plate 1/@7/C7_02.tif </t>
  </si>
  <si>
    <t xml:space="preserve"> 90110.141 </t>
  </si>
  <si>
    <t xml:space="preserve"> 59.2712 </t>
  </si>
  <si>
    <t xml:space="preserve">C:\Users\andre\Desktop\REACTIV CEFAS\Prochloraz\Prochloraz/20201116_Cefas_Test6-Run1/Plate 1/@7/C7_03.tif </t>
  </si>
  <si>
    <t xml:space="preserve"> 85438.0838 </t>
  </si>
  <si>
    <t xml:space="preserve"> 58.2729 </t>
  </si>
  <si>
    <t xml:space="preserve">C:\Users\andre\Desktop\REACTIV CEFAS\Prochloraz\Prochloraz/20201116_Cefas_Test6-Run1/Plate 1/@7/D7_01.tif </t>
  </si>
  <si>
    <t xml:space="preserve"> 73130.6737 </t>
  </si>
  <si>
    <t xml:space="preserve"> 55.0834 </t>
  </si>
  <si>
    <t xml:space="preserve">C:\Users\andre\Desktop\REACTIV CEFAS\Prochloraz\Prochloraz/20201116_Cefas_Test6-Run1/Plate 1/@7/D7_02.tif </t>
  </si>
  <si>
    <t xml:space="preserve"> 72481.7769 </t>
  </si>
  <si>
    <t xml:space="preserve"> 61.5936 </t>
  </si>
  <si>
    <t xml:space="preserve">C:\Users\andre\Desktop\REACTIV CEFAS\Prochloraz\Prochloraz/20201116_Cefas_Test6-Run1/Plate 1/@7/D7_03.tif </t>
  </si>
  <si>
    <t xml:space="preserve"> 70318.7874 </t>
  </si>
  <si>
    <t xml:space="preserve"> 61.2931 </t>
  </si>
  <si>
    <t>C:\Users\andre\Desktop\REACTIV CEFAS\Prochloraz\Prochloraz/20201116_Cefas_Test6-Run1/Plate 1/@7/E7_01- exclu.tif</t>
  </si>
  <si>
    <t xml:space="preserve">C:\Users\andre\Desktop\REACTIV CEFAS\Prochloraz\Prochloraz/20201116_Cefas_Test6-Run1/Plate 1/@7/E7_02.tif </t>
  </si>
  <si>
    <t xml:space="preserve"> 76267.0085 </t>
  </si>
  <si>
    <t xml:space="preserve"> 58.6653 </t>
  </si>
  <si>
    <t xml:space="preserve">C:\Users\andre\Desktop\REACTIV CEFAS\Prochloraz\Prochloraz/20201116_Cefas_Test6-Run1/Plate 1/@7/E7_03.tif </t>
  </si>
  <si>
    <t xml:space="preserve"> 64240.787 </t>
  </si>
  <si>
    <t xml:space="preserve"> 61.8593 </t>
  </si>
  <si>
    <t xml:space="preserve">C:\Users\andre\Desktop\REACTIV CEFAS\Prochloraz\Prochloraz/20201116_Cefas_Test6-Run1/Plate 1/@7/F7_01.tif </t>
  </si>
  <si>
    <t xml:space="preserve"> 79208.6741 </t>
  </si>
  <si>
    <t xml:space="preserve"> 52.3815 </t>
  </si>
  <si>
    <t xml:space="preserve">C:\Users\andre\Desktop\REACTIV CEFAS\Prochloraz\Prochloraz/20201116_Cefas_Test6-Run1/Plate 1/@7/F7_02.tif </t>
  </si>
  <si>
    <t xml:space="preserve"> 69669.8906 </t>
  </si>
  <si>
    <t xml:space="preserve"> 53.9618 </t>
  </si>
  <si>
    <t xml:space="preserve">C:\Users\andre\Desktop\REACTIV CEFAS\Prochloraz\Prochloraz/20201116_Cefas_Test6-Run1/Plate 1/@7/F7_03.tif </t>
  </si>
  <si>
    <t xml:space="preserve"> 77175.464 </t>
  </si>
  <si>
    <t xml:space="preserve"> 53.9986 </t>
  </si>
  <si>
    <t xml:space="preserve">C:\Users\andre\Desktop\REACTIV CEFAS\Prochloraz\Prochloraz/20201116_Cefas_Test6-Run1/Plate 1/@7/G7_01.tif </t>
  </si>
  <si>
    <t xml:space="preserve"> 88833.9772 </t>
  </si>
  <si>
    <t xml:space="preserve"> 54.5103 </t>
  </si>
  <si>
    <t xml:space="preserve">C:\Users\andre\Desktop\REACTIV CEFAS\Prochloraz\Prochloraz/20201116_Cefas_Test6-Run1/Plate 1/@7/G7_02.tif </t>
  </si>
  <si>
    <t xml:space="preserve"> 92727.3583 </t>
  </si>
  <si>
    <t xml:space="preserve"> 58.4616 </t>
  </si>
  <si>
    <t xml:space="preserve">C:\Users\andre\Desktop\REACTIV CEFAS\Prochloraz\Prochloraz/20201116_Cefas_Test6-Run1/Plate 1/@7/G7_03.tif </t>
  </si>
  <si>
    <t xml:space="preserve"> 92316.3903 </t>
  </si>
  <si>
    <t xml:space="preserve"> 58.6354 </t>
  </si>
  <si>
    <t xml:space="preserve">C:\Users\andre\Desktop\REACTIV CEFAS\Prochloraz\Prochloraz/20201116_Cefas_Test6-Run1/Plate 1/@7/H7_01.tif </t>
  </si>
  <si>
    <t xml:space="preserve"> 81068.8451 </t>
  </si>
  <si>
    <t xml:space="preserve"> 51.5229 </t>
  </si>
  <si>
    <t xml:space="preserve">C:\Users\andre\Desktop\REACTIV CEFAS\Prochloraz\Prochloraz/20201116_Cefas_Test6-Run1/Plate 1/@7/H7_02.tif </t>
  </si>
  <si>
    <t xml:space="preserve"> 49.0087 </t>
  </si>
  <si>
    <t xml:space="preserve">C:\Users\andre\Desktop\REACTIV CEFAS\Prochloraz\Prochloraz/20201116_Cefas_Test6-Run1/Plate 1/@7/H7_03.tif </t>
  </si>
  <si>
    <t xml:space="preserve"> 68934.4742 </t>
  </si>
  <si>
    <t xml:space="preserve"> 52.8337 </t>
  </si>
  <si>
    <t xml:space="preserve">C:\Users\andre\Desktop\REACTIV CEFAS\Prochloraz\Prochloraz/20201116_Cefas_Test6-Run1/Plate 1/@7/ </t>
  </si>
  <si>
    <t xml:space="preserve"> 56.2702 </t>
  </si>
  <si>
    <t xml:space="preserve"> 3.8432 </t>
  </si>
  <si>
    <t xml:space="preserve"> 4269810.62 </t>
  </si>
  <si>
    <t xml:space="preserve"> 701246.659 </t>
  </si>
  <si>
    <t>C:\Users\andre\Desktop\REACTIV CEFAS\Prochloraz\Prochloraz/20201116_Cefas_Test6-Run1/Plate 5/@10/A4_01- exclu.tif</t>
  </si>
  <si>
    <t xml:space="preserve">C:\Users\andre\Desktop\REACTIV CEFAS\Prochloraz\Prochloraz/20201116_Cefas_Test6-Run1/Plate 5/@10/A4_02.tif </t>
  </si>
  <si>
    <t xml:space="preserve"> 13367.2749 </t>
  </si>
  <si>
    <t xml:space="preserve"> 38.8026 </t>
  </si>
  <si>
    <t xml:space="preserve">C:\Users\andre\Desktop\REACTIV CEFAS\Prochloraz\Prochloraz/20201116_Cefas_Test6-Run1/Plate 5/@10/A4_03.tif </t>
  </si>
  <si>
    <t xml:space="preserve"> 35.0085 </t>
  </si>
  <si>
    <t xml:space="preserve">C:\Users\andre\Desktop\REACTIV CEFAS\Prochloraz\Prochloraz/20201116_Cefas_Test6-Run1/Plate 5/@10/B4_01.tif </t>
  </si>
  <si>
    <t xml:space="preserve"> 9603.6732 </t>
  </si>
  <si>
    <t xml:space="preserve"> 38.3198 </t>
  </si>
  <si>
    <t xml:space="preserve">C:\Users\andre\Desktop\REACTIV CEFAS\Prochloraz\Prochloraz/20201116_Cefas_Test6-Run1/Plate 5/@10/B4_02.tif </t>
  </si>
  <si>
    <t xml:space="preserve"> 38.4785 </t>
  </si>
  <si>
    <t xml:space="preserve">C:\Users\andre\Desktop\REACTIV CEFAS\Prochloraz\Prochloraz/20201116_Cefas_Test6-Run1/Plate 5/@10/B4_03.tif </t>
  </si>
  <si>
    <t xml:space="preserve"> 11658.5132 </t>
  </si>
  <si>
    <t xml:space="preserve"> 40.2523 </t>
  </si>
  <si>
    <t>C:\Users\andre\Desktop\REACTIV CEFAS\Prochloraz\Prochloraz/20201116_Cefas_Test6-Run1/Plate 5/@10/C4_01- exclu.tif</t>
  </si>
  <si>
    <t xml:space="preserve">C:\Users\andre\Desktop\REACTIV CEFAS\Prochloraz\Prochloraz/20201116_Cefas_Test6-Run1/Plate 5/@10/C4_02.tif </t>
  </si>
  <si>
    <t xml:space="preserve"> 38.7719 </t>
  </si>
  <si>
    <t xml:space="preserve">C:\Users\andre\Desktop\REACTIV CEFAS\Prochloraz\Prochloraz/20201116_Cefas_Test6-Run1/Plate 5/@10/C4_03.tif </t>
  </si>
  <si>
    <t xml:space="preserve"> 5277.6943 </t>
  </si>
  <si>
    <t xml:space="preserve"> 38.1066 </t>
  </si>
  <si>
    <t xml:space="preserve">C:\Users\andre\Desktop\REACTIV CEFAS\Prochloraz\Prochloraz/20201116_Cefas_Test6-Run1/Plate 5/@10/D4_01.tif </t>
  </si>
  <si>
    <t xml:space="preserve">C:\Users\andre\Desktop\REACTIV CEFAS\Prochloraz\Prochloraz/20201116_Cefas_Test6-Run1/Plate 5/@10/D4_02.tif </t>
  </si>
  <si>
    <t xml:space="preserve">C:\Users\andre\Desktop\REACTIV CEFAS\Prochloraz\Prochloraz/20201116_Cefas_Test6-Run1/Plate 5/@10/D4_03.tif </t>
  </si>
  <si>
    <t xml:space="preserve"> 7635.3528 </t>
  </si>
  <si>
    <t xml:space="preserve"> 36.7422 </t>
  </si>
  <si>
    <t xml:space="preserve">C:\Users\andre\Desktop\REACTIV CEFAS\Prochloraz\Prochloraz/20201116_Cefas_Test6-Run1/Plate 5/@10/E4_01.tif </t>
  </si>
  <si>
    <t xml:space="preserve"> 6294.2993 </t>
  </si>
  <si>
    <t xml:space="preserve"> 39.7079 </t>
  </si>
  <si>
    <t xml:space="preserve">C:\Users\andre\Desktop\REACTIV CEFAS\Prochloraz\Prochloraz/20201116_Cefas_Test6-Run1/Plate 5/@10/E4_02.tif </t>
  </si>
  <si>
    <t xml:space="preserve"> 6402.4488 </t>
  </si>
  <si>
    <t xml:space="preserve"> 38.5203 </t>
  </si>
  <si>
    <t xml:space="preserve">C:\Users\andre\Desktop\REACTIV CEFAS\Prochloraz\Prochloraz/20201116_Cefas_Test6-Run1/Plate 5/@10/E4_03.tif </t>
  </si>
  <si>
    <t xml:space="preserve"> 4023.1604 </t>
  </si>
  <si>
    <t xml:space="preserve"> 31.6129 </t>
  </si>
  <si>
    <t xml:space="preserve">C:\Users\andre\Desktop\REACTIV CEFAS\Prochloraz\Prochloraz/20201116_Cefas_Test6-Run1/Plate 5/@10/F4_01.tif </t>
  </si>
  <si>
    <t xml:space="preserve"> 35.3757 </t>
  </si>
  <si>
    <t xml:space="preserve">C:\Users\andre\Desktop\REACTIV CEFAS\Prochloraz\Prochloraz/20201116_Cefas_Test6-Run1/Plate 5/@10/F4_02.tif </t>
  </si>
  <si>
    <t xml:space="preserve">C:\Users\andre\Desktop\REACTIV CEFAS\Prochloraz\Prochloraz/20201116_Cefas_Test6-Run1/Plate 5/@10/F4_03.tif </t>
  </si>
  <si>
    <t xml:space="preserve"> 3871.7511 </t>
  </si>
  <si>
    <t xml:space="preserve"> 41.2793 </t>
  </si>
  <si>
    <t xml:space="preserve">C:\Users\andre\Desktop\REACTIV CEFAS\Prochloraz\Prochloraz/20201116_Cefas_Test6-Run1/Plate 5/@10/G4_01.tif </t>
  </si>
  <si>
    <t xml:space="preserve"> 35.6612 </t>
  </si>
  <si>
    <t xml:space="preserve">C:\Users\andre\Desktop\REACTIV CEFAS\Prochloraz\Prochloraz/20201116_Cefas_Test6-Run1/Plate 5/@10/G4_02.tif </t>
  </si>
  <si>
    <t xml:space="preserve"> 36.9254 </t>
  </si>
  <si>
    <t xml:space="preserve">C:\Users\andre\Desktop\REACTIV CEFAS\Prochloraz\Prochloraz/20201116_Cefas_Test6-Run1/Plate 5/@10/G4_03.tif </t>
  </si>
  <si>
    <t xml:space="preserve"> 5039.7654 </t>
  </si>
  <si>
    <t xml:space="preserve"> 37.1459 </t>
  </si>
  <si>
    <t xml:space="preserve">C:\Users\andre\Desktop\REACTIV CEFAS\Prochloraz\Prochloraz/20201116_Cefas_Test6-Run1/Plate 5/@10/H4_01.tif </t>
  </si>
  <si>
    <t xml:space="preserve"> 4693.6871 </t>
  </si>
  <si>
    <t xml:space="preserve"> 33.3917 </t>
  </si>
  <si>
    <t xml:space="preserve">C:\Users\andre\Desktop\REACTIV CEFAS\Prochloraz\Prochloraz/20201116_Cefas_Test6-Run1/Plate 5/@10/H4_02.tif </t>
  </si>
  <si>
    <t xml:space="preserve">C:\Users\andre\Desktop\REACTIV CEFAS\Prochloraz\Prochloraz/20201116_Cefas_Test6-Run1/Plate 5/@10/H4_03.tif </t>
  </si>
  <si>
    <t xml:space="preserve"> 951.7154 </t>
  </si>
  <si>
    <t xml:space="preserve"> 31.1818 </t>
  </si>
  <si>
    <t xml:space="preserve">C:\Users\andre\Desktop\REACTIV CEFAS\Prochloraz\Prochloraz/20201116_Cefas_Test6-Run1/Plate 5/@10/ </t>
  </si>
  <si>
    <t xml:space="preserve"> 29.0119 </t>
  </si>
  <si>
    <t xml:space="preserve"> 15.4413 </t>
  </si>
  <si>
    <t xml:space="preserve"> 188162.042 </t>
  </si>
  <si>
    <t xml:space="preserve"> 154899.788 </t>
  </si>
  <si>
    <t xml:space="preserve">C:\Users\andre\Desktop\REACTIV CEFAS\Prochloraz\Prochloraz/20201116_Cefas_Test6-Run1/Plate 5/@11/A5_01.tif </t>
  </si>
  <si>
    <t xml:space="preserve"> 8176.1002 </t>
  </si>
  <si>
    <t xml:space="preserve"> 37.7249 </t>
  </si>
  <si>
    <t xml:space="preserve">C:\Users\andre\Desktop\REACTIV CEFAS\Prochloraz\Prochloraz/20201116_Cefas_Test6-Run1/Plate 5/@11/A5_02.tif </t>
  </si>
  <si>
    <t xml:space="preserve"> 9041.296 </t>
  </si>
  <si>
    <t xml:space="preserve"> 36.323 </t>
  </si>
  <si>
    <t xml:space="preserve">C:\Users\andre\Desktop\REACTIV CEFAS\Prochloraz\Prochloraz/20201116_Cefas_Test6-Run1/Plate 5/@11/A5_03.tif </t>
  </si>
  <si>
    <t xml:space="preserve">C:\Users\andre\Desktop\REACTIV CEFAS\Prochloraz\Prochloraz/20201116_Cefas_Test6-Run1/Plate 5/@11/B5_01.tif </t>
  </si>
  <si>
    <t xml:space="preserve"> 6424.0787 </t>
  </si>
  <si>
    <t xml:space="preserve"> 35.8586 </t>
  </si>
  <si>
    <t xml:space="preserve">C:\Users\andre\Desktop\REACTIV CEFAS\Prochloraz\Prochloraz/20201116_Cefas_Test6-Run1/Plate 5/@11/B5_02.tif </t>
  </si>
  <si>
    <t xml:space="preserve"> 3936.6408 </t>
  </si>
  <si>
    <t xml:space="preserve"> 37.3077 </t>
  </si>
  <si>
    <t xml:space="preserve">C:\Users\andre\Desktop\REACTIV CEFAS\Prochloraz\Prochloraz/20201116_Cefas_Test6-Run1/Plate 5/@11/B5_03.tif </t>
  </si>
  <si>
    <t xml:space="preserve"> 5126.285 </t>
  </si>
  <si>
    <t xml:space="preserve"> 38.7553 </t>
  </si>
  <si>
    <t xml:space="preserve">C:\Users\andre\Desktop\REACTIV CEFAS\Prochloraz\Prochloraz/20201116_Cefas_Test6-Run1/Plate 5/@11/C5_01.tif </t>
  </si>
  <si>
    <t xml:space="preserve"> 33.8661 </t>
  </si>
  <si>
    <t xml:space="preserve">C:\Users\andre\Desktop\REACTIV CEFAS\Prochloraz\Prochloraz/20201116_Cefas_Test6-Run1/Plate 5/@11/C5_02.tif </t>
  </si>
  <si>
    <t xml:space="preserve"> 1622.2421 </t>
  </si>
  <si>
    <t xml:space="preserve"> 33.7067 </t>
  </si>
  <si>
    <t xml:space="preserve">C:\Users\andre\Desktop\REACTIV CEFAS\Prochloraz\Prochloraz/20201116_Cefas_Test6-Run1/Plate 5/@11/C5_03.tif </t>
  </si>
  <si>
    <t xml:space="preserve"> 735.4164 </t>
  </si>
  <si>
    <t xml:space="preserve"> 30.6765 </t>
  </si>
  <si>
    <t xml:space="preserve">C:\Users\andre\Desktop\REACTIV CEFAS\Prochloraz\Prochloraz/20201116_Cefas_Test6-Run1/Plate 5/@11/D5_01.tif </t>
  </si>
  <si>
    <t xml:space="preserve"> 36.6587 </t>
  </si>
  <si>
    <t xml:space="preserve">C:\Users\andre\Desktop\REACTIV CEFAS\Prochloraz\Prochloraz/20201116_Cefas_Test6-Run1/Plate 5/@11/D5_02.tif </t>
  </si>
  <si>
    <t xml:space="preserve"> 5256.0644 </t>
  </si>
  <si>
    <t xml:space="preserve"> 37.5761 </t>
  </si>
  <si>
    <t xml:space="preserve">C:\Users\andre\Desktop\REACTIV CEFAS\Prochloraz\Prochloraz/20201116_Cefas_Test6-Run1/Plate 5/@11/D5_03.tif </t>
  </si>
  <si>
    <t xml:space="preserve"> 8327.5094 </t>
  </si>
  <si>
    <t xml:space="preserve"> 38.7455 </t>
  </si>
  <si>
    <t xml:space="preserve">C:\Users\andre\Desktop\REACTIV CEFAS\Prochloraz\Prochloraz/20201116_Cefas_Test6-Run1/Plate 5/@11/E5_01.tif </t>
  </si>
  <si>
    <t xml:space="preserve"> 37.2763 </t>
  </si>
  <si>
    <t xml:space="preserve">C:\Users\andre\Desktop\REACTIV CEFAS\Prochloraz\Prochloraz/20201116_Cefas_Test6-Run1/Plate 5/@11/E5_02.tif </t>
  </si>
  <si>
    <t xml:space="preserve"> 5147.9149 </t>
  </si>
  <si>
    <t xml:space="preserve"> 35.458 </t>
  </si>
  <si>
    <t xml:space="preserve">C:\Users\andre\Desktop\REACTIV CEFAS\Prochloraz\Prochloraz/20201116_Cefas_Test6-Run1/Plate 5/@11/E5_03.tif </t>
  </si>
  <si>
    <t xml:space="preserve"> 5061.3953 </t>
  </si>
  <si>
    <t xml:space="preserve"> 36.3974 </t>
  </si>
  <si>
    <t xml:space="preserve">C:\Users\andre\Desktop\REACTIV CEFAS\Prochloraz\Prochloraz/20201116_Cefas_Test6-Run1/Plate 5/@11/F5_01.tif </t>
  </si>
  <si>
    <t xml:space="preserve"> 41.4344 </t>
  </si>
  <si>
    <t xml:space="preserve">C:\Users\andre\Desktop\REACTIV CEFAS\Prochloraz\Prochloraz/20201116_Cefas_Test6-Run1/Plate 5/@11/F5_02.tif </t>
  </si>
  <si>
    <t xml:space="preserve"> 5429.1036 </t>
  </si>
  <si>
    <t xml:space="preserve"> 35.8127 </t>
  </si>
  <si>
    <t xml:space="preserve">C:\Users\andre\Desktop\REACTIV CEFAS\Prochloraz\Prochloraz/20201116_Cefas_Test6-Run1/Plate 5/@11/F5_03.tif </t>
  </si>
  <si>
    <t xml:space="preserve"> 9127.8155 </t>
  </si>
  <si>
    <t xml:space="preserve"> 37.3981 </t>
  </si>
  <si>
    <t xml:space="preserve">C:\Users\andre\Desktop\REACTIV CEFAS\Prochloraz\Prochloraz/20201116_Cefas_Test6-Run1/Plate 5/@11/G5_01.tif </t>
  </si>
  <si>
    <t xml:space="preserve"> 3698.712 </t>
  </si>
  <si>
    <t xml:space="preserve"> 37.8246 </t>
  </si>
  <si>
    <t xml:space="preserve">C:\Users\andre\Desktop\REACTIV CEFAS\Prochloraz\Prochloraz/20201116_Cefas_Test6-Run1/Plate 5/@11/G5_02.tif </t>
  </si>
  <si>
    <t xml:space="preserve"> 6532.2282 </t>
  </si>
  <si>
    <t xml:space="preserve"> 39.8411 </t>
  </si>
  <si>
    <t xml:space="preserve">C:\Users\andre\Desktop\REACTIV CEFAS\Prochloraz\Prochloraz/20201116_Cefas_Test6-Run1/Plate 5/@11/G5_03.tif </t>
  </si>
  <si>
    <t xml:space="preserve"> 37.2038 </t>
  </si>
  <si>
    <t xml:space="preserve">C:\Users\andre\Desktop\REACTIV CEFAS\Prochloraz\Prochloraz/20201116_Cefas_Test6-Run1/Plate 5/@11/H5_01.tif </t>
  </si>
  <si>
    <t xml:space="preserve"> 44.4571 </t>
  </si>
  <si>
    <t xml:space="preserve">C:\Users\andre\Desktop\REACTIV CEFAS\Prochloraz\Prochloraz/20201116_Cefas_Test6-Run1/Plate 5/@11/H5_02.tif </t>
  </si>
  <si>
    <t xml:space="preserve"> 6164.52 </t>
  </si>
  <si>
    <t xml:space="preserve"> 42.2316 </t>
  </si>
  <si>
    <t xml:space="preserve">C:\Users\andre\Desktop\REACTIV CEFAS\Prochloraz\Prochloraz/20201116_Cefas_Test6-Run1/Plate 5/@11/H5_03.tif </t>
  </si>
  <si>
    <t xml:space="preserve"> 39.1814 </t>
  </si>
  <si>
    <t xml:space="preserve">C:\Users\andre\Desktop\REACTIV CEFAS\Prochloraz\Prochloraz/20201116_Cefas_Test6-Run1/Plate 5/@11/ </t>
  </si>
  <si>
    <t xml:space="preserve"> 37.1965 </t>
  </si>
  <si>
    <t xml:space="preserve"> 3.1296 </t>
  </si>
  <si>
    <t xml:space="preserve"> 203454.375 </t>
  </si>
  <si>
    <t xml:space="preserve"> 101271.561 </t>
  </si>
  <si>
    <t>C:\Users\andre\Desktop\REACTIV CEFAS\Prochloraz\Prochloraz/20201116_Cefas_Test6-Run1/Plate 5/@12/A6_01- exclu.tif</t>
  </si>
  <si>
    <t xml:space="preserve">C:\Users\andre\Desktop\REACTIV CEFAS\Prochloraz\Prochloraz/20201116_Cefas_Test6-Run1/Plate 5/@12/A6_02.tif </t>
  </si>
  <si>
    <t xml:space="preserve"> 7916.5414 </t>
  </si>
  <si>
    <t xml:space="preserve"> 40.8579 </t>
  </si>
  <si>
    <t xml:space="preserve">C:\Users\andre\Desktop\REACTIV CEFAS\Prochloraz\Prochloraz/20201116_Cefas_Test6-Run1/Plate 5/@12/A6_03.tif </t>
  </si>
  <si>
    <t xml:space="preserve"> 39.7459 </t>
  </si>
  <si>
    <t xml:space="preserve">C:\Users\andre\Desktop\REACTIV CEFAS\Prochloraz\Prochloraz/20201116_Cefas_Test6-Run1/Plate 5/@12/B6_01.tif </t>
  </si>
  <si>
    <t xml:space="preserve"> 8089.5806 </t>
  </si>
  <si>
    <t xml:space="preserve"> 35.7701 </t>
  </si>
  <si>
    <t xml:space="preserve">C:\Users\andre\Desktop\REACTIV CEFAS\Prochloraz\Prochloraz/20201116_Cefas_Test6-Run1/Plate 5/@12/B6_02.tif </t>
  </si>
  <si>
    <t xml:space="preserve"> 9430.6341 </t>
  </si>
  <si>
    <t xml:space="preserve"> 38.617 </t>
  </si>
  <si>
    <t xml:space="preserve">C:\Users\andre\Desktop\REACTIV CEFAS\Prochloraz\Prochloraz/20201116_Cefas_Test6-Run1/Plate 5/@12/B6_03.tif </t>
  </si>
  <si>
    <t xml:space="preserve"> 9214.3351 </t>
  </si>
  <si>
    <t xml:space="preserve"> 40.0352 </t>
  </si>
  <si>
    <t xml:space="preserve">C:\Users\andre\Desktop\REACTIV CEFAS\Prochloraz\Prochloraz/20201116_Cefas_Test6-Run1/Plate 5/@12/C6_01.tif </t>
  </si>
  <si>
    <t xml:space="preserve"> 5840.0715 </t>
  </si>
  <si>
    <t xml:space="preserve"> 35.0333 </t>
  </si>
  <si>
    <t xml:space="preserve">C:\Users\andre\Desktop\REACTIV CEFAS\Prochloraz\Prochloraz/20201116_Cefas_Test6-Run1/Plate 5/@12/C6_02.tif </t>
  </si>
  <si>
    <t xml:space="preserve"> 37.1064 </t>
  </si>
  <si>
    <t>C:\Users\andre\Desktop\REACTIV CEFAS\Prochloraz\Prochloraz/20201116_Cefas_Test6-Run1/Plate 5/@12/C6_03- exclu.tif</t>
  </si>
  <si>
    <t xml:space="preserve">C:\Users\andre\Desktop\REACTIV CEFAS\Prochloraz\Prochloraz/20201116_Cefas_Test6-Run1/Plate 5/@12/D6_01.tif </t>
  </si>
  <si>
    <t xml:space="preserve"> 42.4469 </t>
  </si>
  <si>
    <t xml:space="preserve">C:\Users\andre\Desktop\REACTIV CEFAS\Prochloraz\Prochloraz/20201116_Cefas_Test6-Run1/Plate 5/@12/D6_02.tif </t>
  </si>
  <si>
    <t xml:space="preserve"> 5018.1356 </t>
  </si>
  <si>
    <t xml:space="preserve"> 41.4741 </t>
  </si>
  <si>
    <t xml:space="preserve">C:\Users\andre\Desktop\REACTIV CEFAS\Prochloraz\Prochloraz/20201116_Cefas_Test6-Run1/Plate 5/@12/D6_03.tif </t>
  </si>
  <si>
    <t xml:space="preserve"> 2379.2884 </t>
  </si>
  <si>
    <t xml:space="preserve"> 32.7909 </t>
  </si>
  <si>
    <t xml:space="preserve">C:\Users\andre\Desktop\REACTIV CEFAS\Prochloraz\Prochloraz/20201116_Cefas_Test6-Run1/Plate 5/@12/E6_01.tif </t>
  </si>
  <si>
    <t xml:space="preserve"> 41.0263 </t>
  </si>
  <si>
    <t>C:\Users\andre\Desktop\REACTIV CEFAS\Prochloraz\Prochloraz/20201116_Cefas_Test6-Run1/Plate 5/@12/E6_02- exclu.tif</t>
  </si>
  <si>
    <t>C:\Users\andre\Desktop\REACTIV CEFAS\Prochloraz\Prochloraz/20201116_Cefas_Test6-Run1/Plate 5/@12/E6_03- exclu.tif</t>
  </si>
  <si>
    <t xml:space="preserve">C:\Users\andre\Desktop\REACTIV CEFAS\Prochloraz\Prochloraz/20201116_Cefas_Test6-Run1/Plate 5/@12/F6_01.tif </t>
  </si>
  <si>
    <t xml:space="preserve"> 35.9912 </t>
  </si>
  <si>
    <t xml:space="preserve">C:\Users\andre\Desktop\REACTIV CEFAS\Prochloraz\Prochloraz/20201116_Cefas_Test6-Run1/Plate 5/@12/F6_02.tif </t>
  </si>
  <si>
    <t xml:space="preserve"> 4823.4665 </t>
  </si>
  <si>
    <t xml:space="preserve"> 34.4888 </t>
  </si>
  <si>
    <t xml:space="preserve">C:\Users\andre\Desktop\REACTIV CEFAS\Prochloraz\Prochloraz/20201116_Cefas_Test6-Run1/Plate 5/@12/F6_03.tif </t>
  </si>
  <si>
    <t xml:space="preserve">C:\Users\andre\Desktop\REACTIV CEFAS\Prochloraz\Prochloraz/20201116_Cefas_Test6-Run1/Plate 5/@12/G6_01.tif </t>
  </si>
  <si>
    <t xml:space="preserve"> 38.2891 </t>
  </si>
  <si>
    <t xml:space="preserve">C:\Users\andre\Desktop\REACTIV CEFAS\Prochloraz\Prochloraz/20201116_Cefas_Test6-Run1/Plate 5/@12/G6_02.tif </t>
  </si>
  <si>
    <t xml:space="preserve"> 7202.7549 </t>
  </si>
  <si>
    <t xml:space="preserve"> 39.5676 </t>
  </si>
  <si>
    <t xml:space="preserve">C:\Users\andre\Desktop\REACTIV CEFAS\Prochloraz\Prochloraz/20201116_Cefas_Test6-Run1/Plate 5/@12/G6_03.tif </t>
  </si>
  <si>
    <t xml:space="preserve"> 8522.1785 </t>
  </si>
  <si>
    <t xml:space="preserve"> 38.9721 </t>
  </si>
  <si>
    <t xml:space="preserve">C:\Users\andre\Desktop\REACTIV CEFAS\Prochloraz\Prochloraz/20201116_Cefas_Test6-Run1/Plate 5/@12/H6_01.tif </t>
  </si>
  <si>
    <t xml:space="preserve"> 9971.3814 </t>
  </si>
  <si>
    <t xml:space="preserve"> 37.6421 </t>
  </si>
  <si>
    <t xml:space="preserve">C:\Users\andre\Desktop\REACTIV CEFAS\Prochloraz\Prochloraz/20201116_Cefas_Test6-Run1/Plate 5/@12/H6_02.tif </t>
  </si>
  <si>
    <t xml:space="preserve"> 13388.9048 </t>
  </si>
  <si>
    <t xml:space="preserve"> 37.5137 </t>
  </si>
  <si>
    <t xml:space="preserve">C:\Users\andre\Desktop\REACTIV CEFAS\Prochloraz\Prochloraz/20201116_Cefas_Test6-Run1/Plate 5/@12/H6_03.tif </t>
  </si>
  <si>
    <t xml:space="preserve"> 11809.9225 </t>
  </si>
  <si>
    <t xml:space="preserve"> 38.8919 </t>
  </si>
  <si>
    <t xml:space="preserve">C:\Users\andre\Desktop\REACTIV CEFAS\Prochloraz\Prochloraz/20201116_Cefas_Test6-Run1/Plate 5/@12/ </t>
  </si>
  <si>
    <t xml:space="preserve"> 37.5399 </t>
  </si>
  <si>
    <t xml:space="preserve"> 8.9247 </t>
  </si>
  <si>
    <t xml:space="preserve"> 305670.167 </t>
  </si>
  <si>
    <t xml:space="preserve"> 185881.169 </t>
  </si>
  <si>
    <t>C:\Users\andre\Desktop\REACTIV CEFAS\Prochloraz\Prochloraz/20201116_Cefas_Test6-Run1/Plate 5/@17/A8_01- exclu.tif</t>
  </si>
  <si>
    <t>C:\Users\andre\Desktop\REACTIV CEFAS\Prochloraz\Prochloraz/20201116_Cefas_Test6-Run1/Plate 5/@17/A8_02- exclu.tif</t>
  </si>
  <si>
    <t xml:space="preserve">C:\Users\andre\Desktop\REACTIV CEFAS\Prochloraz\Prochloraz/20201116_Cefas_Test6-Run1/Plate 5/@17/A8_03.tif </t>
  </si>
  <si>
    <t xml:space="preserve"> 51890.1172 </t>
  </si>
  <si>
    <t xml:space="preserve"> 41.0396 </t>
  </si>
  <si>
    <t xml:space="preserve">C:\Users\andre\Desktop\REACTIV CEFAS\Prochloraz\Prochloraz/20201116_Cefas_Test6-Run1/Plate 5/@17/B8_01.tif </t>
  </si>
  <si>
    <t xml:space="preserve"> 24722.9696 </t>
  </si>
  <si>
    <t xml:space="preserve"> 34.1899 </t>
  </si>
  <si>
    <t xml:space="preserve">C:\Users\andre\Desktop\REACTIV CEFAS\Prochloraz\Prochloraz/20201116_Cefas_Test6-Run1/Plate 5/@17/B8_02.tif </t>
  </si>
  <si>
    <t xml:space="preserve"> 37246.6786 </t>
  </si>
  <si>
    <t xml:space="preserve"> 36.3293 </t>
  </si>
  <si>
    <t xml:space="preserve">C:\Users\andre\Desktop\REACTIV CEFAS\Prochloraz\Prochloraz/20201116_Cefas_Test6-Run1/Plate 5/@17/B8_03.tif </t>
  </si>
  <si>
    <t xml:space="preserve"> 29330.1371 </t>
  </si>
  <si>
    <t xml:space="preserve"> 34.4189 </t>
  </si>
  <si>
    <t xml:space="preserve">C:\Users\andre\Desktop\REACTIV CEFAS\Prochloraz\Prochloraz/20201116_Cefas_Test6-Run1/Plate 5/@17/C8_01.tif </t>
  </si>
  <si>
    <t xml:space="preserve"> 59049.6123 </t>
  </si>
  <si>
    <t xml:space="preserve"> 40.1509 </t>
  </si>
  <si>
    <t xml:space="preserve">C:\Users\andre\Desktop\REACTIV CEFAS\Prochloraz\Prochloraz/20201116_Cefas_Test6-Run1/Plate 5/@17/C8_02.tif </t>
  </si>
  <si>
    <t xml:space="preserve"> 64024.4881 </t>
  </si>
  <si>
    <t xml:space="preserve"> 40.9003 </t>
  </si>
  <si>
    <t xml:space="preserve">C:\Users\andre\Desktop\REACTIV CEFAS\Prochloraz\Prochloraz/20201116_Cefas_Test6-Run1/Plate 5/@17/C8_03.tif </t>
  </si>
  <si>
    <t xml:space="preserve"> 68956.1041 </t>
  </si>
  <si>
    <t xml:space="preserve"> 41.6324 </t>
  </si>
  <si>
    <t xml:space="preserve">C:\Users\andre\Desktop\REACTIV CEFAS\Prochloraz\Prochloraz/20201116_Cefas_Test6-Run1/Plate 5/@17/D8_01.tif </t>
  </si>
  <si>
    <t xml:space="preserve"> 38414.6929 </t>
  </si>
  <si>
    <t xml:space="preserve"> 35.174 </t>
  </si>
  <si>
    <t xml:space="preserve">C:\Users\andre\Desktop\REACTIV CEFAS\Prochloraz\Prochloraz/20201116_Cefas_Test6-Run1/Plate 5/@17/D8_02.tif </t>
  </si>
  <si>
    <t xml:space="preserve"> 49013.3412 </t>
  </si>
  <si>
    <t xml:space="preserve"> 37.8274 </t>
  </si>
  <si>
    <t xml:space="preserve">C:\Users\andre\Desktop\REACTIV CEFAS\Prochloraz\Prochloraz/20201116_Cefas_Test6-Run1/Plate 5/@17/D8_03.tif </t>
  </si>
  <si>
    <t xml:space="preserve"> 49489.1989 </t>
  </si>
  <si>
    <t xml:space="preserve"> 38.5372 </t>
  </si>
  <si>
    <t xml:space="preserve">C:\Users\andre\Desktop\REACTIV CEFAS\Prochloraz\Prochloraz/20201116_Cefas_Test6-Run1/Plate 5/@17/E8_01.tif </t>
  </si>
  <si>
    <t xml:space="preserve"> 3331.0038 </t>
  </si>
  <si>
    <t xml:space="preserve"> 31.7597 </t>
  </si>
  <si>
    <t xml:space="preserve">C:\Users\andre\Desktop\REACTIV CEFAS\Prochloraz\Prochloraz/20201116_Cefas_Test6-Run1/Plate 5/@17/E8_02.tif </t>
  </si>
  <si>
    <t xml:space="preserve"> 9819.9722 </t>
  </si>
  <si>
    <t xml:space="preserve"> 32.9251 </t>
  </si>
  <si>
    <t xml:space="preserve">C:\Users\andre\Desktop\REACTIV CEFAS\Prochloraz\Prochloraz/20201116_Cefas_Test6-Run1/Plate 5/@17/E8_03.tif </t>
  </si>
  <si>
    <t xml:space="preserve"> 13107.7161 </t>
  </si>
  <si>
    <t xml:space="preserve"> 33.8416 </t>
  </si>
  <si>
    <t xml:space="preserve">C:\Users\andre\Desktop\REACTIV CEFAS\Prochloraz\Prochloraz/20201116_Cefas_Test6-Run1/Plate 5/@17/F8_01.tif </t>
  </si>
  <si>
    <t xml:space="preserve"> 30173.703 </t>
  </si>
  <si>
    <t xml:space="preserve"> 36.714 </t>
  </si>
  <si>
    <t xml:space="preserve">C:\Users\andre\Desktop\REACTIV CEFAS\Prochloraz\Prochloraz/20201116_Cefas_Test6-Run1/Plate 5/@17/F8_02.tif </t>
  </si>
  <si>
    <t xml:space="preserve"> 20526.77 </t>
  </si>
  <si>
    <t xml:space="preserve"> 36.2202 </t>
  </si>
  <si>
    <t xml:space="preserve">C:\Users\andre\Desktop\REACTIV CEFAS\Prochloraz\Prochloraz/20201116_Cefas_Test6-Run1/Plate 5/@17/F8_03.tif </t>
  </si>
  <si>
    <t xml:space="preserve"> 30065.5535 </t>
  </si>
  <si>
    <t xml:space="preserve"> 36.7094 </t>
  </si>
  <si>
    <t>C:\Users\andre\Desktop\REACTIV CEFAS\Prochloraz\Prochloraz/20201116_Cefas_Test6-Run1/Plate 5/@17/G8_01- exclu.tif</t>
  </si>
  <si>
    <t>C:\Users\andre\Desktop\REACTIV CEFAS\Prochloraz\Prochloraz/20201116_Cefas_Test6-Run1/Plate 5/@17/G8_02- exclu.tif</t>
  </si>
  <si>
    <t>C:\Users\andre\Desktop\REACTIV CEFAS\Prochloraz\Prochloraz/20201116_Cefas_Test6-Run1/Plate 5/@17/G8_03- exclu.tif</t>
  </si>
  <si>
    <t xml:space="preserve">C:\Users\andre\Desktop\REACTIV CEFAS\Prochloraz\Prochloraz/20201116_Cefas_Test6-Run1/Plate 5/@17/H8_01.tif </t>
  </si>
  <si>
    <t xml:space="preserve"> 25999.1333 </t>
  </si>
  <si>
    <t xml:space="preserve"> 33.2463 </t>
  </si>
  <si>
    <t xml:space="preserve">C:\Users\andre\Desktop\REACTIV CEFAS\Prochloraz\Prochloraz/20201116_Cefas_Test6-Run1/Plate 5/@17/H8_02.tif </t>
  </si>
  <si>
    <t xml:space="preserve"> 26929.2188 </t>
  </si>
  <si>
    <t xml:space="preserve"> 33.4924 </t>
  </si>
  <si>
    <t xml:space="preserve">C:\Users\andre\Desktop\REACTIV CEFAS\Prochloraz\Prochloraz/20201116_Cefas_Test6-Run1/Plate 5/@17/H8_03.tif </t>
  </si>
  <si>
    <t xml:space="preserve"> 31839.2049 </t>
  </si>
  <si>
    <t xml:space="preserve"> 34.4783 </t>
  </si>
  <si>
    <t xml:space="preserve">C:\Users\andre\Desktop\REACTIV CEFAS\Prochloraz\Prochloraz/20201116_Cefas_Test6-Run1/Plate 5/@17/ </t>
  </si>
  <si>
    <t xml:space="preserve"> 36.5432 </t>
  </si>
  <si>
    <t xml:space="preserve"> 3.4703 </t>
  </si>
  <si>
    <t xml:space="preserve"> 1138324.58 </t>
  </si>
  <si>
    <t xml:space="preserve"> 780614.264 </t>
  </si>
  <si>
    <t>C:\Users\andre\Desktop\REACTIV CEFAS\Prochloraz\Prochloraz/20201116_Cefas_Test6-Run1/Plate 5/@18/A9_01- exclu.tif</t>
  </si>
  <si>
    <t>C:\Users\andre\Desktop\REACTIV CEFAS\Prochloraz\Prochloraz/20201116_Cefas_Test6-Run1/Plate 5/@18/A9_02- exclu.tif</t>
  </si>
  <si>
    <t>C:\Users\andre\Desktop\REACTIV CEFAS\Prochloraz\Prochloraz/20201116_Cefas_Test6-Run1/Plate 5/@18/A9_03- exclu.tif</t>
  </si>
  <si>
    <t xml:space="preserve">C:\Users\andre\Desktop\REACTIV CEFAS\Prochloraz\Prochloraz/20201116_Cefas_Test6-Run1/Plate 5/@18/B9_01.tif </t>
  </si>
  <si>
    <t xml:space="preserve"> 23273.7666 </t>
  </si>
  <si>
    <t xml:space="preserve"> 33.8773 </t>
  </si>
  <si>
    <t xml:space="preserve">C:\Users\andre\Desktop\REACTIV CEFAS\Prochloraz\Prochloraz/20201116_Cefas_Test6-Run1/Plate 5/@18/B9_02.tif </t>
  </si>
  <si>
    <t xml:space="preserve"> 38695.8815 </t>
  </si>
  <si>
    <t xml:space="preserve"> 37.5204 </t>
  </si>
  <si>
    <t xml:space="preserve">C:\Users\andre\Desktop\REACTIV CEFAS\Prochloraz\Prochloraz/20201116_Cefas_Test6-Run1/Plate 5/@18/B9_03.tif </t>
  </si>
  <si>
    <t xml:space="preserve"> 25285.3468 </t>
  </si>
  <si>
    <t xml:space="preserve"> 34.3935 </t>
  </si>
  <si>
    <t xml:space="preserve">C:\Users\andre\Desktop\REACTIV CEFAS\Prochloraz\Prochloraz/20201116_Cefas_Test6-Run1/Plate 5/@18/C9_01.tif </t>
  </si>
  <si>
    <t xml:space="preserve"> 53317.6903 </t>
  </si>
  <si>
    <t xml:space="preserve"> 39.6592 </t>
  </si>
  <si>
    <t xml:space="preserve">C:\Users\andre\Desktop\REACTIV CEFAS\Prochloraz\Prochloraz/20201116_Cefas_Test6-Run1/Plate 5/@18/C9_02.tif </t>
  </si>
  <si>
    <t xml:space="preserve"> 46374.4941 </t>
  </si>
  <si>
    <t xml:space="preserve"> 37.1423 </t>
  </si>
  <si>
    <t xml:space="preserve">C:\Users\andre\Desktop\REACTIV CEFAS\Prochloraz\Prochloraz/20201116_Cefas_Test6-Run1/Plate 5/@18/C9_03.tif </t>
  </si>
  <si>
    <t xml:space="preserve"> 59893.1782 </t>
  </si>
  <si>
    <t xml:space="preserve"> 40.3395 </t>
  </si>
  <si>
    <t xml:space="preserve">C:\Users\andre\Desktop\REACTIV CEFAS\Prochloraz\Prochloraz/20201116_Cefas_Test6-Run1/Plate 5/@18/D9_01.tif </t>
  </si>
  <si>
    <t xml:space="preserve"> 35343.2478 </t>
  </si>
  <si>
    <t xml:space="preserve"> 36.4945 </t>
  </si>
  <si>
    <t xml:space="preserve">C:\Users\andre\Desktop\REACTIV CEFAS\Prochloraz\Prochloraz/20201116_Cefas_Test6-Run1/Plate 5/@18/D9_02.tif </t>
  </si>
  <si>
    <t xml:space="preserve"> 23230.5068 </t>
  </si>
  <si>
    <t xml:space="preserve"> 34.7663 </t>
  </si>
  <si>
    <t xml:space="preserve">C:\Users\andre\Desktop\REACTIV CEFAS\Prochloraz\Prochloraz/20201116_Cefas_Test6-Run1/Plate 5/@18/D9_03.tif </t>
  </si>
  <si>
    <t xml:space="preserve"> 25674.6849 </t>
  </si>
  <si>
    <t xml:space="preserve"> 34.3454 </t>
  </si>
  <si>
    <t xml:space="preserve">C:\Users\andre\Desktop\REACTIV CEFAS\Prochloraz\Prochloraz/20201116_Cefas_Test6-Run1/Plate 5/@18/E9_01.tif </t>
  </si>
  <si>
    <t xml:space="preserve"> 56454.025 </t>
  </si>
  <si>
    <t xml:space="preserve"> 43.5973 </t>
  </si>
  <si>
    <t xml:space="preserve">C:\Users\andre\Desktop\REACTIV CEFAS\Prochloraz\Prochloraz/20201116_Cefas_Test6-Run1/Plate 5/@18/E9_02.tif </t>
  </si>
  <si>
    <t xml:space="preserve"> 53793.5479 </t>
  </si>
  <si>
    <t xml:space="preserve"> 40.955 </t>
  </si>
  <si>
    <t xml:space="preserve">C:\Users\andre\Desktop\REACTIV CEFAS\Prochloraz\Prochloraz/20201116_Cefas_Test6-Run1/Plate 5/@18/E9_03.tif </t>
  </si>
  <si>
    <t xml:space="preserve"> 51738.708 </t>
  </si>
  <si>
    <t xml:space="preserve"> 35.2094 </t>
  </si>
  <si>
    <t xml:space="preserve">C:\Users\andre\Desktop\REACTIV CEFAS\Prochloraz\Prochloraz/20201116_Cefas_Test6-Run1/Plate 5/@18/F9_01.tif </t>
  </si>
  <si>
    <t xml:space="preserve"> 36.1399 </t>
  </si>
  <si>
    <t xml:space="preserve">C:\Users\andre\Desktop\REACTIV CEFAS\Prochloraz\Prochloraz/20201116_Cefas_Test6-Run1/Plate 5/@18/F9_02.tif </t>
  </si>
  <si>
    <t xml:space="preserve"> 38977.0701 </t>
  </si>
  <si>
    <t xml:space="preserve"> 34.5499 </t>
  </si>
  <si>
    <t xml:space="preserve">C:\Users\andre\Desktop\REACTIV CEFAS\Prochloraz\Prochloraz/20201116_Cefas_Test6-Run1/Plate 5/@18/F9_03.tif </t>
  </si>
  <si>
    <t xml:space="preserve"> 35624.4365 </t>
  </si>
  <si>
    <t xml:space="preserve"> 34.1633 </t>
  </si>
  <si>
    <t xml:space="preserve">C:\Users\andre\Desktop\REACTIV CEFAS\Prochloraz\Prochloraz/20201116_Cefas_Test6-Run1/Plate 5/@18/G9_01.tif </t>
  </si>
  <si>
    <t xml:space="preserve"> 3114.7048 </t>
  </si>
  <si>
    <t xml:space="preserve"> 33.5069 </t>
  </si>
  <si>
    <t xml:space="preserve">C:\Users\andre\Desktop\REACTIV CEFAS\Prochloraz\Prochloraz/20201116_Cefas_Test6-Run1/Plate 5/@18/G9_02.tif </t>
  </si>
  <si>
    <t xml:space="preserve"> 3763.6017 </t>
  </si>
  <si>
    <t xml:space="preserve"> 33.1437 </t>
  </si>
  <si>
    <t xml:space="preserve">C:\Users\andre\Desktop\REACTIV CEFAS\Prochloraz\Prochloraz/20201116_Cefas_Test6-Run1/Plate 5/@18/G9_03.tif </t>
  </si>
  <si>
    <t xml:space="preserve"> 3244.4842 </t>
  </si>
  <si>
    <t xml:space="preserve"> 33.04 </t>
  </si>
  <si>
    <t xml:space="preserve">C:\Users\andre\Desktop\REACTIV CEFAS\Prochloraz\Prochloraz/20201116_Cefas_Test6-Run1/Plate 5/@18/H9_01.tif </t>
  </si>
  <si>
    <t xml:space="preserve"> 21262.1864 </t>
  </si>
  <si>
    <t xml:space="preserve"> 33.531 </t>
  </si>
  <si>
    <t xml:space="preserve">C:\Users\andre\Desktop\REACTIV CEFAS\Prochloraz\Prochloraz/20201116_Cefas_Test6-Run1/Plate 5/@18/H9_02.tif </t>
  </si>
  <si>
    <t xml:space="preserve"> 19012.6774 </t>
  </si>
  <si>
    <t xml:space="preserve"> 33.3424 </t>
  </si>
  <si>
    <t xml:space="preserve">C:\Users\andre\Desktop\REACTIV CEFAS\Prochloraz\Prochloraz/20201116_Cefas_Test6-Run1/Plate 5/@18/H9_03.tif </t>
  </si>
  <si>
    <t xml:space="preserve"> 9344.1145 </t>
  </si>
  <si>
    <t xml:space="preserve"> 31.7847 </t>
  </si>
  <si>
    <t xml:space="preserve">C:\Users\andre\Desktop\REACTIV CEFAS\Prochloraz\Prochloraz/20201116_Cefas_Test6-Run1/Plate 5/@18/ </t>
  </si>
  <si>
    <t xml:space="preserve"> 36.771 </t>
  </si>
  <si>
    <t xml:space="preserve"> 4.0585 </t>
  </si>
  <si>
    <t xml:space="preserve"> 1101989.08 </t>
  </si>
  <si>
    <t xml:space="preserve"> 754315.256 </t>
  </si>
  <si>
    <t xml:space="preserve">C:\Users\andre\Desktop\REACTIV CEFAS\Prochloraz\Prochloraz/20201116_Cefas_Test6-Run1/Plate 5/@19/A10_01.tif </t>
  </si>
  <si>
    <t xml:space="preserve"> 77261.9836 </t>
  </si>
  <si>
    <t xml:space="preserve"> 52.6405 </t>
  </si>
  <si>
    <t xml:space="preserve">C:\Users\andre\Desktop\REACTIV CEFAS\Prochloraz\Prochloraz/20201116_Cefas_Test6-Run1/Plate 5/@19/A10_02.tif </t>
  </si>
  <si>
    <t xml:space="preserve"> 74255.4283 </t>
  </si>
  <si>
    <t xml:space="preserve"> 54.8273 </t>
  </si>
  <si>
    <t xml:space="preserve">C:\Users\andre\Desktop\REACTIV CEFAS\Prochloraz\Prochloraz/20201116_Cefas_Test6-Run1/Plate 5/@19/A10_03.tif </t>
  </si>
  <si>
    <t xml:space="preserve"> 74104.019 </t>
  </si>
  <si>
    <t xml:space="preserve"> 50.772 </t>
  </si>
  <si>
    <t xml:space="preserve">C:\Users\andre\Desktop\REACTIV CEFAS\Prochloraz\Prochloraz/20201116_Cefas_Test6-Run1/Plate 5/@19/B10_01.tif </t>
  </si>
  <si>
    <t xml:space="preserve"> 87579.4434 </t>
  </si>
  <si>
    <t xml:space="preserve"> 52.0741 </t>
  </si>
  <si>
    <t xml:space="preserve">C:\Users\andre\Desktop\REACTIV CEFAS\Prochloraz\Prochloraz/20201116_Cefas_Test6-Run1/Plate 5/@19/B10_02.tif </t>
  </si>
  <si>
    <t xml:space="preserve"> 87968.7815 </t>
  </si>
  <si>
    <t xml:space="preserve"> 51.4175 </t>
  </si>
  <si>
    <t xml:space="preserve">C:\Users\andre\Desktop\REACTIV CEFAS\Prochloraz\Prochloraz/20201116_Cefas_Test6-Run1/Plate 5/@19/B10_03.tif </t>
  </si>
  <si>
    <t xml:space="preserve"> 81609.5924 </t>
  </si>
  <si>
    <t xml:space="preserve"> 54.0329 </t>
  </si>
  <si>
    <t xml:space="preserve">C:\Users\andre\Desktop\REACTIV CEFAS\Prochloraz\Prochloraz/20201116_Cefas_Test6-Run1/Plate 5/@19/C10_01.tif </t>
  </si>
  <si>
    <t xml:space="preserve"> 58054.6372 </t>
  </si>
  <si>
    <t xml:space="preserve"> 50.9668 </t>
  </si>
  <si>
    <t xml:space="preserve">C:\Users\andre\Desktop\REACTIV CEFAS\Prochloraz\Prochloraz/20201116_Cefas_Test6-Run1/Plate 5/@19/C10_02.tif </t>
  </si>
  <si>
    <t xml:space="preserve"> 56821.7332 </t>
  </si>
  <si>
    <t xml:space="preserve"> 50.2273 </t>
  </si>
  <si>
    <t xml:space="preserve">C:\Users\andre\Desktop\REACTIV CEFAS\Prochloraz\Prochloraz/20201116_Cefas_Test6-Run1/Plate 5/@19/C10_03.tif </t>
  </si>
  <si>
    <t xml:space="preserve"> 55480.6797 </t>
  </si>
  <si>
    <t xml:space="preserve"> 50.7567 </t>
  </si>
  <si>
    <t xml:space="preserve">C:\Users\andre\Desktop\REACTIV CEFAS\Prochloraz\Prochloraz/20201116_Cefas_Test6-Run1/Plate 5/@19/D10_01.tif </t>
  </si>
  <si>
    <t xml:space="preserve"> 41724.0667 </t>
  </si>
  <si>
    <t xml:space="preserve"> 40.9575 </t>
  </si>
  <si>
    <t xml:space="preserve">C:\Users\andre\Desktop\REACTIV CEFAS\Prochloraz\Prochloraz/20201116_Cefas_Test6-Run1/Plate 5/@19/D10_02.tif </t>
  </si>
  <si>
    <t xml:space="preserve"> 46006.7859 </t>
  </si>
  <si>
    <t xml:space="preserve"> 43.7489 </t>
  </si>
  <si>
    <t xml:space="preserve">C:\Users\andre\Desktop\REACTIV CEFAS\Prochloraz\Prochloraz/20201116_Cefas_Test6-Run1/Plate 5/@19/D10_03.tif </t>
  </si>
  <si>
    <t xml:space="preserve"> 50159.7256 </t>
  </si>
  <si>
    <t xml:space="preserve"> 42.934 </t>
  </si>
  <si>
    <t xml:space="preserve">C:\Users\andre\Desktop\REACTIV CEFAS\Prochloraz\Prochloraz/20201116_Cefas_Test6-Run1/Plate 5/@19/E10_01.tif </t>
  </si>
  <si>
    <t xml:space="preserve"> 53123.0212 </t>
  </si>
  <si>
    <t xml:space="preserve"> 50.5542 </t>
  </si>
  <si>
    <t xml:space="preserve">C:\Users\andre\Desktop\REACTIV CEFAS\Prochloraz\Prochloraz/20201116_Cefas_Test6-Run1/Plate 5/@19/E10_02.tif </t>
  </si>
  <si>
    <t xml:space="preserve"> 53836.8077 </t>
  </si>
  <si>
    <t xml:space="preserve"> 52.36 </t>
  </si>
  <si>
    <t xml:space="preserve">C:\Users\andre\Desktop\REACTIV CEFAS\Prochloraz\Prochloraz/20201116_Cefas_Test6-Run1/Plate 5/@19/E10_03.tif </t>
  </si>
  <si>
    <t xml:space="preserve"> 62142.6873 </t>
  </si>
  <si>
    <t xml:space="preserve"> 54.8559 </t>
  </si>
  <si>
    <t xml:space="preserve">C:\Users\andre\Desktop\REACTIV CEFAS\Prochloraz\Prochloraz/20201116_Cefas_Test6-Run1/Plate 5/@19/F10_01.tif </t>
  </si>
  <si>
    <t xml:space="preserve"> 36446.3724 </t>
  </si>
  <si>
    <t xml:space="preserve"> 38.2973 </t>
  </si>
  <si>
    <t xml:space="preserve">C:\Users\andre\Desktop\REACTIV CEFAS\Prochloraz\Prochloraz/20201116_Cefas_Test6-Run1/Plate 5/@19/F10_02.tif </t>
  </si>
  <si>
    <t xml:space="preserve"> 36532.892 </t>
  </si>
  <si>
    <t xml:space="preserve"> 41.4772 </t>
  </si>
  <si>
    <t xml:space="preserve">C:\Users\andre\Desktop\REACTIV CEFAS\Prochloraz\Prochloraz/20201116_Cefas_Test6-Run1/Plate 5/@19/F10_03.tif </t>
  </si>
  <si>
    <t xml:space="preserve"> 43.2885 </t>
  </si>
  <si>
    <t xml:space="preserve">C:\Users\andre\Desktop\REACTIV CEFAS\Prochloraz\Prochloraz/20201116_Cefas_Test6-Run1/Plate 5/@19/G10_01.tif </t>
  </si>
  <si>
    <t xml:space="preserve"> 69431.9618 </t>
  </si>
  <si>
    <t xml:space="preserve"> 43.1589 </t>
  </si>
  <si>
    <t xml:space="preserve">C:\Users\andre\Desktop\REACTIV CEFAS\Prochloraz\Prochloraz/20201116_Cefas_Test6-Run1/Plate 5/@19/G10_02.tif </t>
  </si>
  <si>
    <t xml:space="preserve"> 70967.6843 </t>
  </si>
  <si>
    <t xml:space="preserve"> 44.8281 </t>
  </si>
  <si>
    <t xml:space="preserve">C:\Users\andre\Desktop\REACTIV CEFAS\Prochloraz\Prochloraz/20201116_Cefas_Test6-Run1/Plate 5/@19/G10_03.tif </t>
  </si>
  <si>
    <t xml:space="preserve"> 73649.7912 </t>
  </si>
  <si>
    <t xml:space="preserve"> 45.9486 </t>
  </si>
  <si>
    <t xml:space="preserve">C:\Users\andre\Desktop\REACTIV CEFAS\Prochloraz\Prochloraz/20201116_Cefas_Test6-Run1/Plate 5/@19/H10_01.tif </t>
  </si>
  <si>
    <t xml:space="preserve"> 62056.1677 </t>
  </si>
  <si>
    <t xml:space="preserve"> 41.0687 </t>
  </si>
  <si>
    <t xml:space="preserve">C:\Users\andre\Desktop\REACTIV CEFAS\Prochloraz\Prochloraz/20201116_Cefas_Test6-Run1/Plate 5/@19/H10_02.tif </t>
  </si>
  <si>
    <t xml:space="preserve"> 62921.3635 </t>
  </si>
  <si>
    <t xml:space="preserve"> 43.9986 </t>
  </si>
  <si>
    <t xml:space="preserve">C:\Users\andre\Desktop\REACTIV CEFAS\Prochloraz\Prochloraz/20201116_Cefas_Test6-Run1/Plate 5/@19/H10_03.tif </t>
  </si>
  <si>
    <t xml:space="preserve"> 69518.4813 </t>
  </si>
  <si>
    <t xml:space="preserve"> 44.7638 </t>
  </si>
  <si>
    <t xml:space="preserve">C:\Users\andre\Desktop\REACTIV CEFAS\Prochloraz\Prochloraz/20201116_Cefas_Test6-Run1/Plate 5/@19/ </t>
  </si>
  <si>
    <t xml:space="preserve"> 47.4981 </t>
  </si>
  <si>
    <t xml:space="preserve"> 5.0768 </t>
  </si>
  <si>
    <t xml:space="preserve"> 2978705.04 </t>
  </si>
  <si>
    <t xml:space="preserve"> 933459.912 </t>
  </si>
  <si>
    <t xml:space="preserve">C:\Users\andre\Desktop\REACTIV CEFAS\Prochloraz\Prochloraz/20201116_Cefas_Test6-Run1/Plate 5/@20/A11_01.tif </t>
  </si>
  <si>
    <t xml:space="preserve"> 2076.4699 </t>
  </si>
  <si>
    <t xml:space="preserve"> 31.5417 </t>
  </si>
  <si>
    <t xml:space="preserve">C:\Users\andre\Desktop\REACTIV CEFAS\Prochloraz\Prochloraz/20201116_Cefas_Test6-Run1/Plate 5/@20/A11_02.tif </t>
  </si>
  <si>
    <t xml:space="preserve"> 31.0132 </t>
  </si>
  <si>
    <t xml:space="preserve">C:\Users\andre\Desktop\REACTIV CEFAS\Prochloraz\Prochloraz/20201116_Cefas_Test6-Run1/Plate 5/@20/A11_03.tif </t>
  </si>
  <si>
    <t xml:space="preserve"> 973.3453 </t>
  </si>
  <si>
    <t xml:space="preserve"> 32.4 </t>
  </si>
  <si>
    <t xml:space="preserve">C:\Users\andre\Desktop\REACTIV CEFAS\Prochloraz\Prochloraz/20201116_Cefas_Test6-Run1/Plate 5/@20/B11_01.tif </t>
  </si>
  <si>
    <t xml:space="preserve"> 17282.2858 </t>
  </si>
  <si>
    <t xml:space="preserve"> 33.7647 </t>
  </si>
  <si>
    <t xml:space="preserve">C:\Users\andre\Desktop\REACTIV CEFAS\Prochloraz\Prochloraz/20201116_Cefas_Test6-Run1/Plate 5/@20/B11_02.tif </t>
  </si>
  <si>
    <t xml:space="preserve"> 27643.0053 </t>
  </si>
  <si>
    <t xml:space="preserve"> 34.5876 </t>
  </si>
  <si>
    <t xml:space="preserve">C:\Users\andre\Desktop\REACTIV CEFAS\Prochloraz\Prochloraz/20201116_Cefas_Test6-Run1/Plate 5/@20/B11_03.tif </t>
  </si>
  <si>
    <t xml:space="preserve"> 26561.5106 </t>
  </si>
  <si>
    <t xml:space="preserve"> 35.329 </t>
  </si>
  <si>
    <t xml:space="preserve">C:\Users\andre\Desktop\REACTIV CEFAS\Prochloraz\Prochloraz/20201116_Cefas_Test6-Run1/Plate 5/@20/C11_01.tif </t>
  </si>
  <si>
    <t xml:space="preserve"> 1600.6122 </t>
  </si>
  <si>
    <t xml:space="preserve"> 31.2432 </t>
  </si>
  <si>
    <t xml:space="preserve">C:\Users\andre\Desktop\REACTIV CEFAS\Prochloraz\Prochloraz/20201116_Cefas_Test6-Run1/Plate 5/@20/C11_02.tif </t>
  </si>
  <si>
    <t xml:space="preserve"> 19531.7948 </t>
  </si>
  <si>
    <t xml:space="preserve"> 33.8981 </t>
  </si>
  <si>
    <t>C:\Users\andre\Desktop\REACTIV CEFAS\Prochloraz\Prochloraz/20201116_Cefas_Test6-Run1/Plate 5/@20/C11_03- exclu.tif</t>
  </si>
  <si>
    <t xml:space="preserve">C:\Users\andre\Desktop\REACTIV CEFAS\Prochloraz\Prochloraz/20201116_Cefas_Test6-Run1/Plate 5/@20/D11_01.tif </t>
  </si>
  <si>
    <t xml:space="preserve"> 24787.8592 </t>
  </si>
  <si>
    <t xml:space="preserve"> 34.9974 </t>
  </si>
  <si>
    <t xml:space="preserve">C:\Users\andre\Desktop\REACTIV CEFAS\Prochloraz\Prochloraz/20201116_Cefas_Test6-Run1/Plate 5/@20/D11_02.tif </t>
  </si>
  <si>
    <t xml:space="preserve"> 25047.418 </t>
  </si>
  <si>
    <t xml:space="preserve"> 32.9093 </t>
  </si>
  <si>
    <t xml:space="preserve">C:\Users\andre\Desktop\REACTIV CEFAS\Prochloraz\Prochloraz/20201116_Cefas_Test6-Run1/Plate 5/@20/D11_03.tif </t>
  </si>
  <si>
    <t xml:space="preserve"> 27296.927 </t>
  </si>
  <si>
    <t xml:space="preserve"> 35.4216 </t>
  </si>
  <si>
    <t xml:space="preserve">C:\Users\andre\Desktop\REACTIV CEFAS\Prochloraz\Prochloraz/20201116_Cefas_Test6-Run1/Plate 5/@20/E11_01.tif </t>
  </si>
  <si>
    <t xml:space="preserve"> 11355.6947 </t>
  </si>
  <si>
    <t xml:space="preserve"> 40.0514 </t>
  </si>
  <si>
    <t xml:space="preserve">C:\Users\andre\Desktop\REACTIV CEFAS\Prochloraz\Prochloraz/20201116_Cefas_Test6-Run1/Plate 5/@20/E11_02.tif </t>
  </si>
  <si>
    <t xml:space="preserve"> 15465.3747 </t>
  </si>
  <si>
    <t xml:space="preserve"> 40.1315 </t>
  </si>
  <si>
    <t xml:space="preserve">C:\Users\andre\Desktop\REACTIV CEFAS\Prochloraz\Prochloraz/20201116_Cefas_Test6-Run1/Plate 5/@20/E11_03.tif </t>
  </si>
  <si>
    <t xml:space="preserve"> 33.2884 </t>
  </si>
  <si>
    <t xml:space="preserve">C:\Users\andre\Desktop\REACTIV CEFAS\Prochloraz\Prochloraz/20201116_Cefas_Test6-Run1/Plate 5/@20/F11_01.tif </t>
  </si>
  <si>
    <t xml:space="preserve"> 33266.7779 </t>
  </si>
  <si>
    <t xml:space="preserve"> 32.2789 </t>
  </si>
  <si>
    <t xml:space="preserve">C:\Users\andre\Desktop\REACTIV CEFAS\Prochloraz\Prochloraz/20201116_Cefas_Test6-Run1/Plate 5/@20/F11_02.tif </t>
  </si>
  <si>
    <t xml:space="preserve"> 30260.2226 </t>
  </si>
  <si>
    <t xml:space="preserve"> 33.1851 </t>
  </si>
  <si>
    <t xml:space="preserve">C:\Users\andre\Desktop\REACTIV CEFAS\Prochloraz\Prochloraz/20201116_Cefas_Test6-Run1/Plate 5/@20/F11_03.tif </t>
  </si>
  <si>
    <t xml:space="preserve"> 57622.0393 </t>
  </si>
  <si>
    <t xml:space="preserve"> 34.8198 </t>
  </si>
  <si>
    <t xml:space="preserve">C:\Users\andre\Desktop\REACTIV CEFAS\Prochloraz\Prochloraz/20201116_Cefas_Test6-Run1/Plate 5/@20/G11_01.tif </t>
  </si>
  <si>
    <t xml:space="preserve"> 34.6996 </t>
  </si>
  <si>
    <t xml:space="preserve">C:\Users\andre\Desktop\REACTIV CEFAS\Prochloraz\Prochloraz/20201116_Cefas_Test6-Run1/Plate 5/@20/G11_02.tif </t>
  </si>
  <si>
    <t xml:space="preserve"> 33.5128 </t>
  </si>
  <si>
    <t xml:space="preserve">C:\Users\andre\Desktop\REACTIV CEFAS\Prochloraz\Prochloraz/20201116_Cefas_Test6-Run1/Plate 5/@20/G11_03.tif </t>
  </si>
  <si>
    <t xml:space="preserve"> 33.8478 </t>
  </si>
  <si>
    <t xml:space="preserve">C:\Users\andre\Desktop\REACTIV CEFAS\Prochloraz\Prochloraz/20201116_Cefas_Test6-Run1/Plate 5/@20/H11_01.tif </t>
  </si>
  <si>
    <t xml:space="preserve">C:\Users\andre\Desktop\REACTIV CEFAS\Prochloraz\Prochloraz/20201116_Cefas_Test6-Run1/Plate 5/@20/H11_02.tif </t>
  </si>
  <si>
    <t xml:space="preserve">C:\Users\andre\Desktop\REACTIV CEFAS\Prochloraz\Prochloraz/20201116_Cefas_Test6-Run1/Plate 5/@20/H11_03.tif </t>
  </si>
  <si>
    <t xml:space="preserve"> 2336.0286 </t>
  </si>
  <si>
    <t xml:space="preserve"> 34.9352 </t>
  </si>
  <si>
    <t xml:space="preserve">C:\Users\andre\Desktop\REACTIV CEFAS\Prochloraz\Prochloraz/20201116_Cefas_Test6-Run1/Plate 5/@20/ </t>
  </si>
  <si>
    <t xml:space="preserve"> 31.2109 </t>
  </si>
  <si>
    <t xml:space="preserve"> 9.8803 </t>
  </si>
  <si>
    <t xml:space="preserve"> 506027.667 </t>
  </si>
  <si>
    <t xml:space="preserve"> 502011.561 </t>
  </si>
  <si>
    <t xml:space="preserve">C:\Users\andre\Desktop\REACTIV CEFAS\Prochloraz\Prochloraz/20201116_Cefas_Test6-Run1/Plate 5/@21/A12_01.tif </t>
  </si>
  <si>
    <t xml:space="preserve"> 22408.5708 </t>
  </si>
  <si>
    <t xml:space="preserve"> 33.4199 </t>
  </si>
  <si>
    <t xml:space="preserve">C:\Users\andre\Desktop\REACTIV CEFAS\Prochloraz\Prochloraz/20201116_Cefas_Test6-Run1/Plate 5/@21/A12_02.tif </t>
  </si>
  <si>
    <t xml:space="preserve"> 34.2808 </t>
  </si>
  <si>
    <t xml:space="preserve">C:\Users\andre\Desktop\REACTIV CEFAS\Prochloraz\Prochloraz/20201116_Cefas_Test6-Run1/Plate 5/@21/A12_03.tif </t>
  </si>
  <si>
    <t xml:space="preserve"> 45487.6684 </t>
  </si>
  <si>
    <t xml:space="preserve"> 34.9534 </t>
  </si>
  <si>
    <t xml:space="preserve">C:\Users\andre\Desktop\REACTIV CEFAS\Prochloraz\Prochloraz/20201116_Cefas_Test6-Run1/Plate 5/@21/B12_01.tif </t>
  </si>
  <si>
    <t xml:space="preserve"> 34.9437 </t>
  </si>
  <si>
    <t xml:space="preserve">C:\Users\andre\Desktop\REACTIV CEFAS\Prochloraz\Prochloraz/20201116_Cefas_Test6-Run1/Plate 5/@21/B12_02.tif </t>
  </si>
  <si>
    <t xml:space="preserve"> 389.3381 </t>
  </si>
  <si>
    <t xml:space="preserve"> 31.4444 </t>
  </si>
  <si>
    <t xml:space="preserve">C:\Users\andre\Desktop\REACTIV CEFAS\Prochloraz\Prochloraz/20201116_Cefas_Test6-Run1/Plate 5/@21/B12_03.tif </t>
  </si>
  <si>
    <t xml:space="preserve"> 2552.3276 </t>
  </si>
  <si>
    <t xml:space="preserve">C:\Users\andre\Desktop\REACTIV CEFAS\Prochloraz\Prochloraz/20201116_Cefas_Test6-Run1/Plate 5/@21/C12_01.tif </t>
  </si>
  <si>
    <t xml:space="preserve"> 5342.584 </t>
  </si>
  <si>
    <t xml:space="preserve"> 36.7652 </t>
  </si>
  <si>
    <t xml:space="preserve">C:\Users\andre\Desktop\REACTIV CEFAS\Prochloraz\Prochloraz/20201116_Cefas_Test6-Run1/Plate 5/@21/C12_02.tif </t>
  </si>
  <si>
    <t xml:space="preserve"> 8911.5166 </t>
  </si>
  <si>
    <t xml:space="preserve"> 35.1456 </t>
  </si>
  <si>
    <t xml:space="preserve">C:\Users\andre\Desktop\REACTIV CEFAS\Prochloraz\Prochloraz/20201116_Cefas_Test6-Run1/Plate 5/@21/C12_03.tif </t>
  </si>
  <si>
    <t xml:space="preserve"> 627.2669 </t>
  </si>
  <si>
    <t xml:space="preserve"> 31.1379 </t>
  </si>
  <si>
    <t xml:space="preserve">C:\Users\andre\Desktop\REACTIV CEFAS\Prochloraz\Prochloraz/20201116_Cefas_Test6-Run1/Plate 5/@21/D12_01.tif </t>
  </si>
  <si>
    <t xml:space="preserve"> 35.7436 </t>
  </si>
  <si>
    <t xml:space="preserve">C:\Users\andre\Desktop\REACTIV CEFAS\Prochloraz\Prochloraz/20201116_Cefas_Test6-Run1/Plate 5/@21/D12_02.tif </t>
  </si>
  <si>
    <t xml:space="preserve"> 1665.5019 </t>
  </si>
  <si>
    <t xml:space="preserve"> 32.4675 </t>
  </si>
  <si>
    <t>C:\Users\andre\Desktop\REACTIV CEFAS\Prochloraz\Prochloraz/20201116_Cefas_Test6-Run1/Plate 5/@21/D12_03- exclu.tif</t>
  </si>
  <si>
    <t xml:space="preserve">C:\Users\andre\Desktop\REACTIV CEFAS\Prochloraz\Prochloraz/20201116_Cefas_Test6-Run1/Plate 5/@21/E12_01.tif </t>
  </si>
  <si>
    <t xml:space="preserve"> 29957.4041 </t>
  </si>
  <si>
    <t xml:space="preserve"> 34.9069 </t>
  </si>
  <si>
    <t xml:space="preserve">C:\Users\andre\Desktop\REACTIV CEFAS\Prochloraz\Prochloraz/20201116_Cefas_Test6-Run1/Plate 5/@21/E12_02.tif </t>
  </si>
  <si>
    <t xml:space="preserve"> 26301.9519 </t>
  </si>
  <si>
    <t xml:space="preserve"> 35.9622 </t>
  </si>
  <si>
    <t xml:space="preserve">C:\Users\andre\Desktop\REACTIV CEFAS\Prochloraz\Prochloraz/20201116_Cefas_Test6-Run1/Plate 5/@21/E12_03.tif </t>
  </si>
  <si>
    <t xml:space="preserve"> 29373.3969 </t>
  </si>
  <si>
    <t xml:space="preserve"> 35.6819 </t>
  </si>
  <si>
    <t xml:space="preserve">C:\Users\andre\Desktop\REACTIV CEFAS\Prochloraz\Prochloraz/20201116_Cefas_Test6-Run1/Plate 5/@21/F12_01.tif </t>
  </si>
  <si>
    <t xml:space="preserve"> 34.958 </t>
  </si>
  <si>
    <t xml:space="preserve">C:\Users\andre\Desktop\REACTIV CEFAS\Prochloraz\Prochloraz/20201116_Cefas_Test6-Run1/Plate 5/@21/F12_02.tif </t>
  </si>
  <si>
    <t xml:space="preserve"> 8976.4063 </t>
  </si>
  <si>
    <t xml:space="preserve"> 40.2867 </t>
  </si>
  <si>
    <t xml:space="preserve">C:\Users\andre\Desktop\REACTIV CEFAS\Prochloraz\Prochloraz/20201116_Cefas_Test6-Run1/Plate 5/@21/F12_03.tif </t>
  </si>
  <si>
    <t xml:space="preserve"> 108.1495 </t>
  </si>
  <si>
    <t xml:space="preserve"> 30.8 </t>
  </si>
  <si>
    <t xml:space="preserve">C:\Users\andre\Desktop\REACTIV CEFAS\Prochloraz\Prochloraz/20201116_Cefas_Test6-Run1/Plate 5/@21/G12_01.tif </t>
  </si>
  <si>
    <t xml:space="preserve"> 10533.7587 </t>
  </si>
  <si>
    <t xml:space="preserve"> 39.1191 </t>
  </si>
  <si>
    <t xml:space="preserve">C:\Users\andre\Desktop\REACTIV CEFAS\Prochloraz\Prochloraz/20201116_Cefas_Test6-Run1/Plate 5/@21/G12_02.tif </t>
  </si>
  <si>
    <t xml:space="preserve"> 36.2262 </t>
  </si>
  <si>
    <t xml:space="preserve">C:\Users\andre\Desktop\REACTIV CEFAS\Prochloraz\Prochloraz/20201116_Cefas_Test6-Run1/Plate 5/@21/G12_03.tif </t>
  </si>
  <si>
    <t xml:space="preserve"> 4066.4202 </t>
  </si>
  <si>
    <t xml:space="preserve"> 36.25 </t>
  </si>
  <si>
    <t xml:space="preserve">C:\Users\andre\Desktop\REACTIV CEFAS\Prochloraz\Prochloraz/20201116_Cefas_Test6-Run1/Plate 5/@21/H12_01.tif </t>
  </si>
  <si>
    <t xml:space="preserve"> 37.4176 </t>
  </si>
  <si>
    <t xml:space="preserve">C:\Users\andre\Desktop\REACTIV CEFAS\Prochloraz\Prochloraz/20201116_Cefas_Test6-Run1/Plate 5/@21/H12_02.tif </t>
  </si>
  <si>
    <t xml:space="preserve"> 60325.7761 </t>
  </si>
  <si>
    <t xml:space="preserve"> 36.038 </t>
  </si>
  <si>
    <t xml:space="preserve">C:\Users\andre\Desktop\REACTIV CEFAS\Prochloraz\Prochloraz/20201116_Cefas_Test6-Run1/Plate 5/@21/H12_03.tif </t>
  </si>
  <si>
    <t xml:space="preserve"> 36.8691 </t>
  </si>
  <si>
    <t xml:space="preserve">C:\Users\andre\Desktop\REACTIV CEFAS\Prochloraz\Prochloraz/20201116_Cefas_Test6-Run1/Plate 5/@21/ </t>
  </si>
  <si>
    <t xml:space="preserve"> 35.295 </t>
  </si>
  <si>
    <t xml:space="preserve"> 2.3094 </t>
  </si>
  <si>
    <t xml:space="preserve"> 669843.667 </t>
  </si>
  <si>
    <t xml:space="preserve"> 788025.25 </t>
  </si>
  <si>
    <t xml:space="preserve">C:\Users\andre\Desktop\REACTIV CEFAS\Prochloraz\Prochloraz/20201116_Cefas_Test6-Run1/Plate 5/@8/A2_01.tif </t>
  </si>
  <si>
    <t xml:space="preserve"> 4909.9861 </t>
  </si>
  <si>
    <t xml:space="preserve"> 35.8943 </t>
  </si>
  <si>
    <t xml:space="preserve">C:\Users\andre\Desktop\REACTIV CEFAS\Prochloraz\Prochloraz/20201116_Cefas_Test6-Run1/Plate 5/@8/A2_02.tif </t>
  </si>
  <si>
    <t xml:space="preserve"> 8067.9507 </t>
  </si>
  <si>
    <t xml:space="preserve"> 43.7158 </t>
  </si>
  <si>
    <t xml:space="preserve">C:\Users\andre\Desktop\REACTIV CEFAS\Prochloraz\Prochloraz/20201116_Cefas_Test6-Run1/Plate 5/@8/A2_03.tif </t>
  </si>
  <si>
    <t xml:space="preserve"> 194.6691 </t>
  </si>
  <si>
    <t xml:space="preserve"> 31.5556 </t>
  </si>
  <si>
    <t xml:space="preserve">C:\Users\andre\Desktop\REACTIV CEFAS\Prochloraz\Prochloraz/20201116_Cefas_Test6-Run1/Plate 5/@8/B2_01.tif </t>
  </si>
  <si>
    <t xml:space="preserve"> 2682.1069 </t>
  </si>
  <si>
    <t xml:space="preserve"> 33.2339 </t>
  </si>
  <si>
    <t xml:space="preserve">C:\Users\andre\Desktop\REACTIV CEFAS\Prochloraz\Prochloraz/20201116_Cefas_Test6-Run1/Plate 5/@8/B2_02.tif </t>
  </si>
  <si>
    <t xml:space="preserve"> 37.1278 </t>
  </si>
  <si>
    <t xml:space="preserve">C:\Users\andre\Desktop\REACTIV CEFAS\Prochloraz\Prochloraz/20201116_Cefas_Test6-Run1/Plate 5/@8/B2_03.tif </t>
  </si>
  <si>
    <t xml:space="preserve"> 1319.4236 </t>
  </si>
  <si>
    <t xml:space="preserve"> 33.4262 </t>
  </si>
  <si>
    <t xml:space="preserve">C:\Users\andre\Desktop\REACTIV CEFAS\Prochloraz\Prochloraz/20201116_Cefas_Test6-Run1/Plate 5/@8/C2_01.tif </t>
  </si>
  <si>
    <t xml:space="preserve"> 36.8354 </t>
  </si>
  <si>
    <t xml:space="preserve">C:\Users\andre\Desktop\REACTIV CEFAS\Prochloraz\Prochloraz/20201116_Cefas_Test6-Run1/Plate 5/@8/C2_02.tif </t>
  </si>
  <si>
    <t xml:space="preserve"> 4866.7263 </t>
  </si>
  <si>
    <t xml:space="preserve"> 37.36 </t>
  </si>
  <si>
    <t xml:space="preserve">C:\Users\andre\Desktop\REACTIV CEFAS\Prochloraz\Prochloraz/20201116_Cefas_Test6-Run1/Plate 5/@8/C2_03.tif </t>
  </si>
  <si>
    <t xml:space="preserve"> 39.75 </t>
  </si>
  <si>
    <t xml:space="preserve">C:\Users\andre\Desktop\REACTIV CEFAS\Prochloraz\Prochloraz/20201116_Cefas_Test6-Run1/Plate 5/@8/D2_01.tif </t>
  </si>
  <si>
    <t xml:space="preserve"> 8695.2176 </t>
  </si>
  <si>
    <t xml:space="preserve"> 39.8682 </t>
  </si>
  <si>
    <t xml:space="preserve">C:\Users\andre\Desktop\REACTIV CEFAS\Prochloraz\Prochloraz/20201116_Cefas_Test6-Run1/Plate 5/@8/D2_02.tif </t>
  </si>
  <si>
    <t xml:space="preserve"> 38.6592 </t>
  </si>
  <si>
    <t xml:space="preserve">C:\Users\andre\Desktop\REACTIV CEFAS\Prochloraz\Prochloraz/20201116_Cefas_Test6-Run1/Plate 5/@8/D2_03.tif </t>
  </si>
  <si>
    <t xml:space="preserve"> 37.968 </t>
  </si>
  <si>
    <t xml:space="preserve">C:\Users\andre\Desktop\REACTIV CEFAS\Prochloraz\Prochloraz/20201116_Cefas_Test6-Run1/Plate 5/@8/E2_01.tif </t>
  </si>
  <si>
    <t xml:space="preserve"> 36.854 </t>
  </si>
  <si>
    <t xml:space="preserve">C:\Users\andre\Desktop\REACTIV CEFAS\Prochloraz\Prochloraz/20201116_Cefas_Test6-Run1/Plate 5/@8/E2_02.tif </t>
  </si>
  <si>
    <t xml:space="preserve"> 5493.9932 </t>
  </si>
  <si>
    <t xml:space="preserve"> 35.4291 </t>
  </si>
  <si>
    <t xml:space="preserve">C:\Users\andre\Desktop\REACTIV CEFAS\Prochloraz\Prochloraz/20201116_Cefas_Test6-Run1/Plate 5/@8/E2_03.tif </t>
  </si>
  <si>
    <t xml:space="preserve"> 38.9884 </t>
  </si>
  <si>
    <t xml:space="preserve">C:\Users\andre\Desktop\REACTIV CEFAS\Prochloraz\Prochloraz/20201116_Cefas_Test6-Run1/Plate 5/@8/F2_01.tif </t>
  </si>
  <si>
    <t xml:space="preserve"> 7786.7621 </t>
  </si>
  <si>
    <t xml:space="preserve"> 40.3528 </t>
  </si>
  <si>
    <t xml:space="preserve">C:\Users\andre\Desktop\REACTIV CEFAS\Prochloraz\Prochloraz/20201116_Cefas_Test6-Run1/Plate 5/@8/F2_02.tif </t>
  </si>
  <si>
    <t xml:space="preserve"> 40.3451 </t>
  </si>
  <si>
    <t xml:space="preserve">C:\Users\andre\Desktop\REACTIV CEFAS\Prochloraz\Prochloraz/20201116_Cefas_Test6-Run1/Plate 5/@8/F2_03.tif </t>
  </si>
  <si>
    <t xml:space="preserve"> 13864.7625 </t>
  </si>
  <si>
    <t xml:space="preserve"> 43.3994 </t>
  </si>
  <si>
    <t xml:space="preserve">C:\Users\andre\Desktop\REACTIV CEFAS\Prochloraz\Prochloraz/20201116_Cefas_Test6-Run1/Plate 5/@8/G2_01.tif </t>
  </si>
  <si>
    <t xml:space="preserve">C:\Users\andre\Desktop\REACTIV CEFAS\Prochloraz\Prochloraz/20201116_Cefas_Test6-Run1/Plate 5/@8/G2_02.tif </t>
  </si>
  <si>
    <t xml:space="preserve"> 2573.9575 </t>
  </si>
  <si>
    <t xml:space="preserve"> 32.9412 </t>
  </si>
  <si>
    <t xml:space="preserve">C:\Users\andre\Desktop\REACTIV CEFAS\Prochloraz\Prochloraz/20201116_Cefas_Test6-Run1/Plate 5/@8/G2_03.tif </t>
  </si>
  <si>
    <t xml:space="preserve"> 32.6701 </t>
  </si>
  <si>
    <t xml:space="preserve">C:\Users\andre\Desktop\REACTIV CEFAS\Prochloraz\Prochloraz/20201116_Cefas_Test6-Run1/Plate 5/@8/H2_01.tif </t>
  </si>
  <si>
    <t xml:space="preserve"> 36.23 </t>
  </si>
  <si>
    <t xml:space="preserve">C:\Users\andre\Desktop\REACTIV CEFAS\Prochloraz\Prochloraz/20201116_Cefas_Test6-Run1/Plate 5/@8/H2_02.tif </t>
  </si>
  <si>
    <t xml:space="preserve"> 6813.4168 </t>
  </si>
  <si>
    <t xml:space="preserve"> 38.1905 </t>
  </si>
  <si>
    <t xml:space="preserve">C:\Users\andre\Desktop\REACTIV CEFAS\Prochloraz\Prochloraz/20201116_Cefas_Test6-Run1/Plate 5/@8/H2_03.tif </t>
  </si>
  <si>
    <t xml:space="preserve"> 41.0275 </t>
  </si>
  <si>
    <t xml:space="preserve">C:\Users\andre\Desktop\REACTIV CEFAS\Prochloraz\Prochloraz/20201116_Cefas_Test6-Run1/Plate 5/@8/ </t>
  </si>
  <si>
    <t xml:space="preserve"> 37.2148 </t>
  </si>
  <si>
    <t xml:space="preserve"> 3.4695 </t>
  </si>
  <si>
    <t xml:space="preserve"> 212844.375 </t>
  </si>
  <si>
    <t xml:space="preserve"> 144199.745 </t>
  </si>
  <si>
    <t xml:space="preserve">C:\Users\andre\Desktop\REACTIV CEFAS\Prochloraz\Prochloraz/20201116_Cefas_Test6-Run1/Plate 5/@9/A3_01.tif </t>
  </si>
  <si>
    <t xml:space="preserve"> 32.5385 </t>
  </si>
  <si>
    <t xml:space="preserve">C:\Users\andre\Desktop\REACTIV CEFAS\Prochloraz\Prochloraz/20201116_Cefas_Test6-Run1/Plate 5/@9/A3_02.tif </t>
  </si>
  <si>
    <t xml:space="preserve"> 324.4484 </t>
  </si>
  <si>
    <t xml:space="preserve"> 31.2667 </t>
  </si>
  <si>
    <t xml:space="preserve">C:\Users\andre\Desktop\REACTIV CEFAS\Prochloraz\Prochloraz/20201116_Cefas_Test6-Run1/Plate 5/@9/A3_03.tif </t>
  </si>
  <si>
    <t xml:space="preserve">C:\Users\andre\Desktop\REACTIV CEFAS\Prochloraz\Prochloraz/20201116_Cefas_Test6-Run1/Plate 5/@9/B3_01.tif </t>
  </si>
  <si>
    <t xml:space="preserve"> 3590.5625 </t>
  </si>
  <si>
    <t xml:space="preserve"> 33.0241 </t>
  </si>
  <si>
    <t xml:space="preserve">C:\Users\andre\Desktop\REACTIV CEFAS\Prochloraz\Prochloraz/20201116_Cefas_Test6-Run1/Plate 5/@9/B3_02.tif </t>
  </si>
  <si>
    <t xml:space="preserve"> 3850.1212 </t>
  </si>
  <si>
    <t xml:space="preserve"> 33.8315 </t>
  </si>
  <si>
    <t xml:space="preserve">C:\Users\andre\Desktop\REACTIV CEFAS\Prochloraz\Prochloraz/20201116_Cefas_Test6-Run1/Plate 5/@9/B3_03.tif </t>
  </si>
  <si>
    <t xml:space="preserve"> 34.8023 </t>
  </si>
  <si>
    <t xml:space="preserve">C:\Users\andre\Desktop\REACTIV CEFAS\Prochloraz\Prochloraz/20201116_Cefas_Test6-Run1/Plate 5/@9/C3_01.tif </t>
  </si>
  <si>
    <t xml:space="preserve"> 32.3662 </t>
  </si>
  <si>
    <t xml:space="preserve">C:\Users\andre\Desktop\REACTIV CEFAS\Prochloraz\Prochloraz/20201116_Cefas_Test6-Run1/Plate 5/@9/C3_02.tif </t>
  </si>
  <si>
    <t xml:space="preserve"> 3222.8543 </t>
  </si>
  <si>
    <t xml:space="preserve"> 35.8255 </t>
  </si>
  <si>
    <t xml:space="preserve">C:\Users\andre\Desktop\REACTIV CEFAS\Prochloraz\Prochloraz/20201116_Cefas_Test6-Run1/Plate 5/@9/C3_03.tif </t>
  </si>
  <si>
    <t xml:space="preserve"> 692.1566 </t>
  </si>
  <si>
    <t xml:space="preserve"> 30.6562 </t>
  </si>
  <si>
    <t xml:space="preserve">C:\Users\andre\Desktop\REACTIV CEFAS\Prochloraz\Prochloraz/20201116_Cefas_Test6-Run1/Plate 5/@9/D3_01.tif </t>
  </si>
  <si>
    <t xml:space="preserve"> 367.7082 </t>
  </si>
  <si>
    <t xml:space="preserve">C:\Users\andre\Desktop\REACTIV CEFAS\Prochloraz\Prochloraz/20201116_Cefas_Test6-Run1/Plate 5/@9/D3_02.tif </t>
  </si>
  <si>
    <t xml:space="preserve"> 31.8261 </t>
  </si>
  <si>
    <t xml:space="preserve">C:\Users\andre\Desktop\REACTIV CEFAS\Prochloraz\Prochloraz/20201116_Cefas_Test6-Run1/Plate 5/@9/D3_03.tif </t>
  </si>
  <si>
    <t xml:space="preserve"> 33.7857 </t>
  </si>
  <si>
    <t xml:space="preserve">C:\Users\andre\Desktop\REACTIV CEFAS\Prochloraz\Prochloraz/20201116_Cefas_Test6-Run1/Plate 5/@9/E3_01.tif </t>
  </si>
  <si>
    <t xml:space="preserve"> 4217.8295 </t>
  </si>
  <si>
    <t xml:space="preserve"> 38.1385 </t>
  </si>
  <si>
    <t xml:space="preserve">C:\Users\andre\Desktop\REACTIV CEFAS\Prochloraz\Prochloraz/20201116_Cefas_Test6-Run1/Plate 5/@9/E3_02.tif </t>
  </si>
  <si>
    <t xml:space="preserve"> 39.3374 </t>
  </si>
  <si>
    <t xml:space="preserve">C:\Users\andre\Desktop\REACTIV CEFAS\Prochloraz\Prochloraz/20201116_Cefas_Test6-Run1/Plate 5/@9/E3_03.tif </t>
  </si>
  <si>
    <t xml:space="preserve"> 6380.8189 </t>
  </si>
  <si>
    <t xml:space="preserve"> 36.9186 </t>
  </si>
  <si>
    <t xml:space="preserve">C:\Users\andre\Desktop\REACTIV CEFAS\Prochloraz\Prochloraz/20201116_Cefas_Test6-Run1/Plate 5/@9/F3_01.tif </t>
  </si>
  <si>
    <t xml:space="preserve"> 7008.0859 </t>
  </si>
  <si>
    <t xml:space="preserve"> 41.1852 </t>
  </si>
  <si>
    <t xml:space="preserve">C:\Users\andre\Desktop\REACTIV CEFAS\Prochloraz\Prochloraz/20201116_Cefas_Test6-Run1/Plate 5/@9/F3_02.tif </t>
  </si>
  <si>
    <t xml:space="preserve"> 8197.7301 </t>
  </si>
  <si>
    <t xml:space="preserve"> 43.6253 </t>
  </si>
  <si>
    <t xml:space="preserve">C:\Users\andre\Desktop\REACTIV CEFAS\Prochloraz\Prochloraz/20201116_Cefas_Test6-Run1/Plate 5/@9/F3_03.tif </t>
  </si>
  <si>
    <t xml:space="preserve"> 38.3567 </t>
  </si>
  <si>
    <t xml:space="preserve">C:\Users\andre\Desktop\REACTIV CEFAS\Prochloraz\Prochloraz/20201116_Cefas_Test6-Run1/Plate 5/@9/G3_01.tif </t>
  </si>
  <si>
    <t xml:space="preserve"> 36.8035 </t>
  </si>
  <si>
    <t xml:space="preserve">C:\Users\andre\Desktop\REACTIV CEFAS\Prochloraz\Prochloraz/20201116_Cefas_Test6-Run1/Plate 5/@9/G3_02.tif </t>
  </si>
  <si>
    <t xml:space="preserve"> 36.4434 </t>
  </si>
  <si>
    <t xml:space="preserve">C:\Users\andre\Desktop\REACTIV CEFAS\Prochloraz\Prochloraz/20201116_Cefas_Test6-Run1/Plate 5/@9/G3_03.tif </t>
  </si>
  <si>
    <t xml:space="preserve"> 6142.8901 </t>
  </si>
  <si>
    <t xml:space="preserve"> 35.007 </t>
  </si>
  <si>
    <t xml:space="preserve">C:\Users\andre\Desktop\REACTIV CEFAS\Prochloraz\Prochloraz/20201116_Cefas_Test6-Run1/Plate 5/@9/H3_01.tif </t>
  </si>
  <si>
    <t xml:space="preserve"> 7505.5734 </t>
  </si>
  <si>
    <t xml:space="preserve"> 39.4438 </t>
  </si>
  <si>
    <t xml:space="preserve">C:\Users\andre\Desktop\REACTIV CEFAS\Prochloraz\Prochloraz/20201116_Cefas_Test6-Run1/Plate 5/@9/H3_02.tif </t>
  </si>
  <si>
    <t xml:space="preserve"> 5537.253 </t>
  </si>
  <si>
    <t xml:space="preserve"> 38.2461 </t>
  </si>
  <si>
    <t xml:space="preserve">C:\Users\andre\Desktop\REACTIV CEFAS\Prochloraz\Prochloraz/20201116_Cefas_Test6-Run1/Plate 5/@9/H3_03.tif </t>
  </si>
  <si>
    <t xml:space="preserve"> 38.1886 </t>
  </si>
  <si>
    <t xml:space="preserve">C:\Users\andre\Desktop\REACTIV CEFAS\Prochloraz\Prochloraz/20201116_Cefas_Test6-Run1/Plate 5/@9/ </t>
  </si>
  <si>
    <t xml:space="preserve"> 35.6507 </t>
  </si>
  <si>
    <t xml:space="preserve"> 3.4968 </t>
  </si>
  <si>
    <t xml:space="preserve"> 141198.083 </t>
  </si>
  <si>
    <t xml:space="preserve"> 101495.973 </t>
  </si>
  <si>
    <t>Colonne1</t>
  </si>
  <si>
    <t>1</t>
  </si>
  <si>
    <t>13</t>
  </si>
  <si>
    <t>14</t>
  </si>
  <si>
    <t>15</t>
  </si>
  <si>
    <t>16</t>
  </si>
  <si>
    <t>2</t>
  </si>
  <si>
    <t>3</t>
  </si>
  <si>
    <t>4</t>
  </si>
  <si>
    <t>5</t>
  </si>
  <si>
    <t>6</t>
  </si>
  <si>
    <t>7</t>
  </si>
  <si>
    <t>10</t>
  </si>
  <si>
    <t>11</t>
  </si>
  <si>
    <t>12</t>
  </si>
  <si>
    <t>17</t>
  </si>
  <si>
    <t>18</t>
  </si>
  <si>
    <t>19</t>
  </si>
  <si>
    <t>20</t>
  </si>
  <si>
    <t>21</t>
  </si>
  <si>
    <t>8</t>
  </si>
  <si>
    <t>9</t>
  </si>
  <si>
    <t>B</t>
  </si>
  <si>
    <t>C</t>
  </si>
  <si>
    <t>D</t>
  </si>
  <si>
    <t>E</t>
  </si>
  <si>
    <t>F</t>
  </si>
  <si>
    <t>G</t>
  </si>
  <si>
    <t>H</t>
  </si>
  <si>
    <t>Prochloraz-0,063mg/L</t>
  </si>
  <si>
    <t>Prochloraz-0,13mg/L</t>
  </si>
  <si>
    <t>Prochloraz-0,25mg/L</t>
  </si>
  <si>
    <t>Prochloraz-0,5mg/L</t>
  </si>
  <si>
    <t>Prochloraz-1mg/L</t>
  </si>
  <si>
    <t>Prochloraz</t>
  </si>
  <si>
    <t xml:space="preserve">C:\Users\andre\Desktop\REACTIV CEFAS\Prochloraz\Prochloraz/20201117_Cefas_Test6-Run2/Plate 1/@1/A10_01.tif </t>
  </si>
  <si>
    <t xml:space="preserve"> 30.5 </t>
  </si>
  <si>
    <t xml:space="preserve">C:\Users\andre\Desktop\REACTIV CEFAS\Prochloraz\Prochloraz/20201117_Cefas_Test6-Run2/Plate 1/@1/A10_02.tif </t>
  </si>
  <si>
    <t xml:space="preserve"> 34.2459 </t>
  </si>
  <si>
    <t xml:space="preserve">C:\Users\andre\Desktop\REACTIV CEFAS\Prochloraz\Prochloraz/20201117_Cefas_Test6-Run2/Plate 1/@1/A10_03.tif </t>
  </si>
  <si>
    <t xml:space="preserve">C:\Users\andre\Desktop\REACTIV CEFAS\Prochloraz\Prochloraz/20201117_Cefas_Test6-Run2/Plate 1/@1/B10_01.tif </t>
  </si>
  <si>
    <t xml:space="preserve"> 670.5267 </t>
  </si>
  <si>
    <t xml:space="preserve"> 33.1935 </t>
  </si>
  <si>
    <t xml:space="preserve">C:\Users\andre\Desktop\REACTIV CEFAS\Prochloraz\Prochloraz/20201117_Cefas_Test6-Run2/Plate 1/@1/B10_02.tif </t>
  </si>
  <si>
    <t xml:space="preserve">C:\Users\andre\Desktop\REACTIV CEFAS\Prochloraz\Prochloraz/20201117_Cefas_Test6-Run2/Plate 1/@1/B10_03.tif </t>
  </si>
  <si>
    <t xml:space="preserve"> 9928.1216 </t>
  </si>
  <si>
    <t xml:space="preserve"> 42.427 </t>
  </si>
  <si>
    <t xml:space="preserve">C:\Users\andre\Desktop\REACTIV CEFAS\Prochloraz\Prochloraz/20201117_Cefas_Test6-Run2/Plate 1/@1/C10_01.tif </t>
  </si>
  <si>
    <t xml:space="preserve"> 34.1111 </t>
  </si>
  <si>
    <t xml:space="preserve">C:\Users\andre\Desktop\REACTIV CEFAS\Prochloraz\Prochloraz/20201117_Cefas_Test6-Run2/Plate 1/@1/C10_02.tif </t>
  </si>
  <si>
    <t xml:space="preserve"> 475.8577 </t>
  </si>
  <si>
    <t xml:space="preserve"> 32.9091 </t>
  </si>
  <si>
    <t xml:space="preserve">C:\Users\andre\Desktop\REACTIV CEFAS\Prochloraz\Prochloraz/20201117_Cefas_Test6-Run2/Plate 1/@1/C10_03.tif </t>
  </si>
  <si>
    <t xml:space="preserve"> 38.0906 </t>
  </si>
  <si>
    <t xml:space="preserve">C:\Users\andre\Desktop\REACTIV CEFAS\Prochloraz\Prochloraz/20201117_Cefas_Test6-Run2/Plate 1/@1/D10_01.tif </t>
  </si>
  <si>
    <t xml:space="preserve"> 4672.0572 </t>
  </si>
  <si>
    <t xml:space="preserve"> 34.7917 </t>
  </si>
  <si>
    <t xml:space="preserve">C:\Users\andre\Desktop\REACTIV CEFAS\Prochloraz\Prochloraz/20201117_Cefas_Test6-Run2/Plate 1/@1/D10_02.tif </t>
  </si>
  <si>
    <t xml:space="preserve"> 34.0513 </t>
  </si>
  <si>
    <t xml:space="preserve">C:\Users\andre\Desktop\REACTIV CEFAS\Prochloraz\Prochloraz/20201117_Cefas_Test6-Run2/Plate 1/@1/D10_03.tif </t>
  </si>
  <si>
    <t xml:space="preserve"> 36.9211 </t>
  </si>
  <si>
    <t xml:space="preserve">C:\Users\andre\Desktop\REACTIV CEFAS\Prochloraz\Prochloraz/20201117_Cefas_Test6-Run2/Plate 1/@1/E10_01.tif </t>
  </si>
  <si>
    <t xml:space="preserve"> 39.2959 </t>
  </si>
  <si>
    <t xml:space="preserve">C:\Users\andre\Desktop\REACTIV CEFAS\Prochloraz\Prochloraz/20201117_Cefas_Test6-Run2/Plate 1/@1/E10_02.tif </t>
  </si>
  <si>
    <t xml:space="preserve"> 36.8529 </t>
  </si>
  <si>
    <t xml:space="preserve">C:\Users\andre\Desktop\REACTIV CEFAS\Prochloraz\Prochloraz/20201117_Cefas_Test6-Run2/Plate 1/@1/E10_03.tif </t>
  </si>
  <si>
    <t xml:space="preserve"> 33.5455 </t>
  </si>
  <si>
    <t xml:space="preserve">C:\Users\andre\Desktop\REACTIV CEFAS\Prochloraz\Prochloraz/20201117_Cefas_Test6-Run2/Plate 1/@1/F10_01.tif </t>
  </si>
  <si>
    <t xml:space="preserve">C:\Users\andre\Desktop\REACTIV CEFAS\Prochloraz\Prochloraz/20201117_Cefas_Test6-Run2/Plate 1/@1/F10_02.tif </t>
  </si>
  <si>
    <t xml:space="preserve">C:\Users\andre\Desktop\REACTIV CEFAS\Prochloraz\Prochloraz/20201117_Cefas_Test6-Run2/Plate 1/@1/F10_03.tif </t>
  </si>
  <si>
    <t xml:space="preserve"> 30.6667 </t>
  </si>
  <si>
    <t xml:space="preserve">C:\Users\andre\Desktop\REACTIV CEFAS\Prochloraz\Prochloraz/20201117_Cefas_Test6-Run2/Plate 1/@1/G10_01.tif </t>
  </si>
  <si>
    <t xml:space="preserve"> 39.5799 </t>
  </si>
  <si>
    <t xml:space="preserve">C:\Users\andre\Desktop\REACTIV CEFAS\Prochloraz\Prochloraz/20201117_Cefas_Test6-Run2/Plate 1/@1/G10_02.tif </t>
  </si>
  <si>
    <t xml:space="preserve"> 7721.8724 </t>
  </si>
  <si>
    <t xml:space="preserve"> 39.395 </t>
  </si>
  <si>
    <t xml:space="preserve">C:\Users\andre\Desktop\REACTIV CEFAS\Prochloraz\Prochloraz/20201117_Cefas_Test6-Run2/Plate 1/@1/G10_03.tif </t>
  </si>
  <si>
    <t xml:space="preserve"> 6251.0395 </t>
  </si>
  <si>
    <t xml:space="preserve"> 38.6263 </t>
  </si>
  <si>
    <t>C:\Users\andre\Desktop\REACTIV CEFAS\Prochloraz\Prochloraz/20201117_Cefas_Test6-Run2/Plate 1/@1/H10_01- exclu.tif</t>
  </si>
  <si>
    <t>C:\Users\andre\Desktop\REACTIV CEFAS\Prochloraz\Prochloraz/20201117_Cefas_Test6-Run2/Plate 1/@1/H10_02- exclu.tif</t>
  </si>
  <si>
    <t>C:\Users\andre\Desktop\REACTIV CEFAS\Prochloraz\Prochloraz/20201117_Cefas_Test6-Run2/Plate 1/@1/H10_03- exclu.tif</t>
  </si>
  <si>
    <t xml:space="preserve">C:\Users\andre\Desktop\REACTIV CEFAS\Prochloraz\Prochloraz/20201117_Cefas_Test6-Run2/Plate 1/@1/ </t>
  </si>
  <si>
    <t xml:space="preserve"> 26.6335 </t>
  </si>
  <si>
    <t xml:space="preserve"> 16.0025 </t>
  </si>
  <si>
    <t xml:space="preserve"> 96127.75 </t>
  </si>
  <si>
    <t xml:space="preserve"> 118071.906 </t>
  </si>
  <si>
    <t xml:space="preserve">C:\Users\andre\Desktop\REACTIV CEFAS\Prochloraz\Prochloraz/20201117_Cefas_Test6-Run2/Plate 1/@13/A8_01.tif </t>
  </si>
  <si>
    <t xml:space="preserve"> 28162.1228 </t>
  </si>
  <si>
    <t xml:space="preserve"> 35.7427 </t>
  </si>
  <si>
    <t xml:space="preserve">C:\Users\andre\Desktop\REACTIV CEFAS\Prochloraz\Prochloraz/20201117_Cefas_Test6-Run2/Plate 1/@13/A8_02.tif </t>
  </si>
  <si>
    <t xml:space="preserve"> 31947.3544 </t>
  </si>
  <si>
    <t xml:space="preserve"> 35.4028 </t>
  </si>
  <si>
    <t xml:space="preserve">C:\Users\andre\Desktop\REACTIV CEFAS\Prochloraz\Prochloraz/20201117_Cefas_Test6-Run2/Plate 1/@13/A8_03.tif </t>
  </si>
  <si>
    <t xml:space="preserve"> 31752.6853 </t>
  </si>
  <si>
    <t xml:space="preserve"> 35.6199 </t>
  </si>
  <si>
    <t xml:space="preserve">C:\Users\andre\Desktop\REACTIV CEFAS\Prochloraz\Prochloraz/20201117_Cefas_Test6-Run2/Plate 1/@13/B8_01.tif </t>
  </si>
  <si>
    <t xml:space="preserve"> 40.4333 </t>
  </si>
  <si>
    <t xml:space="preserve">C:\Users\andre\Desktop\REACTIV CEFAS\Prochloraz\Prochloraz/20201117_Cefas_Test6-Run2/Plate 1/@13/B8_02.tif </t>
  </si>
  <si>
    <t xml:space="preserve"> 71551.6914 </t>
  </si>
  <si>
    <t xml:space="preserve"> 41.7288 </t>
  </si>
  <si>
    <t xml:space="preserve">C:\Users\andre\Desktop\REACTIV CEFAS\Prochloraz\Prochloraz/20201117_Cefas_Test6-Run2/Plate 1/@13/B8_03.tif </t>
  </si>
  <si>
    <t xml:space="preserve"> 62640.1748 </t>
  </si>
  <si>
    <t xml:space="preserve"> 41.0915 </t>
  </si>
  <si>
    <t xml:space="preserve">C:\Users\andre\Desktop\REACTIV CEFAS\Prochloraz\Prochloraz/20201117_Cefas_Test6-Run2/Plate 1/@13/C8_01.tif </t>
  </si>
  <si>
    <t xml:space="preserve"> 16135.9014 </t>
  </si>
  <si>
    <t xml:space="preserve"> 34.5965 </t>
  </si>
  <si>
    <t xml:space="preserve">C:\Users\andre\Desktop\REACTIV CEFAS\Prochloraz\Prochloraz/20201117_Cefas_Test6-Run2/Plate 1/@13/C8_02.tif </t>
  </si>
  <si>
    <t xml:space="preserve"> 6986.456 </t>
  </si>
  <si>
    <t xml:space="preserve"> 32.0836 </t>
  </si>
  <si>
    <t xml:space="preserve">C:\Users\andre\Desktop\REACTIV CEFAS\Prochloraz\Prochloraz/20201117_Cefas_Test6-Run2/Plate 1/@13/C8_03.tif </t>
  </si>
  <si>
    <t xml:space="preserve"> 12610.2286 </t>
  </si>
  <si>
    <t xml:space="preserve"> 33.8988 </t>
  </si>
  <si>
    <t xml:space="preserve">C:\Users\andre\Desktop\REACTIV CEFAS\Prochloraz\Prochloraz/20201117_Cefas_Test6-Run2/Plate 1/@13/D8_01.tif </t>
  </si>
  <si>
    <t xml:space="preserve"> 30281.8525 </t>
  </si>
  <si>
    <t xml:space="preserve"> 35.1586 </t>
  </si>
  <si>
    <t xml:space="preserve">C:\Users\andre\Desktop\REACTIV CEFAS\Prochloraz\Prochloraz/20201117_Cefas_Test6-Run2/Plate 1/@13/D8_02.tif </t>
  </si>
  <si>
    <t xml:space="preserve"> 38717.5114 </t>
  </si>
  <si>
    <t xml:space="preserve"> 35.8877 </t>
  </si>
  <si>
    <t xml:space="preserve">C:\Users\andre\Desktop\REACTIV CEFAS\Prochloraz\Prochloraz/20201117_Cefas_Test6-Run2/Plate 1/@13/D8_03.tif </t>
  </si>
  <si>
    <t xml:space="preserve"> 29654.5855 </t>
  </si>
  <si>
    <t xml:space="preserve"> 34.9555 </t>
  </si>
  <si>
    <t xml:space="preserve">C:\Users\andre\Desktop\REACTIV CEFAS\Prochloraz\Prochloraz/20201117_Cefas_Test6-Run2/Plate 1/@13/E8_01.tif </t>
  </si>
  <si>
    <t xml:space="preserve"> 46244.7147 </t>
  </si>
  <si>
    <t xml:space="preserve"> 39.5776 </t>
  </si>
  <si>
    <t xml:space="preserve">C:\Users\andre\Desktop\REACTIV CEFAS\Prochloraz\Prochloraz/20201117_Cefas_Test6-Run2/Plate 1/@13/E8_02.tif </t>
  </si>
  <si>
    <t xml:space="preserve"> 63829.819 </t>
  </si>
  <si>
    <t xml:space="preserve"> 43.0661 </t>
  </si>
  <si>
    <t xml:space="preserve">C:\Users\andre\Desktop\REACTIV CEFAS\Prochloraz\Prochloraz/20201117_Cefas_Test6-Run2/Plate 1/@13/E8_03.tif </t>
  </si>
  <si>
    <t xml:space="preserve"> 63548.6304 </t>
  </si>
  <si>
    <t xml:space="preserve"> 42.0218 </t>
  </si>
  <si>
    <t xml:space="preserve">C:\Users\andre\Desktop\REACTIV CEFAS\Prochloraz\Prochloraz/20201117_Cefas_Test6-Run2/Plate 1/@13/F8_01.tif </t>
  </si>
  <si>
    <t xml:space="preserve"> 66187.4776 </t>
  </si>
  <si>
    <t xml:space="preserve"> 44.6853 </t>
  </si>
  <si>
    <t xml:space="preserve">C:\Users\andre\Desktop\REACTIV CEFAS\Prochloraz\Prochloraz/20201117_Cefas_Test6-Run2/Plate 1/@13/F8_02.tif </t>
  </si>
  <si>
    <t xml:space="preserve"> 62207.577 </t>
  </si>
  <si>
    <t xml:space="preserve"> 42.9503 </t>
  </si>
  <si>
    <t xml:space="preserve">C:\Users\andre\Desktop\REACTIV CEFAS\Prochloraz\Prochloraz/20201117_Cefas_Test6-Run2/Plate 1/@13/F8_03.tif </t>
  </si>
  <si>
    <t xml:space="preserve"> 60001.3277 </t>
  </si>
  <si>
    <t xml:space="preserve"> 40.8983 </t>
  </si>
  <si>
    <t xml:space="preserve">C:\Users\andre\Desktop\REACTIV CEFAS\Prochloraz\Prochloraz/20201117_Cefas_Test6-Run2/Plate 1/@13/G8_01.tif </t>
  </si>
  <si>
    <t xml:space="preserve"> 32704.4007 </t>
  </si>
  <si>
    <t xml:space="preserve"> 36.6806 </t>
  </si>
  <si>
    <t xml:space="preserve">C:\Users\andre\Desktop\REACTIV CEFAS\Prochloraz\Prochloraz/20201117_Cefas_Test6-Run2/Plate 1/@13/G8_02.tif </t>
  </si>
  <si>
    <t xml:space="preserve"> 40815.6112 </t>
  </si>
  <si>
    <t xml:space="preserve"> 36.9565 </t>
  </si>
  <si>
    <t xml:space="preserve">C:\Users\andre\Desktop\REACTIV CEFAS\Prochloraz\Prochloraz/20201117_Cefas_Test6-Run2/Plate 1/@13/G8_03.tif </t>
  </si>
  <si>
    <t xml:space="preserve"> 27578.1157 </t>
  </si>
  <si>
    <t xml:space="preserve"> 36.28 </t>
  </si>
  <si>
    <t xml:space="preserve">C:\Users\andre\Desktop\REACTIV CEFAS\Prochloraz\Prochloraz/20201117_Cefas_Test6-Run2/Plate 1/@13/H8_01.tif </t>
  </si>
  <si>
    <t xml:space="preserve"> 4780.2067 </t>
  </si>
  <si>
    <t xml:space="preserve"> 31.4027 </t>
  </si>
  <si>
    <t xml:space="preserve">C:\Users\andre\Desktop\REACTIV CEFAS\Prochloraz\Prochloraz/20201117_Cefas_Test6-Run2/Plate 1/@13/H8_02.tif </t>
  </si>
  <si>
    <t xml:space="preserve"> 7851.6518 </t>
  </si>
  <si>
    <t xml:space="preserve"> 32.1763 </t>
  </si>
  <si>
    <t xml:space="preserve">C:\Users\andre\Desktop\REACTIV CEFAS\Prochloraz\Prochloraz/20201117_Cefas_Test6-Run2/Plate 1/@13/H8_03.tif </t>
  </si>
  <si>
    <t xml:space="preserve"> 32.3897 </t>
  </si>
  <si>
    <t xml:space="preserve">C:\Users\andre\Desktop\REACTIV CEFAS\Prochloraz\Prochloraz/20201117_Cefas_Test6-Run2/Plate 1/@13/ </t>
  </si>
  <si>
    <t xml:space="preserve"> 37.3202 </t>
  </si>
  <si>
    <t xml:space="preserve"> 3.9433 </t>
  </si>
  <si>
    <t xml:space="preserve"> 1484651.71 </t>
  </si>
  <si>
    <t xml:space="preserve"> 977127.389 </t>
  </si>
  <si>
    <t>C:\Users\andre\Desktop\REACTIV CEFAS\Prochloraz\Prochloraz/20201117_Cefas_Test6-Run2/Plate 1/@14/A9_01- exclu.tif</t>
  </si>
  <si>
    <t>C:\Users\andre\Desktop\REACTIV CEFAS\Prochloraz\Prochloraz/20201117_Cefas_Test6-Run2/Plate 1/@14/A9_02- exclu.tif</t>
  </si>
  <si>
    <t>C:\Users\andre\Desktop\REACTIV CEFAS\Prochloraz\Prochloraz/20201117_Cefas_Test6-Run2/Plate 1/@14/A9_03- exclu.tif</t>
  </si>
  <si>
    <t xml:space="preserve">C:\Users\andre\Desktop\REACTIV CEFAS\Prochloraz\Prochloraz/20201117_Cefas_Test6-Run2/Plate 1/@14/B9_01.tif </t>
  </si>
  <si>
    <t xml:space="preserve"> 65473.691 </t>
  </si>
  <si>
    <t xml:space="preserve"> 41.8427 </t>
  </si>
  <si>
    <t xml:space="preserve">C:\Users\andre\Desktop\REACTIV CEFAS\Prochloraz\Prochloraz/20201117_Cefas_Test6-Run2/Plate 1/@14/B9_02.tif </t>
  </si>
  <si>
    <t xml:space="preserve"> 41.9433 </t>
  </si>
  <si>
    <t xml:space="preserve">C:\Users\andre\Desktop\REACTIV CEFAS\Prochloraz\Prochloraz/20201117_Cefas_Test6-Run2/Plate 1/@14/B9_03.tif </t>
  </si>
  <si>
    <t xml:space="preserve"> 69799.67 </t>
  </si>
  <si>
    <t xml:space="preserve"> 42.5931 </t>
  </si>
  <si>
    <t xml:space="preserve">C:\Users\andre\Desktop\REACTIV CEFAS\Prochloraz\Prochloraz/20201117_Cefas_Test6-Run2/Plate 1/@14/C9_01.tif </t>
  </si>
  <si>
    <t xml:space="preserve"> 44687.3623 </t>
  </si>
  <si>
    <t xml:space="preserve"> 37.4593 </t>
  </si>
  <si>
    <t xml:space="preserve">C:\Users\andre\Desktop\REACTIV CEFAS\Prochloraz\Prochloraz/20201117_Cefas_Test6-Run2/Plate 1/@14/C9_02.tif </t>
  </si>
  <si>
    <t xml:space="preserve"> 40253.2339 </t>
  </si>
  <si>
    <t xml:space="preserve"> 36.3853 </t>
  </si>
  <si>
    <t xml:space="preserve">C:\Users\andre\Desktop\REACTIV CEFAS\Prochloraz\Prochloraz/20201117_Cefas_Test6-Run2/Plate 1/@14/C9_03.tif </t>
  </si>
  <si>
    <t xml:space="preserve"> 49965.0566 </t>
  </si>
  <si>
    <t xml:space="preserve"> 38.1784 </t>
  </si>
  <si>
    <t xml:space="preserve">C:\Users\andre\Desktop\REACTIV CEFAS\Prochloraz\Prochloraz/20201117_Cefas_Test6-Run2/Plate 1/@14/D9_01.tif </t>
  </si>
  <si>
    <t xml:space="preserve"> 65884.659 </t>
  </si>
  <si>
    <t xml:space="preserve"> 48.4875 </t>
  </si>
  <si>
    <t xml:space="preserve">C:\Users\andre\Desktop\REACTIV CEFAS\Prochloraz\Prochloraz/20201117_Cefas_Test6-Run2/Plate 1/@14/D9_02.tif </t>
  </si>
  <si>
    <t xml:space="preserve"> 74190.5386 </t>
  </si>
  <si>
    <t xml:space="preserve"> 44.9469 </t>
  </si>
  <si>
    <t xml:space="preserve">C:\Users\andre\Desktop\REACTIV CEFAS\Prochloraz\Prochloraz/20201117_Cefas_Test6-Run2/Plate 1/@14/D9_03.tif </t>
  </si>
  <si>
    <t xml:space="preserve"> 70080.8586 </t>
  </si>
  <si>
    <t xml:space="preserve"> 49.0164 </t>
  </si>
  <si>
    <t xml:space="preserve">C:\Users\andre\Desktop\REACTIV CEFAS\Prochloraz\Prochloraz/20201117_Cefas_Test6-Run2/Plate 1/@14/E9_01.tif </t>
  </si>
  <si>
    <t xml:space="preserve"> 2271.1389 </t>
  </si>
  <si>
    <t xml:space="preserve"> 31.8952 </t>
  </si>
  <si>
    <t xml:space="preserve">C:\Users\andre\Desktop\REACTIV CEFAS\Prochloraz\Prochloraz/20201117_Cefas_Test6-Run2/Plate 1/@14/E9_02.tif </t>
  </si>
  <si>
    <t xml:space="preserve"> 33.786 </t>
  </si>
  <si>
    <t xml:space="preserve">C:\Users\andre\Desktop\REACTIV CEFAS\Prochloraz\Prochloraz/20201117_Cefas_Test6-Run2/Plate 1/@14/E9_03.tif </t>
  </si>
  <si>
    <t xml:space="preserve"> 605.637 </t>
  </si>
  <si>
    <t xml:space="preserve"> 32.3214 </t>
  </si>
  <si>
    <t xml:space="preserve">C:\Users\andre\Desktop\REACTIV CEFAS\Prochloraz\Prochloraz/20201117_Cefas_Test6-Run2/Plate 1/@14/F9_01.tif </t>
  </si>
  <si>
    <t xml:space="preserve"> 30433.2617 </t>
  </si>
  <si>
    <t xml:space="preserve"> 34.9666 </t>
  </si>
  <si>
    <t xml:space="preserve">C:\Users\andre\Desktop\REACTIV CEFAS\Prochloraz\Prochloraz/20201117_Cefas_Test6-Run2/Plate 1/@14/F9_02.tif </t>
  </si>
  <si>
    <t xml:space="preserve"> 23814.514 </t>
  </si>
  <si>
    <t xml:space="preserve"> 35.3497 </t>
  </si>
  <si>
    <t xml:space="preserve">C:\Users\andre\Desktop\REACTIV CEFAS\Prochloraz\Prochloraz/20201117_Cefas_Test6-Run2/Plate 1/@14/F9_03.tif </t>
  </si>
  <si>
    <t xml:space="preserve"> 23317.0264 </t>
  </si>
  <si>
    <t xml:space="preserve"> 32.8275 </t>
  </si>
  <si>
    <t xml:space="preserve">C:\Users\andre\Desktop\REACTIV CEFAS\Prochloraz\Prochloraz/20201117_Cefas_Test6-Run2/Plate 1/@14/G9_01.tif </t>
  </si>
  <si>
    <t xml:space="preserve"> 33.79 </t>
  </si>
  <si>
    <t xml:space="preserve">C:\Users\andre\Desktop\REACTIV CEFAS\Prochloraz\Prochloraz/20201117_Cefas_Test6-Run2/Plate 1/@14/G9_02.tif </t>
  </si>
  <si>
    <t xml:space="preserve"> 5212.8046 </t>
  </si>
  <si>
    <t xml:space="preserve"> 32.5726 </t>
  </si>
  <si>
    <t xml:space="preserve">C:\Users\andre\Desktop\REACTIV CEFAS\Prochloraz\Prochloraz/20201117_Cefas_Test6-Run2/Plate 1/@14/G9_03.tif </t>
  </si>
  <si>
    <t xml:space="preserve"> 8673.5877 </t>
  </si>
  <si>
    <t xml:space="preserve"> 33.9701 </t>
  </si>
  <si>
    <t xml:space="preserve">C:\Users\andre\Desktop\REACTIV CEFAS\Prochloraz\Prochloraz/20201117_Cefas_Test6-Run2/Plate 1/@14/H9_01.tif </t>
  </si>
  <si>
    <t xml:space="preserve"> 20656.5494 </t>
  </si>
  <si>
    <t xml:space="preserve"> 34.7864 </t>
  </si>
  <si>
    <t xml:space="preserve">C:\Users\andre\Desktop\REACTIV CEFAS\Prochloraz\Prochloraz/20201117_Cefas_Test6-Run2/Plate 1/@14/H9_02.tif </t>
  </si>
  <si>
    <t xml:space="preserve"> 24701.3397 </t>
  </si>
  <si>
    <t xml:space="preserve"> 35.4475 </t>
  </si>
  <si>
    <t xml:space="preserve">C:\Users\andre\Desktop\REACTIV CEFAS\Prochloraz\Prochloraz/20201117_Cefas_Test6-Run2/Plate 1/@14/H9_03.tif </t>
  </si>
  <si>
    <t xml:space="preserve"> 30022.2937 </t>
  </si>
  <si>
    <t xml:space="preserve"> 36.286 </t>
  </si>
  <si>
    <t xml:space="preserve">C:\Users\andre\Desktop\REACTIV CEFAS\Prochloraz\Prochloraz/20201117_Cefas_Test6-Run2/Plate 1/@14/ </t>
  </si>
  <si>
    <t xml:space="preserve"> 38.0158 </t>
  </si>
  <si>
    <t xml:space="preserve"> 5.0494 </t>
  </si>
  <si>
    <t xml:space="preserve"> 1502746.92 </t>
  </si>
  <si>
    <t xml:space="preserve"> 1134745.19 </t>
  </si>
  <si>
    <t xml:space="preserve">C:\Users\andre\Desktop\REACTIV CEFAS\Prochloraz\Prochloraz/20201117_Cefas_Test6-Run2/Plate 1/@15/A11_01.tif </t>
  </si>
  <si>
    <t xml:space="preserve"> 94111.6715 </t>
  </si>
  <si>
    <t xml:space="preserve"> 50.7378 </t>
  </si>
  <si>
    <t xml:space="preserve">C:\Users\andre\Desktop\REACTIV CEFAS\Prochloraz\Prochloraz/20201117_Cefas_Test6-Run2/Plate 1/@15/A11_02.tif </t>
  </si>
  <si>
    <t xml:space="preserve"> 88985.3865 </t>
  </si>
  <si>
    <t xml:space="preserve"> 45.1728 </t>
  </si>
  <si>
    <t xml:space="preserve">C:\Users\andre\Desktop\REACTIV CEFAS\Prochloraz\Prochloraz/20201117_Cefas_Test6-Run2/Plate 1/@15/A11_03.tif </t>
  </si>
  <si>
    <t xml:space="preserve"> 78776.0762 </t>
  </si>
  <si>
    <t xml:space="preserve"> 52.0695 </t>
  </si>
  <si>
    <t xml:space="preserve">C:\Users\andre\Desktop\REACTIV CEFAS\Prochloraz\Prochloraz/20201117_Cefas_Test6-Run2/Plate 1/@15/B11_01.tif </t>
  </si>
  <si>
    <t xml:space="preserve"> 54053.1067 </t>
  </si>
  <si>
    <t xml:space="preserve"> 44.0656 </t>
  </si>
  <si>
    <t xml:space="preserve">C:\Users\andre\Desktop\REACTIV CEFAS\Prochloraz\Prochloraz/20201117_Cefas_Test6-Run2/Plate 1/@15/B11_02.tif </t>
  </si>
  <si>
    <t xml:space="preserve"> 52344.345 </t>
  </si>
  <si>
    <t xml:space="preserve"> 45.3826 </t>
  </si>
  <si>
    <t xml:space="preserve">C:\Users\andre\Desktop\REACTIV CEFAS\Prochloraz\Prochloraz/20201117_Cefas_Test6-Run2/Plate 1/@15/B11_03.tif </t>
  </si>
  <si>
    <t xml:space="preserve"> 53166.281 </t>
  </si>
  <si>
    <t xml:space="preserve"> 46.6851 </t>
  </si>
  <si>
    <t xml:space="preserve">C:\Users\andre\Desktop\REACTIV CEFAS\Prochloraz\Prochloraz/20201117_Cefas_Test6-Run2/Plate 1/@15/C11_01.tif </t>
  </si>
  <si>
    <t xml:space="preserve"> 40296.4937 </t>
  </si>
  <si>
    <t xml:space="preserve"> 40.2979 </t>
  </si>
  <si>
    <t>C:\Users\andre\Desktop\REACTIV CEFAS\Prochloraz\Prochloraz/20201117_Cefas_Test6-Run2/Plate 1/@15/C11_02- exclu.tif</t>
  </si>
  <si>
    <t>C:\Users\andre\Desktop\REACTIV CEFAS\Prochloraz\Prochloraz/20201117_Cefas_Test6-Run2/Plate 1/@15/C11_03- exclu.tif</t>
  </si>
  <si>
    <t xml:space="preserve">C:\Users\andre\Desktop\REACTIV CEFAS\Prochloraz\Prochloraz/20201117_Cefas_Test6-Run2/Plate 1/@15/D11_01.tif </t>
  </si>
  <si>
    <t xml:space="preserve"> 57470.63 </t>
  </si>
  <si>
    <t xml:space="preserve"> 50.9364 </t>
  </si>
  <si>
    <t xml:space="preserve">C:\Users\andre\Desktop\REACTIV CEFAS\Prochloraz\Prochloraz/20201117_Cefas_Test6-Run2/Plate 1/@15/D11_02.tif </t>
  </si>
  <si>
    <t xml:space="preserve"> 54226.1458 </t>
  </si>
  <si>
    <t xml:space="preserve"> 44.3797 </t>
  </si>
  <si>
    <t xml:space="preserve">C:\Users\andre\Desktop\REACTIV CEFAS\Prochloraz\Prochloraz/20201117_Cefas_Test6-Run2/Plate 1/@15/D11_03.tif </t>
  </si>
  <si>
    <t xml:space="preserve"> 62878.1037 </t>
  </si>
  <si>
    <t xml:space="preserve"> 44.0791 </t>
  </si>
  <si>
    <t xml:space="preserve">C:\Users\andre\Desktop\REACTIV CEFAS\Prochloraz\Prochloraz/20201117_Cefas_Test6-Run2/Plate 1/@15/E11_01.tif </t>
  </si>
  <si>
    <t xml:space="preserve"> 93852.1128 </t>
  </si>
  <si>
    <t xml:space="preserve"> 56.575 </t>
  </si>
  <si>
    <t xml:space="preserve">C:\Users\andre\Desktop\REACTIV CEFAS\Prochloraz\Prochloraz/20201117_Cefas_Test6-Run2/Plate 1/@15/E11_02.tif </t>
  </si>
  <si>
    <t xml:space="preserve"> 98848.6185 </t>
  </si>
  <si>
    <t xml:space="preserve"> 53.0672 </t>
  </si>
  <si>
    <t xml:space="preserve">C:\Users\andre\Desktop\REACTIV CEFAS\Prochloraz\Prochloraz/20201117_Cefas_Test6-Run2/Plate 1/@15/E11_03.tif </t>
  </si>
  <si>
    <t xml:space="preserve"> 100362.711 </t>
  </si>
  <si>
    <t xml:space="preserve"> 56.5625 </t>
  </si>
  <si>
    <t xml:space="preserve">C:\Users\andre\Desktop\REACTIV CEFAS\Prochloraz\Prochloraz/20201117_Cefas_Test6-Run2/Plate 1/@15/F11_01.tif </t>
  </si>
  <si>
    <t xml:space="preserve"> 79727.7916 </t>
  </si>
  <si>
    <t xml:space="preserve"> 53.1039 </t>
  </si>
  <si>
    <t xml:space="preserve">C:\Users\andre\Desktop\REACTIV CEFAS\Prochloraz\Prochloraz/20201117_Cefas_Test6-Run2/Plate 1/@15/F11_02.tif </t>
  </si>
  <si>
    <t xml:space="preserve"> 81047.2152 </t>
  </si>
  <si>
    <t xml:space="preserve"> 55.6864 </t>
  </si>
  <si>
    <t xml:space="preserve">C:\Users\andre\Desktop\REACTIV CEFAS\Prochloraz\Prochloraz/20201117_Cefas_Test6-Run2/Plate 1/@15/F11_03.tif </t>
  </si>
  <si>
    <t xml:space="preserve"> 84443.1086 </t>
  </si>
  <si>
    <t xml:space="preserve"> 48.3135 </t>
  </si>
  <si>
    <t xml:space="preserve">C:\Users\andre\Desktop\REACTIV CEFAS\Prochloraz\Prochloraz/20201117_Cefas_Test6-Run2/Plate 1/@15/G11_01.tif </t>
  </si>
  <si>
    <t xml:space="preserve"> 82042.1903 </t>
  </si>
  <si>
    <t xml:space="preserve"> 41.1819 </t>
  </si>
  <si>
    <t xml:space="preserve">C:\Users\andre\Desktop\REACTIV CEFAS\Prochloraz\Prochloraz/20201117_Cefas_Test6-Run2/Plate 1/@15/G11_02.tif </t>
  </si>
  <si>
    <t xml:space="preserve"> 82799.2366 </t>
  </si>
  <si>
    <t xml:space="preserve"> 43.7244 </t>
  </si>
  <si>
    <t xml:space="preserve">C:\Users\andre\Desktop\REACTIV CEFAS\Prochloraz\Prochloraz/20201117_Cefas_Test6-Run2/Plate 1/@15/G11_03.tif </t>
  </si>
  <si>
    <t xml:space="preserve"> 66338.8868 </t>
  </si>
  <si>
    <t xml:space="preserve"> 43.0619 </t>
  </si>
  <si>
    <t xml:space="preserve">C:\Users\andre\Desktop\REACTIV CEFAS\Prochloraz\Prochloraz/20201117_Cefas_Test6-Run2/Plate 1/@15/H11_01.tif </t>
  </si>
  <si>
    <t xml:space="preserve"> 75034.1045 </t>
  </si>
  <si>
    <t xml:space="preserve"> 49.8818 </t>
  </si>
  <si>
    <t xml:space="preserve">C:\Users\andre\Desktop\REACTIV CEFAS\Prochloraz\Prochloraz/20201117_Cefas_Test6-Run2/Plate 1/@15/H11_02.tif </t>
  </si>
  <si>
    <t xml:space="preserve"> 82388.2686 </t>
  </si>
  <si>
    <t xml:space="preserve"> 49.4214 </t>
  </si>
  <si>
    <t xml:space="preserve">C:\Users\andre\Desktop\REACTIV CEFAS\Prochloraz\Prochloraz/20201117_Cefas_Test6-Run2/Plate 1/@15/H11_03.tif </t>
  </si>
  <si>
    <t xml:space="preserve"> 72611.5563 </t>
  </si>
  <si>
    <t xml:space="preserve"> 48.3324 </t>
  </si>
  <si>
    <t xml:space="preserve">C:\Users\andre\Desktop\REACTIV CEFAS\Prochloraz\Prochloraz/20201117_Cefas_Test6-Run2/Plate 1/@15/ </t>
  </si>
  <si>
    <t xml:space="preserve"> 47.5661 </t>
  </si>
  <si>
    <t xml:space="preserve"> 5.3066 </t>
  </si>
  <si>
    <t xml:space="preserve"> 3492183.46 </t>
  </si>
  <si>
    <t xml:space="preserve"> 1155670.21 </t>
  </si>
  <si>
    <t xml:space="preserve">C:\Users\andre\Desktop\REACTIV CEFAS\Prochloraz\Prochloraz/20201117_Cefas_Test6-Run2/Plate 1/@16/A12_01.tif </t>
  </si>
  <si>
    <t xml:space="preserve"> 31.6667 </t>
  </si>
  <si>
    <t xml:space="preserve">C:\Users\andre\Desktop\REACTIV CEFAS\Prochloraz\Prochloraz/20201117_Cefas_Test6-Run2/Plate 1/@16/A12_02.tif </t>
  </si>
  <si>
    <t xml:space="preserve"> 8954.7764 </t>
  </si>
  <si>
    <t xml:space="preserve"> 38.5652 </t>
  </si>
  <si>
    <t xml:space="preserve">C:\Users\andre\Desktop\REACTIV CEFAS\Prochloraz\Prochloraz/20201117_Cefas_Test6-Run2/Plate 1/@16/A12_03.tif </t>
  </si>
  <si>
    <t xml:space="preserve"> 7310.9044 </t>
  </si>
  <si>
    <t xml:space="preserve"> 35.8609 </t>
  </si>
  <si>
    <t xml:space="preserve">C:\Users\andre\Desktop\REACTIV CEFAS\Prochloraz\Prochloraz/20201117_Cefas_Test6-Run2/Plate 1/@16/B12_01.tif </t>
  </si>
  <si>
    <t xml:space="preserve"> 1881.8008 </t>
  </si>
  <si>
    <t xml:space="preserve"> 36.1839 </t>
  </si>
  <si>
    <t xml:space="preserve">C:\Users\andre\Desktop\REACTIV CEFAS\Prochloraz\Prochloraz/20201117_Cefas_Test6-Run2/Plate 1/@16/B12_02.tif </t>
  </si>
  <si>
    <t xml:space="preserve"> 5731.9221 </t>
  </si>
  <si>
    <t xml:space="preserve"> 42.9057 </t>
  </si>
  <si>
    <t xml:space="preserve">C:\Users\andre\Desktop\REACTIV CEFAS\Prochloraz\Prochloraz/20201117_Cefas_Test6-Run2/Plate 1/@16/B12_03.tif </t>
  </si>
  <si>
    <t xml:space="preserve"> 8889.8867 </t>
  </si>
  <si>
    <t xml:space="preserve"> 46.292 </t>
  </si>
  <si>
    <t xml:space="preserve">C:\Users\andre\Desktop\REACTIV CEFAS\Prochloraz\Prochloraz/20201117_Cefas_Test6-Run2/Plate 1/@16/C12_01.tif </t>
  </si>
  <si>
    <t xml:space="preserve"> 33.0758 </t>
  </si>
  <si>
    <t xml:space="preserve">C:\Users\andre\Desktop\REACTIV CEFAS\Prochloraz\Prochloraz/20201117_Cefas_Test6-Run2/Plate 1/@16/C12_02.tif </t>
  </si>
  <si>
    <t xml:space="preserve"> 39.6596 </t>
  </si>
  <si>
    <t xml:space="preserve">C:\Users\andre\Desktop\REACTIV CEFAS\Prochloraz\Prochloraz/20201117_Cefas_Test6-Run2/Plate 1/@16/C12_03.tif </t>
  </si>
  <si>
    <t xml:space="preserve"> 6445.7086 </t>
  </si>
  <si>
    <t xml:space="preserve"> 38.0839 </t>
  </si>
  <si>
    <t xml:space="preserve">C:\Users\andre\Desktop\REACTIV CEFAS\Prochloraz\Prochloraz/20201117_Cefas_Test6-Run2/Plate 1/@16/D12_01.tif </t>
  </si>
  <si>
    <t xml:space="preserve"> 31.3529 </t>
  </si>
  <si>
    <t xml:space="preserve">C:\Users\andre\Desktop\REACTIV CEFAS\Prochloraz\Prochloraz/20201117_Cefas_Test6-Run2/Plate 1/@16/D12_02.tif </t>
  </si>
  <si>
    <t xml:space="preserve"> 259.5587 </t>
  </si>
  <si>
    <t xml:space="preserve"> 31.5 </t>
  </si>
  <si>
    <t xml:space="preserve">C:\Users\andre\Desktop\REACTIV CEFAS\Prochloraz\Prochloraz/20201117_Cefas_Test6-Run2/Plate 1/@16/D12_03.tif </t>
  </si>
  <si>
    <t xml:space="preserve"> 1773.6514 </t>
  </si>
  <si>
    <t xml:space="preserve"> 33.4512 </t>
  </si>
  <si>
    <t xml:space="preserve">C:\Users\andre\Desktop\REACTIV CEFAS\Prochloraz\Prochloraz/20201117_Cefas_Test6-Run2/Plate 1/@16/E12_01.tif </t>
  </si>
  <si>
    <t xml:space="preserve">C:\Users\andre\Desktop\REACTIV CEFAS\Prochloraz\Prochloraz/20201117_Cefas_Test6-Run2/Plate 1/@16/E12_02.tif </t>
  </si>
  <si>
    <t xml:space="preserve">C:\Users\andre\Desktop\REACTIV CEFAS\Prochloraz\Prochloraz/20201117_Cefas_Test6-Run2/Plate 1/@16/E12_03.tif </t>
  </si>
  <si>
    <t xml:space="preserve"> 3504.0429 </t>
  </si>
  <si>
    <t xml:space="preserve"> 37.642 </t>
  </si>
  <si>
    <t xml:space="preserve">C:\Users\andre\Desktop\REACTIV CEFAS\Prochloraz\Prochloraz/20201117_Cefas_Test6-Run2/Plate 1/@16/F12_01.tif </t>
  </si>
  <si>
    <t xml:space="preserve"> 39.0536 </t>
  </si>
  <si>
    <t xml:space="preserve">C:\Users\andre\Desktop\REACTIV CEFAS\Prochloraz\Prochloraz/20201117_Cefas_Test6-Run2/Plate 1/@16/F12_02.tif </t>
  </si>
  <si>
    <t xml:space="preserve"> 6705.2673 </t>
  </si>
  <si>
    <t xml:space="preserve"> 39.1 </t>
  </si>
  <si>
    <t xml:space="preserve">C:\Users\andre\Desktop\REACTIV CEFAS\Prochloraz\Prochloraz/20201117_Cefas_Test6-Run2/Plate 1/@16/F12_03.tif </t>
  </si>
  <si>
    <t xml:space="preserve"> 8154.4703 </t>
  </si>
  <si>
    <t xml:space="preserve"> 38.1459 </t>
  </si>
  <si>
    <t xml:space="preserve">C:\Users\andre\Desktop\REACTIV CEFAS\Prochloraz\Prochloraz/20201117_Cefas_Test6-Run2/Plate 1/@16/G12_01.tif </t>
  </si>
  <si>
    <t xml:space="preserve"> 37.0412 </t>
  </si>
  <si>
    <t xml:space="preserve">C:\Users\andre\Desktop\REACTIV CEFAS\Prochloraz\Prochloraz/20201117_Cefas_Test6-Run2/Plate 1/@16/G12_02.tif </t>
  </si>
  <si>
    <t xml:space="preserve"> 4390.8686 </t>
  </si>
  <si>
    <t xml:space="preserve"> 35.069 </t>
  </si>
  <si>
    <t xml:space="preserve">C:\Users\andre\Desktop\REACTIV CEFAS\Prochloraz\Prochloraz/20201117_Cefas_Test6-Run2/Plate 1/@16/G12_03.tif </t>
  </si>
  <si>
    <t xml:space="preserve"> 2033.2101 </t>
  </si>
  <si>
    <t xml:space="preserve"> 33.4574 </t>
  </si>
  <si>
    <t xml:space="preserve">C:\Users\andre\Desktop\REACTIV CEFAS\Prochloraz\Prochloraz/20201117_Cefas_Test6-Run2/Plate 1/@16/H12_01.tif </t>
  </si>
  <si>
    <t xml:space="preserve"> 36.4536 </t>
  </si>
  <si>
    <t xml:space="preserve">C:\Users\andre\Desktop\REACTIV CEFAS\Prochloraz\Prochloraz/20201117_Cefas_Test6-Run2/Plate 1/@16/H12_02.tif </t>
  </si>
  <si>
    <t xml:space="preserve"> 36.831 </t>
  </si>
  <si>
    <t xml:space="preserve">C:\Users\andre\Desktop\REACTIV CEFAS\Prochloraz\Prochloraz/20201117_Cefas_Test6-Run2/Plate 1/@16/H12_03.tif </t>
  </si>
  <si>
    <t xml:space="preserve"> 36.9754 </t>
  </si>
  <si>
    <t xml:space="preserve">C:\Users\andre\Desktop\REACTIV CEFAS\Prochloraz\Prochloraz/20201117_Cefas_Test6-Run2/Plate 1/@16/ </t>
  </si>
  <si>
    <t xml:space="preserve"> 34.932 </t>
  </si>
  <si>
    <t xml:space="preserve"> 8.3269 </t>
  </si>
  <si>
    <t xml:space="preserve"> 171310.625 </t>
  </si>
  <si>
    <t xml:space="preserve"> 136205.397 </t>
  </si>
  <si>
    <t>C:\Users\andre\Desktop\REACTIV CEFAS\Prochloraz\Prochloraz/20201117_Cefas_Test6-Run2/Plate 1/@2/A2_01- exclu.tif</t>
  </si>
  <si>
    <t>C:\Users\andre\Desktop\REACTIV CEFAS\Prochloraz\Prochloraz/20201117_Cefas_Test6-Run2/Plate 1/@2/A2_02- exclu.tif</t>
  </si>
  <si>
    <t>C:\Users\andre\Desktop\REACTIV CEFAS\Prochloraz\Prochloraz/20201117_Cefas_Test6-Run2/Plate 1/@2/A2_03- exclu.tif</t>
  </si>
  <si>
    <t xml:space="preserve">C:\Users\andre\Desktop\REACTIV CEFAS\Prochloraz\Prochloraz/20201117_Cefas_Test6-Run2/Plate 1/@2/B2_01.tif </t>
  </si>
  <si>
    <t xml:space="preserve"> 4369.2387 </t>
  </si>
  <si>
    <t xml:space="preserve"> 40.5248 </t>
  </si>
  <si>
    <t xml:space="preserve">C:\Users\andre\Desktop\REACTIV CEFAS\Prochloraz\Prochloraz/20201117_Cefas_Test6-Run2/Plate 1/@2/B2_02.tif </t>
  </si>
  <si>
    <t xml:space="preserve"> 34.8188 </t>
  </si>
  <si>
    <t xml:space="preserve">C:\Users\andre\Desktop\REACTIV CEFAS\Prochloraz\Prochloraz/20201117_Cefas_Test6-Run2/Plate 1/@2/B2_03.tif </t>
  </si>
  <si>
    <t xml:space="preserve"> 3157.9646 </t>
  </si>
  <si>
    <t xml:space="preserve"> 36.2877 </t>
  </si>
  <si>
    <t xml:space="preserve">C:\Users\andre\Desktop\REACTIV CEFAS\Prochloraz\Prochloraz/20201117_Cefas_Test6-Run2/Plate 1/@2/C2_01.tif </t>
  </si>
  <si>
    <t xml:space="preserve"> 8716.8475 </t>
  </si>
  <si>
    <t xml:space="preserve"> 40.3474 </t>
  </si>
  <si>
    <t xml:space="preserve">C:\Users\andre\Desktop\REACTIV CEFAS\Prochloraz\Prochloraz/20201117_Cefas_Test6-Run2/Plate 1/@2/C2_02.tif </t>
  </si>
  <si>
    <t xml:space="preserve"> 3136.3347 </t>
  </si>
  <si>
    <t xml:space="preserve"> 32.3793 </t>
  </si>
  <si>
    <t xml:space="preserve">C:\Users\andre\Desktop\REACTIV CEFAS\Prochloraz\Prochloraz/20201117_Cefas_Test6-Run2/Plate 1/@2/C2_03.tif </t>
  </si>
  <si>
    <t xml:space="preserve"> 5104.6551 </t>
  </si>
  <si>
    <t xml:space="preserve"> 36.1017 </t>
  </si>
  <si>
    <t xml:space="preserve">C:\Users\andre\Desktop\REACTIV CEFAS\Prochloraz\Prochloraz/20201117_Cefas_Test6-Run2/Plate 1/@2/D2_01.tif </t>
  </si>
  <si>
    <t xml:space="preserve"> 7700.2425 </t>
  </si>
  <si>
    <t xml:space="preserve"> 37.1292 </t>
  </si>
  <si>
    <t xml:space="preserve">C:\Users\andre\Desktop\REACTIV CEFAS\Prochloraz\Prochloraz/20201117_Cefas_Test6-Run2/Plate 1/@2/D2_02.tif </t>
  </si>
  <si>
    <t xml:space="preserve"> 37.2527 </t>
  </si>
  <si>
    <t xml:space="preserve">C:\Users\andre\Desktop\REACTIV CEFAS\Prochloraz\Prochloraz/20201117_Cefas_Test6-Run2/Plate 1/@2/D2_03.tif </t>
  </si>
  <si>
    <t xml:space="preserve"> 33.0192 </t>
  </si>
  <si>
    <t xml:space="preserve">C:\Users\andre\Desktop\REACTIV CEFAS\Prochloraz\Prochloraz/20201117_Cefas_Test6-Run2/Plate 1/@2/E2_01.tif </t>
  </si>
  <si>
    <t xml:space="preserve"> 14470.3995 </t>
  </si>
  <si>
    <t xml:space="preserve"> 41.7175 </t>
  </si>
  <si>
    <t xml:space="preserve">C:\Users\andre\Desktop\REACTIV CEFAS\Prochloraz\Prochloraz/20201117_Cefas_Test6-Run2/Plate 1/@2/E2_02.tif </t>
  </si>
  <si>
    <t xml:space="preserve"> 33.6 </t>
  </si>
  <si>
    <t>C:\Users\andre\Desktop\REACTIV CEFAS\Prochloraz\Prochloraz/20201117_Cefas_Test6-Run2/Plate 1/@2/E2_03- exclu.tif</t>
  </si>
  <si>
    <t xml:space="preserve">C:\Users\andre\Desktop\REACTIV CEFAS\Prochloraz\Prochloraz/20201117_Cefas_Test6-Run2/Plate 1/@2/F2_01.tif </t>
  </si>
  <si>
    <t>C:\Users\andre\Desktop\REACTIV CEFAS\Prochloraz\Prochloraz/20201117_Cefas_Test6-Run2/Plate 1/@2/F2_02- exclu.tif</t>
  </si>
  <si>
    <t>C:\Users\andre\Desktop\REACTIV CEFAS\Prochloraz\Prochloraz/20201117_Cefas_Test6-Run2/Plate 1/@2/F2_03- exclu.tif</t>
  </si>
  <si>
    <t>C:\Users\andre\Desktop\REACTIV CEFAS\Prochloraz\Prochloraz/20201117_Cefas_Test6-Run2/Plate 1/@2/G2_01- exclu.tif</t>
  </si>
  <si>
    <t xml:space="preserve">C:\Users\andre\Desktop\REACTIV CEFAS\Prochloraz\Prochloraz/20201117_Cefas_Test6-Run2/Plate 1/@2/G2_02.tif </t>
  </si>
  <si>
    <t xml:space="preserve"> 3417.5234 </t>
  </si>
  <si>
    <t xml:space="preserve"> 36.6456 </t>
  </si>
  <si>
    <t xml:space="preserve">C:\Users\andre\Desktop\REACTIV CEFAS\Prochloraz\Prochloraz/20201117_Cefas_Test6-Run2/Plate 1/@2/G2_03.tif </t>
  </si>
  <si>
    <t xml:space="preserve">C:\Users\andre\Desktop\REACTIV CEFAS\Prochloraz\Prochloraz/20201117_Cefas_Test6-Run2/Plate 1/@2/H2_01.tif </t>
  </si>
  <si>
    <t xml:space="preserve"> 4088.0501 </t>
  </si>
  <si>
    <t xml:space="preserve"> 36.1429 </t>
  </si>
  <si>
    <t xml:space="preserve">C:\Users\andre\Desktop\REACTIV CEFAS\Prochloraz\Prochloraz/20201117_Cefas_Test6-Run2/Plate 1/@2/H2_02.tif </t>
  </si>
  <si>
    <t xml:space="preserve"> 37.6983 </t>
  </si>
  <si>
    <t xml:space="preserve">C:\Users\andre\Desktop\REACTIV CEFAS\Prochloraz\Prochloraz/20201117_Cefas_Test6-Run2/Plate 1/@2/H2_03.tif </t>
  </si>
  <si>
    <t xml:space="preserve"> 35.7471 </t>
  </si>
  <si>
    <t xml:space="preserve">C:\Users\andre\Desktop\REACTIV CEFAS\Prochloraz\Prochloraz/20201117_Cefas_Test6-Run2/Plate 1/@2/ </t>
  </si>
  <si>
    <t xml:space="preserve"> 33.5932 </t>
  </si>
  <si>
    <t xml:space="preserve"> 14.3091 </t>
  </si>
  <si>
    <t xml:space="preserve"> 219280.333 </t>
  </si>
  <si>
    <t xml:space="preserve"> 257252.564 </t>
  </si>
  <si>
    <t xml:space="preserve">C:\Users\andre\Desktop\REACTIV CEFAS\Prochloraz\Prochloraz/20201117_Cefas_Test6-Run2/Plate 1/@3/A3_01.tif </t>
  </si>
  <si>
    <t xml:space="preserve"> 39.5619 </t>
  </si>
  <si>
    <t xml:space="preserve">C:\Users\andre\Desktop\REACTIV CEFAS\Prochloraz\Prochloraz/20201117_Cefas_Test6-Run2/Plate 1/@3/A3_02.tif </t>
  </si>
  <si>
    <t xml:space="preserve"> 32.7812 </t>
  </si>
  <si>
    <t xml:space="preserve">C:\Users\andre\Desktop\REACTIV CEFAS\Prochloraz\Prochloraz/20201117_Cefas_Test6-Run2/Plate 1/@3/A3_03.tif </t>
  </si>
  <si>
    <t xml:space="preserve">C:\Users\andre\Desktop\REACTIV CEFAS\Prochloraz\Prochloraz/20201117_Cefas_Test6-Run2/Plate 1/@3/B3_01.tif </t>
  </si>
  <si>
    <t xml:space="preserve"> 34.4167 </t>
  </si>
  <si>
    <t xml:space="preserve">C:\Users\andre\Desktop\REACTIV CEFAS\Prochloraz\Prochloraz/20201117_Cefas_Test6-Run2/Plate 1/@3/B3_02.tif </t>
  </si>
  <si>
    <t xml:space="preserve"> 33.25 </t>
  </si>
  <si>
    <t>C:\Users\andre\Desktop\REACTIV CEFAS\Prochloraz\Prochloraz/20201117_Cefas_Test6-Run2/Plate 1/@3/B3_03- exclu.tif</t>
  </si>
  <si>
    <t xml:space="preserve">C:\Users\andre\Desktop\REACTIV CEFAS\Prochloraz\Prochloraz/20201117_Cefas_Test6-Run2/Plate 1/@3/C3_01.tif </t>
  </si>
  <si>
    <t xml:space="preserve"> 6121.2602 </t>
  </si>
  <si>
    <t xml:space="preserve"> 38.0813 </t>
  </si>
  <si>
    <t>C:\Users\andre\Desktop\REACTIV CEFAS\Prochloraz\Prochloraz/20201117_Cefas_Test6-Run2/Plate 1/@3/C3_02- exclu.tif</t>
  </si>
  <si>
    <t>C:\Users\andre\Desktop\REACTIV CEFAS\Prochloraz\Prochloraz/20201117_Cefas_Test6-Run2/Plate 1/@3/C3_03- exclu.tif</t>
  </si>
  <si>
    <t xml:space="preserve">C:\Users\andre\Desktop\REACTIV CEFAS\Prochloraz\Prochloraz/20201117_Cefas_Test6-Run2/Plate 1/@3/D3_01.tif </t>
  </si>
  <si>
    <t xml:space="preserve"> 31.2222 </t>
  </si>
  <si>
    <t xml:space="preserve">C:\Users\andre\Desktop\REACTIV CEFAS\Prochloraz\Prochloraz/20201117_Cefas_Test6-Run2/Plate 1/@3/D3_02.tif </t>
  </si>
  <si>
    <t xml:space="preserve">C:\Users\andre\Desktop\REACTIV CEFAS\Prochloraz\Prochloraz/20201117_Cefas_Test6-Run2/Plate 1/@3/D3_03.tif </t>
  </si>
  <si>
    <t xml:space="preserve"> 33.0362 </t>
  </si>
  <si>
    <t xml:space="preserve">C:\Users\andre\Desktop\REACTIV CEFAS\Prochloraz\Prochloraz/20201117_Cefas_Test6-Run2/Plate 1/@3/E3_01.tif </t>
  </si>
  <si>
    <t xml:space="preserve"> 40.8171 </t>
  </si>
  <si>
    <t xml:space="preserve">C:\Users\andre\Desktop\REACTIV CEFAS\Prochloraz\Prochloraz/20201117_Cefas_Test6-Run2/Plate 1/@3/E3_02.tif </t>
  </si>
  <si>
    <t xml:space="preserve"> 37.7931 </t>
  </si>
  <si>
    <t xml:space="preserve">C:\Users\andre\Desktop\REACTIV CEFAS\Prochloraz\Prochloraz/20201117_Cefas_Test6-Run2/Plate 1/@3/E3_03.tif </t>
  </si>
  <si>
    <t xml:space="preserve"> 5169.5448 </t>
  </si>
  <si>
    <t xml:space="preserve"> 36.5272 </t>
  </si>
  <si>
    <t xml:space="preserve">C:\Users\andre\Desktop\REACTIV CEFAS\Prochloraz\Prochloraz/20201117_Cefas_Test6-Run2/Plate 1/@3/F3_01.tif </t>
  </si>
  <si>
    <t xml:space="preserve">C:\Users\andre\Desktop\REACTIV CEFAS\Prochloraz\Prochloraz/20201117_Cefas_Test6-Run2/Plate 1/@3/F3_02.tif </t>
  </si>
  <si>
    <t xml:space="preserve"> 5991.4808 </t>
  </si>
  <si>
    <t xml:space="preserve"> 36.1227 </t>
  </si>
  <si>
    <t xml:space="preserve">C:\Users\andre\Desktop\REACTIV CEFAS\Prochloraz\Prochloraz/20201117_Cefas_Test6-Run2/Plate 1/@3/F3_03.tif </t>
  </si>
  <si>
    <t xml:space="preserve"> 39.1768 </t>
  </si>
  <si>
    <t xml:space="preserve">C:\Users\andre\Desktop\REACTIV CEFAS\Prochloraz\Prochloraz/20201117_Cefas_Test6-Run2/Plate 1/@3/G3_01.tif </t>
  </si>
  <si>
    <t xml:space="preserve">C:\Users\andre\Desktop\REACTIV CEFAS\Prochloraz\Prochloraz/20201117_Cefas_Test6-Run2/Plate 1/@3/G3_02.tif </t>
  </si>
  <si>
    <t xml:space="preserve"> 5861.7014 </t>
  </si>
  <si>
    <t xml:space="preserve"> 36.3358 </t>
  </si>
  <si>
    <t xml:space="preserve">C:\Users\andre\Desktop\REACTIV CEFAS\Prochloraz\Prochloraz/20201117_Cefas_Test6-Run2/Plate 1/@3/G3_03.tif </t>
  </si>
  <si>
    <t xml:space="preserve"> 6013.1107 </t>
  </si>
  <si>
    <t xml:space="preserve"> 36.4317 </t>
  </si>
  <si>
    <t xml:space="preserve">C:\Users\andre\Desktop\REACTIV CEFAS\Prochloraz\Prochloraz/20201117_Cefas_Test6-Run2/Plate 1/@3/H3_01.tif </t>
  </si>
  <si>
    <t xml:space="preserve">C:\Users\andre\Desktop\REACTIV CEFAS\Prochloraz\Prochloraz/20201117_Cefas_Test6-Run2/Plate 1/@3/H3_02.tif </t>
  </si>
  <si>
    <t xml:space="preserve"> 32.6 </t>
  </si>
  <si>
    <t xml:space="preserve">C:\Users\andre\Desktop\REACTIV CEFAS\Prochloraz\Prochloraz/20201117_Cefas_Test6-Run2/Plate 1/@3/H3_03.tif </t>
  </si>
  <si>
    <t xml:space="preserve"> 31.9259 </t>
  </si>
  <si>
    <t xml:space="preserve">C:\Users\andre\Desktop\REACTIV CEFAS\Prochloraz\Prochloraz/20201117_Cefas_Test6-Run2/Plate 1/@3/ </t>
  </si>
  <si>
    <t xml:space="preserve"> 30.8566 </t>
  </si>
  <si>
    <t xml:space="preserve"> 12.3743 </t>
  </si>
  <si>
    <t xml:space="preserve"> 110473.833 </t>
  </si>
  <si>
    <t xml:space="preserve"> 125021.735 </t>
  </si>
  <si>
    <t xml:space="preserve">C:\Users\andre\Desktop\REACTIV CEFAS\Prochloraz\Prochloraz/20201117_Cefas_Test6-Run2/Plate 1/@4/A4_01.tif </t>
  </si>
  <si>
    <t xml:space="preserve"> 31.2 </t>
  </si>
  <si>
    <t xml:space="preserve">C:\Users\andre\Desktop\REACTIV CEFAS\Prochloraz\Prochloraz/20201117_Cefas_Test6-Run2/Plate 1/@4/A4_02.tif </t>
  </si>
  <si>
    <t xml:space="preserve"> 34.566 </t>
  </si>
  <si>
    <t>C:\Users\andre\Desktop\REACTIV CEFAS\Prochloraz\Prochloraz/20201117_Cefas_Test6-Run2/Plate 1/@4/A4_03- exclu.tif</t>
  </si>
  <si>
    <t xml:space="preserve">C:\Users\andre\Desktop\REACTIV CEFAS\Prochloraz\Prochloraz/20201117_Cefas_Test6-Run2/Plate 1/@4/B4_01.tif </t>
  </si>
  <si>
    <t xml:space="preserve"> 2184.6194 </t>
  </si>
  <si>
    <t xml:space="preserve"> 33.6733 </t>
  </si>
  <si>
    <t xml:space="preserve">C:\Users\andre\Desktop\REACTIV CEFAS\Prochloraz\Prochloraz/20201117_Cefas_Test6-Run2/Plate 1/@4/B4_02.tif </t>
  </si>
  <si>
    <t xml:space="preserve"> 1362.6834 </t>
  </si>
  <si>
    <t xml:space="preserve"> 32.8413 </t>
  </si>
  <si>
    <t xml:space="preserve">C:\Users\andre\Desktop\REACTIV CEFAS\Prochloraz\Prochloraz/20201117_Cefas_Test6-Run2/Plate 1/@4/B4_03.tif </t>
  </si>
  <si>
    <t xml:space="preserve"> 35.3793 </t>
  </si>
  <si>
    <t>C:\Users\andre\Desktop\REACTIV CEFAS\Prochloraz\Prochloraz/20201117_Cefas_Test6-Run2/Plate 1/@4/C4_01- exclu.tif</t>
  </si>
  <si>
    <t>C:\Users\andre\Desktop\REACTIV CEFAS\Prochloraz\Prochloraz/20201117_Cefas_Test6-Run2/Plate 1/@4/C4_02- exclu.tif</t>
  </si>
  <si>
    <t>C:\Users\andre\Desktop\REACTIV CEFAS\Prochloraz\Prochloraz/20201117_Cefas_Test6-Run2/Plate 1/@4/C4_03- exclu.tif</t>
  </si>
  <si>
    <t xml:space="preserve">C:\Users\andre\Desktop\REACTIV CEFAS\Prochloraz\Prochloraz/20201117_Cefas_Test6-Run2/Plate 1/@4/D4_01.tif </t>
  </si>
  <si>
    <t xml:space="preserve"> 173.0392 </t>
  </si>
  <si>
    <t xml:space="preserve"> 30.75 </t>
  </si>
  <si>
    <t xml:space="preserve">C:\Users\andre\Desktop\REACTIV CEFAS\Prochloraz\Prochloraz/20201117_Cefas_Test6-Run2/Plate 1/@4/D4_02.tif </t>
  </si>
  <si>
    <t xml:space="preserve"> 33.8778 </t>
  </si>
  <si>
    <t xml:space="preserve">C:\Users\andre\Desktop\REACTIV CEFAS\Prochloraz\Prochloraz/20201117_Cefas_Test6-Run2/Plate 1/@4/D4_03.tif </t>
  </si>
  <si>
    <t xml:space="preserve"> 35.1158 </t>
  </si>
  <si>
    <t xml:space="preserve">C:\Users\andre\Desktop\REACTIV CEFAS\Prochloraz\Prochloraz/20201117_Cefas_Test6-Run2/Plate 1/@4/E4_01.tif </t>
  </si>
  <si>
    <t xml:space="preserve"> 37.214 </t>
  </si>
  <si>
    <t xml:space="preserve">C:\Users\andre\Desktop\REACTIV CEFAS\Prochloraz\Prochloraz/20201117_Cefas_Test6-Run2/Plate 1/@4/E4_02.tif </t>
  </si>
  <si>
    <t xml:space="preserve"> 302.8185 </t>
  </si>
  <si>
    <t xml:space="preserve"> 31.3571 </t>
  </si>
  <si>
    <t xml:space="preserve">C:\Users\andre\Desktop\REACTIV CEFAS\Prochloraz\Prochloraz/20201117_Cefas_Test6-Run2/Plate 1/@4/E4_03.tif </t>
  </si>
  <si>
    <t xml:space="preserve"> 5364.2139 </t>
  </si>
  <si>
    <t xml:space="preserve"> 40.3226 </t>
  </si>
  <si>
    <t xml:space="preserve">C:\Users\andre\Desktop\REACTIV CEFAS\Prochloraz\Prochloraz/20201117_Cefas_Test6-Run2/Plate 1/@4/F4_01.tif </t>
  </si>
  <si>
    <t xml:space="preserve"> 5948.221 </t>
  </si>
  <si>
    <t xml:space="preserve"> 39.2364 </t>
  </si>
  <si>
    <t xml:space="preserve">C:\Users\andre\Desktop\REACTIV CEFAS\Prochloraz\Prochloraz/20201117_Cefas_Test6-Run2/Plate 1/@4/F4_02.tif </t>
  </si>
  <si>
    <t xml:space="preserve"> 4239.4593 </t>
  </si>
  <si>
    <t xml:space="preserve"> 37.7806 </t>
  </si>
  <si>
    <t xml:space="preserve">C:\Users\andre\Desktop\REACTIV CEFAS\Prochloraz\Prochloraz/20201117_Cefas_Test6-Run2/Plate 1/@4/F4_03.tif </t>
  </si>
  <si>
    <t xml:space="preserve"> 4174.5697 </t>
  </si>
  <si>
    <t xml:space="preserve"> 36.9275 </t>
  </si>
  <si>
    <t xml:space="preserve">C:\Users\andre\Desktop\REACTIV CEFAS\Prochloraz\Prochloraz/20201117_Cefas_Test6-Run2/Plate 1/@4/G4_01.tif </t>
  </si>
  <si>
    <t xml:space="preserve"> 12026.2214 </t>
  </si>
  <si>
    <t xml:space="preserve"> 41.3094 </t>
  </si>
  <si>
    <t xml:space="preserve">C:\Users\andre\Desktop\REACTIV CEFAS\Prochloraz\Prochloraz/20201117_Cefas_Test6-Run2/Plate 1/@4/G4_02.tif </t>
  </si>
  <si>
    <t xml:space="preserve"> 13064.4564 </t>
  </si>
  <si>
    <t xml:space="preserve"> 34.8642 </t>
  </si>
  <si>
    <t>C:\Users\andre\Desktop\REACTIV CEFAS\Prochloraz\Prochloraz/20201117_Cefas_Test6-Run2/Plate 1/@4/G4_03- exclu.tif</t>
  </si>
  <si>
    <t xml:space="preserve">C:\Users\andre\Desktop\REACTIV CEFAS\Prochloraz\Prochloraz/20201117_Cefas_Test6-Run2/Plate 1/@4/H4_01.tif </t>
  </si>
  <si>
    <t xml:space="preserve"> 35.4946 </t>
  </si>
  <si>
    <t xml:space="preserve">C:\Users\andre\Desktop\REACTIV CEFAS\Prochloraz\Prochloraz/20201117_Cefas_Test6-Run2/Plate 1/@4/H4_02.tif </t>
  </si>
  <si>
    <t xml:space="preserve"> 2509.0678 </t>
  </si>
  <si>
    <t xml:space="preserve"> 38.1379 </t>
  </si>
  <si>
    <t xml:space="preserve">C:\Users\andre\Desktop\REACTIV CEFAS\Prochloraz\Prochloraz/20201117_Cefas_Test6-Run2/Plate 1/@4/H4_03.tif </t>
  </si>
  <si>
    <t xml:space="preserve"> 9279.2248 </t>
  </si>
  <si>
    <t xml:space="preserve"> 38.7902 </t>
  </si>
  <si>
    <t xml:space="preserve">C:\Users\andre\Desktop\REACTIV CEFAS\Prochloraz\Prochloraz/20201117_Cefas_Test6-Run2/Plate 1/@4/ </t>
  </si>
  <si>
    <t xml:space="preserve"> 34.3947 </t>
  </si>
  <si>
    <t xml:space="preserve"> 12.3707 </t>
  </si>
  <si>
    <t xml:space="preserve"> 205544.333 </t>
  </si>
  <si>
    <t xml:space="preserve"> 255013.901 </t>
  </si>
  <si>
    <t xml:space="preserve">C:\Users\andre\Desktop\REACTIV CEFAS\Prochloraz\Prochloraz/20201117_Cefas_Test6-Run2/Plate 1/@5/A5_01.tif </t>
  </si>
  <si>
    <t xml:space="preserve">C:\Users\andre\Desktop\REACTIV CEFAS\Prochloraz\Prochloraz/20201117_Cefas_Test6-Run2/Plate 1/@5/A5_02.tif </t>
  </si>
  <si>
    <t>C:\Users\andre\Desktop\REACTIV CEFAS\Prochloraz\Prochloraz/20201117_Cefas_Test6-Run2/Plate 1/@5/A5_03- exclu.tif</t>
  </si>
  <si>
    <t xml:space="preserve">C:\Users\andre\Desktop\REACTIV CEFAS\Prochloraz\Prochloraz/20201117_Cefas_Test6-Run2/Plate 1/@5/B5_01.tif </t>
  </si>
  <si>
    <t xml:space="preserve"> 25523.2757 </t>
  </si>
  <si>
    <t xml:space="preserve"> 33.15 </t>
  </si>
  <si>
    <t xml:space="preserve">C:\Users\andre\Desktop\REACTIV CEFAS\Prochloraz\Prochloraz/20201117_Cefas_Test6-Run2/Plate 1/@5/B5_02.tif </t>
  </si>
  <si>
    <t xml:space="preserve"> 39128.4794 </t>
  </si>
  <si>
    <t xml:space="preserve"> 35.4024 </t>
  </si>
  <si>
    <t xml:space="preserve">C:\Users\andre\Desktop\REACTIV CEFAS\Prochloraz\Prochloraz/20201117_Cefas_Test6-Run2/Plate 1/@5/B5_03.tif </t>
  </si>
  <si>
    <t xml:space="preserve"> 34845.7602 </t>
  </si>
  <si>
    <t xml:space="preserve"> 34.509 </t>
  </si>
  <si>
    <t xml:space="preserve">C:\Users\andre\Desktop\REACTIV CEFAS\Prochloraz\Prochloraz/20201117_Cefas_Test6-Run2/Plate 1/@5/C5_01.tif </t>
  </si>
  <si>
    <t xml:space="preserve"> 2011.5802 </t>
  </si>
  <si>
    <t xml:space="preserve"> 34.129 </t>
  </si>
  <si>
    <t xml:space="preserve">C:\Users\andre\Desktop\REACTIV CEFAS\Prochloraz\Prochloraz/20201117_Cefas_Test6-Run2/Plate 1/@5/C5_02.tif </t>
  </si>
  <si>
    <t xml:space="preserve"> 31.4688 </t>
  </si>
  <si>
    <t xml:space="preserve">C:\Users\andre\Desktop\REACTIV CEFAS\Prochloraz\Prochloraz/20201117_Cefas_Test6-Run2/Plate 1/@5/C5_03.tif </t>
  </si>
  <si>
    <t xml:space="preserve">C:\Users\andre\Desktop\REACTIV CEFAS\Prochloraz\Prochloraz/20201117_Cefas_Test6-Run2/Plate 1/@5/D5_01.tif </t>
  </si>
  <si>
    <t>C:\Users\andre\Desktop\REACTIV CEFAS\Prochloraz\Prochloraz/20201117_Cefas_Test6-Run2/Plate 1/@5/D5_02- exclu.tif</t>
  </si>
  <si>
    <t xml:space="preserve">C:\Users\andre\Desktop\REACTIV CEFAS\Prochloraz\Prochloraz/20201117_Cefas_Test6-Run2/Plate 1/@5/D5_03.tif </t>
  </si>
  <si>
    <t xml:space="preserve">C:\Users\andre\Desktop\REACTIV CEFAS\Prochloraz\Prochloraz/20201117_Cefas_Test6-Run2/Plate 1/@5/E5_01.tif </t>
  </si>
  <si>
    <t xml:space="preserve"> 30995.639 </t>
  </si>
  <si>
    <t xml:space="preserve"> 31.529 </t>
  </si>
  <si>
    <t xml:space="preserve">C:\Users\andre\Desktop\REACTIV CEFAS\Prochloraz\Prochloraz/20201117_Cefas_Test6-Run2/Plate 1/@5/E5_02.tif </t>
  </si>
  <si>
    <t xml:space="preserve"> 31.3926 </t>
  </si>
  <si>
    <t xml:space="preserve">C:\Users\andre\Desktop\REACTIV CEFAS\Prochloraz\Prochloraz/20201117_Cefas_Test6-Run2/Plate 1/@5/E5_03.tif </t>
  </si>
  <si>
    <t xml:space="preserve"> 14275.7305 </t>
  </si>
  <si>
    <t xml:space="preserve"> 31.4091 </t>
  </si>
  <si>
    <t xml:space="preserve">C:\Users\andre\Desktop\REACTIV CEFAS\Prochloraz\Prochloraz/20201117_Cefas_Test6-Run2/Plate 1/@5/F5_01.tif </t>
  </si>
  <si>
    <t xml:space="preserve">C:\Users\andre\Desktop\REACTIV CEFAS\Prochloraz\Prochloraz/20201117_Cefas_Test6-Run2/Plate 1/@5/F5_02.tif </t>
  </si>
  <si>
    <t xml:space="preserve"> 713.7865 </t>
  </si>
  <si>
    <t xml:space="preserve"> 31.1515 </t>
  </si>
  <si>
    <t xml:space="preserve">C:\Users\andre\Desktop\REACTIV CEFAS\Prochloraz\Prochloraz/20201117_Cefas_Test6-Run2/Plate 1/@5/F5_03.tif </t>
  </si>
  <si>
    <t xml:space="preserve">C:\Users\andre\Desktop\REACTIV CEFAS\Prochloraz\Prochloraz/20201117_Cefas_Test6-Run2/Plate 1/@5/G5_01.tif </t>
  </si>
  <si>
    <t xml:space="preserve"> 40.3232 </t>
  </si>
  <si>
    <t xml:space="preserve">C:\Users\andre\Desktop\REACTIV CEFAS\Prochloraz\Prochloraz/20201117_Cefas_Test6-Run2/Plate 1/@5/G5_02.tif </t>
  </si>
  <si>
    <t xml:space="preserve"> 3915.0109 </t>
  </si>
  <si>
    <t xml:space="preserve"> 36.9116 </t>
  </si>
  <si>
    <t xml:space="preserve">C:\Users\andre\Desktop\REACTIV CEFAS\Prochloraz\Prochloraz/20201117_Cefas_Test6-Run2/Plate 1/@5/G5_03.tif </t>
  </si>
  <si>
    <t xml:space="preserve"> 35.4682 </t>
  </si>
  <si>
    <t xml:space="preserve">C:\Users\andre\Desktop\REACTIV CEFAS\Prochloraz\Prochloraz/20201117_Cefas_Test6-Run2/Plate 1/@5/H5_01.tif </t>
  </si>
  <si>
    <t xml:space="preserve"> 2725.3667 </t>
  </si>
  <si>
    <t xml:space="preserve"> 33.3095 </t>
  </si>
  <si>
    <t xml:space="preserve">C:\Users\andre\Desktop\REACTIV CEFAS\Prochloraz\Prochloraz/20201117_Cefas_Test6-Run2/Plate 1/@5/H5_02.tif </t>
  </si>
  <si>
    <t xml:space="preserve"> 5602.1427 </t>
  </si>
  <si>
    <t xml:space="preserve"> 39.1506 </t>
  </si>
  <si>
    <t xml:space="preserve">C:\Users\andre\Desktop\REACTIV CEFAS\Prochloraz\Prochloraz/20201117_Cefas_Test6-Run2/Plate 1/@5/H5_03.tif </t>
  </si>
  <si>
    <t xml:space="preserve"> 34.2035 </t>
  </si>
  <si>
    <t xml:space="preserve">C:\Users\andre\Desktop\REACTIV CEFAS\Prochloraz\Prochloraz/20201117_Cefas_Test6-Run2/Plate 1/@5/ </t>
  </si>
  <si>
    <t xml:space="preserve"> 24.0956 </t>
  </si>
  <si>
    <t xml:space="preserve"> 15.9608 </t>
  </si>
  <si>
    <t xml:space="preserve"> 251220.417 </t>
  </si>
  <si>
    <t xml:space="preserve"> 412272.07 </t>
  </si>
  <si>
    <t xml:space="preserve">C:\Users\andre\Desktop\REACTIV CEFAS\Prochloraz\Prochloraz/20201117_Cefas_Test6-Run2/Plate 1/@6/A6_01.tif </t>
  </si>
  <si>
    <t xml:space="preserve"> 51154.7008 </t>
  </si>
  <si>
    <t xml:space="preserve"> 41.814 </t>
  </si>
  <si>
    <t xml:space="preserve">C:\Users\andre\Desktop\REACTIV CEFAS\Prochloraz\Prochloraz/20201117_Cefas_Test6-Run2/Plate 1/@6/A6_02.tif </t>
  </si>
  <si>
    <t xml:space="preserve"> 48861.932 </t>
  </si>
  <si>
    <t xml:space="preserve"> 44.9637 </t>
  </si>
  <si>
    <t xml:space="preserve">C:\Users\andre\Desktop\REACTIV CEFAS\Prochloraz\Prochloraz/20201117_Cefas_Test6-Run2/Plate 1/@6/A6_03.tif </t>
  </si>
  <si>
    <t xml:space="preserve"> 66036.0683 </t>
  </si>
  <si>
    <t xml:space="preserve"> 42.0606 </t>
  </si>
  <si>
    <t xml:space="preserve">C:\Users\andre\Desktop\REACTIV CEFAS\Prochloraz\Prochloraz/20201117_Cefas_Test6-Run2/Plate 1/@6/B6_01.tif </t>
  </si>
  <si>
    <t xml:space="preserve"> 50938.4019 </t>
  </si>
  <si>
    <t xml:space="preserve"> 46.118 </t>
  </si>
  <si>
    <t xml:space="preserve">C:\Users\andre\Desktop\REACTIV CEFAS\Prochloraz\Prochloraz/20201117_Cefas_Test6-Run2/Plate 1/@6/B6_02.tif </t>
  </si>
  <si>
    <t xml:space="preserve"> 53620.5088 </t>
  </si>
  <si>
    <t xml:space="preserve"> 42.1436 </t>
  </si>
  <si>
    <t xml:space="preserve">C:\Users\andre\Desktop\REACTIV CEFAS\Prochloraz\Prochloraz/20201117_Cefas_Test6-Run2/Plate 1/@6/B6_03.tif </t>
  </si>
  <si>
    <t xml:space="preserve"> 46742.2023 </t>
  </si>
  <si>
    <t xml:space="preserve"> 46.0639 </t>
  </si>
  <si>
    <t xml:space="preserve">C:\Users\andre\Desktop\REACTIV CEFAS\Prochloraz\Prochloraz/20201117_Cefas_Test6-Run2/Plate 1/@6/C6_01.tif </t>
  </si>
  <si>
    <t xml:space="preserve"> 61126.0822 </t>
  </si>
  <si>
    <t xml:space="preserve"> 46.3857 </t>
  </si>
  <si>
    <t xml:space="preserve">C:\Users\andre\Desktop\REACTIV CEFAS\Prochloraz\Prochloraz/20201117_Cefas_Test6-Run2/Plate 1/@6/C6_02.tif </t>
  </si>
  <si>
    <t xml:space="preserve"> 58681.9041 </t>
  </si>
  <si>
    <t xml:space="preserve"> 49.2525 </t>
  </si>
  <si>
    <t xml:space="preserve">C:\Users\andre\Desktop\REACTIV CEFAS\Prochloraz\Prochloraz/20201117_Cefas_Test6-Run2/Plate 1/@6/C6_03.tif </t>
  </si>
  <si>
    <t xml:space="preserve"> 61991.278 </t>
  </si>
  <si>
    <t xml:space="preserve"> 48.1553 </t>
  </si>
  <si>
    <t>C:\Users\andre\Desktop\REACTIV CEFAS\Prochloraz\Prochloraz/20201117_Cefas_Test6-Run2/Plate 1/@6/D6_01- exclu.tif</t>
  </si>
  <si>
    <t>C:\Users\andre\Desktop\REACTIV CEFAS\Prochloraz\Prochloraz/20201117_Cefas_Test6-Run2/Plate 1/@6/D6_02- exclu.tif</t>
  </si>
  <si>
    <t>C:\Users\andre\Desktop\REACTIV CEFAS\Prochloraz\Prochloraz/20201117_Cefas_Test6-Run2/Plate 1/@6/D6_03- exclu.tif</t>
  </si>
  <si>
    <t xml:space="preserve">C:\Users\andre\Desktop\REACTIV CEFAS\Prochloraz\Prochloraz/20201117_Cefas_Test6-Run2/Plate 1/@6/E6_01.tif </t>
  </si>
  <si>
    <t xml:space="preserve"> 99194.6968 </t>
  </si>
  <si>
    <t xml:space="preserve"> 50.1742 </t>
  </si>
  <si>
    <t xml:space="preserve">C:\Users\andre\Desktop\REACTIV CEFAS\Prochloraz\Prochloraz/20201117_Cefas_Test6-Run2/Plate 1/@6/E6_02.tif </t>
  </si>
  <si>
    <t xml:space="preserve"> 98653.9494 </t>
  </si>
  <si>
    <t xml:space="preserve"> 47.4389 </t>
  </si>
  <si>
    <t xml:space="preserve">C:\Users\andre\Desktop\REACTIV CEFAS\Prochloraz\Prochloraz/20201117_Cefas_Test6-Run2/Plate 1/@6/E6_03.tif </t>
  </si>
  <si>
    <t xml:space="preserve"> 45.7331 </t>
  </si>
  <si>
    <t xml:space="preserve">C:\Users\andre\Desktop\REACTIV CEFAS\Prochloraz\Prochloraz/20201117_Cefas_Test6-Run2/Plate 1/@6/F6_01.tif </t>
  </si>
  <si>
    <t xml:space="preserve"> 49143.1206 </t>
  </si>
  <si>
    <t xml:space="preserve"> 43.5066 </t>
  </si>
  <si>
    <t xml:space="preserve">C:\Users\andre\Desktop\REACTIV CEFAS\Prochloraz\Prochloraz/20201117_Cefas_Test6-Run2/Plate 1/@6/F6_02.tif </t>
  </si>
  <si>
    <t xml:space="preserve"> 47023.3909 </t>
  </si>
  <si>
    <t xml:space="preserve"> 45.4742 </t>
  </si>
  <si>
    <t xml:space="preserve">C:\Users\andre\Desktop\REACTIV CEFAS\Prochloraz\Prochloraz/20201117_Cefas_Test6-Run2/Plate 1/@6/F6_03.tif </t>
  </si>
  <si>
    <t xml:space="preserve"> 49792.0174 </t>
  </si>
  <si>
    <t xml:space="preserve"> 49.2024 </t>
  </si>
  <si>
    <t xml:space="preserve">C:\Users\andre\Desktop\REACTIV CEFAS\Prochloraz\Prochloraz/20201117_Cefas_Test6-Run2/Plate 1/@6/G6_01.tif </t>
  </si>
  <si>
    <t xml:space="preserve"> 68090.9083 </t>
  </si>
  <si>
    <t xml:space="preserve"> 43.0492 </t>
  </si>
  <si>
    <t xml:space="preserve">C:\Users\andre\Desktop\REACTIV CEFAS\Prochloraz\Prochloraz/20201117_Cefas_Test6-Run2/Plate 1/@6/G6_02.tif </t>
  </si>
  <si>
    <t xml:space="preserve"> 59417.3205 </t>
  </si>
  <si>
    <t xml:space="preserve"> 45.5941 </t>
  </si>
  <si>
    <t xml:space="preserve">C:\Users\andre\Desktop\REACTIV CEFAS\Prochloraz\Prochloraz/20201117_Cefas_Test6-Run2/Plate 1/@6/G6_03.tif </t>
  </si>
  <si>
    <t xml:space="preserve"> 54918.3025 </t>
  </si>
  <si>
    <t xml:space="preserve"> 42.0654 </t>
  </si>
  <si>
    <t xml:space="preserve">C:\Users\andre\Desktop\REACTIV CEFAS\Prochloraz\Prochloraz/20201117_Cefas_Test6-Run2/Plate 1/@6/H6_01.tif </t>
  </si>
  <si>
    <t xml:space="preserve"> 67506.9011 </t>
  </si>
  <si>
    <t xml:space="preserve"> 43.2634 </t>
  </si>
  <si>
    <t xml:space="preserve">C:\Users\andre\Desktop\REACTIV CEFAS\Prochloraz\Prochloraz/20201117_Cefas_Test6-Run2/Plate 1/@6/H6_02.tif </t>
  </si>
  <si>
    <t xml:space="preserve"> 62726.6944 </t>
  </si>
  <si>
    <t xml:space="preserve"> 40.13 </t>
  </si>
  <si>
    <t xml:space="preserve">C:\Users\andre\Desktop\REACTIV CEFAS\Prochloraz\Prochloraz/20201117_Cefas_Test6-Run2/Plate 1/@6/H6_03.tif </t>
  </si>
  <si>
    <t xml:space="preserve"> 56691.9538 </t>
  </si>
  <si>
    <t xml:space="preserve"> 44.2068 </t>
  </si>
  <si>
    <t xml:space="preserve">C:\Users\andre\Desktop\REACTIV CEFAS\Prochloraz\Prochloraz/20201117_Cefas_Test6-Run2/Plate 1/@6/ </t>
  </si>
  <si>
    <t xml:space="preserve"> 44.8068 </t>
  </si>
  <si>
    <t xml:space="preserve"> 2.6848 </t>
  </si>
  <si>
    <t xml:space="preserve"> 2605293.71 </t>
  </si>
  <si>
    <t xml:space="preserve"> 953547.293 </t>
  </si>
  <si>
    <t xml:space="preserve">C:\Users\andre\Desktop\REACTIV CEFAS\Prochloraz\Prochloraz/20201117_Cefas_Test6-Run2/Plate 1/@7/A7_01.tif </t>
  </si>
  <si>
    <t xml:space="preserve"> 80701.1369 </t>
  </si>
  <si>
    <t xml:space="preserve"> 58.9461 </t>
  </si>
  <si>
    <t xml:space="preserve">C:\Users\andre\Desktop\REACTIV CEFAS\Prochloraz\Prochloraz/20201117_Cefas_Test6-Run2/Plate 1/@7/A7_02.tif </t>
  </si>
  <si>
    <t xml:space="preserve"> 92035.2016 </t>
  </si>
  <si>
    <t xml:space="preserve"> 52.6531 </t>
  </si>
  <si>
    <t xml:space="preserve">C:\Users\andre\Desktop\REACTIV CEFAS\Prochloraz\Prochloraz/20201117_Cefas_Test6-Run2/Plate 1/@7/A7_03.tif </t>
  </si>
  <si>
    <t xml:space="preserve"> 89309.8349 </t>
  </si>
  <si>
    <t xml:space="preserve"> 57.2662 </t>
  </si>
  <si>
    <t xml:space="preserve">C:\Users\andre\Desktop\REACTIV CEFAS\Prochloraz\Prochloraz/20201117_Cefas_Test6-Run2/Plate 1/@7/B7_01.tif </t>
  </si>
  <si>
    <t xml:space="preserve"> 68004.3887 </t>
  </si>
  <si>
    <t xml:space="preserve"> 53.833 </t>
  </si>
  <si>
    <t xml:space="preserve">C:\Users\andre\Desktop\REACTIV CEFAS\Prochloraz\Prochloraz/20201117_Cefas_Test6-Run2/Plate 1/@7/B7_02.tif </t>
  </si>
  <si>
    <t xml:space="preserve"> 67377.1218 </t>
  </si>
  <si>
    <t xml:space="preserve"> 54.2421 </t>
  </si>
  <si>
    <t xml:space="preserve">C:\Users\andre\Desktop\REACTIV CEFAS\Prochloraz\Prochloraz/20201117_Cefas_Test6-Run2/Plate 1/@7/B7_03.tif </t>
  </si>
  <si>
    <t xml:space="preserve"> 67160.8228 </t>
  </si>
  <si>
    <t xml:space="preserve"> 53.9233 </t>
  </si>
  <si>
    <t xml:space="preserve">C:\Users\andre\Desktop\REACTIV CEFAS\Prochloraz\Prochloraz/20201117_Cefas_Test6-Run2/Plate 1/@7/C7_01.tif </t>
  </si>
  <si>
    <t xml:space="preserve"> 91191.6358 </t>
  </si>
  <si>
    <t xml:space="preserve"> 53.6708 </t>
  </si>
  <si>
    <t xml:space="preserve">C:\Users\andre\Desktop\REACTIV CEFAS\Prochloraz\Prochloraz/20201117_Cefas_Test6-Run2/Plate 1/@7/C7_02.tif </t>
  </si>
  <si>
    <t xml:space="preserve"> 77997.4 </t>
  </si>
  <si>
    <t xml:space="preserve"> 55.8747 </t>
  </si>
  <si>
    <t xml:space="preserve">C:\Users\andre\Desktop\REACTIV CEFAS\Prochloraz\Prochloraz/20201117_Cefas_Test6-Run2/Plate 1/@7/C7_03.tif </t>
  </si>
  <si>
    <t xml:space="preserve"> 81739.3718 </t>
  </si>
  <si>
    <t xml:space="preserve"> 55.7997 </t>
  </si>
  <si>
    <t xml:space="preserve">C:\Users\andre\Desktop\REACTIV CEFAS\Prochloraz\Prochloraz/20201117_Cefas_Test6-Run2/Plate 1/@7/D7_01.tif </t>
  </si>
  <si>
    <t xml:space="preserve"> 78429.9979 </t>
  </si>
  <si>
    <t xml:space="preserve"> 55.2722 </t>
  </si>
  <si>
    <t xml:space="preserve">C:\Users\andre\Desktop\REACTIV CEFAS\Prochloraz\Prochloraz/20201117_Cefas_Test6-Run2/Plate 1/@7/D7_02.tif </t>
  </si>
  <si>
    <t xml:space="preserve"> 80549.7276 </t>
  </si>
  <si>
    <t xml:space="preserve"> 57.1321 </t>
  </si>
  <si>
    <t xml:space="preserve">C:\Users\andre\Desktop\REACTIV CEFAS\Prochloraz\Prochloraz/20201117_Cefas_Test6-Run2/Plate 1/@7/D7_03.tif </t>
  </si>
  <si>
    <t xml:space="preserve"> 78148.8093 </t>
  </si>
  <si>
    <t xml:space="preserve"> 54.6028 </t>
  </si>
  <si>
    <t>C:\Users\andre\Desktop\REACTIV CEFAS\Prochloraz\Prochloraz/20201117_Cefas_Test6-Run2/Plate 1/@7/E7_01- exclu.tif</t>
  </si>
  <si>
    <t xml:space="preserve">C:\Users\andre\Desktop\REACTIV CEFAS\Prochloraz\Prochloraz/20201117_Cefas_Test6-Run2/Plate 1/@7/E7_02.tif </t>
  </si>
  <si>
    <t xml:space="preserve"> 65841.3993 </t>
  </si>
  <si>
    <t xml:space="preserve"> 59.1659 </t>
  </si>
  <si>
    <t>C:\Users\andre\Desktop\REACTIV CEFAS\Prochloraz\Prochloraz/20201117_Cefas_Test6-Run2/Plate 1/@7/E7_03- exclu.tif</t>
  </si>
  <si>
    <t xml:space="preserve">C:\Users\andre\Desktop\REACTIV CEFAS\Prochloraz\Prochloraz/20201117_Cefas_Test6-Run2/Plate 1/@7/F7_01.tif </t>
  </si>
  <si>
    <t xml:space="preserve"> 71205.6131 </t>
  </si>
  <si>
    <t xml:space="preserve"> 60.2846 </t>
  </si>
  <si>
    <t xml:space="preserve">C:\Users\andre\Desktop\REACTIV CEFAS\Prochloraz\Prochloraz/20201117_Cefas_Test6-Run2/Plate 1/@7/F7_02.tif </t>
  </si>
  <si>
    <t xml:space="preserve"> 62.5481 </t>
  </si>
  <si>
    <t xml:space="preserve">C:\Users\andre\Desktop\REACTIV CEFAS\Prochloraz\Prochloraz/20201117_Cefas_Test6-Run2/Plate 1/@7/F7_03.tif </t>
  </si>
  <si>
    <t xml:space="preserve"> 60152.737 </t>
  </si>
  <si>
    <t xml:space="preserve"> 60.8565 </t>
  </si>
  <si>
    <t xml:space="preserve">C:\Users\andre\Desktop\REACTIV CEFAS\Prochloraz\Prochloraz/20201117_Cefas_Test6-Run2/Plate 1/@7/G7_01.tif </t>
  </si>
  <si>
    <t xml:space="preserve"> 73173.9335 </t>
  </si>
  <si>
    <t xml:space="preserve"> 62.5782 </t>
  </si>
  <si>
    <t xml:space="preserve">C:\Users\andre\Desktop\REACTIV CEFAS\Prochloraz\Prochloraz/20201117_Cefas_Test6-Run2/Plate 1/@7/G7_02.tif </t>
  </si>
  <si>
    <t xml:space="preserve"> 79078.8948 </t>
  </si>
  <si>
    <t xml:space="preserve"> 59.5364 </t>
  </si>
  <si>
    <t xml:space="preserve">C:\Users\andre\Desktop\REACTIV CEFAS\Prochloraz\Prochloraz/20201117_Cefas_Test6-Run2/Plate 1/@7/G7_03.tif </t>
  </si>
  <si>
    <t xml:space="preserve"> 73022.5243 </t>
  </si>
  <si>
    <t xml:space="preserve"> 59.0649 </t>
  </si>
  <si>
    <t xml:space="preserve">C:\Users\andre\Desktop\REACTIV CEFAS\Prochloraz\Prochloraz/20201117_Cefas_Test6-Run2/Plate 1/@7/H7_01.tif </t>
  </si>
  <si>
    <t xml:space="preserve"> 104256.092 </t>
  </si>
  <si>
    <t xml:space="preserve"> 53.838 </t>
  </si>
  <si>
    <t xml:space="preserve">C:\Users\andre\Desktop\REACTIV CEFAS\Prochloraz\Prochloraz/20201117_Cefas_Test6-Run2/Plate 1/@7/H7_02.tif </t>
  </si>
  <si>
    <t xml:space="preserve"> 89180.0556 </t>
  </si>
  <si>
    <t xml:space="preserve"> 52.5768 </t>
  </si>
  <si>
    <t xml:space="preserve">C:\Users\andre\Desktop\REACTIV CEFAS\Prochloraz\Prochloraz/20201117_Cefas_Test6-Run2/Plate 1/@7/H7_03.tif </t>
  </si>
  <si>
    <t xml:space="preserve"> 89288.205 </t>
  </si>
  <si>
    <t xml:space="preserve"> 54.6105 </t>
  </si>
  <si>
    <t xml:space="preserve">C:\Users\andre\Desktop\REACTIV CEFAS\Prochloraz\Prochloraz/20201117_Cefas_Test6-Run2/Plate 1/@7/ </t>
  </si>
  <si>
    <t xml:space="preserve"> 56.6624 </t>
  </si>
  <si>
    <t xml:space="preserve"> 3.0301 </t>
  </si>
  <si>
    <t xml:space="preserve"> 4287507.5 </t>
  </si>
  <si>
    <t xml:space="preserve"> 665763.613 </t>
  </si>
  <si>
    <t>C:\Users\andre\Desktop\REACTIV CEFAS\Prochloraz\Prochloraz/20201117_Cefas_Test6-Run2/Plate 5/@10/A4_01- exclu.tif</t>
  </si>
  <si>
    <t xml:space="preserve">C:\Users\andre\Desktop\REACTIV CEFAS\Prochloraz\Prochloraz/20201117_Cefas_Test6-Run2/Plate 5/@10/A4_02.tif </t>
  </si>
  <si>
    <t xml:space="preserve">C:\Users\andre\Desktop\REACTIV CEFAS\Prochloraz\Prochloraz/20201117_Cefas_Test6-Run2/Plate 5/@10/A4_03.tif </t>
  </si>
  <si>
    <t xml:space="preserve"> 12415.5595 </t>
  </si>
  <si>
    <t xml:space="preserve"> 47.0105 </t>
  </si>
  <si>
    <t xml:space="preserve">C:\Users\andre\Desktop\REACTIV CEFAS\Prochloraz\Prochloraz/20201117_Cefas_Test6-Run2/Plate 5/@10/B4_01.tif </t>
  </si>
  <si>
    <t xml:space="preserve"> 36.2939 </t>
  </si>
  <si>
    <t xml:space="preserve">C:\Users\andre\Desktop\REACTIV CEFAS\Prochloraz\Prochloraz/20201117_Cefas_Test6-Run2/Plate 5/@10/B4_02.tif </t>
  </si>
  <si>
    <t xml:space="preserve"> 4801.8366 </t>
  </si>
  <si>
    <t xml:space="preserve"> 35.8153 </t>
  </si>
  <si>
    <t xml:space="preserve">C:\Users\andre\Desktop\REACTIV CEFAS\Prochloraz\Prochloraz/20201117_Cefas_Test6-Run2/Plate 5/@10/B4_03.tif </t>
  </si>
  <si>
    <t xml:space="preserve"> 1795.2813 </t>
  </si>
  <si>
    <t xml:space="preserve"> 34.3976 </t>
  </si>
  <si>
    <t xml:space="preserve">C:\Users\andre\Desktop\REACTIV CEFAS\Prochloraz\Prochloraz/20201117_Cefas_Test6-Run2/Plate 5/@10/C4_01.tif </t>
  </si>
  <si>
    <t xml:space="preserve"> 9711.8227 </t>
  </si>
  <si>
    <t xml:space="preserve"> 36.8842 </t>
  </si>
  <si>
    <t xml:space="preserve">C:\Users\andre\Desktop\REACTIV CEFAS\Prochloraz\Prochloraz/20201117_Cefas_Test6-Run2/Plate 5/@10/C4_02.tif </t>
  </si>
  <si>
    <t xml:space="preserve"> 36.2137 </t>
  </si>
  <si>
    <t xml:space="preserve">C:\Users\andre\Desktop\REACTIV CEFAS\Prochloraz\Prochloraz/20201117_Cefas_Test6-Run2/Plate 5/@10/C4_03.tif </t>
  </si>
  <si>
    <t xml:space="preserve"> 36.8366 </t>
  </si>
  <si>
    <t xml:space="preserve">C:\Users\andre\Desktop\REACTIV CEFAS\Prochloraz\Prochloraz/20201117_Cefas_Test6-Run2/Plate 5/@10/D4_01.tif </t>
  </si>
  <si>
    <t xml:space="preserve"> 9582.0433 </t>
  </si>
  <si>
    <t xml:space="preserve"> 37.9187 </t>
  </si>
  <si>
    <t xml:space="preserve">C:\Users\andre\Desktop\REACTIV CEFAS\Prochloraz\Prochloraz/20201117_Cefas_Test6-Run2/Plate 5/@10/D4_02.tif </t>
  </si>
  <si>
    <t xml:space="preserve"> 1860.1709 </t>
  </si>
  <si>
    <t xml:space="preserve"> 35.0233 </t>
  </si>
  <si>
    <t xml:space="preserve">C:\Users\andre\Desktop\REACTIV CEFAS\Prochloraz\Prochloraz/20201117_Cefas_Test6-Run2/Plate 5/@10/D4_03.tif </t>
  </si>
  <si>
    <t xml:space="preserve">C:\Users\andre\Desktop\REACTIV CEFAS\Prochloraz\Prochloraz/20201117_Cefas_Test6-Run2/Plate 5/@10/E4_01.tif </t>
  </si>
  <si>
    <t xml:space="preserve"> 35.5985 </t>
  </si>
  <si>
    <t xml:space="preserve">C:\Users\andre\Desktop\REACTIV CEFAS\Prochloraz\Prochloraz/20201117_Cefas_Test6-Run2/Plate 5/@10/E4_02.tif </t>
  </si>
  <si>
    <t xml:space="preserve"> 33.6364 </t>
  </si>
  <si>
    <t xml:space="preserve">C:\Users\andre\Desktop\REACTIV CEFAS\Prochloraz\Prochloraz/20201117_Cefas_Test6-Run2/Plate 5/@10/E4_03.tif </t>
  </si>
  <si>
    <t xml:space="preserve"> 38.1444 </t>
  </si>
  <si>
    <t xml:space="preserve">C:\Users\andre\Desktop\REACTIV CEFAS\Prochloraz\Prochloraz/20201117_Cefas_Test6-Run2/Plate 5/@10/F4_01.tif </t>
  </si>
  <si>
    <t xml:space="preserve"> 930.0855 </t>
  </si>
  <si>
    <t xml:space="preserve"> 31.7442 </t>
  </si>
  <si>
    <t xml:space="preserve">C:\Users\andre\Desktop\REACTIV CEFAS\Prochloraz\Prochloraz/20201117_Cefas_Test6-Run2/Plate 5/@10/F4_02.tif </t>
  </si>
  <si>
    <t xml:space="preserve"> 11636.8833 </t>
  </si>
  <si>
    <t xml:space="preserve"> 49.0093 </t>
  </si>
  <si>
    <t>C:\Users\andre\Desktop\REACTIV CEFAS\Prochloraz\Prochloraz/20201117_Cefas_Test6-Run2/Plate 5/@10/F4_03- exclu.tif</t>
  </si>
  <si>
    <t xml:space="preserve">C:\Users\andre\Desktop\REACTIV CEFAS\Prochloraz\Prochloraz/20201117_Cefas_Test6-Run2/Plate 5/@10/G4_01.tif </t>
  </si>
  <si>
    <t xml:space="preserve"> 10750.0576 </t>
  </si>
  <si>
    <t xml:space="preserve"> 39.163 </t>
  </si>
  <si>
    <t xml:space="preserve">C:\Users\andre\Desktop\REACTIV CEFAS\Prochloraz\Prochloraz/20201117_Cefas_Test6-Run2/Plate 5/@10/G4_02.tif </t>
  </si>
  <si>
    <t xml:space="preserve"> 41.3009 </t>
  </si>
  <si>
    <t xml:space="preserve">C:\Users\andre\Desktop\REACTIV CEFAS\Prochloraz\Prochloraz/20201117_Cefas_Test6-Run2/Plate 5/@10/G4_03.tif </t>
  </si>
  <si>
    <t xml:space="preserve"> 37.6323 </t>
  </si>
  <si>
    <t xml:space="preserve">C:\Users\andre\Desktop\REACTIV CEFAS\Prochloraz\Prochloraz/20201117_Cefas_Test6-Run2/Plate 5/@10/H4_01.tif </t>
  </si>
  <si>
    <t xml:space="preserve"> 5450.7334 </t>
  </si>
  <si>
    <t xml:space="preserve"> 35.6429 </t>
  </si>
  <si>
    <t xml:space="preserve">C:\Users\andre\Desktop\REACTIV CEFAS\Prochloraz\Prochloraz/20201117_Cefas_Test6-Run2/Plate 5/@10/H4_02.tif </t>
  </si>
  <si>
    <t xml:space="preserve"> 37.212 </t>
  </si>
  <si>
    <t xml:space="preserve">C:\Users\andre\Desktop\REACTIV CEFAS\Prochloraz\Prochloraz/20201117_Cefas_Test6-Run2/Plate 5/@10/H4_03.tif </t>
  </si>
  <si>
    <t xml:space="preserve"> 34.3803 </t>
  </si>
  <si>
    <t xml:space="preserve">C:\Users\andre\Desktop\REACTIV CEFAS\Prochloraz\Prochloraz/20201117_Cefas_Test6-Run2/Plate 5/@10/ </t>
  </si>
  <si>
    <t xml:space="preserve"> 34.9796 </t>
  </si>
  <si>
    <t xml:space="preserve"> 12.0326 </t>
  </si>
  <si>
    <t xml:space="preserve"> 243936.458 </t>
  </si>
  <si>
    <t xml:space="preserve"> 203736.913 </t>
  </si>
  <si>
    <t>C:\Users\andre\Desktop\REACTIV CEFAS\Prochloraz\Prochloraz/20201117_Cefas_Test6-Run2/Plate 5/@11/A5_01- exclu.tif</t>
  </si>
  <si>
    <t>C:\Users\andre\Desktop\REACTIV CEFAS\Prochloraz\Prochloraz/20201117_Cefas_Test6-Run2/Plate 5/@11/A5_02- exclu.tif</t>
  </si>
  <si>
    <t>C:\Users\andre\Desktop\REACTIV CEFAS\Prochloraz\Prochloraz/20201117_Cefas_Test6-Run2/Plate 5/@11/A5_03- exclu.tif</t>
  </si>
  <si>
    <t xml:space="preserve">C:\Users\andre\Desktop\REACTIV CEFAS\Prochloraz\Prochloraz/20201117_Cefas_Test6-Run2/Plate 5/@11/B5_01.tif </t>
  </si>
  <si>
    <t xml:space="preserve"> 5558.8829 </t>
  </si>
  <si>
    <t xml:space="preserve"> 41.1284 </t>
  </si>
  <si>
    <t xml:space="preserve">C:\Users\andre\Desktop\REACTIV CEFAS\Prochloraz\Prochloraz/20201117_Cefas_Test6-Run2/Plate 5/@11/B5_02.tif </t>
  </si>
  <si>
    <t xml:space="preserve"> 43.3796 </t>
  </si>
  <si>
    <t>C:\Users\andre\Desktop\REACTIV CEFAS\Prochloraz\Prochloraz/20201117_Cefas_Test6-Run2/Plate 5/@11/B5_03- exclu.tif</t>
  </si>
  <si>
    <t xml:space="preserve">C:\Users\andre\Desktop\REACTIV CEFAS\Prochloraz\Prochloraz/20201117_Cefas_Test6-Run2/Plate 5/@11/C5_01.tif </t>
  </si>
  <si>
    <t xml:space="preserve"> 8933.1465 </t>
  </si>
  <si>
    <t xml:space="preserve"> 39.0993 </t>
  </si>
  <si>
    <t xml:space="preserve">C:\Users\andre\Desktop\REACTIV CEFAS\Prochloraz\Prochloraz/20201117_Cefas_Test6-Run2/Plate 5/@11/C5_02.tif </t>
  </si>
  <si>
    <t xml:space="preserve"> 6597.1179 </t>
  </si>
  <si>
    <t xml:space="preserve"> 36.423 </t>
  </si>
  <si>
    <t xml:space="preserve">C:\Users\andre\Desktop\REACTIV CEFAS\Prochloraz\Prochloraz/20201117_Cefas_Test6-Run2/Plate 5/@11/C5_03.tif </t>
  </si>
  <si>
    <t xml:space="preserve"> 8219.36 </t>
  </si>
  <si>
    <t xml:space="preserve"> 38.3658 </t>
  </si>
  <si>
    <t>C:\Users\andre\Desktop\REACTIV CEFAS\Prochloraz\Prochloraz/20201117_Cefas_Test6-Run2/Plate 5/@11/D5_01- exclu.tif</t>
  </si>
  <si>
    <t>C:\Users\andre\Desktop\REACTIV CEFAS\Prochloraz\Prochloraz/20201117_Cefas_Test6-Run2/Plate 5/@11/D5_02- exclu.tif</t>
  </si>
  <si>
    <t>C:\Users\andre\Desktop\REACTIV CEFAS\Prochloraz\Prochloraz/20201117_Cefas_Test6-Run2/Plate 5/@11/D5_03- exclu.tif</t>
  </si>
  <si>
    <t xml:space="preserve">C:\Users\andre\Desktop\REACTIV CEFAS\Prochloraz\Prochloraz/20201117_Cefas_Test6-Run2/Plate 5/@11/E5_01.tif </t>
  </si>
  <si>
    <t xml:space="preserve"> 1903.4307 </t>
  </si>
  <si>
    <t xml:space="preserve"> 34.2841 </t>
  </si>
  <si>
    <t xml:space="preserve">C:\Users\andre\Desktop\REACTIV CEFAS\Prochloraz\Prochloraz/20201117_Cefas_Test6-Run2/Plate 5/@11/E5_02.tif </t>
  </si>
  <si>
    <t xml:space="preserve">C:\Users\andre\Desktop\REACTIV CEFAS\Prochloraz\Prochloraz/20201117_Cefas_Test6-Run2/Plate 5/@11/E5_03.tif </t>
  </si>
  <si>
    <t xml:space="preserve"> 6921.5663 </t>
  </si>
  <si>
    <t xml:space="preserve"> 36.1406 </t>
  </si>
  <si>
    <t xml:space="preserve">C:\Users\andre\Desktop\REACTIV CEFAS\Prochloraz\Prochloraz/20201117_Cefas_Test6-Run2/Plate 5/@11/F5_01.tif </t>
  </si>
  <si>
    <t xml:space="preserve"> 40.1029 </t>
  </si>
  <si>
    <t xml:space="preserve">C:\Users\andre\Desktop\REACTIV CEFAS\Prochloraz\Prochloraz/20201117_Cefas_Test6-Run2/Plate 5/@11/F5_02.tif </t>
  </si>
  <si>
    <t xml:space="preserve"> 36.4657 </t>
  </si>
  <si>
    <t xml:space="preserve">C:\Users\andre\Desktop\REACTIV CEFAS\Prochloraz\Prochloraz/20201117_Cefas_Test6-Run2/Plate 5/@11/F5_03.tif </t>
  </si>
  <si>
    <t xml:space="preserve"> 40.0032 </t>
  </si>
  <si>
    <t xml:space="preserve">C:\Users\andre\Desktop\REACTIV CEFAS\Prochloraz\Prochloraz/20201117_Cefas_Test6-Run2/Plate 5/@11/G5_01.tif </t>
  </si>
  <si>
    <t xml:space="preserve"> 34.5745 </t>
  </si>
  <si>
    <t>C:\Users\andre\Desktop\REACTIV CEFAS\Prochloraz\Prochloraz/20201117_Cefas_Test6-Run2/Plate 5/@11/G5_02- exclu.tif</t>
  </si>
  <si>
    <t xml:space="preserve">C:\Users\andre\Desktop\REACTIV CEFAS\Prochloraz\Prochloraz/20201117_Cefas_Test6-Run2/Plate 5/@11/G5_03.tif </t>
  </si>
  <si>
    <t xml:space="preserve">C:\Users\andre\Desktop\REACTIV CEFAS\Prochloraz\Prochloraz/20201117_Cefas_Test6-Run2/Plate 5/@11/H5_01.tif </t>
  </si>
  <si>
    <t xml:space="preserve"> 12891.4172 </t>
  </si>
  <si>
    <t xml:space="preserve"> 39.9715 </t>
  </si>
  <si>
    <t xml:space="preserve">C:\Users\andre\Desktop\REACTIV CEFAS\Prochloraz\Prochloraz/20201117_Cefas_Test6-Run2/Plate 5/@11/H5_02.tif </t>
  </si>
  <si>
    <t xml:space="preserve">C:\Users\andre\Desktop\REACTIV CEFAS\Prochloraz\Prochloraz/20201117_Cefas_Test6-Run2/Plate 5/@11/H5_03.tif </t>
  </si>
  <si>
    <t xml:space="preserve"> 10468.869 </t>
  </si>
  <si>
    <t xml:space="preserve"> 47.1322 </t>
  </si>
  <si>
    <t xml:space="preserve">C:\Users\andre\Desktop\REACTIV CEFAS\Prochloraz\Prochloraz/20201117_Cefas_Test6-Run2/Plate 5/@11/ </t>
  </si>
  <si>
    <t xml:space="preserve"> 33.7107 </t>
  </si>
  <si>
    <t xml:space="preserve"> 16.2537 </t>
  </si>
  <si>
    <t xml:space="preserve"> 273762.292 </t>
  </si>
  <si>
    <t xml:space="preserve"> 227484.933 </t>
  </si>
  <si>
    <t>C:\Users\andre\Desktop\REACTIV CEFAS\Prochloraz\Prochloraz/20201117_Cefas_Test6-Run2/Plate 5/@12/A6_01- exclu.tif</t>
  </si>
  <si>
    <t>C:\Users\andre\Desktop\REACTIV CEFAS\Prochloraz\Prochloraz/20201117_Cefas_Test6-Run2/Plate 5/@12/A6_02- exclu.tif</t>
  </si>
  <si>
    <t>C:\Users\andre\Desktop\REACTIV CEFAS\Prochloraz\Prochloraz/20201117_Cefas_Test6-Run2/Plate 5/@12/A6_03- exclu.tif</t>
  </si>
  <si>
    <t xml:space="preserve">C:\Users\andre\Desktop\REACTIV CEFAS\Prochloraz\Prochloraz/20201117_Cefas_Test6-Run2/Plate 5/@12/B6_01.tif </t>
  </si>
  <si>
    <t xml:space="preserve"> 35.2471 </t>
  </si>
  <si>
    <t>C:\Users\andre\Desktop\REACTIV CEFAS\Prochloraz\Prochloraz/20201117_Cefas_Test6-Run2/Plate 5/@12/B6_02- exclu.tif</t>
  </si>
  <si>
    <t>C:\Users\andre\Desktop\REACTIV CEFAS\Prochloraz\Prochloraz/20201117_Cefas_Test6-Run2/Plate 5/@12/B6_03- exclu.tif</t>
  </si>
  <si>
    <t xml:space="preserve">C:\Users\andre\Desktop\REACTIV CEFAS\Prochloraz\Prochloraz/20201117_Cefas_Test6-Run2/Plate 5/@12/C6_01.tif </t>
  </si>
  <si>
    <t xml:space="preserve"> 8608.6981 </t>
  </si>
  <si>
    <t xml:space="preserve"> 40.5101 </t>
  </si>
  <si>
    <t xml:space="preserve">C:\Users\andre\Desktop\REACTIV CEFAS\Prochloraz\Prochloraz/20201117_Cefas_Test6-Run2/Plate 5/@12/C6_02.tif </t>
  </si>
  <si>
    <t xml:space="preserve"> 39.0173 </t>
  </si>
  <si>
    <t xml:space="preserve">C:\Users\andre\Desktop\REACTIV CEFAS\Prochloraz\Prochloraz/20201117_Cefas_Test6-Run2/Plate 5/@12/C6_03.tif </t>
  </si>
  <si>
    <t xml:space="preserve"> 7548.8332 </t>
  </si>
  <si>
    <t xml:space="preserve"> 38.9799 </t>
  </si>
  <si>
    <t xml:space="preserve">C:\Users\andre\Desktop\REACTIV CEFAS\Prochloraz\Prochloraz/20201117_Cefas_Test6-Run2/Plate 5/@12/D6_01.tif </t>
  </si>
  <si>
    <t xml:space="preserve"> 8868.2568 </t>
  </si>
  <si>
    <t xml:space="preserve"> 39.3902 </t>
  </si>
  <si>
    <t xml:space="preserve">C:\Users\andre\Desktop\REACTIV CEFAS\Prochloraz\Prochloraz/20201117_Cefas_Test6-Run2/Plate 5/@12/D6_02.tif </t>
  </si>
  <si>
    <t xml:space="preserve"> 8435.6589 </t>
  </si>
  <si>
    <t xml:space="preserve"> 38.5308 </t>
  </si>
  <si>
    <t xml:space="preserve">C:\Users\andre\Desktop\REACTIV CEFAS\Prochloraz\Prochloraz/20201117_Cefas_Test6-Run2/Plate 5/@12/D6_03.tif </t>
  </si>
  <si>
    <t xml:space="preserve"> 9106.1856 </t>
  </si>
  <si>
    <t xml:space="preserve"> 37.095 </t>
  </si>
  <si>
    <t xml:space="preserve">C:\Users\andre\Desktop\REACTIV CEFAS\Prochloraz\Prochloraz/20201117_Cefas_Test6-Run2/Plate 5/@12/E6_01.tif </t>
  </si>
  <si>
    <t xml:space="preserve"> 11918.0719 </t>
  </si>
  <si>
    <t xml:space="preserve"> 45.0672 </t>
  </si>
  <si>
    <t>C:\Users\andre\Desktop\REACTIV CEFAS\Prochloraz\Prochloraz/20201117_Cefas_Test6-Run2/Plate 5/@12/E6_02- exclu.tif</t>
  </si>
  <si>
    <t>C:\Users\andre\Desktop\REACTIV CEFAS\Prochloraz\Prochloraz/20201117_Cefas_Test6-Run2/Plate 5/@12/E6_03- exclu.tif</t>
  </si>
  <si>
    <t xml:space="preserve">C:\Users\andre\Desktop\REACTIV CEFAS\Prochloraz\Prochloraz/20201117_Cefas_Test6-Run2/Plate 5/@12/F6_01.tif </t>
  </si>
  <si>
    <t xml:space="preserve"> 12696.7481 </t>
  </si>
  <si>
    <t xml:space="preserve"> 43.7513 </t>
  </si>
  <si>
    <t xml:space="preserve">C:\Users\andre\Desktop\REACTIV CEFAS\Prochloraz\Prochloraz/20201117_Cefas_Test6-Run2/Plate 5/@12/F6_02.tif </t>
  </si>
  <si>
    <t xml:space="preserve"> 10598.6484 </t>
  </si>
  <si>
    <t xml:space="preserve"> 43.2735 </t>
  </si>
  <si>
    <t xml:space="preserve">C:\Users\andre\Desktop\REACTIV CEFAS\Prochloraz\Prochloraz/20201117_Cefas_Test6-Run2/Plate 5/@12/F6_03.tif </t>
  </si>
  <si>
    <t xml:space="preserve"> 11961.3317 </t>
  </si>
  <si>
    <t xml:space="preserve"> 42.5172 </t>
  </si>
  <si>
    <t xml:space="preserve">C:\Users\andre\Desktop\REACTIV CEFAS\Prochloraz\Prochloraz/20201117_Cefas_Test6-Run2/Plate 5/@12/G6_01.tif </t>
  </si>
  <si>
    <t xml:space="preserve"> 44.5532 </t>
  </si>
  <si>
    <t xml:space="preserve">C:\Users\andre\Desktop\REACTIV CEFAS\Prochloraz\Prochloraz/20201117_Cefas_Test6-Run2/Plate 5/@12/G6_02.tif </t>
  </si>
  <si>
    <t xml:space="preserve"> 8738.4774 </t>
  </si>
  <si>
    <t xml:space="preserve"> 43.6683 </t>
  </si>
  <si>
    <t xml:space="preserve">C:\Users\andre\Desktop\REACTIV CEFAS\Prochloraz\Prochloraz/20201117_Cefas_Test6-Run2/Plate 5/@12/G6_03.tif </t>
  </si>
  <si>
    <t xml:space="preserve"> 40.563 </t>
  </si>
  <si>
    <t xml:space="preserve">C:\Users\andre\Desktop\REACTIV CEFAS\Prochloraz\Prochloraz/20201117_Cefas_Test6-Run2/Plate 5/@12/H6_01.tif </t>
  </si>
  <si>
    <t xml:space="preserve"> 7938.1713 </t>
  </si>
  <si>
    <t xml:space="preserve"> 39.049 </t>
  </si>
  <si>
    <t xml:space="preserve">C:\Users\andre\Desktop\REACTIV CEFAS\Prochloraz\Prochloraz/20201117_Cefas_Test6-Run2/Plate 5/@12/H6_02.tif </t>
  </si>
  <si>
    <t xml:space="preserve"> 42.6621 </t>
  </si>
  <si>
    <t xml:space="preserve">C:\Users\andre\Desktop\REACTIV CEFAS\Prochloraz\Prochloraz/20201117_Cefas_Test6-Run2/Plate 5/@12/H6_03.tif </t>
  </si>
  <si>
    <t xml:space="preserve"> 44.0961 </t>
  </si>
  <si>
    <t xml:space="preserve">C:\Users\andre\Desktop\REACTIV CEFAS\Prochloraz\Prochloraz/20201117_Cefas_Test6-Run2/Plate 5/@12/ </t>
  </si>
  <si>
    <t xml:space="preserve"> 38.4794 </t>
  </si>
  <si>
    <t xml:space="preserve"> 9.177 </t>
  </si>
  <si>
    <t xml:space="preserve"> 322417.917 </t>
  </si>
  <si>
    <t xml:space="preserve"> 168062.78 </t>
  </si>
  <si>
    <t xml:space="preserve">C:\Users\andre\Desktop\REACTIV CEFAS\Prochloraz\Prochloraz/20201117_Cefas_Test6-Run2/Plate 5/@17/A8_01.tif </t>
  </si>
  <si>
    <t xml:space="preserve"> 43951.9459 </t>
  </si>
  <si>
    <t xml:space="preserve"> 37.1841 </t>
  </si>
  <si>
    <t xml:space="preserve">C:\Users\andre\Desktop\REACTIV CEFAS\Prochloraz\Prochloraz/20201117_Cefas_Test6-Run2/Plate 5/@17/A8_02.tif </t>
  </si>
  <si>
    <t xml:space="preserve"> 56973.1425 </t>
  </si>
  <si>
    <t xml:space="preserve"> 39.2031 </t>
  </si>
  <si>
    <t xml:space="preserve">C:\Users\andre\Desktop\REACTIV CEFAS\Prochloraz\Prochloraz/20201117_Cefas_Test6-Run2/Plate 5/@17/A8_03.tif </t>
  </si>
  <si>
    <t xml:space="preserve"> 43649.1274 </t>
  </si>
  <si>
    <t xml:space="preserve"> 37.054 </t>
  </si>
  <si>
    <t>C:\Users\andre\Desktop\REACTIV CEFAS\Prochloraz\Prochloraz/20201117_Cefas_Test6-Run2/Plate 5/@17/B8_01- exclu.tif</t>
  </si>
  <si>
    <t xml:space="preserve">C:\Users\andre\Desktop\REACTIV CEFAS\Prochloraz\Prochloraz/20201117_Cefas_Test6-Run2/Plate 5/@17/B8_02.tif </t>
  </si>
  <si>
    <t xml:space="preserve"> 28962.4289 </t>
  </si>
  <si>
    <t xml:space="preserve"> 35.065 </t>
  </si>
  <si>
    <t xml:space="preserve">C:\Users\andre\Desktop\REACTIV CEFAS\Prochloraz\Prochloraz/20201117_Cefas_Test6-Run2/Plate 5/@17/B8_03.tif </t>
  </si>
  <si>
    <t xml:space="preserve"> 47131.5404 </t>
  </si>
  <si>
    <t xml:space="preserve"> 35.408 </t>
  </si>
  <si>
    <t xml:space="preserve">C:\Users\andre\Desktop\REACTIV CEFAS\Prochloraz\Prochloraz/20201117_Cefas_Test6-Run2/Plate 5/@17/C8_01.tif </t>
  </si>
  <si>
    <t xml:space="preserve"> 37095.2693 </t>
  </si>
  <si>
    <t xml:space="preserve"> 35.3376 </t>
  </si>
  <si>
    <t xml:space="preserve">C:\Users\andre\Desktop\REACTIV CEFAS\Prochloraz\Prochloraz/20201117_Cefas_Test6-Run2/Plate 5/@17/C8_02.tif </t>
  </si>
  <si>
    <t xml:space="preserve"> 29524.8062 </t>
  </si>
  <si>
    <t xml:space="preserve"> 34.8527 </t>
  </si>
  <si>
    <t xml:space="preserve">C:\Users\andre\Desktop\REACTIV CEFAS\Prochloraz\Prochloraz/20201117_Cefas_Test6-Run2/Plate 5/@17/C8_03.tif </t>
  </si>
  <si>
    <t xml:space="preserve"> 31536.3864 </t>
  </si>
  <si>
    <t xml:space="preserve"> 34.2894 </t>
  </si>
  <si>
    <t xml:space="preserve">C:\Users\andre\Desktop\REACTIV CEFAS\Prochloraz\Prochloraz/20201117_Cefas_Test6-Run2/Plate 5/@17/D8_01.tif </t>
  </si>
  <si>
    <t xml:space="preserve"> 30390.002 </t>
  </si>
  <si>
    <t xml:space="preserve"> 35.7495 </t>
  </si>
  <si>
    <t xml:space="preserve">C:\Users\andre\Desktop\REACTIV CEFAS\Prochloraz\Prochloraz/20201117_Cefas_Test6-Run2/Plate 5/@17/D8_02.tif </t>
  </si>
  <si>
    <t xml:space="preserve"> 23511.6955 </t>
  </si>
  <si>
    <t xml:space="preserve"> 35.2042 </t>
  </si>
  <si>
    <t xml:space="preserve">C:\Users\andre\Desktop\REACTIV CEFAS\Prochloraz\Prochloraz/20201117_Cefas_Test6-Run2/Plate 5/@17/D8_03.tif </t>
  </si>
  <si>
    <t xml:space="preserve"> 35970.5148 </t>
  </si>
  <si>
    <t xml:space="preserve"> 38.1389 </t>
  </si>
  <si>
    <t xml:space="preserve">C:\Users\andre\Desktop\REACTIV CEFAS\Prochloraz\Prochloraz/20201117_Cefas_Test6-Run2/Plate 5/@17/E8_01.tif </t>
  </si>
  <si>
    <t xml:space="preserve"> 29632.9556 </t>
  </si>
  <si>
    <t xml:space="preserve"> 34.6015 </t>
  </si>
  <si>
    <t xml:space="preserve">C:\Users\andre\Desktop\REACTIV CEFAS\Prochloraz\Prochloraz/20201117_Cefas_Test6-Run2/Plate 5/@17/E8_02.tif </t>
  </si>
  <si>
    <t xml:space="preserve"> 20959.3679 </t>
  </si>
  <si>
    <t xml:space="preserve"> 34.1775 </t>
  </si>
  <si>
    <t xml:space="preserve">C:\Users\andre\Desktop\REACTIV CEFAS\Prochloraz\Prochloraz/20201117_Cefas_Test6-Run2/Plate 5/@17/E8_03.tif </t>
  </si>
  <si>
    <t xml:space="preserve"> 19575.0546 </t>
  </si>
  <si>
    <t xml:space="preserve"> 34.5304 </t>
  </si>
  <si>
    <t xml:space="preserve">C:\Users\andre\Desktop\REACTIV CEFAS\Prochloraz\Prochloraz/20201117_Cefas_Test6-Run2/Plate 5/@17/F8_01.tif </t>
  </si>
  <si>
    <t xml:space="preserve"> 27405.0765 </t>
  </si>
  <si>
    <t xml:space="preserve"> 38.2036 </t>
  </si>
  <si>
    <t xml:space="preserve">C:\Users\andre\Desktop\REACTIV CEFAS\Prochloraz\Prochloraz/20201117_Cefas_Test6-Run2/Plate 5/@17/F8_02.tif </t>
  </si>
  <si>
    <t xml:space="preserve"> 35.4408 </t>
  </si>
  <si>
    <t xml:space="preserve">C:\Users\andre\Desktop\REACTIV CEFAS\Prochloraz\Prochloraz/20201117_Cefas_Test6-Run2/Plate 5/@17/F8_03.tif </t>
  </si>
  <si>
    <t xml:space="preserve"> 22040.8626 </t>
  </si>
  <si>
    <t xml:space="preserve"> 35.9205 </t>
  </si>
  <si>
    <t xml:space="preserve">C:\Users\andre\Desktop\REACTIV CEFAS\Prochloraz\Prochloraz/20201117_Cefas_Test6-Run2/Plate 5/@17/G8_01.tif </t>
  </si>
  <si>
    <t xml:space="preserve"> 7656.9827 </t>
  </si>
  <si>
    <t xml:space="preserve"> 35.9972 </t>
  </si>
  <si>
    <t xml:space="preserve">C:\Users\andre\Desktop\REACTIV CEFAS\Prochloraz\Prochloraz/20201117_Cefas_Test6-Run2/Plate 5/@17/G8_02.tif </t>
  </si>
  <si>
    <t xml:space="preserve"> 34.18 </t>
  </si>
  <si>
    <t xml:space="preserve">C:\Users\andre\Desktop\REACTIV CEFAS\Prochloraz\Prochloraz/20201117_Cefas_Test6-Run2/Plate 5/@17/G8_03.tif </t>
  </si>
  <si>
    <t xml:space="preserve">C:\Users\andre\Desktop\REACTIV CEFAS\Prochloraz\Prochloraz/20201117_Cefas_Test6-Run2/Plate 5/@17/H8_01.tif </t>
  </si>
  <si>
    <t xml:space="preserve"> 31.8041 </t>
  </si>
  <si>
    <t xml:space="preserve">C:\Users\andre\Desktop\REACTIV CEFAS\Prochloraz\Prochloraz/20201117_Cefas_Test6-Run2/Plate 5/@17/H8_02.tif </t>
  </si>
  <si>
    <t xml:space="preserve"> 2357.6585 </t>
  </si>
  <si>
    <t xml:space="preserve"> 31.8532 </t>
  </si>
  <si>
    <t xml:space="preserve">C:\Users\andre\Desktop\REACTIV CEFAS\Prochloraz\Prochloraz/20201117_Cefas_Test6-Run2/Plate 5/@17/H8_03.tif </t>
  </si>
  <si>
    <t xml:space="preserve"> 4261.0892 </t>
  </si>
  <si>
    <t xml:space="preserve"> 32.8173 </t>
  </si>
  <si>
    <t xml:space="preserve">C:\Users\andre\Desktop\REACTIV CEFAS\Prochloraz\Prochloraz/20201117_Cefas_Test6-Run2/Plate 5/@17/ </t>
  </si>
  <si>
    <t xml:space="preserve"> 35.325 </t>
  </si>
  <si>
    <t xml:space="preserve"> 1.9344 </t>
  </si>
  <si>
    <t xml:space="preserve"> 911696.5 </t>
  </si>
  <si>
    <t xml:space="preserve"> 587557.435 </t>
  </si>
  <si>
    <t>C:\Users\andre\Desktop\REACTIV CEFAS\Prochloraz\Prochloraz/20201117_Cefas_Test6-Run2/Plate 5/@18/A9_01- exclu.tif</t>
  </si>
  <si>
    <t xml:space="preserve">C:\Users\andre\Desktop\REACTIV CEFAS\Prochloraz\Prochloraz/20201117_Cefas_Test6-Run2/Plate 5/@18/A9_02.tif </t>
  </si>
  <si>
    <t xml:space="preserve"> 8414.029 </t>
  </si>
  <si>
    <t xml:space="preserve"> 43.4319 </t>
  </si>
  <si>
    <t xml:space="preserve">C:\Users\andre\Desktop\REACTIV CEFAS\Prochloraz\Prochloraz/20201117_Cefas_Test6-Run2/Plate 5/@18/A9_03.tif </t>
  </si>
  <si>
    <t xml:space="preserve"> 8349.1393 </t>
  </si>
  <si>
    <t xml:space="preserve"> 42.2539 </t>
  </si>
  <si>
    <t xml:space="preserve">C:\Users\andre\Desktop\REACTIV CEFAS\Prochloraz\Prochloraz/20201117_Cefas_Test6-Run2/Plate 5/@18/B9_01.tif </t>
  </si>
  <si>
    <t xml:space="preserve"> 38825.6609 </t>
  </si>
  <si>
    <t xml:space="preserve"> 42.4986 </t>
  </si>
  <si>
    <t>C:\Users\andre\Desktop\REACTIV CEFAS\Prochloraz\Prochloraz/20201117_Cefas_Test6-Run2/Plate 5/@18/B9_02- exclu.tif</t>
  </si>
  <si>
    <t>C:\Users\andre\Desktop\REACTIV CEFAS\Prochloraz\Prochloraz/20201117_Cefas_Test6-Run2/Plate 5/@18/B9_03- exclu.tif</t>
  </si>
  <si>
    <t xml:space="preserve">C:\Users\andre\Desktop\REACTIV CEFAS\Prochloraz\Prochloraz/20201117_Cefas_Test6-Run2/Plate 5/@18/C9_01.tif </t>
  </si>
  <si>
    <t xml:space="preserve"> 28811.0196 </t>
  </si>
  <si>
    <t xml:space="preserve"> 34.9317 </t>
  </si>
  <si>
    <t xml:space="preserve">C:\Users\andre\Desktop\REACTIV CEFAS\Prochloraz\Prochloraz/20201117_Cefas_Test6-Run2/Plate 5/@18/C9_02.tif </t>
  </si>
  <si>
    <t xml:space="preserve"> 26431.7312 </t>
  </si>
  <si>
    <t xml:space="preserve"> 33.4403 </t>
  </si>
  <si>
    <t xml:space="preserve">C:\Users\andre\Desktop\REACTIV CEFAS\Prochloraz\Prochloraz/20201117_Cefas_Test6-Run2/Plate 5/@18/C9_03.tif </t>
  </si>
  <si>
    <t xml:space="preserve"> 29870.8845 </t>
  </si>
  <si>
    <t>C:\Users\andre\Desktop\REACTIV CEFAS\Prochloraz\Prochloraz/20201117_Cefas_Test6-Run2/Plate 5/@18/D9_01- exclu.tif</t>
  </si>
  <si>
    <t xml:space="preserve">C:\Users\andre\Desktop\REACTIV CEFAS\Prochloraz\Prochloraz/20201117_Cefas_Test6-Run2/Plate 5/@18/D9_02.tif </t>
  </si>
  <si>
    <t xml:space="preserve"> 6186.1499 </t>
  </si>
  <si>
    <t xml:space="preserve"> 33.9091 </t>
  </si>
  <si>
    <t xml:space="preserve">C:\Users\andre\Desktop\REACTIV CEFAS\Prochloraz\Prochloraz/20201117_Cefas_Test6-Run2/Plate 5/@18/D9_03.tif </t>
  </si>
  <si>
    <t xml:space="preserve"> 33.4955 </t>
  </si>
  <si>
    <t xml:space="preserve">C:\Users\andre\Desktop\REACTIV CEFAS\Prochloraz\Prochloraz/20201117_Cefas_Test6-Run2/Plate 5/@18/E9_01.tif </t>
  </si>
  <si>
    <t xml:space="preserve"> 28594.7207 </t>
  </si>
  <si>
    <t xml:space="preserve"> 37.323 </t>
  </si>
  <si>
    <t xml:space="preserve">C:\Users\andre\Desktop\REACTIV CEFAS\Prochloraz\Prochloraz/20201117_Cefas_Test6-Run2/Plate 5/@18/E9_02.tif </t>
  </si>
  <si>
    <t xml:space="preserve"> 31298.4575 </t>
  </si>
  <si>
    <t xml:space="preserve"> 39.9509 </t>
  </si>
  <si>
    <t xml:space="preserve">C:\Users\andre\Desktop\REACTIV CEFAS\Prochloraz\Prochloraz/20201117_Cefas_Test6-Run2/Plate 5/@18/E9_03.tif </t>
  </si>
  <si>
    <t xml:space="preserve"> 37.4715 </t>
  </si>
  <si>
    <t>C:\Users\andre\Desktop\REACTIV CEFAS\Prochloraz\Prochloraz/20201117_Cefas_Test6-Run2/Plate 5/@18/F9_01- exclu.tif</t>
  </si>
  <si>
    <t xml:space="preserve">C:\Users\andre\Desktop\REACTIV CEFAS\Prochloraz\Prochloraz/20201117_Cefas_Test6-Run2/Plate 5/@18/F9_02.tif </t>
  </si>
  <si>
    <t xml:space="preserve"> 35321.6179 </t>
  </si>
  <si>
    <t xml:space="preserve"> 34.8665 </t>
  </si>
  <si>
    <t xml:space="preserve">C:\Users\andre\Desktop\REACTIV CEFAS\Prochloraz\Prochloraz/20201117_Cefas_Test6-Run2/Plate 5/@18/F9_03.tif </t>
  </si>
  <si>
    <t xml:space="preserve"> 43735.6469 </t>
  </si>
  <si>
    <t xml:space="preserve"> 36.1108 </t>
  </si>
  <si>
    <t xml:space="preserve">C:\Users\andre\Desktop\REACTIV CEFAS\Prochloraz\Prochloraz/20201117_Cefas_Test6-Run2/Plate 5/@18/G9_01.tif </t>
  </si>
  <si>
    <t xml:space="preserve"> 47650.6579 </t>
  </si>
  <si>
    <t xml:space="preserve"> 35.4476 </t>
  </si>
  <si>
    <t xml:space="preserve">C:\Users\andre\Desktop\REACTIV CEFAS\Prochloraz\Prochloraz/20201117_Cefas_Test6-Run2/Plate 5/@18/G9_02.tif </t>
  </si>
  <si>
    <t xml:space="preserve"> 38544.4722 </t>
  </si>
  <si>
    <t xml:space="preserve"> 35.4366 </t>
  </si>
  <si>
    <t xml:space="preserve">C:\Users\andre\Desktop\REACTIV CEFAS\Prochloraz\Prochloraz/20201117_Cefas_Test6-Run2/Plate 5/@18/G9_03.tif </t>
  </si>
  <si>
    <t xml:space="preserve"> 37852.3156 </t>
  </si>
  <si>
    <t xml:space="preserve"> 35.5617 </t>
  </si>
  <si>
    <t xml:space="preserve">C:\Users\andre\Desktop\REACTIV CEFAS\Prochloraz\Prochloraz/20201117_Cefas_Test6-Run2/Plate 5/@18/H9_01.tif </t>
  </si>
  <si>
    <t xml:space="preserve"> 19488.5351 </t>
  </si>
  <si>
    <t xml:space="preserve"> 34.2231 </t>
  </si>
  <si>
    <t xml:space="preserve">C:\Users\andre\Desktop\REACTIV CEFAS\Prochloraz\Prochloraz/20201117_Cefas_Test6-Run2/Plate 5/@18/H9_02.tif </t>
  </si>
  <si>
    <t xml:space="preserve"> 35.748 </t>
  </si>
  <si>
    <t xml:space="preserve">C:\Users\andre\Desktop\REACTIV CEFAS\Prochloraz\Prochloraz/20201117_Cefas_Test6-Run2/Plate 5/@18/H9_03.tif </t>
  </si>
  <si>
    <t xml:space="preserve"> 16417.09 </t>
  </si>
  <si>
    <t xml:space="preserve"> 34.8261 </t>
  </si>
  <si>
    <t xml:space="preserve">C:\Users\andre\Desktop\REACTIV CEFAS\Prochloraz\Prochloraz/20201117_Cefas_Test6-Run2/Plate 5/@18/ </t>
  </si>
  <si>
    <t xml:space="preserve"> 37.2032 </t>
  </si>
  <si>
    <t xml:space="preserve"> 4.3278 </t>
  </si>
  <si>
    <t xml:space="preserve"> 928449.792 </t>
  </si>
  <si>
    <t xml:space="preserve"> 493459.249 </t>
  </si>
  <si>
    <t xml:space="preserve">C:\Users\andre\Desktop\REACTIV CEFAS\Prochloraz\Prochloraz/20201117_Cefas_Test6-Run2/Plate 5/@19/A10_01.tif </t>
  </si>
  <si>
    <t xml:space="preserve"> 31.9741 </t>
  </si>
  <si>
    <t xml:space="preserve">C:\Users\andre\Desktop\REACTIV CEFAS\Prochloraz\Prochloraz/20201117_Cefas_Test6-Run2/Plate 5/@19/A10_02.tif </t>
  </si>
  <si>
    <t xml:space="preserve"> 35.8435 </t>
  </si>
  <si>
    <t xml:space="preserve">C:\Users\andre\Desktop\REACTIV CEFAS\Prochloraz\Prochloraz/20201117_Cefas_Test6-Run2/Plate 5/@19/A10_03.tif </t>
  </si>
  <si>
    <t xml:space="preserve"> 31.5641 </t>
  </si>
  <si>
    <t xml:space="preserve">C:\Users\andre\Desktop\REACTIV CEFAS\Prochloraz\Prochloraz/20201117_Cefas_Test6-Run2/Plate 5/@19/B10_01.tif </t>
  </si>
  <si>
    <t xml:space="preserve"> 13778.2429 </t>
  </si>
  <si>
    <t xml:space="preserve"> 33.4003 </t>
  </si>
  <si>
    <t xml:space="preserve">C:\Users\andre\Desktop\REACTIV CEFAS\Prochloraz\Prochloraz/20201117_Cefas_Test6-Run2/Plate 5/@19/B10_02.tif </t>
  </si>
  <si>
    <t xml:space="preserve"> 19596.6845 </t>
  </si>
  <si>
    <t xml:space="preserve"> 36.6391 </t>
  </si>
  <si>
    <t xml:space="preserve">C:\Users\andre\Desktop\REACTIV CEFAS\Prochloraz\Prochloraz/20201117_Cefas_Test6-Run2/Plate 5/@19/B10_03.tif </t>
  </si>
  <si>
    <t xml:space="preserve"> 21154.0369 </t>
  </si>
  <si>
    <t xml:space="preserve"> 36.1411 </t>
  </si>
  <si>
    <t>C:\Users\andre\Desktop\REACTIV CEFAS\Prochloraz\Prochloraz/20201117_Cefas_Test6-Run2/Plate 5/@19/C10_01- exclu.tif</t>
  </si>
  <si>
    <t xml:space="preserve">C:\Users\andre\Desktop\REACTIV CEFAS\Prochloraz\Prochloraz/20201117_Cefas_Test6-Run2/Plate 5/@19/C10_02.tif </t>
  </si>
  <si>
    <t xml:space="preserve"> 8587.0682 </t>
  </si>
  <si>
    <t xml:space="preserve"> 37.8841 </t>
  </si>
  <si>
    <t xml:space="preserve">C:\Users\andre\Desktop\REACTIV CEFAS\Prochloraz\Prochloraz/20201117_Cefas_Test6-Run2/Plate 5/@19/C10_03.tif </t>
  </si>
  <si>
    <t xml:space="preserve"> 11680.1431 </t>
  </si>
  <si>
    <t xml:space="preserve"> 38.6852 </t>
  </si>
  <si>
    <t>C:\Users\andre\Desktop\REACTIV CEFAS\Prochloraz\Prochloraz/20201117_Cefas_Test6-Run2/Plate 5/@19/D10_01- exclu.tif</t>
  </si>
  <si>
    <t>C:\Users\andre\Desktop\REACTIV CEFAS\Prochloraz\Prochloraz/20201117_Cefas_Test6-Run2/Plate 5/@19/D10_02- exclu.tif</t>
  </si>
  <si>
    <t>C:\Users\andre\Desktop\REACTIV CEFAS\Prochloraz\Prochloraz/20201117_Cefas_Test6-Run2/Plate 5/@19/D10_03- exclu.tif</t>
  </si>
  <si>
    <t xml:space="preserve">C:\Users\andre\Desktop\REACTIV CEFAS\Prochloraz\Prochloraz/20201117_Cefas_Test6-Run2/Plate 5/@19/E10_01.tif </t>
  </si>
  <si>
    <t xml:space="preserve"> 36.017 </t>
  </si>
  <si>
    <t xml:space="preserve">C:\Users\andre\Desktop\REACTIV CEFAS\Prochloraz\Prochloraz/20201117_Cefas_Test6-Run2/Plate 5/@19/E10_02.tif </t>
  </si>
  <si>
    <t xml:space="preserve"> 47434.3589 </t>
  </si>
  <si>
    <t xml:space="preserve"> 37.0611 </t>
  </si>
  <si>
    <t xml:space="preserve">C:\Users\andre\Desktop\REACTIV CEFAS\Prochloraz\Prochloraz/20201117_Cefas_Test6-Run2/Plate 5/@19/E10_03.tif </t>
  </si>
  <si>
    <t xml:space="preserve"> 44427.8036 </t>
  </si>
  <si>
    <t xml:space="preserve"> 36.3418 </t>
  </si>
  <si>
    <t xml:space="preserve">C:\Users\andre\Desktop\REACTIV CEFAS\Prochloraz\Prochloraz/20201117_Cefas_Test6-Run2/Plate 5/@19/F10_01.tif </t>
  </si>
  <si>
    <t xml:space="preserve"> 36554.5219 </t>
  </si>
  <si>
    <t xml:space="preserve"> 37.9101 </t>
  </si>
  <si>
    <t xml:space="preserve">C:\Users\andre\Desktop\REACTIV CEFAS\Prochloraz\Prochloraz/20201117_Cefas_Test6-Run2/Plate 5/@19/F10_02.tif </t>
  </si>
  <si>
    <t xml:space="preserve"> 32574.6213 </t>
  </si>
  <si>
    <t xml:space="preserve"> 35.826 </t>
  </si>
  <si>
    <t xml:space="preserve">C:\Users\andre\Desktop\REACTIV CEFAS\Prochloraz\Prochloraz/20201117_Cefas_Test6-Run2/Plate 5/@19/F10_03.tif </t>
  </si>
  <si>
    <t xml:space="preserve"> 46352.8642 </t>
  </si>
  <si>
    <t xml:space="preserve"> 41.5002 </t>
  </si>
  <si>
    <t xml:space="preserve">C:\Users\andre\Desktop\REACTIV CEFAS\Prochloraz\Prochloraz/20201117_Cefas_Test6-Run2/Plate 5/@19/G10_01.tif </t>
  </si>
  <si>
    <t xml:space="preserve"> 35.1348 </t>
  </si>
  <si>
    <t xml:space="preserve">C:\Users\andre\Desktop\REACTIV CEFAS\Prochloraz\Prochloraz/20201117_Cefas_Test6-Run2/Plate 5/@19/G10_02.tif </t>
  </si>
  <si>
    <t xml:space="preserve"> 38566.1021 </t>
  </si>
  <si>
    <t xml:space="preserve"> 41.2602 </t>
  </si>
  <si>
    <t xml:space="preserve">C:\Users\andre\Desktop\REACTIV CEFAS\Prochloraz\Prochloraz/20201117_Cefas_Test6-Run2/Plate 5/@19/G10_03.tif </t>
  </si>
  <si>
    <t xml:space="preserve"> 35256.7282 </t>
  </si>
  <si>
    <t xml:space="preserve"> 39.2294 </t>
  </si>
  <si>
    <t xml:space="preserve">C:\Users\andre\Desktop\REACTIV CEFAS\Prochloraz\Prochloraz/20201117_Cefas_Test6-Run2/Plate 5/@19/H10_01.tif </t>
  </si>
  <si>
    <t xml:space="preserve"> 26258.6921 </t>
  </si>
  <si>
    <t xml:space="preserve"> 35.8369 </t>
  </si>
  <si>
    <t xml:space="preserve">C:\Users\andre\Desktop\REACTIV CEFAS\Prochloraz\Prochloraz/20201117_Cefas_Test6-Run2/Plate 5/@19/H10_02.tif </t>
  </si>
  <si>
    <t xml:space="preserve"> 26950.8487 </t>
  </si>
  <si>
    <t xml:space="preserve"> 36.3034 </t>
  </si>
  <si>
    <t xml:space="preserve">C:\Users\andre\Desktop\REACTIV CEFAS\Prochloraz\Prochloraz/20201117_Cefas_Test6-Run2/Plate 5/@19/H10_03.tif </t>
  </si>
  <si>
    <t xml:space="preserve"> 29503.1763 </t>
  </si>
  <si>
    <t xml:space="preserve"> 36.0572 </t>
  </si>
  <si>
    <t xml:space="preserve">C:\Users\andre\Desktop\REACTIV CEFAS\Prochloraz\Prochloraz/20201117_Cefas_Test6-Run2/Plate 5/@19/ </t>
  </si>
  <si>
    <t xml:space="preserve"> 36.5977 </t>
  </si>
  <si>
    <t xml:space="preserve"> 2.7774 </t>
  </si>
  <si>
    <t xml:space="preserve"> 943741.125 </t>
  </si>
  <si>
    <t xml:space="preserve"> 562939.921 </t>
  </si>
  <si>
    <t xml:space="preserve">C:\Users\andre\Desktop\REACTIV CEFAS\Prochloraz\Prochloraz/20201117_Cefas_Test6-Run2/Plate 5/@20/A11_01.tif </t>
  </si>
  <si>
    <t xml:space="preserve"> 34.4781 </t>
  </si>
  <si>
    <t xml:space="preserve">C:\Users\andre\Desktop\REACTIV CEFAS\Prochloraz\Prochloraz/20201117_Cefas_Test6-Run2/Plate 5/@20/A11_02.tif </t>
  </si>
  <si>
    <t xml:space="preserve"> 17195.7662 </t>
  </si>
  <si>
    <t xml:space="preserve"> 33.883 </t>
  </si>
  <si>
    <t xml:space="preserve">C:\Users\andre\Desktop\REACTIV CEFAS\Prochloraz\Prochloraz/20201117_Cefas_Test6-Run2/Plate 5/@20/A11_03.tif </t>
  </si>
  <si>
    <t xml:space="preserve"> 32.5589 </t>
  </si>
  <si>
    <t>C:\Users\andre\Desktop\REACTIV CEFAS\Prochloraz\Prochloraz/20201117_Cefas_Test6-Run2/Plate 5/@20/B11_01- exclu.tif</t>
  </si>
  <si>
    <t>C:\Users\andre\Desktop\REACTIV CEFAS\Prochloraz\Prochloraz/20201117_Cefas_Test6-Run2/Plate 5/@20/B11_02- exclu.tif</t>
  </si>
  <si>
    <t xml:space="preserve">C:\Users\andre\Desktop\REACTIV CEFAS\Prochloraz\Prochloraz/20201117_Cefas_Test6-Run2/Plate 5/@20/B11_03.tif </t>
  </si>
  <si>
    <t xml:space="preserve"> 1946.6905 </t>
  </si>
  <si>
    <t xml:space="preserve"> 34.5667 </t>
  </si>
  <si>
    <t>C:\Users\andre\Desktop\REACTIV CEFAS\Prochloraz\Prochloraz/20201117_Cefas_Test6-Run2/Plate 5/@20/C11_01- exclu.tif</t>
  </si>
  <si>
    <t>C:\Users\andre\Desktop\REACTIV CEFAS\Prochloraz\Prochloraz/20201117_Cefas_Test6-Run2/Plate 5/@20/C11_02- exclu.tif</t>
  </si>
  <si>
    <t>C:\Users\andre\Desktop\REACTIV CEFAS\Prochloraz\Prochloraz/20201117_Cefas_Test6-Run2/Plate 5/@20/C11_03- exclu.tif</t>
  </si>
  <si>
    <t xml:space="preserve">C:\Users\andre\Desktop\REACTIV CEFAS\Prochloraz\Prochloraz/20201117_Cefas_Test6-Run2/Plate 5/@20/D11_01.tif </t>
  </si>
  <si>
    <t xml:space="preserve"> 40512.7926 </t>
  </si>
  <si>
    <t xml:space="preserve"> 37.4383 </t>
  </si>
  <si>
    <t xml:space="preserve">C:\Users\andre\Desktop\REACTIV CEFAS\Prochloraz\Prochloraz/20201117_Cefas_Test6-Run2/Plate 5/@20/D11_02.tif </t>
  </si>
  <si>
    <t xml:space="preserve"> 28227.0125 </t>
  </si>
  <si>
    <t xml:space="preserve"> 37.0054 </t>
  </si>
  <si>
    <t xml:space="preserve">C:\Users\andre\Desktop\REACTIV CEFAS\Prochloraz\Prochloraz/20201117_Cefas_Test6-Run2/Plate 5/@20/D11_03.tif </t>
  </si>
  <si>
    <t xml:space="preserve"> 34586.2015 </t>
  </si>
  <si>
    <t xml:space="preserve"> 37.132 </t>
  </si>
  <si>
    <t xml:space="preserve">C:\Users\andre\Desktop\REACTIV CEFAS\Prochloraz\Prochloraz/20201117_Cefas_Test6-Run2/Plate 5/@20/E11_01.tif </t>
  </si>
  <si>
    <t xml:space="preserve"> 21911.0833 </t>
  </si>
  <si>
    <t xml:space="preserve"> 34.6861 </t>
  </si>
  <si>
    <t xml:space="preserve">C:\Users\andre\Desktop\REACTIV CEFAS\Prochloraz\Prochloraz/20201117_Cefas_Test6-Run2/Plate 5/@20/E11_02.tif </t>
  </si>
  <si>
    <t xml:space="preserve"> 16914.5776 </t>
  </si>
  <si>
    <t xml:space="preserve"> 35.8389 </t>
  </si>
  <si>
    <t xml:space="preserve">C:\Users\andre\Desktop\REACTIV CEFAS\Prochloraz\Prochloraz/20201117_Cefas_Test6-Run2/Plate 5/@20/E11_03.tif </t>
  </si>
  <si>
    <t xml:space="preserve"> 25350.2365 </t>
  </si>
  <si>
    <t xml:space="preserve"> 35.785 </t>
  </si>
  <si>
    <t xml:space="preserve">C:\Users\andre\Desktop\REACTIV CEFAS\Prochloraz\Prochloraz/20201117_Cefas_Test6-Run2/Plate 5/@20/F11_01.tif </t>
  </si>
  <si>
    <t xml:space="preserve"> 57146.1816 </t>
  </si>
  <si>
    <t xml:space="preserve"> 36.2861 </t>
  </si>
  <si>
    <t xml:space="preserve">C:\Users\andre\Desktop\REACTIV CEFAS\Prochloraz\Prochloraz/20201117_Cefas_Test6-Run2/Plate 5/@20/F11_02.tif </t>
  </si>
  <si>
    <t xml:space="preserve"> 40988.6503 </t>
  </si>
  <si>
    <t xml:space="preserve"> 34.7805 </t>
  </si>
  <si>
    <t xml:space="preserve">C:\Users\andre\Desktop\REACTIV CEFAS\Prochloraz\Prochloraz/20201117_Cefas_Test6-Run2/Plate 5/@20/F11_03.tif </t>
  </si>
  <si>
    <t xml:space="preserve"> 46720.5724 </t>
  </si>
  <si>
    <t xml:space="preserve"> 35.8588 </t>
  </si>
  <si>
    <t>C:\Users\andre\Desktop\REACTIV CEFAS\Prochloraz\Prochloraz/20201117_Cefas_Test6-Run2/Plate 5/@20/G11_01- exclu.tif</t>
  </si>
  <si>
    <t>C:\Users\andre\Desktop\REACTIV CEFAS\Prochloraz\Prochloraz/20201117_Cefas_Test6-Run2/Plate 5/@20/G11_02- exclu.tif</t>
  </si>
  <si>
    <t>C:\Users\andre\Desktop\REACTIV CEFAS\Prochloraz\Prochloraz/20201117_Cefas_Test6-Run2/Plate 5/@20/G11_03- exclu.tif</t>
  </si>
  <si>
    <t xml:space="preserve">C:\Users\andre\Desktop\REACTIV CEFAS\Prochloraz\Prochloraz/20201117_Cefas_Test6-Run2/Plate 5/@20/H11_01.tif </t>
  </si>
  <si>
    <t xml:space="preserve"> 28724.5001 </t>
  </si>
  <si>
    <t xml:space="preserve"> 33.3818 </t>
  </si>
  <si>
    <t xml:space="preserve">C:\Users\andre\Desktop\REACTIV CEFAS\Prochloraz\Prochloraz/20201117_Cefas_Test6-Run2/Plate 5/@20/H11_02.tif </t>
  </si>
  <si>
    <t xml:space="preserve"> 33.2651 </t>
  </si>
  <si>
    <t xml:space="preserve">C:\Users\andre\Desktop\REACTIV CEFAS\Prochloraz\Prochloraz/20201117_Cefas_Test6-Run2/Plate 5/@20/H11_03.tif </t>
  </si>
  <si>
    <t xml:space="preserve"> 30195.3329 </t>
  </si>
  <si>
    <t xml:space="preserve"> 33.8145 </t>
  </si>
  <si>
    <t xml:space="preserve">C:\Users\andre\Desktop\REACTIV CEFAS\Prochloraz\Prochloraz/20201117_Cefas_Test6-Run2/Plate 5/@20/ </t>
  </si>
  <si>
    <t xml:space="preserve"> 37.8806 </t>
  </si>
  <si>
    <t xml:space="preserve"> 5.2244 </t>
  </si>
  <si>
    <t xml:space="preserve"> 861991.917 </t>
  </si>
  <si>
    <t xml:space="preserve"> 520202.591 </t>
  </si>
  <si>
    <t xml:space="preserve">C:\Users\andre\Desktop\REACTIV CEFAS\Prochloraz\Prochloraz/20201117_Cefas_Test6-Run2/Plate 5/@21/A12_01.tif </t>
  </si>
  <si>
    <t xml:space="preserve"> 25696.3148 </t>
  </si>
  <si>
    <t xml:space="preserve"> 37.585 </t>
  </si>
  <si>
    <t>C:\Users\andre\Desktop\REACTIV CEFAS\Prochloraz\Prochloraz/20201117_Cefas_Test6-Run2/Plate 5/@21/A12_02- exclu.tif</t>
  </si>
  <si>
    <t>C:\Users\andre\Desktop\REACTIV CEFAS\Prochloraz\Prochloraz/20201117_Cefas_Test6-Run2/Plate 5/@21/A12_03- exclu.tif</t>
  </si>
  <si>
    <t xml:space="preserve">C:\Users\andre\Desktop\REACTIV CEFAS\Prochloraz\Prochloraz/20201117_Cefas_Test6-Run2/Plate 5/@21/B12_01.tif </t>
  </si>
  <si>
    <t xml:space="preserve"> 32899.0697 </t>
  </si>
  <si>
    <t xml:space="preserve"> 33.998 </t>
  </si>
  <si>
    <t xml:space="preserve">C:\Users\andre\Desktop\REACTIV CEFAS\Prochloraz\Prochloraz/20201117_Cefas_Test6-Run2/Plate 5/@21/B12_02.tif </t>
  </si>
  <si>
    <t xml:space="preserve"> 36727.5611 </t>
  </si>
  <si>
    <t xml:space="preserve"> 34.3834 </t>
  </si>
  <si>
    <t xml:space="preserve">C:\Users\andre\Desktop\REACTIV CEFAS\Prochloraz\Prochloraz/20201117_Cefas_Test6-Run2/Plate 5/@21/B12_03.tif </t>
  </si>
  <si>
    <t xml:space="preserve"> 39388.0381 </t>
  </si>
  <si>
    <t xml:space="preserve"> 34.5371 </t>
  </si>
  <si>
    <t xml:space="preserve">C:\Users\andre\Desktop\REACTIV CEFAS\Prochloraz\Prochloraz/20201117_Cefas_Test6-Run2/Plate 5/@21/C12_01.tif </t>
  </si>
  <si>
    <t xml:space="preserve"> 43.3469 </t>
  </si>
  <si>
    <t xml:space="preserve">C:\Users\andre\Desktop\REACTIV CEFAS\Prochloraz\Prochloraz/20201117_Cefas_Test6-Run2/Plate 5/@21/C12_02.tif </t>
  </si>
  <si>
    <t xml:space="preserve"> 12004.5915 </t>
  </si>
  <si>
    <t xml:space="preserve"> 46.818 </t>
  </si>
  <si>
    <t xml:space="preserve">C:\Users\andre\Desktop\REACTIV CEFAS\Prochloraz\Prochloraz/20201117_Cefas_Test6-Run2/Plate 5/@21/C12_03.tif </t>
  </si>
  <si>
    <t xml:space="preserve"> 12242.5204 </t>
  </si>
  <si>
    <t xml:space="preserve"> 45.3233 </t>
  </si>
  <si>
    <t xml:space="preserve">C:\Users\andre\Desktop\REACTIV CEFAS\Prochloraz\Prochloraz/20201117_Cefas_Test6-Run2/Plate 5/@21/D12_01.tif </t>
  </si>
  <si>
    <t xml:space="preserve"> 37160.159 </t>
  </si>
  <si>
    <t xml:space="preserve"> 39.4593 </t>
  </si>
  <si>
    <t>C:\Users\andre\Desktop\REACTIV CEFAS\Prochloraz\Prochloraz/20201117_Cefas_Test6-Run2/Plate 5/@21/D12_02- exclu.tif</t>
  </si>
  <si>
    <t>C:\Users\andre\Desktop\REACTIV CEFAS\Prochloraz\Prochloraz/20201117_Cefas_Test6-Run2/Plate 5/@21/D12_03- exclu.tif</t>
  </si>
  <si>
    <t xml:space="preserve">C:\Users\andre\Desktop\REACTIV CEFAS\Prochloraz\Prochloraz/20201117_Cefas_Test6-Run2/Plate 5/@21/E12_01.tif </t>
  </si>
  <si>
    <t xml:space="preserve"> 50419.2844 </t>
  </si>
  <si>
    <t xml:space="preserve"> 42.5538 </t>
  </si>
  <si>
    <t xml:space="preserve">C:\Users\andre\Desktop\REACTIV CEFAS\Prochloraz\Prochloraz/20201117_Cefas_Test6-Run2/Plate 5/@21/E12_02.tif </t>
  </si>
  <si>
    <t xml:space="preserve"> 48688.8928 </t>
  </si>
  <si>
    <t xml:space="preserve"> 41.9702 </t>
  </si>
  <si>
    <t xml:space="preserve">C:\Users\andre\Desktop\REACTIV CEFAS\Prochloraz\Prochloraz/20201117_Cefas_Test6-Run2/Plate 5/@21/E12_03.tif </t>
  </si>
  <si>
    <t xml:space="preserve"> 48537.4835 </t>
  </si>
  <si>
    <t xml:space="preserve"> 41.3957 </t>
  </si>
  <si>
    <t xml:space="preserve">C:\Users\andre\Desktop\REACTIV CEFAS\Prochloraz\Prochloraz/20201117_Cefas_Test6-Run2/Plate 5/@21/F12_01.tif </t>
  </si>
  <si>
    <t xml:space="preserve"> 22473.4605 </t>
  </si>
  <si>
    <t xml:space="preserve"> 33.9971 </t>
  </si>
  <si>
    <t xml:space="preserve">C:\Users\andre\Desktop\REACTIV CEFAS\Prochloraz\Prochloraz/20201117_Cefas_Test6-Run2/Plate 5/@21/F12_02.tif </t>
  </si>
  <si>
    <t xml:space="preserve"> 27253.6672 </t>
  </si>
  <si>
    <t xml:space="preserve"> 34.8071 </t>
  </si>
  <si>
    <t xml:space="preserve">C:\Users\andre\Desktop\REACTIV CEFAS\Prochloraz\Prochloraz/20201117_Cefas_Test6-Run2/Plate 5/@21/F12_03.tif </t>
  </si>
  <si>
    <t xml:space="preserve"> 25004.1582 </t>
  </si>
  <si>
    <t xml:space="preserve"> 34.6548 </t>
  </si>
  <si>
    <t xml:space="preserve">C:\Users\andre\Desktop\REACTIV CEFAS\Prochloraz\Prochloraz/20201117_Cefas_Test6-Run2/Plate 5/@21/G12_01.tif </t>
  </si>
  <si>
    <t xml:space="preserve"> 38.0495 </t>
  </si>
  <si>
    <t xml:space="preserve">C:\Users\andre\Desktop\REACTIV CEFAS\Prochloraz\Prochloraz/20201117_Cefas_Test6-Run2/Plate 5/@21/G12_02.tif </t>
  </si>
  <si>
    <t xml:space="preserve"> 49467.569 </t>
  </si>
  <si>
    <t xml:space="preserve"> 37.261 </t>
  </si>
  <si>
    <t xml:space="preserve">C:\Users\andre\Desktop\REACTIV CEFAS\Prochloraz\Prochloraz/20201117_Cefas_Test6-Run2/Plate 5/@21/G12_03.tif </t>
  </si>
  <si>
    <t xml:space="preserve"> 49748.7576 </t>
  </si>
  <si>
    <t xml:space="preserve"> 38.0413 </t>
  </si>
  <si>
    <t xml:space="preserve">C:\Users\andre\Desktop\REACTIV CEFAS\Prochloraz\Prochloraz/20201117_Cefas_Test6-Run2/Plate 5/@21/H12_01.tif </t>
  </si>
  <si>
    <t>C:\Users\andre\Desktop\REACTIV CEFAS\Prochloraz\Prochloraz/20201117_Cefas_Test6-Run2/Plate 5/@21/H12_02- exclu.tif</t>
  </si>
  <si>
    <t xml:space="preserve">C:\Users\andre\Desktop\REACTIV CEFAS\Prochloraz\Prochloraz/20201117_Cefas_Test6-Run2/Plate 5/@21/H12_03.tif </t>
  </si>
  <si>
    <t xml:space="preserve"> 38.7527 </t>
  </si>
  <si>
    <t xml:space="preserve">C:\Users\andre\Desktop\REACTIV CEFAS\Prochloraz\Prochloraz/20201117_Cefas_Test6-Run2/Plate 5/@21/ </t>
  </si>
  <si>
    <t xml:space="preserve"> 38.1632 </t>
  </si>
  <si>
    <t xml:space="preserve"> 9.1279 </t>
  </si>
  <si>
    <t xml:space="preserve"> 1127105.83 </t>
  </si>
  <si>
    <t xml:space="preserve"> 623768.203 </t>
  </si>
  <si>
    <t xml:space="preserve">C:\Users\andre\Desktop\REACTIV CEFAS\Prochloraz\Prochloraz/20201117_Cefas_Test6-Run2/Plate 5/@8/A2_01.tif </t>
  </si>
  <si>
    <t xml:space="preserve"> 36.8289 </t>
  </si>
  <si>
    <t xml:space="preserve">C:\Users\andre\Desktop\REACTIV CEFAS\Prochloraz\Prochloraz/20201117_Cefas_Test6-Run2/Plate 5/@8/A2_02.tif </t>
  </si>
  <si>
    <t xml:space="preserve"> 8111.2105 </t>
  </si>
  <si>
    <t xml:space="preserve"> 36.8507 </t>
  </si>
  <si>
    <t xml:space="preserve">C:\Users\andre\Desktop\REACTIV CEFAS\Prochloraz\Prochloraz/20201117_Cefas_Test6-Run2/Plate 5/@8/A2_03.tif </t>
  </si>
  <si>
    <t xml:space="preserve"> 6272.6694 </t>
  </si>
  <si>
    <t xml:space="preserve"> 36.2103 </t>
  </si>
  <si>
    <t xml:space="preserve">C:\Users\andre\Desktop\REACTIV CEFAS\Prochloraz\Prochloraz/20201117_Cefas_Test6-Run2/Plate 5/@8/B2_01.tif </t>
  </si>
  <si>
    <t xml:space="preserve"> 35.2612 </t>
  </si>
  <si>
    <t xml:space="preserve">C:\Users\andre\Desktop\REACTIV CEFAS\Prochloraz\Prochloraz/20201117_Cefas_Test6-Run2/Plate 5/@8/B2_02.tif </t>
  </si>
  <si>
    <t xml:space="preserve"> 37.5694 </t>
  </si>
  <si>
    <t xml:space="preserve">C:\Users\andre\Desktop\REACTIV CEFAS\Prochloraz\Prochloraz/20201117_Cefas_Test6-Run2/Plate 5/@8/B2_03.tif </t>
  </si>
  <si>
    <t xml:space="preserve"> 35.7853 </t>
  </si>
  <si>
    <t xml:space="preserve">C:\Users\andre\Desktop\REACTIV CEFAS\Prochloraz\Prochloraz/20201117_Cefas_Test6-Run2/Plate 5/@8/C2_01.tif </t>
  </si>
  <si>
    <t xml:space="preserve"> 9257.5949 </t>
  </si>
  <si>
    <t xml:space="preserve"> 36.7921 </t>
  </si>
  <si>
    <t xml:space="preserve">C:\Users\andre\Desktop\REACTIV CEFAS\Prochloraz\Prochloraz/20201117_Cefas_Test6-Run2/Plate 5/@8/C2_02.tif </t>
  </si>
  <si>
    <t xml:space="preserve">C:\Users\andre\Desktop\REACTIV CEFAS\Prochloraz\Prochloraz/20201117_Cefas_Test6-Run2/Plate 5/@8/C2_03.tif </t>
  </si>
  <si>
    <t xml:space="preserve"> 30.3333 </t>
  </si>
  <si>
    <t xml:space="preserve">C:\Users\andre\Desktop\REACTIV CEFAS\Prochloraz\Prochloraz/20201117_Cefas_Test6-Run2/Plate 5/@8/D2_01.tif </t>
  </si>
  <si>
    <t xml:space="preserve"> 41.1843 </t>
  </si>
  <si>
    <t xml:space="preserve">C:\Users\andre\Desktop\REACTIV CEFAS\Prochloraz\Prochloraz/20201117_Cefas_Test6-Run2/Plate 5/@8/D2_02.tif </t>
  </si>
  <si>
    <t xml:space="preserve"> 33.551 </t>
  </si>
  <si>
    <t xml:space="preserve">C:\Users\andre\Desktop\REACTIV CEFAS\Prochloraz\Prochloraz/20201117_Cefas_Test6-Run2/Plate 5/@8/D2_03.tif </t>
  </si>
  <si>
    <t xml:space="preserve"> 42.1235 </t>
  </si>
  <si>
    <t xml:space="preserve">C:\Users\andre\Desktop\REACTIV CEFAS\Prochloraz\Prochloraz/20201117_Cefas_Test6-Run2/Plate 5/@8/E2_01.tif </t>
  </si>
  <si>
    <t xml:space="preserve">C:\Users\andre\Desktop\REACTIV CEFAS\Prochloraz\Prochloraz/20201117_Cefas_Test6-Run2/Plate 5/@8/E2_02.tif </t>
  </si>
  <si>
    <t xml:space="preserve"> 33.7143 </t>
  </si>
  <si>
    <t xml:space="preserve">C:\Users\andre\Desktop\REACTIV CEFAS\Prochloraz\Prochloraz/20201117_Cefas_Test6-Run2/Plate 5/@8/E2_03.tif </t>
  </si>
  <si>
    <t xml:space="preserve"> 32.9 </t>
  </si>
  <si>
    <t>C:\Users\andre\Desktop\REACTIV CEFAS\Prochloraz\Prochloraz/20201117_Cefas_Test6-Run2/Plate 5/@8/F2_01- exclu.tif</t>
  </si>
  <si>
    <t xml:space="preserve">C:\Users\andre\Desktop\REACTIV CEFAS\Prochloraz\Prochloraz/20201117_Cefas_Test6-Run2/Plate 5/@8/F2_02.tif </t>
  </si>
  <si>
    <t xml:space="preserve"> 35.0588 </t>
  </si>
  <si>
    <t xml:space="preserve">C:\Users\andre\Desktop\REACTIV CEFAS\Prochloraz\Prochloraz/20201117_Cefas_Test6-Run2/Plate 5/@8/F2_03.tif </t>
  </si>
  <si>
    <t xml:space="preserve"> 31.8333 </t>
  </si>
  <si>
    <t xml:space="preserve">C:\Users\andre\Desktop\REACTIV CEFAS\Prochloraz\Prochloraz/20201117_Cefas_Test6-Run2/Plate 5/@8/G2_01.tif </t>
  </si>
  <si>
    <t xml:space="preserve"> 12199.2606 </t>
  </si>
  <si>
    <t xml:space="preserve"> 41.6862 </t>
  </si>
  <si>
    <t xml:space="preserve">C:\Users\andre\Desktop\REACTIV CEFAS\Prochloraz\Prochloraz/20201117_Cefas_Test6-Run2/Plate 5/@8/G2_02.tif </t>
  </si>
  <si>
    <t xml:space="preserve"> 11225.9153 </t>
  </si>
  <si>
    <t xml:space="preserve"> 42.9229 </t>
  </si>
  <si>
    <t xml:space="preserve">C:\Users\andre\Desktop\REACTIV CEFAS\Prochloraz\Prochloraz/20201117_Cefas_Test6-Run2/Plate 5/@8/G2_03.tif </t>
  </si>
  <si>
    <t xml:space="preserve"> 43.8127 </t>
  </si>
  <si>
    <t xml:space="preserve">C:\Users\andre\Desktop\REACTIV CEFAS\Prochloraz\Prochloraz/20201117_Cefas_Test6-Run2/Plate 5/@8/H2_01.tif </t>
  </si>
  <si>
    <t xml:space="preserve"> 1081.4947 </t>
  </si>
  <si>
    <t xml:space="preserve"> 38.72 </t>
  </si>
  <si>
    <t xml:space="preserve">C:\Users\andre\Desktop\REACTIV CEFAS\Prochloraz\Prochloraz/20201117_Cefas_Test6-Run2/Plate 5/@8/H2_02.tif </t>
  </si>
  <si>
    <t xml:space="preserve"> 13475.4244 </t>
  </si>
  <si>
    <t xml:space="preserve"> 47.7624 </t>
  </si>
  <si>
    <t xml:space="preserve">C:\Users\andre\Desktop\REACTIV CEFAS\Prochloraz\Prochloraz/20201117_Cefas_Test6-Run2/Plate 5/@8/H2_03.tif </t>
  </si>
  <si>
    <t xml:space="preserve"> 14729.9582 </t>
  </si>
  <si>
    <t xml:space="preserve"> 46.9721 </t>
  </si>
  <si>
    <t xml:space="preserve">C:\Users\andre\Desktop\REACTIV CEFAS\Prochloraz\Prochloraz/20201117_Cefas_Test6-Run2/Plate 5/@8/ </t>
  </si>
  <si>
    <t xml:space="preserve"> 37.0086 </t>
  </si>
  <si>
    <t xml:space="preserve"> 5.2247 </t>
  </si>
  <si>
    <t xml:space="preserve"> 234181.417 </t>
  </si>
  <si>
    <t xml:space="preserve"> 210260.574 </t>
  </si>
  <si>
    <t xml:space="preserve">C:\Users\andre\Desktop\REACTIV CEFAS\Prochloraz\Prochloraz/20201117_Cefas_Test6-Run2/Plate 5/@9/A3_01.tif </t>
  </si>
  <si>
    <t xml:space="preserve"> 37.1629 </t>
  </si>
  <si>
    <t xml:space="preserve">C:\Users\andre\Desktop\REACTIV CEFAS\Prochloraz\Prochloraz/20201117_Cefas_Test6-Run2/Plate 5/@9/A3_02.tif </t>
  </si>
  <si>
    <t xml:space="preserve"> 36.2995 </t>
  </si>
  <si>
    <t xml:space="preserve">C:\Users\andre\Desktop\REACTIV CEFAS\Prochloraz\Prochloraz/20201117_Cefas_Test6-Run2/Plate 5/@9/A3_03.tif </t>
  </si>
  <si>
    <t xml:space="preserve"> 36.7404 </t>
  </si>
  <si>
    <t xml:space="preserve">C:\Users\andre\Desktop\REACTIV CEFAS\Prochloraz\Prochloraz/20201117_Cefas_Test6-Run2/Plate 5/@9/B3_01.tif </t>
  </si>
  <si>
    <t xml:space="preserve"> 6726.8972 </t>
  </si>
  <si>
    <t xml:space="preserve"> 38.4084 </t>
  </si>
  <si>
    <t xml:space="preserve">C:\Users\andre\Desktop\REACTIV CEFAS\Prochloraz\Prochloraz/20201117_Cefas_Test6-Run2/Plate 5/@9/B3_02.tif </t>
  </si>
  <si>
    <t xml:space="preserve"> 6488.9684 </t>
  </si>
  <si>
    <t xml:space="preserve"> 36.85 </t>
  </si>
  <si>
    <t xml:space="preserve">C:\Users\andre\Desktop\REACTIV CEFAS\Prochloraz\Prochloraz/20201117_Cefas_Test6-Run2/Plate 5/@9/B3_03.tif </t>
  </si>
  <si>
    <t xml:space="preserve"> 36.129 </t>
  </si>
  <si>
    <t xml:space="preserve">C:\Users\andre\Desktop\REACTIV CEFAS\Prochloraz\Prochloraz/20201117_Cefas_Test6-Run2/Plate 5/@9/C3_01.tif </t>
  </si>
  <si>
    <t xml:space="preserve"> 32.4167 </t>
  </si>
  <si>
    <t xml:space="preserve">C:\Users\andre\Desktop\REACTIV CEFAS\Prochloraz\Prochloraz/20201117_Cefas_Test6-Run2/Plate 5/@9/C3_02.tif </t>
  </si>
  <si>
    <t xml:space="preserve"> 32.9636 </t>
  </si>
  <si>
    <t xml:space="preserve">C:\Users\andre\Desktop\REACTIV CEFAS\Prochloraz\Prochloraz/20201117_Cefas_Test6-Run2/Plate 5/@9/C3_03.tif </t>
  </si>
  <si>
    <t xml:space="preserve"> 6553.8581 </t>
  </si>
  <si>
    <t xml:space="preserve"> 37.4422 </t>
  </si>
  <si>
    <t xml:space="preserve">C:\Users\andre\Desktop\REACTIV CEFAS\Prochloraz\Prochloraz/20201117_Cefas_Test6-Run2/Plate 5/@9/D3_01.tif </t>
  </si>
  <si>
    <t xml:space="preserve"> 7116.2353 </t>
  </si>
  <si>
    <t xml:space="preserve"> 36.9696 </t>
  </si>
  <si>
    <t xml:space="preserve">C:\Users\andre\Desktop\REACTIV CEFAS\Prochloraz\Prochloraz/20201117_Cefas_Test6-Run2/Plate 5/@9/D3_02.tif </t>
  </si>
  <si>
    <t xml:space="preserve"> 36.028 </t>
  </si>
  <si>
    <t xml:space="preserve">C:\Users\andre\Desktop\REACTIV CEFAS\Prochloraz\Prochloraz/20201117_Cefas_Test6-Run2/Plate 5/@9/D3_03.tif </t>
  </si>
  <si>
    <t xml:space="preserve"> 36.3147 </t>
  </si>
  <si>
    <t>C:\Users\andre\Desktop\REACTIV CEFAS\Prochloraz\Prochloraz/20201117_Cefas_Test6-Run2/Plate 5/@9/E3_01- exclu.tif</t>
  </si>
  <si>
    <t xml:space="preserve">C:\Users\andre\Desktop\REACTIV CEFAS\Prochloraz\Prochloraz/20201117_Cefas_Test6-Run2/Plate 5/@9/E3_02.tif </t>
  </si>
  <si>
    <t xml:space="preserve"> 6618.7478 </t>
  </si>
  <si>
    <t xml:space="preserve"> 37.6667 </t>
  </si>
  <si>
    <t xml:space="preserve">C:\Users\andre\Desktop\REACTIV CEFAS\Prochloraz\Prochloraz/20201117_Cefas_Test6-Run2/Plate 5/@9/E3_03.tif </t>
  </si>
  <si>
    <t xml:space="preserve">C:\Users\andre\Desktop\REACTIV CEFAS\Prochloraz\Prochloraz/20201117_Cefas_Test6-Run2/Plate 5/@9/F3_01.tif </t>
  </si>
  <si>
    <t xml:space="preserve"> 33.4128 </t>
  </si>
  <si>
    <t xml:space="preserve">C:\Users\andre\Desktop\REACTIV CEFAS\Prochloraz\Prochloraz/20201117_Cefas_Test6-Run2/Plate 5/@9/F3_02.tif </t>
  </si>
  <si>
    <t xml:space="preserve"> 35.3988 </t>
  </si>
  <si>
    <t xml:space="preserve">C:\Users\andre\Desktop\REACTIV CEFAS\Prochloraz\Prochloraz/20201117_Cefas_Test6-Run2/Plate 5/@9/F3_03.tif </t>
  </si>
  <si>
    <t xml:space="preserve"> 35.596 </t>
  </si>
  <si>
    <t xml:space="preserve">C:\Users\andre\Desktop\REACTIV CEFAS\Prochloraz\Prochloraz/20201117_Cefas_Test6-Run2/Plate 5/@9/G3_01.tif </t>
  </si>
  <si>
    <t xml:space="preserve"> 38.287 </t>
  </si>
  <si>
    <t xml:space="preserve">C:\Users\andre\Desktop\REACTIV CEFAS\Prochloraz\Prochloraz/20201117_Cefas_Test6-Run2/Plate 5/@9/G3_02.tif </t>
  </si>
  <si>
    <t xml:space="preserve"> 9884.8618 </t>
  </si>
  <si>
    <t xml:space="preserve"> 46.7374 </t>
  </si>
  <si>
    <t xml:space="preserve">C:\Users\andre\Desktop\REACTIV CEFAS\Prochloraz\Prochloraz/20201117_Cefas_Test6-Run2/Plate 5/@9/G3_03.tif </t>
  </si>
  <si>
    <t xml:space="preserve"> 11593.6235 </t>
  </si>
  <si>
    <t xml:space="preserve"> 48.944 </t>
  </si>
  <si>
    <t xml:space="preserve">C:\Users\andre\Desktop\REACTIV CEFAS\Prochloraz\Prochloraz/20201117_Cefas_Test6-Run2/Plate 5/@9/H3_01.tif </t>
  </si>
  <si>
    <t xml:space="preserve"> 39.657 </t>
  </si>
  <si>
    <t xml:space="preserve">C:\Users\andre\Desktop\REACTIV CEFAS\Prochloraz\Prochloraz/20201117_Cefas_Test6-Run2/Plate 5/@9/H3_02.tif </t>
  </si>
  <si>
    <t xml:space="preserve"> 41.3436 </t>
  </si>
  <si>
    <t>C:\Users\andre\Desktop\REACTIV CEFAS\Prochloraz\Prochloraz/20201117_Cefas_Test6-Run2/Plate 5/@9/H3_03- exclu.tif</t>
  </si>
  <si>
    <t xml:space="preserve">C:\Users\andre\Desktop\REACTIV CEFAS\Prochloraz\Prochloraz/20201117_Cefas_Test6-Run2/Plate 5/@9/ </t>
  </si>
  <si>
    <t xml:space="preserve"> 36.5668 </t>
  </si>
  <si>
    <t xml:space="preserve"> 8.9851 </t>
  </si>
  <si>
    <t xml:space="preserve"> 232276.167 </t>
  </si>
  <si>
    <t xml:space="preserve"> 163751.202 </t>
  </si>
  <si>
    <t>Prochloraz-0,063mg/L + Testostérone</t>
  </si>
  <si>
    <t>Prochloraz-0,13mg/L + Testostérone</t>
  </si>
  <si>
    <t>Prochloraz-0,25mg/L + Testostérone</t>
  </si>
  <si>
    <t>Prochloraz-0,5mg/L + Testostérone</t>
  </si>
  <si>
    <t>Prochloraz-1mg/L + Testostérone</t>
  </si>
  <si>
    <t xml:space="preserve">C:\Users\andre\Desktop\REACTIV CEFAS\Prochloraz\Prochloraz/20201210_Cefas_Test9_Run3/Plate 1/@1/A10_01.tif </t>
  </si>
  <si>
    <t xml:space="preserve">C:\Users\andre\Desktop\REACTIV CEFAS\Prochloraz\Prochloraz/20201210_Cefas_Test9_Run3/Plate 1/@1/A10_02.tif </t>
  </si>
  <si>
    <t xml:space="preserve">C:\Users\andre\Desktop\REACTIV CEFAS\Prochloraz\Prochloraz/20201210_Cefas_Test9_Run3/Plate 1/@1/A10_03.tif </t>
  </si>
  <si>
    <t xml:space="preserve"> 30.375 </t>
  </si>
  <si>
    <t xml:space="preserve">C:\Users\andre\Desktop\REACTIV CEFAS\Prochloraz\Prochloraz/20201210_Cefas_Test9_Run3/Plate 1/@1/A10_04.tif </t>
  </si>
  <si>
    <t xml:space="preserve">C:\Users\andre\Desktop\REACTIV CEFAS\Prochloraz\Prochloraz/20201210_Cefas_Test9_Run3/Plate 1/@1/B10_01.tif </t>
  </si>
  <si>
    <t xml:space="preserve"> 5883.3313 </t>
  </si>
  <si>
    <t xml:space="preserve"> 40.8346 </t>
  </si>
  <si>
    <t xml:space="preserve">C:\Users\andre\Desktop\REACTIV CEFAS\Prochloraz\Prochloraz/20201210_Cefas_Test9_Run3/Plate 1/@1/B10_02.tif </t>
  </si>
  <si>
    <t xml:space="preserve"> 9235.965 </t>
  </si>
  <si>
    <t xml:space="preserve"> 43.3981 </t>
  </si>
  <si>
    <t xml:space="preserve">C:\Users\andre\Desktop\REACTIV CEFAS\Prochloraz\Prochloraz/20201210_Cefas_Test9_Run3/Plate 1/@1/B10_03.tif </t>
  </si>
  <si>
    <t xml:space="preserve"> 44.7459 </t>
  </si>
  <si>
    <t xml:space="preserve">C:\Users\andre\Desktop\REACTIV CEFAS\Prochloraz\Prochloraz/20201210_Cefas_Test9_Run3/Plate 1/@1/B10_04.tif </t>
  </si>
  <si>
    <t xml:space="preserve"> 43.1111 </t>
  </si>
  <si>
    <t xml:space="preserve">C:\Users\andre\Desktop\REACTIV CEFAS\Prochloraz\Prochloraz/20201210_Cefas_Test9_Run3/Plate 1/@1/C10_01.tif </t>
  </si>
  <si>
    <t xml:space="preserve"> 34.1077 </t>
  </si>
  <si>
    <t xml:space="preserve">C:\Users\andre\Desktop\REACTIV CEFAS\Prochloraz\Prochloraz/20201210_Cefas_Test9_Run3/Plate 1/@1/C10_02.tif </t>
  </si>
  <si>
    <t xml:space="preserve"> 1168.0143 </t>
  </si>
  <si>
    <t xml:space="preserve"> 32.7778 </t>
  </si>
  <si>
    <t xml:space="preserve">C:\Users\andre\Desktop\REACTIV CEFAS\Prochloraz\Prochloraz/20201210_Cefas_Test9_Run3/Plate 1/@1/C10_03.tif </t>
  </si>
  <si>
    <t xml:space="preserve">C:\Users\andre\Desktop\REACTIV CEFAS\Prochloraz\Prochloraz/20201210_Cefas_Test9_Run3/Plate 1/@1/C10_04.tif </t>
  </si>
  <si>
    <t xml:space="preserve"> 32.8784 </t>
  </si>
  <si>
    <t xml:space="preserve">C:\Users\andre\Desktop\REACTIV CEFAS\Prochloraz\Prochloraz/20201210_Cefas_Test9_Run3/Plate 1/@1/D10_01.tif </t>
  </si>
  <si>
    <t xml:space="preserve"> 9690.1928 </t>
  </si>
  <si>
    <t xml:space="preserve"> 38.1161 </t>
  </si>
  <si>
    <t xml:space="preserve">C:\Users\andre\Desktop\REACTIV CEFAS\Prochloraz\Prochloraz/20201210_Cefas_Test9_Run3/Plate 1/@1/D10_02.tif </t>
  </si>
  <si>
    <t xml:space="preserve"> 9517.1536 </t>
  </si>
  <si>
    <t xml:space="preserve"> 38.8455 </t>
  </si>
  <si>
    <t xml:space="preserve">C:\Users\andre\Desktop\REACTIV CEFAS\Prochloraz\Prochloraz/20201210_Cefas_Test9_Run3/Plate 1/@1/D10_03.tif </t>
  </si>
  <si>
    <t xml:space="preserve"> 36.2206 </t>
  </si>
  <si>
    <t xml:space="preserve">C:\Users\andre\Desktop\REACTIV CEFAS\Prochloraz\Prochloraz/20201210_Cefas_Test9_Run3/Plate 1/@1/D10_04.tif </t>
  </si>
  <si>
    <t xml:space="preserve"> 38.4082 </t>
  </si>
  <si>
    <t xml:space="preserve">C:\Users\andre\Desktop\REACTIV CEFAS\Prochloraz\Prochloraz/20201210_Cefas_Test9_Run3/Plate 1/@1/E10_01.tif </t>
  </si>
  <si>
    <t xml:space="preserve"> 4282.7191 </t>
  </si>
  <si>
    <t xml:space="preserve"> 35.3434 </t>
  </si>
  <si>
    <t xml:space="preserve">C:\Users\andre\Desktop\REACTIV CEFAS\Prochloraz\Prochloraz/20201210_Cefas_Test9_Run3/Plate 1/@1/E10_02.tif </t>
  </si>
  <si>
    <t xml:space="preserve">C:\Users\andre\Desktop\REACTIV CEFAS\Prochloraz\Prochloraz/20201210_Cefas_Test9_Run3/Plate 1/@1/E10_03.tif </t>
  </si>
  <si>
    <t xml:space="preserve">C:\Users\andre\Desktop\REACTIV CEFAS\Prochloraz\Prochloraz/20201210_Cefas_Test9_Run3/Plate 1/@1/E10_04.tif </t>
  </si>
  <si>
    <t xml:space="preserve"> 35.7751 </t>
  </si>
  <si>
    <t xml:space="preserve">C:\Users\andre\Desktop\REACTIV CEFAS\Prochloraz\Prochloraz/20201210_Cefas_Test9_Run3/Plate 1/@1/F10_01.tif </t>
  </si>
  <si>
    <t xml:space="preserve"> 33.9365 </t>
  </si>
  <si>
    <t xml:space="preserve">C:\Users\andre\Desktop\REACTIV CEFAS\Prochloraz\Prochloraz/20201210_Cefas_Test9_Run3/Plate 1/@1/F10_02.tif </t>
  </si>
  <si>
    <t xml:space="preserve"> 34.2116 </t>
  </si>
  <si>
    <t xml:space="preserve">C:\Users\andre\Desktop\REACTIV CEFAS\Prochloraz\Prochloraz/20201210_Cefas_Test9_Run3/Plate 1/@1/F10_03.tif </t>
  </si>
  <si>
    <t xml:space="preserve"> 36.4332 </t>
  </si>
  <si>
    <t xml:space="preserve">C:\Users\andre\Desktop\REACTIV CEFAS\Prochloraz\Prochloraz/20201210_Cefas_Test9_Run3/Plate 1/@1/F10_04.tif </t>
  </si>
  <si>
    <t xml:space="preserve"> 5515.6231 </t>
  </si>
  <si>
    <t xml:space="preserve"> 35.0078 </t>
  </si>
  <si>
    <t xml:space="preserve">C:\Users\andre\Desktop\REACTIV CEFAS\Prochloraz\Prochloraz/20201210_Cefas_Test9_Run3/Plate 1/@1/G10_01.tif </t>
  </si>
  <si>
    <t xml:space="preserve">C:\Users\andre\Desktop\REACTIV CEFAS\Prochloraz\Prochloraz/20201210_Cefas_Test9_Run3/Plate 1/@1/G10_02.tif </t>
  </si>
  <si>
    <t xml:space="preserve"> 11507.1039 </t>
  </si>
  <si>
    <t xml:space="preserve"> 40.5414 </t>
  </si>
  <si>
    <t xml:space="preserve">C:\Users\andre\Desktop\REACTIV CEFAS\Prochloraz\Prochloraz/20201210_Cefas_Test9_Run3/Plate 1/@1/G10_03.tif </t>
  </si>
  <si>
    <t xml:space="preserve"> 39.8144 </t>
  </si>
  <si>
    <t xml:space="preserve">C:\Users\andre\Desktop\REACTIV CEFAS\Prochloraz\Prochloraz/20201210_Cefas_Test9_Run3/Plate 1/@1/G10_04.tif </t>
  </si>
  <si>
    <t xml:space="preserve"> 2530.6977 </t>
  </si>
  <si>
    <t xml:space="preserve"> 37.188 </t>
  </si>
  <si>
    <t>C:\Users\andre\Desktop\REACTIV CEFAS\Prochloraz\Prochloraz/20201210_Cefas_Test9_Run3/Plate 1/@1/H10_01- exclu.tif</t>
  </si>
  <si>
    <t>C:\Users\andre\Desktop\REACTIV CEFAS\Prochloraz\Prochloraz/20201210_Cefas_Test9_Run3/Plate 1/@1/H10_02- exclu.tif</t>
  </si>
  <si>
    <t xml:space="preserve">C:\Users\andre\Desktop\REACTIV CEFAS\Prochloraz\Prochloraz/20201210_Cefas_Test9_Run3/Plate 1/@1/H10_03.tif </t>
  </si>
  <si>
    <t xml:space="preserve"> 12220.8905 </t>
  </si>
  <si>
    <t xml:space="preserve"> 43.0354 </t>
  </si>
  <si>
    <t xml:space="preserve">C:\Users\andre\Desktop\REACTIV CEFAS\Prochloraz\Prochloraz/20201210_Cefas_Test9_Run3/Plate 1/@1/H10_04.tif </t>
  </si>
  <si>
    <t xml:space="preserve"> 11290.805 </t>
  </si>
  <si>
    <t xml:space="preserve"> 45.136 </t>
  </si>
  <si>
    <t xml:space="preserve">C:\Users\andre\Desktop\REACTIV CEFAS\Prochloraz\Prochloraz/20201210_Cefas_Test9_Run3/Plate 1/@1/ </t>
  </si>
  <si>
    <t xml:space="preserve"> 33.8654 </t>
  </si>
  <si>
    <t xml:space="preserve"> 12.0452 </t>
  </si>
  <si>
    <t xml:space="preserve"> 197537.125 </t>
  </si>
  <si>
    <t xml:space="preserve"> 193076.567 </t>
  </si>
  <si>
    <t xml:space="preserve">C:\Users\andre\Desktop\REACTIV CEFAS\Prochloraz\Prochloraz/20201210_Cefas_Test9_Run3/Plate 1/@13/A8_01.tif </t>
  </si>
  <si>
    <t xml:space="preserve"> 56540.5446 </t>
  </si>
  <si>
    <t xml:space="preserve"> 40.9197 </t>
  </si>
  <si>
    <t xml:space="preserve">C:\Users\andre\Desktop\REACTIV CEFAS\Prochloraz\Prochloraz/20201210_Cefas_Test9_Run3/Plate 1/@13/A8_02.tif </t>
  </si>
  <si>
    <t xml:space="preserve"> 69042.6237 </t>
  </si>
  <si>
    <t xml:space="preserve"> 41.3916 </t>
  </si>
  <si>
    <t xml:space="preserve">C:\Users\andre\Desktop\REACTIV CEFAS\Prochloraz\Prochloraz/20201210_Cefas_Test9_Run3/Plate 1/@13/A8_03.tif </t>
  </si>
  <si>
    <t xml:space="preserve"> 57946.4877 </t>
  </si>
  <si>
    <t xml:space="preserve"> 37.1146 </t>
  </si>
  <si>
    <t xml:space="preserve">C:\Users\andre\Desktop\REACTIV CEFAS\Prochloraz\Prochloraz/20201210_Cefas_Test9_Run3/Plate 1/@13/A8_04.tif </t>
  </si>
  <si>
    <t xml:space="preserve"> 72525.0367 </t>
  </si>
  <si>
    <t xml:space="preserve"> 41.9675 </t>
  </si>
  <si>
    <t>C:\Users\andre\Desktop\REACTIV CEFAS\Prochloraz\Prochloraz/20201210_Cefas_Test9_Run3/Plate 1/@13/B8_01- exclu.tif</t>
  </si>
  <si>
    <t xml:space="preserve">C:\Users\andre\Desktop\REACTIV CEFAS\Prochloraz\Prochloraz/20201210_Cefas_Test9_Run3/Plate 1/@13/B8_02.tif </t>
  </si>
  <si>
    <t xml:space="preserve"> 79576.3823 </t>
  </si>
  <si>
    <t xml:space="preserve"> 44.3881 </t>
  </si>
  <si>
    <t>C:\Users\andre\Desktop\REACTIV CEFAS\Prochloraz\Prochloraz/20201210_Cefas_Test9_Run3/Plate 1/@13/B8_03- exclu.tif</t>
  </si>
  <si>
    <t>C:\Users\andre\Desktop\REACTIV CEFAS\Prochloraz\Prochloraz/20201210_Cefas_Test9_Run3/Plate 1/@13/B8_04- exclu.tif</t>
  </si>
  <si>
    <t xml:space="preserve">C:\Users\andre\Desktop\REACTIV CEFAS\Prochloraz\Prochloraz/20201210_Cefas_Test9_Run3/Plate 1/@13/C8_01.tif </t>
  </si>
  <si>
    <t xml:space="preserve"> 26691.29 </t>
  </si>
  <si>
    <t xml:space="preserve"> 33.6613 </t>
  </si>
  <si>
    <t xml:space="preserve">C:\Users\andre\Desktop\REACTIV CEFAS\Prochloraz\Prochloraz/20201210_Cefas_Test9_Run3/Plate 1/@13/C8_02.tif </t>
  </si>
  <si>
    <t xml:space="preserve"> 14448.7696 </t>
  </si>
  <si>
    <t xml:space="preserve"> 33.4087 </t>
  </si>
  <si>
    <t xml:space="preserve">C:\Users\andre\Desktop\REACTIV CEFAS\Prochloraz\Prochloraz/20201210_Cefas_Test9_Run3/Plate 1/@13/C8_03.tif </t>
  </si>
  <si>
    <t xml:space="preserve"> 20829.5885 </t>
  </si>
  <si>
    <t xml:space="preserve"> 34.4444 </t>
  </si>
  <si>
    <t xml:space="preserve">C:\Users\andre\Desktop\REACTIV CEFAS\Prochloraz\Prochloraz/20201210_Cefas_Test9_Run3/Plate 1/@13/C8_04.tif </t>
  </si>
  <si>
    <t xml:space="preserve"> 21110.7772 </t>
  </si>
  <si>
    <t xml:space="preserve"> 34.7152 </t>
  </si>
  <si>
    <t xml:space="preserve">C:\Users\andre\Desktop\REACTIV CEFAS\Prochloraz\Prochloraz/20201210_Cefas_Test9_Run3/Plate 1/@13/D8_01.tif </t>
  </si>
  <si>
    <t xml:space="preserve"> 28789.3898 </t>
  </si>
  <si>
    <t xml:space="preserve"> 38.0015 </t>
  </si>
  <si>
    <t xml:space="preserve">C:\Users\andre\Desktop\REACTIV CEFAS\Prochloraz\Prochloraz/20201210_Cefas_Test9_Run3/Plate 1/@13/D8_02.tif </t>
  </si>
  <si>
    <t xml:space="preserve"> 35559.5468 </t>
  </si>
  <si>
    <t xml:space="preserve"> 39.4264 </t>
  </si>
  <si>
    <t xml:space="preserve">C:\Users\andre\Desktop\REACTIV CEFAS\Prochloraz\Prochloraz/20201210_Cefas_Test9_Run3/Plate 1/@13/D8_03.tif </t>
  </si>
  <si>
    <t xml:space="preserve"> 34240.1232 </t>
  </si>
  <si>
    <t xml:space="preserve"> 40.1396 </t>
  </si>
  <si>
    <t xml:space="preserve">C:\Users\andre\Desktop\REACTIV CEFAS\Prochloraz\Prochloraz/20201210_Cefas_Test9_Run3/Plate 1/@13/D8_04.tif </t>
  </si>
  <si>
    <t xml:space="preserve"> 41.523 </t>
  </si>
  <si>
    <t xml:space="preserve">C:\Users\andre\Desktop\REACTIV CEFAS\Prochloraz\Prochloraz/20201210_Cefas_Test9_Run3/Plate 1/@13/E8_01.tif </t>
  </si>
  <si>
    <t xml:space="preserve"> 47282.9497 </t>
  </si>
  <si>
    <t xml:space="preserve"> 44.7132 </t>
  </si>
  <si>
    <t xml:space="preserve">C:\Users\andre\Desktop\REACTIV CEFAS\Prochloraz\Prochloraz/20201210_Cefas_Test9_Run3/Plate 1/@13/E8_02.tif </t>
  </si>
  <si>
    <t xml:space="preserve"> 51998.2667 </t>
  </si>
  <si>
    <t xml:space="preserve"> 42.7646 </t>
  </si>
  <si>
    <t xml:space="preserve">C:\Users\andre\Desktop\REACTIV CEFAS\Prochloraz\Prochloraz/20201210_Cefas_Test9_Run3/Plate 1/@13/E8_03.tif </t>
  </si>
  <si>
    <t xml:space="preserve"> 64932.9437 </t>
  </si>
  <si>
    <t xml:space="preserve"> 41.3877 </t>
  </si>
  <si>
    <t xml:space="preserve">C:\Users\andre\Desktop\REACTIV CEFAS\Prochloraz\Prochloraz/20201210_Cefas_Test9_Run3/Plate 1/@13/E8_04.tif </t>
  </si>
  <si>
    <t xml:space="preserve"> 54875.0427 </t>
  </si>
  <si>
    <t xml:space="preserve"> 44.162 </t>
  </si>
  <si>
    <t xml:space="preserve">C:\Users\andre\Desktop\REACTIV CEFAS\Prochloraz\Prochloraz/20201210_Cefas_Test9_Run3/Plate 1/@13/F8_01.tif </t>
  </si>
  <si>
    <t xml:space="preserve"> 50960.0317 </t>
  </si>
  <si>
    <t xml:space="preserve"> 39.7513 </t>
  </si>
  <si>
    <t xml:space="preserve">C:\Users\andre\Desktop\REACTIV CEFAS\Prochloraz\Prochloraz/20201210_Cefas_Test9_Run3/Plate 1/@13/F8_02.tif </t>
  </si>
  <si>
    <t xml:space="preserve"> 54377.5551 </t>
  </si>
  <si>
    <t xml:space="preserve"> 40.6189 </t>
  </si>
  <si>
    <t xml:space="preserve">C:\Users\andre\Desktop\REACTIV CEFAS\Prochloraz\Prochloraz/20201210_Cefas_Test9_Run3/Plate 1/@13/F8_03.tif </t>
  </si>
  <si>
    <t xml:space="preserve"> 40707.4617 </t>
  </si>
  <si>
    <t xml:space="preserve"> 37.7582 </t>
  </si>
  <si>
    <t xml:space="preserve">C:\Users\andre\Desktop\REACTIV CEFAS\Prochloraz\Prochloraz/20201210_Cefas_Test9_Run3/Plate 1/@13/F8_04.tif </t>
  </si>
  <si>
    <t xml:space="preserve"> 45163.22 </t>
  </si>
  <si>
    <t xml:space="preserve"> 38.5967 </t>
  </si>
  <si>
    <t xml:space="preserve">C:\Users\andre\Desktop\REACTIV CEFAS\Prochloraz\Prochloraz/20201210_Cefas_Test9_Run3/Plate 1/@13/G8_01.tif </t>
  </si>
  <si>
    <t xml:space="preserve"> 41.25 </t>
  </si>
  <si>
    <t xml:space="preserve">C:\Users\andre\Desktop\REACTIV CEFAS\Prochloraz\Prochloraz/20201210_Cefas_Test9_Run3/Plate 1/@13/G8_02.tif </t>
  </si>
  <si>
    <t xml:space="preserve"> 48234.665 </t>
  </si>
  <si>
    <t xml:space="preserve"> 39.2426 </t>
  </si>
  <si>
    <t xml:space="preserve">C:\Users\andre\Desktop\REACTIV CEFAS\Prochloraz\Prochloraz/20201210_Cefas_Test9_Run3/Plate 1/@13/G8_03.tif </t>
  </si>
  <si>
    <t xml:space="preserve"> 47542.5084 </t>
  </si>
  <si>
    <t xml:space="preserve"> 38.9841 </t>
  </si>
  <si>
    <t xml:space="preserve">C:\Users\andre\Desktop\REACTIV CEFAS\Prochloraz\Prochloraz/20201210_Cefas_Test9_Run3/Plate 1/@13/G8_04.tif </t>
  </si>
  <si>
    <t xml:space="preserve"> 45941.8962 </t>
  </si>
  <si>
    <t xml:space="preserve"> 39.2505 </t>
  </si>
  <si>
    <t xml:space="preserve">C:\Users\andre\Desktop\REACTIV CEFAS\Prochloraz\Prochloraz/20201210_Cefas_Test9_Run3/Plate 1/@13/H8_01.tif </t>
  </si>
  <si>
    <t xml:space="preserve"> 47693.9177 </t>
  </si>
  <si>
    <t xml:space="preserve"> 41.4653 </t>
  </si>
  <si>
    <t xml:space="preserve">C:\Users\andre\Desktop\REACTIV CEFAS\Prochloraz\Prochloraz/20201210_Cefas_Test9_Run3/Plate 1/@13/H8_02.tif </t>
  </si>
  <si>
    <t xml:space="preserve"> 49510.8288 </t>
  </si>
  <si>
    <t xml:space="preserve"> 41.6811 </t>
  </si>
  <si>
    <t xml:space="preserve">C:\Users\andre\Desktop\REACTIV CEFAS\Prochloraz\Prochloraz/20201210_Cefas_Test9_Run3/Plate 1/@13/H8_03.tif </t>
  </si>
  <si>
    <t xml:space="preserve"> 49705.4979 </t>
  </si>
  <si>
    <t xml:space="preserve"> 42.2781 </t>
  </si>
  <si>
    <t xml:space="preserve">C:\Users\andre\Desktop\REACTIV CEFAS\Prochloraz\Prochloraz/20201210_Cefas_Test9_Run3/Plate 1/@13/H8_04.tif </t>
  </si>
  <si>
    <t xml:space="preserve"> 51500.7791 </t>
  </si>
  <si>
    <t xml:space="preserve"> 44.6161 </t>
  </si>
  <si>
    <t xml:space="preserve">C:\Users\andre\Desktop\REACTIV CEFAS\Prochloraz\Prochloraz/20201210_Cefas_Test9_Run3/Plate 1/@13/ </t>
  </si>
  <si>
    <t xml:space="preserve"> 40.3355 </t>
  </si>
  <si>
    <t xml:space="preserve"> 3.1774 </t>
  </si>
  <si>
    <t xml:space="preserve"> 1963382.03 </t>
  </si>
  <si>
    <t xml:space="preserve"> 720059.046 </t>
  </si>
  <si>
    <t xml:space="preserve">C:\Users\andre\Desktop\REACTIV CEFAS\Prochloraz\Prochloraz/20201210_Cefas_Test9_Run3/Plate 1/@14/A9_01.tif </t>
  </si>
  <si>
    <t xml:space="preserve"> 48559.1134 </t>
  </si>
  <si>
    <t xml:space="preserve"> 37.8143 </t>
  </si>
  <si>
    <t xml:space="preserve">C:\Users\andre\Desktop\REACTIV CEFAS\Prochloraz\Prochloraz/20201210_Cefas_Test9_Run3/Plate 1/@14/A9_02.tif </t>
  </si>
  <si>
    <t xml:space="preserve"> 55134.6014 </t>
  </si>
  <si>
    <t xml:space="preserve"> 41.4602 </t>
  </si>
  <si>
    <t xml:space="preserve">C:\Users\andre\Desktop\REACTIV CEFAS\Prochloraz\Prochloraz/20201210_Cefas_Test9_Run3/Plate 1/@14/A9_03.tif </t>
  </si>
  <si>
    <t xml:space="preserve"> 53944.9572 </t>
  </si>
  <si>
    <t xml:space="preserve"> 42.8336 </t>
  </si>
  <si>
    <t xml:space="preserve">C:\Users\andre\Desktop\REACTIV CEFAS\Prochloraz\Prochloraz/20201210_Cefas_Test9_Run3/Plate 1/@14/A9_04.tif </t>
  </si>
  <si>
    <t xml:space="preserve"> 43.4963 </t>
  </si>
  <si>
    <t xml:space="preserve">C:\Users\andre\Desktop\REACTIV CEFAS\Prochloraz\Prochloraz/20201210_Cefas_Test9_Run3/Plate 1/@14/B9_01.tif </t>
  </si>
  <si>
    <t xml:space="preserve"> 47369.4692 </t>
  </si>
  <si>
    <t xml:space="preserve"> 40.6055 </t>
  </si>
  <si>
    <t xml:space="preserve">C:\Users\andre\Desktop\REACTIV CEFAS\Prochloraz\Prochloraz/20201210_Cefas_Test9_Run3/Plate 1/@14/B9_02.tif </t>
  </si>
  <si>
    <t xml:space="preserve"> 54420.8149 </t>
  </si>
  <si>
    <t xml:space="preserve"> 43.7424 </t>
  </si>
  <si>
    <t xml:space="preserve">C:\Users\andre\Desktop\REACTIV CEFAS\Prochloraz\Prochloraz/20201210_Cefas_Test9_Run3/Plate 1/@14/B9_03.tif </t>
  </si>
  <si>
    <t xml:space="preserve"> 54139.6263 </t>
  </si>
  <si>
    <t xml:space="preserve"> 45.1067 </t>
  </si>
  <si>
    <t xml:space="preserve">C:\Users\andre\Desktop\REACTIV CEFAS\Prochloraz\Prochloraz/20201210_Cefas_Test9_Run3/Plate 1/@14/B9_04.tif </t>
  </si>
  <si>
    <t xml:space="preserve"> 52365.9749 </t>
  </si>
  <si>
    <t xml:space="preserve"> 43.646 </t>
  </si>
  <si>
    <t xml:space="preserve">C:\Users\andre\Desktop\REACTIV CEFAS\Prochloraz\Prochloraz/20201210_Cefas_Test9_Run3/Plate 1/@14/C9_01.tif </t>
  </si>
  <si>
    <t xml:space="preserve"> 29762.735 </t>
  </si>
  <si>
    <t xml:space="preserve"> 34.1948 </t>
  </si>
  <si>
    <t xml:space="preserve">C:\Users\andre\Desktop\REACTIV CEFAS\Prochloraz\Prochloraz/20201210_Cefas_Test9_Run3/Plate 1/@14/C9_02.tif </t>
  </si>
  <si>
    <t xml:space="preserve"> 23598.215 </t>
  </si>
  <si>
    <t xml:space="preserve"> 34.2548 </t>
  </si>
  <si>
    <t xml:space="preserve">C:\Users\andre\Desktop\REACTIV CEFAS\Prochloraz\Prochloraz/20201210_Cefas_Test9_Run3/Plate 1/@14/C9_03.tif </t>
  </si>
  <si>
    <t xml:space="preserve"> 27469.9662 </t>
  </si>
  <si>
    <t xml:space="preserve"> 35.0386 </t>
  </si>
  <si>
    <t xml:space="preserve">C:\Users\andre\Desktop\REACTIV CEFAS\Prochloraz\Prochloraz/20201210_Cefas_Test9_Run3/Plate 1/@14/C9_04.tif </t>
  </si>
  <si>
    <t xml:space="preserve"> 33.5433 </t>
  </si>
  <si>
    <t xml:space="preserve">C:\Users\andre\Desktop\REACTIV CEFAS\Prochloraz\Prochloraz/20201210_Cefas_Test9_Run3/Plate 1/@14/D9_01.tif </t>
  </si>
  <si>
    <t xml:space="preserve"> 41572.6575 </t>
  </si>
  <si>
    <t xml:space="preserve"> 37.5869 </t>
  </si>
  <si>
    <t xml:space="preserve">C:\Users\andre\Desktop\REACTIV CEFAS\Prochloraz\Prochloraz/20201210_Cefas_Test9_Run3/Plate 1/@14/D9_02.tif </t>
  </si>
  <si>
    <t xml:space="preserve"> 36.3894 </t>
  </si>
  <si>
    <t xml:space="preserve">C:\Users\andre\Desktop\REACTIV CEFAS\Prochloraz\Prochloraz/20201210_Cefas_Test9_Run3/Plate 1/@14/D9_03.tif </t>
  </si>
  <si>
    <t xml:space="preserve"> 37.5655 </t>
  </si>
  <si>
    <t xml:space="preserve">C:\Users\andre\Desktop\REACTIV CEFAS\Prochloraz\Prochloraz/20201210_Cefas_Test9_Run3/Plate 1/@14/D9_04.tif </t>
  </si>
  <si>
    <t xml:space="preserve"> 49251.2701 </t>
  </si>
  <si>
    <t xml:space="preserve"> 39.5604 </t>
  </si>
  <si>
    <t xml:space="preserve">C:\Users\andre\Desktop\REACTIV CEFAS\Prochloraz\Prochloraz/20201210_Cefas_Test9_Run3/Plate 1/@14/E9_01.tif </t>
  </si>
  <si>
    <t xml:space="preserve"> 44773.8819 </t>
  </si>
  <si>
    <t xml:space="preserve"> 40.7657 </t>
  </si>
  <si>
    <t xml:space="preserve">C:\Users\andre\Desktop\REACTIV CEFAS\Prochloraz\Prochloraz/20201210_Cefas_Test9_Run3/Plate 1/@14/E9_02.tif </t>
  </si>
  <si>
    <t xml:space="preserve"> 40.5179 </t>
  </si>
  <si>
    <t xml:space="preserve">C:\Users\andre\Desktop\REACTIV CEFAS\Prochloraz\Prochloraz/20201210_Cefas_Test9_Run3/Plate 1/@14/E9_03.tif </t>
  </si>
  <si>
    <t xml:space="preserve"> 46525.9033 </t>
  </si>
  <si>
    <t xml:space="preserve"> 41.5904 </t>
  </si>
  <si>
    <t xml:space="preserve">C:\Users\andre\Desktop\REACTIV CEFAS\Prochloraz\Prochloraz/20201210_Cefas_Test9_Run3/Plate 1/@14/E9_04.tif </t>
  </si>
  <si>
    <t xml:space="preserve"> 49943.4267 </t>
  </si>
  <si>
    <t xml:space="preserve"> 42.9602 </t>
  </si>
  <si>
    <t xml:space="preserve">C:\Users\andre\Desktop\REACTIV CEFAS\Prochloraz\Prochloraz/20201210_Cefas_Test9_Run3/Plate 1/@14/F9_01.tif </t>
  </si>
  <si>
    <t xml:space="preserve"> 28400.0516 </t>
  </si>
  <si>
    <t xml:space="preserve"> 35.0221 </t>
  </si>
  <si>
    <t xml:space="preserve">C:\Users\andre\Desktop\REACTIV CEFAS\Prochloraz\Prochloraz/20201210_Cefas_Test9_Run3/Plate 1/@14/F9_02.tif </t>
  </si>
  <si>
    <t xml:space="preserve"> 22451.8306 </t>
  </si>
  <si>
    <t xml:space="preserve"> 35.8719 </t>
  </si>
  <si>
    <t xml:space="preserve">C:\Users\andre\Desktop\REACTIV CEFAS\Prochloraz\Prochloraz/20201210_Cefas_Test9_Run3/Plate 1/@14/F9_03.tif </t>
  </si>
  <si>
    <t xml:space="preserve"> 23057.4677 </t>
  </si>
  <si>
    <t xml:space="preserve"> 36.2702 </t>
  </si>
  <si>
    <t xml:space="preserve">C:\Users\andre\Desktop\REACTIV CEFAS\Prochloraz\Prochloraz/20201210_Cefas_Test9_Run3/Plate 1/@14/F9_04.tif </t>
  </si>
  <si>
    <t xml:space="preserve"> 32163.6533 </t>
  </si>
  <si>
    <t xml:space="preserve"> 38.039 </t>
  </si>
  <si>
    <t xml:space="preserve">C:\Users\andre\Desktop\REACTIV CEFAS\Prochloraz\Prochloraz/20201210_Cefas_Test9_Run3/Plate 1/@14/G9_01.tif </t>
  </si>
  <si>
    <t xml:space="preserve"> 34.576 </t>
  </si>
  <si>
    <t xml:space="preserve">C:\Users\andre\Desktop\REACTIV CEFAS\Prochloraz\Prochloraz/20201210_Cefas_Test9_Run3/Plate 1/@14/G9_02.tif </t>
  </si>
  <si>
    <t xml:space="preserve"> 20786.3287 </t>
  </si>
  <si>
    <t xml:space="preserve"> 35.1707 </t>
  </si>
  <si>
    <t xml:space="preserve">C:\Users\andre\Desktop\REACTIV CEFAS\Prochloraz\Prochloraz/20201210_Cefas_Test9_Run3/Plate 1/@14/G9_03.tif </t>
  </si>
  <si>
    <t xml:space="preserve"> 27664.6352 </t>
  </si>
  <si>
    <t xml:space="preserve"> 37.233 </t>
  </si>
  <si>
    <t>C:\Users\andre\Desktop\REACTIV CEFAS\Prochloraz\Prochloraz/20201210_Cefas_Test9_Run3/Plate 1/@14/G9_04- exclu.tif</t>
  </si>
  <si>
    <t xml:space="preserve">C:\Users\andre\Desktop\REACTIV CEFAS\Prochloraz\Prochloraz/20201210_Cefas_Test9_Run3/Plate 1/@14/H9_01.tif </t>
  </si>
  <si>
    <t xml:space="preserve"> 4152.9398 </t>
  </si>
  <si>
    <t xml:space="preserve"> 31.599 </t>
  </si>
  <si>
    <t xml:space="preserve">C:\Users\andre\Desktop\REACTIV CEFAS\Prochloraz\Prochloraz/20201210_Cefas_Test9_Run3/Plate 1/@14/H9_02.tif </t>
  </si>
  <si>
    <t xml:space="preserve"> 10685.1679 </t>
  </si>
  <si>
    <t xml:space="preserve"> 32.496 </t>
  </si>
  <si>
    <t xml:space="preserve">C:\Users\andre\Desktop\REACTIV CEFAS\Prochloraz\Prochloraz/20201210_Cefas_Test9_Run3/Plate 1/@14/H9_03.tif </t>
  </si>
  <si>
    <t xml:space="preserve"> 2963.2956 </t>
  </si>
  <si>
    <t xml:space="preserve"> 32.2555 </t>
  </si>
  <si>
    <t xml:space="preserve">C:\Users\andre\Desktop\REACTIV CEFAS\Prochloraz\Prochloraz/20201210_Cefas_Test9_Run3/Plate 1/@14/H9_04.tif </t>
  </si>
  <si>
    <t xml:space="preserve"> 12069.4812 </t>
  </si>
  <si>
    <t xml:space="preserve"> 32.4624 </t>
  </si>
  <si>
    <t xml:space="preserve">C:\Users\andre\Desktop\REACTIV CEFAS\Prochloraz\Prochloraz/20201210_Cefas_Test9_Run3/Plate 1/@14/ </t>
  </si>
  <si>
    <t xml:space="preserve"> 37.9721 </t>
  </si>
  <si>
    <t xml:space="preserve"> 3.9561 </t>
  </si>
  <si>
    <t xml:space="preserve"> 1373291.5 </t>
  </si>
  <si>
    <t xml:space="preserve"> 728860.219 </t>
  </si>
  <si>
    <t xml:space="preserve">C:\Users\andre\Desktop\REACTIV CEFAS\Prochloraz\Prochloraz/20201210_Cefas_Test9_Run3/Plate 1/@15/A11_01.tif </t>
  </si>
  <si>
    <t xml:space="preserve"> 47.0092 </t>
  </si>
  <si>
    <t xml:space="preserve">C:\Users\andre\Desktop\REACTIV CEFAS\Prochloraz\Prochloraz/20201210_Cefas_Test9_Run3/Plate 1/@15/A11_02.tif </t>
  </si>
  <si>
    <t xml:space="preserve"> 68393.7268 </t>
  </si>
  <si>
    <t xml:space="preserve"> 47.7562 </t>
  </si>
  <si>
    <t xml:space="preserve">C:\Users\andre\Desktop\REACTIV CEFAS\Prochloraz\Prochloraz/20201210_Cefas_Test9_Run3/Plate 1/@15/A11_03.tif </t>
  </si>
  <si>
    <t xml:space="preserve"> 72287.1078 </t>
  </si>
  <si>
    <t xml:space="preserve"> 49.0078 </t>
  </si>
  <si>
    <t xml:space="preserve">C:\Users\andre\Desktop\REACTIV CEFAS\Prochloraz\Prochloraz/20201210_Cefas_Test9_Run3/Plate 1/@15/A11_04.tif </t>
  </si>
  <si>
    <t xml:space="preserve"> 67788.0898 </t>
  </si>
  <si>
    <t xml:space="preserve"> 45.2565 </t>
  </si>
  <si>
    <t xml:space="preserve">C:\Users\andre\Desktop\REACTIV CEFAS\Prochloraz\Prochloraz/20201210_Cefas_Test9_Run3/Plate 1/@15/B11_01.tif </t>
  </si>
  <si>
    <t xml:space="preserve"> 34110.3438 </t>
  </si>
  <si>
    <t xml:space="preserve"> 40.2682 </t>
  </si>
  <si>
    <t xml:space="preserve">C:\Users\andre\Desktop\REACTIV CEFAS\Prochloraz\Prochloraz/20201210_Cefas_Test9_Run3/Plate 1/@15/B11_02.tif </t>
  </si>
  <si>
    <t xml:space="preserve"> 39669.2267 </t>
  </si>
  <si>
    <t xml:space="preserve"> 44.2426 </t>
  </si>
  <si>
    <t xml:space="preserve">C:\Users\andre\Desktop\REACTIV CEFAS\Prochloraz\Prochloraz/20201210_Cefas_Test9_Run3/Plate 1/@15/B11_03.tif </t>
  </si>
  <si>
    <t xml:space="preserve"> 44.5284 </t>
  </si>
  <si>
    <t xml:space="preserve">C:\Users\andre\Desktop\REACTIV CEFAS\Prochloraz\Prochloraz/20201210_Cefas_Test9_Run3/Plate 1/@15/B11_04.tif </t>
  </si>
  <si>
    <t xml:space="preserve"> 43.0869 </t>
  </si>
  <si>
    <t xml:space="preserve">C:\Users\andre\Desktop\REACTIV CEFAS\Prochloraz\Prochloraz/20201210_Cefas_Test9_Run3/Plate 1/@15/C11_01.tif </t>
  </si>
  <si>
    <t xml:space="preserve"> 81652.8522 </t>
  </si>
  <si>
    <t xml:space="preserve"> 46.903 </t>
  </si>
  <si>
    <t xml:space="preserve">C:\Users\andre\Desktop\REACTIV CEFAS\Prochloraz\Prochloraz/20201210_Cefas_Test9_Run3/Plate 1/@15/C11_02.tif </t>
  </si>
  <si>
    <t xml:space="preserve"> 80268.539 </t>
  </si>
  <si>
    <t xml:space="preserve"> 49.8354 </t>
  </si>
  <si>
    <t xml:space="preserve">C:\Users\andre\Desktop\REACTIV CEFAS\Prochloraz\Prochloraz/20201210_Cefas_Test9_Run3/Plate 1/@15/C11_03.tif </t>
  </si>
  <si>
    <t xml:space="preserve"> 82842.4964 </t>
  </si>
  <si>
    <t xml:space="preserve"> 48.8394 </t>
  </si>
  <si>
    <t xml:space="preserve">C:\Users\andre\Desktop\REACTIV CEFAS\Prochloraz\Prochloraz/20201210_Cefas_Test9_Run3/Plate 1/@15/C11_04.tif </t>
  </si>
  <si>
    <t xml:space="preserve"> 82777.6067 </t>
  </si>
  <si>
    <t xml:space="preserve"> 48.5171 </t>
  </si>
  <si>
    <t xml:space="preserve">C:\Users\andre\Desktop\REACTIV CEFAS\Prochloraz\Prochloraz/20201210_Cefas_Test9_Run3/Plate 1/@15/D11_01.tif </t>
  </si>
  <si>
    <t xml:space="preserve"> 69864.5597 </t>
  </si>
  <si>
    <t xml:space="preserve"> 42.3638 </t>
  </si>
  <si>
    <t xml:space="preserve">C:\Users\andre\Desktop\REACTIV CEFAS\Prochloraz\Prochloraz/20201210_Cefas_Test9_Run3/Plate 1/@15/D11_02.tif </t>
  </si>
  <si>
    <t xml:space="preserve"> 68545.1361 </t>
  </si>
  <si>
    <t xml:space="preserve"> 43.0953 </t>
  </si>
  <si>
    <t xml:space="preserve">C:\Users\andre\Desktop\REACTIV CEFAS\Prochloraz\Prochloraz/20201210_Cefas_Test9_Run3/Plate 1/@15/D11_03.tif </t>
  </si>
  <si>
    <t xml:space="preserve"> 58465.6052 </t>
  </si>
  <si>
    <t xml:space="preserve"> 40.1465 </t>
  </si>
  <si>
    <t xml:space="preserve">C:\Users\andre\Desktop\REACTIV CEFAS\Prochloraz\Prochloraz/20201210_Cefas_Test9_Run3/Plate 1/@15/D11_04.tif </t>
  </si>
  <si>
    <t xml:space="preserve"> 55978.1673 </t>
  </si>
  <si>
    <t xml:space="preserve"> 39.2257 </t>
  </si>
  <si>
    <t xml:space="preserve">C:\Users\andre\Desktop\REACTIV CEFAS\Prochloraz\Prochloraz/20201210_Cefas_Test9_Run3/Plate 1/@15/E11_01.tif </t>
  </si>
  <si>
    <t xml:space="preserve"> 76548.1971 </t>
  </si>
  <si>
    <t xml:space="preserve"> 51.0167 </t>
  </si>
  <si>
    <t xml:space="preserve">C:\Users\andre\Desktop\REACTIV CEFAS\Prochloraz\Prochloraz/20201210_Cefas_Test9_Run3/Plate 1/@15/E11_02.tif </t>
  </si>
  <si>
    <t xml:space="preserve"> 83231.8345 </t>
  </si>
  <si>
    <t xml:space="preserve"> 55.8828 </t>
  </si>
  <si>
    <t xml:space="preserve">C:\Users\andre\Desktop\REACTIV CEFAS\Prochloraz\Prochloraz/20201210_Cefas_Test9_Run3/Plate 1/@15/E11_03.tif </t>
  </si>
  <si>
    <t xml:space="preserve"> 53.6492 </t>
  </si>
  <si>
    <t xml:space="preserve">C:\Users\andre\Desktop\REACTIV CEFAS\Prochloraz\Prochloraz/20201210_Cefas_Test9_Run3/Plate 1/@15/E11_04.tif </t>
  </si>
  <si>
    <t xml:space="preserve"> 78127.1794 </t>
  </si>
  <si>
    <t xml:space="preserve"> 52.2793 </t>
  </si>
  <si>
    <t>C:\Users\andre\Desktop\REACTIV CEFAS\Prochloraz\Prochloraz/20201210_Cefas_Test9_Run3/Plate 1/@15/F11_01- exclu.tif</t>
  </si>
  <si>
    <t>C:\Users\andre\Desktop\REACTIV CEFAS\Prochloraz\Prochloraz/20201210_Cefas_Test9_Run3/Plate 1/@15/F11_02- exclu.tif</t>
  </si>
  <si>
    <t>C:\Users\andre\Desktop\REACTIV CEFAS\Prochloraz\Prochloraz/20201210_Cefas_Test9_Run3/Plate 1/@15/F11_03- exclu.tif</t>
  </si>
  <si>
    <t>C:\Users\andre\Desktop\REACTIV CEFAS\Prochloraz\Prochloraz/20201210_Cefas_Test9_Run3/Plate 1/@15/F11_04- exclu.tif</t>
  </si>
  <si>
    <t xml:space="preserve">C:\Users\andre\Desktop\REACTIV CEFAS\Prochloraz\Prochloraz/20201210_Cefas_Test9_Run3/Plate 1/@15/G11_01.tif </t>
  </si>
  <si>
    <t xml:space="preserve"> 64002.8582 </t>
  </si>
  <si>
    <t xml:space="preserve"> 42.5657 </t>
  </si>
  <si>
    <t xml:space="preserve">C:\Users\andre\Desktop\REACTIV CEFAS\Prochloraz\Prochloraz/20201210_Cefas_Test9_Run3/Plate 1/@15/G11_02.tif </t>
  </si>
  <si>
    <t xml:space="preserve"> 56107.9467 </t>
  </si>
  <si>
    <t xml:space="preserve"> 43.7255 </t>
  </si>
  <si>
    <t xml:space="preserve">C:\Users\andre\Desktop\REACTIV CEFAS\Prochloraz\Prochloraz/20201210_Cefas_Test9_Run3/Plate 1/@15/G11_03.tif </t>
  </si>
  <si>
    <t xml:space="preserve"> 42.3022 </t>
  </si>
  <si>
    <t xml:space="preserve">C:\Users\andre\Desktop\REACTIV CEFAS\Prochloraz\Prochloraz/20201210_Cefas_Test9_Run3/Plate 1/@15/G11_04.tif </t>
  </si>
  <si>
    <t xml:space="preserve"> 46980.1311 </t>
  </si>
  <si>
    <t xml:space="preserve"> 43.2937 </t>
  </si>
  <si>
    <t>C:\Users\andre\Desktop\REACTIV CEFAS\Prochloraz\Prochloraz/20201210_Cefas_Test9_Run3/Plate 1/@15/H11_01- exclu.tif</t>
  </si>
  <si>
    <t>C:\Users\andre\Desktop\REACTIV CEFAS\Prochloraz\Prochloraz/20201210_Cefas_Test9_Run3/Plate 1/@15/H11_02- exclu.tif</t>
  </si>
  <si>
    <t xml:space="preserve">C:\Users\andre\Desktop\REACTIV CEFAS\Prochloraz\Prochloraz/20201210_Cefas_Test9_Run3/Plate 1/@15/H11_03.tif </t>
  </si>
  <si>
    <t xml:space="preserve"> 38501.2124 </t>
  </si>
  <si>
    <t xml:space="preserve"> 41.2837 </t>
  </si>
  <si>
    <t xml:space="preserve">C:\Users\andre\Desktop\REACTIV CEFAS\Prochloraz\Prochloraz/20201210_Cefas_Test9_Run3/Plate 1/@15/H11_04.tif </t>
  </si>
  <si>
    <t xml:space="preserve"> 36922.2301 </t>
  </si>
  <si>
    <t xml:space="preserve"> 40.3749 </t>
  </si>
  <si>
    <t xml:space="preserve">C:\Users\andre\Desktop\REACTIV CEFAS\Prochloraz\Prochloraz/20201210_Cefas_Test9_Run3/Plate 1/@15/ </t>
  </si>
  <si>
    <t xml:space="preserve"> 44.3554 </t>
  </si>
  <si>
    <t xml:space="preserve"> 5.498 </t>
  </si>
  <si>
    <t xml:space="preserve"> 2536426.22 </t>
  </si>
  <si>
    <t xml:space="preserve"> 1264019.33 </t>
  </si>
  <si>
    <t xml:space="preserve">C:\Users\andre\Desktop\REACTIV CEFAS\Prochloraz\Prochloraz/20201210_Cefas_Test9_Run3/Plate 1/@16/A12_01.tif </t>
  </si>
  <si>
    <t xml:space="preserve"> 2292.7688 </t>
  </si>
  <si>
    <t xml:space="preserve"> 32.717 </t>
  </si>
  <si>
    <t xml:space="preserve">C:\Users\andre\Desktop\REACTIV CEFAS\Prochloraz\Prochloraz/20201210_Cefas_Test9_Run3/Plate 1/@16/A12_02.tif </t>
  </si>
  <si>
    <t xml:space="preserve"> 33.2424 </t>
  </si>
  <si>
    <t xml:space="preserve">C:\Users\andre\Desktop\REACTIV CEFAS\Prochloraz\Prochloraz/20201210_Cefas_Test9_Run3/Plate 1/@16/A12_03.tif </t>
  </si>
  <si>
    <t xml:space="preserve">C:\Users\andre\Desktop\REACTIV CEFAS\Prochloraz\Prochloraz/20201210_Cefas_Test9_Run3/Plate 1/@16/A12_04.tif </t>
  </si>
  <si>
    <t xml:space="preserve"> 35.5231 </t>
  </si>
  <si>
    <t xml:space="preserve">C:\Users\andre\Desktop\REACTIV CEFAS\Prochloraz\Prochloraz/20201210_Cefas_Test9_Run3/Plate 1/@16/B12_01.tif </t>
  </si>
  <si>
    <t xml:space="preserve"> 7375.7941 </t>
  </si>
  <si>
    <t xml:space="preserve"> 37.5543 </t>
  </si>
  <si>
    <t xml:space="preserve">C:\Users\andre\Desktop\REACTIV CEFAS\Prochloraz\Prochloraz/20201210_Cefas_Test9_Run3/Plate 1/@16/B12_02.tif </t>
  </si>
  <si>
    <t xml:space="preserve"> 39.8723 </t>
  </si>
  <si>
    <t xml:space="preserve">C:\Users\andre\Desktop\REACTIV CEFAS\Prochloraz\Prochloraz/20201210_Cefas_Test9_Run3/Plate 1/@16/B12_03.tif </t>
  </si>
  <si>
    <t xml:space="preserve"> 39.5308 </t>
  </si>
  <si>
    <t xml:space="preserve">C:\Users\andre\Desktop\REACTIV CEFAS\Prochloraz\Prochloraz/20201210_Cefas_Test9_Run3/Plate 1/@16/B12_04.tif </t>
  </si>
  <si>
    <t xml:space="preserve"> 39.2111 </t>
  </si>
  <si>
    <t xml:space="preserve">C:\Users\andre\Desktop\REACTIV CEFAS\Prochloraz\Prochloraz/20201210_Cefas_Test9_Run3/Plate 1/@16/C12_01.tif </t>
  </si>
  <si>
    <t xml:space="preserve"> 31.1034 </t>
  </si>
  <si>
    <t xml:space="preserve">C:\Users\andre\Desktop\REACTIV CEFAS\Prochloraz\Prochloraz/20201210_Cefas_Test9_Run3/Plate 1/@16/C12_02.tif </t>
  </si>
  <si>
    <t xml:space="preserve"> 30.5556 </t>
  </si>
  <si>
    <t xml:space="preserve">C:\Users\andre\Desktop\REACTIV CEFAS\Prochloraz\Prochloraz/20201210_Cefas_Test9_Run3/Plate 1/@16/C12_03.tif </t>
  </si>
  <si>
    <t xml:space="preserve"> 33.1333 </t>
  </si>
  <si>
    <t xml:space="preserve">C:\Users\andre\Desktop\REACTIV CEFAS\Prochloraz\Prochloraz/20201210_Cefas_Test9_Run3/Plate 1/@16/C12_04.tif </t>
  </si>
  <si>
    <t xml:space="preserve"> 2227.8791 </t>
  </si>
  <si>
    <t xml:space="preserve"> 31.7282 </t>
  </si>
  <si>
    <t xml:space="preserve">C:\Users\andre\Desktop\REACTIV CEFAS\Prochloraz\Prochloraz/20201210_Cefas_Test9_Run3/Plate 1/@16/D12_01.tif </t>
  </si>
  <si>
    <t xml:space="preserve"> 37.758 </t>
  </si>
  <si>
    <t xml:space="preserve">C:\Users\andre\Desktop\REACTIV CEFAS\Prochloraz\Prochloraz/20201210_Cefas_Test9_Run3/Plate 1/@16/D12_02.tif </t>
  </si>
  <si>
    <t xml:space="preserve"> 5667.0324 </t>
  </si>
  <si>
    <t xml:space="preserve"> 34.2366 </t>
  </si>
  <si>
    <t xml:space="preserve">C:\Users\andre\Desktop\REACTIV CEFAS\Prochloraz\Prochloraz/20201210_Cefas_Test9_Run3/Plate 1/@16/D12_03.tif </t>
  </si>
  <si>
    <t xml:space="preserve"> 35.3318 </t>
  </si>
  <si>
    <t xml:space="preserve">C:\Users\andre\Desktop\REACTIV CEFAS\Prochloraz\Prochloraz/20201210_Cefas_Test9_Run3/Plate 1/@16/D12_04.tif </t>
  </si>
  <si>
    <t xml:space="preserve"> 4845.0964 </t>
  </si>
  <si>
    <t xml:space="preserve"> 34.5804 </t>
  </si>
  <si>
    <t xml:space="preserve">C:\Users\andre\Desktop\REACTIV CEFAS\Prochloraz\Prochloraz/20201210_Cefas_Test9_Run3/Plate 1/@16/E12_01.tif </t>
  </si>
  <si>
    <t xml:space="preserve"> 39.6625 </t>
  </si>
  <si>
    <t xml:space="preserve">C:\Users\andre\Desktop\REACTIV CEFAS\Prochloraz\Prochloraz/20201210_Cefas_Test9_Run3/Plate 1/@16/E12_02.tif </t>
  </si>
  <si>
    <t xml:space="preserve"> 35.6311 </t>
  </si>
  <si>
    <t xml:space="preserve">C:\Users\andre\Desktop\REACTIV CEFAS\Prochloraz\Prochloraz/20201210_Cefas_Test9_Run3/Plate 1/@16/E12_03.tif </t>
  </si>
  <si>
    <t xml:space="preserve"> 13497.0542 </t>
  </si>
  <si>
    <t xml:space="preserve"> 42.226 </t>
  </si>
  <si>
    <t>C:\Users\andre\Desktop\REACTIV CEFAS\Prochloraz\Prochloraz/20201210_Cefas_Test9_Run3/Plate 1/@16/E12_04- exclu.tif</t>
  </si>
  <si>
    <t xml:space="preserve">C:\Users\andre\Desktop\REACTIV CEFAS\Prochloraz\Prochloraz/20201210_Cefas_Test9_Run3/Plate 1/@16/F12_01.tif </t>
  </si>
  <si>
    <t xml:space="preserve"> 42.8125 </t>
  </si>
  <si>
    <t>C:\Users\andre\Desktop\REACTIV CEFAS\Prochloraz\Prochloraz/20201210_Cefas_Test9_Run3/Plate 1/@16/F12_02- exclu.tif</t>
  </si>
  <si>
    <t>C:\Users\andre\Desktop\REACTIV CEFAS\Prochloraz\Prochloraz/20201210_Cefas_Test9_Run3/Plate 1/@16/F12_03- exclu.tif</t>
  </si>
  <si>
    <t>C:\Users\andre\Desktop\REACTIV CEFAS\Prochloraz\Prochloraz/20201210_Cefas_Test9_Run3/Plate 1/@16/F12_04- exclu.tif</t>
  </si>
  <si>
    <t xml:space="preserve">C:\Users\andre\Desktop\REACTIV CEFAS\Prochloraz\Prochloraz/20201210_Cefas_Test9_Run3/Plate 1/@16/G12_01.tif </t>
  </si>
  <si>
    <t xml:space="preserve"> 540.7474 </t>
  </si>
  <si>
    <t xml:space="preserve"> 32.16 </t>
  </si>
  <si>
    <t xml:space="preserve">C:\Users\andre\Desktop\REACTIV CEFAS\Prochloraz\Prochloraz/20201210_Cefas_Test9_Run3/Plate 1/@16/G12_02.tif </t>
  </si>
  <si>
    <t xml:space="preserve">C:\Users\andre\Desktop\REACTIV CEFAS\Prochloraz\Prochloraz/20201210_Cefas_Test9_Run3/Plate 1/@16/G12_03.tif </t>
  </si>
  <si>
    <t xml:space="preserve">C:\Users\andre\Desktop\REACTIV CEFAS\Prochloraz\Prochloraz/20201210_Cefas_Test9_Run3/Plate 1/@16/G12_04.tif </t>
  </si>
  <si>
    <t xml:space="preserve"> 33.9767 </t>
  </si>
  <si>
    <t xml:space="preserve">C:\Users\andre\Desktop\REACTIV CEFAS\Prochloraz\Prochloraz/20201210_Cefas_Test9_Run3/Plate 1/@16/H12_01.tif </t>
  </si>
  <si>
    <t xml:space="preserve"> 38.0702 </t>
  </si>
  <si>
    <t xml:space="preserve">C:\Users\andre\Desktop\REACTIV CEFAS\Prochloraz\Prochloraz/20201210_Cefas_Test9_Run3/Plate 1/@16/H12_02.tif </t>
  </si>
  <si>
    <t xml:space="preserve"> 10014.6412 </t>
  </si>
  <si>
    <t xml:space="preserve"> 39.4989 </t>
  </si>
  <si>
    <t xml:space="preserve">C:\Users\andre\Desktop\REACTIV CEFAS\Prochloraz\Prochloraz/20201210_Cefas_Test9_Run3/Plate 1/@16/H12_03.tif </t>
  </si>
  <si>
    <t xml:space="preserve">C:\Users\andre\Desktop\REACTIV CEFAS\Prochloraz\Prochloraz/20201210_Cefas_Test9_Run3/Plate 1/@16/H12_04.tif </t>
  </si>
  <si>
    <t xml:space="preserve"> 39.0913 </t>
  </si>
  <si>
    <t xml:space="preserve">C:\Users\andre\Desktop\REACTIV CEFAS\Prochloraz\Prochloraz/20201210_Cefas_Test9_Run3/Plate 1/@16/ </t>
  </si>
  <si>
    <t xml:space="preserve"> 34.1732 </t>
  </si>
  <si>
    <t xml:space="preserve"> 12.2936 </t>
  </si>
  <si>
    <t xml:space="preserve"> 233703.531 </t>
  </si>
  <si>
    <t xml:space="preserve"> 219019.115 </t>
  </si>
  <si>
    <t xml:space="preserve">C:\Users\andre\Desktop\REACTIV CEFAS\Prochloraz\Prochloraz/20201210_Cefas_Test9_Run3/Plate 1/@2/A2_01.tif </t>
  </si>
  <si>
    <t xml:space="preserve"> 2487.4379 </t>
  </si>
  <si>
    <t xml:space="preserve"> 33.0261 </t>
  </si>
  <si>
    <t xml:space="preserve">C:\Users\andre\Desktop\REACTIV CEFAS\Prochloraz\Prochloraz/20201210_Cefas_Test9_Run3/Plate 1/@2/A2_02.tif </t>
  </si>
  <si>
    <t xml:space="preserve">C:\Users\andre\Desktop\REACTIV CEFAS\Prochloraz\Prochloraz/20201210_Cefas_Test9_Run3/Plate 1/@2/A2_03.tif </t>
  </si>
  <si>
    <t xml:space="preserve">C:\Users\andre\Desktop\REACTIV CEFAS\Prochloraz\Prochloraz/20201210_Cefas_Test9_Run3/Plate 1/@2/A2_04.tif </t>
  </si>
  <si>
    <t xml:space="preserve"> 34.4865 </t>
  </si>
  <si>
    <t xml:space="preserve">C:\Users\andre\Desktop\REACTIV CEFAS\Prochloraz\Prochloraz/20201210_Cefas_Test9_Run3/Plate 1/@2/B2_01.tif </t>
  </si>
  <si>
    <t xml:space="preserve"> 33.5444 </t>
  </si>
  <si>
    <t xml:space="preserve">C:\Users\andre\Desktop\REACTIV CEFAS\Prochloraz\Prochloraz/20201210_Cefas_Test9_Run3/Plate 1/@2/B2_02.tif </t>
  </si>
  <si>
    <t xml:space="preserve"> 32.2353 </t>
  </si>
  <si>
    <t xml:space="preserve">C:\Users\andre\Desktop\REACTIV CEFAS\Prochloraz\Prochloraz/20201210_Cefas_Test9_Run3/Plate 1/@2/B2_03.tif </t>
  </si>
  <si>
    <t xml:space="preserve"> 7051.3456 </t>
  </si>
  <si>
    <t xml:space="preserve"> 40.8067 </t>
  </si>
  <si>
    <t xml:space="preserve">C:\Users\andre\Desktop\REACTIV CEFAS\Prochloraz\Prochloraz/20201210_Cefas_Test9_Run3/Plate 1/@2/B2_04.tif </t>
  </si>
  <si>
    <t xml:space="preserve"> 35.127 </t>
  </si>
  <si>
    <t xml:space="preserve">C:\Users\andre\Desktop\REACTIV CEFAS\Prochloraz\Prochloraz/20201210_Cefas_Test9_Run3/Plate 1/@2/C2_01.tif </t>
  </si>
  <si>
    <t xml:space="preserve"> 1578.9823 </t>
  </si>
  <si>
    <t xml:space="preserve"> 32.0959 </t>
  </si>
  <si>
    <t xml:space="preserve">C:\Users\andre\Desktop\REACTIV CEFAS\Prochloraz\Prochloraz/20201210_Cefas_Test9_Run3/Plate 1/@2/C2_02.tif </t>
  </si>
  <si>
    <t xml:space="preserve"> 1989.9503 </t>
  </si>
  <si>
    <t xml:space="preserve">C:\Users\andre\Desktop\REACTIV CEFAS\Prochloraz\Prochloraz/20201210_Cefas_Test9_Run3/Plate 1/@2/C2_03.tif </t>
  </si>
  <si>
    <t xml:space="preserve"> 30.5833 </t>
  </si>
  <si>
    <t xml:space="preserve">C:\Users\andre\Desktop\REACTIV CEFAS\Prochloraz\Prochloraz/20201210_Cefas_Test9_Run3/Plate 1/@2/C2_04.tif </t>
  </si>
  <si>
    <t xml:space="preserve"> 2206.2493 </t>
  </si>
  <si>
    <t xml:space="preserve"> 34.2843 </t>
  </si>
  <si>
    <t xml:space="preserve">C:\Users\andre\Desktop\REACTIV CEFAS\Prochloraz\Prochloraz/20201210_Cefas_Test9_Run3/Plate 1/@2/D2_01.tif </t>
  </si>
  <si>
    <t xml:space="preserve"> 32.8571 </t>
  </si>
  <si>
    <t xml:space="preserve">C:\Users\andre\Desktop\REACTIV CEFAS\Prochloraz\Prochloraz/20201210_Cefas_Test9_Run3/Plate 1/@2/D2_02.tif </t>
  </si>
  <si>
    <t xml:space="preserve"> 32.4615 </t>
  </si>
  <si>
    <t xml:space="preserve">C:\Users\andre\Desktop\REACTIV CEFAS\Prochloraz\Prochloraz/20201210_Cefas_Test9_Run3/Plate 1/@2/D2_03.tif </t>
  </si>
  <si>
    <t xml:space="preserve"> 36.5869 </t>
  </si>
  <si>
    <t xml:space="preserve">C:\Users\andre\Desktop\REACTIV CEFAS\Prochloraz\Prochloraz/20201210_Cefas_Test9_Run3/Plate 1/@2/D2_04.tif </t>
  </si>
  <si>
    <t xml:space="preserve"> 30.6 </t>
  </si>
  <si>
    <t xml:space="preserve">C:\Users\andre\Desktop\REACTIV CEFAS\Prochloraz\Prochloraz/20201210_Cefas_Test9_Run3/Plate 1/@2/E2_01.tif </t>
  </si>
  <si>
    <t xml:space="preserve">C:\Users\andre\Desktop\REACTIV CEFAS\Prochloraz\Prochloraz/20201210_Cefas_Test9_Run3/Plate 1/@2/E2_02.tif </t>
  </si>
  <si>
    <t xml:space="preserve">C:\Users\andre\Desktop\REACTIV CEFAS\Prochloraz\Prochloraz/20201210_Cefas_Test9_Run3/Plate 1/@2/E2_03.tif </t>
  </si>
  <si>
    <t xml:space="preserve">C:\Users\andre\Desktop\REACTIV CEFAS\Prochloraz\Prochloraz/20201210_Cefas_Test9_Run3/Plate 1/@2/E2_04.tif </t>
  </si>
  <si>
    <t>C:\Users\andre\Desktop\REACTIV CEFAS\Prochloraz\Prochloraz/20201210_Cefas_Test9_Run3/Plate 1/@2/F2_01- exclu.tif</t>
  </si>
  <si>
    <t>C:\Users\andre\Desktop\REACTIV CEFAS\Prochloraz\Prochloraz/20201210_Cefas_Test9_Run3/Plate 1/@2/F2_02- exclu.tif</t>
  </si>
  <si>
    <t>C:\Users\andre\Desktop\REACTIV CEFAS\Prochloraz\Prochloraz/20201210_Cefas_Test9_Run3/Plate 1/@2/F2_03- exclu.tif</t>
  </si>
  <si>
    <t>C:\Users\andre\Desktop\REACTIV CEFAS\Prochloraz\Prochloraz/20201210_Cefas_Test9_Run3/Plate 1/@2/F2_04- exclu.tif</t>
  </si>
  <si>
    <t xml:space="preserve">C:\Users\andre\Desktop\REACTIV CEFAS\Prochloraz\Prochloraz/20201210_Cefas_Test9_Run3/Plate 1/@2/G2_01.tif </t>
  </si>
  <si>
    <t xml:space="preserve"> 33.2812 </t>
  </si>
  <si>
    <t xml:space="preserve">C:\Users\andre\Desktop\REACTIV CEFAS\Prochloraz\Prochloraz/20201210_Cefas_Test9_Run3/Plate 1/@2/G2_02.tif </t>
  </si>
  <si>
    <t xml:space="preserve"> 2703.7368 </t>
  </si>
  <si>
    <t xml:space="preserve"> 35.216 </t>
  </si>
  <si>
    <t xml:space="preserve">C:\Users\andre\Desktop\REACTIV CEFAS\Prochloraz\Prochloraz/20201210_Cefas_Test9_Run3/Plate 1/@2/G2_03.tif </t>
  </si>
  <si>
    <t xml:space="preserve"> 3612.1924 </t>
  </si>
  <si>
    <t xml:space="preserve"> 35.7605 </t>
  </si>
  <si>
    <t>C:\Users\andre\Desktop\REACTIV CEFAS\Prochloraz\Prochloraz/20201210_Cefas_Test9_Run3/Plate 1/@2/G2_04- exclu.tif</t>
  </si>
  <si>
    <t xml:space="preserve">C:\Users\andre\Desktop\REACTIV CEFAS\Prochloraz\Prochloraz/20201210_Cefas_Test9_Run3/Plate 1/@2/H2_01.tif </t>
  </si>
  <si>
    <t xml:space="preserve"> 7765.1322 </t>
  </si>
  <si>
    <t xml:space="preserve"> 37.5682 </t>
  </si>
  <si>
    <t xml:space="preserve">C:\Users\andre\Desktop\REACTIV CEFAS\Prochloraz\Prochloraz/20201210_Cefas_Test9_Run3/Plate 1/@2/H2_02.tif </t>
  </si>
  <si>
    <t xml:space="preserve"> 35.8296 </t>
  </si>
  <si>
    <t xml:space="preserve">C:\Users\andre\Desktop\REACTIV CEFAS\Prochloraz\Prochloraz/20201210_Cefas_Test9_Run3/Plate 1/@2/H2_03.tif </t>
  </si>
  <si>
    <t xml:space="preserve">C:\Users\andre\Desktop\REACTIV CEFAS\Prochloraz\Prochloraz/20201210_Cefas_Test9_Run3/Plate 1/@2/H2_04.tif </t>
  </si>
  <si>
    <t xml:space="preserve"> 37.6748 </t>
  </si>
  <si>
    <t xml:space="preserve">C:\Users\andre\Desktop\REACTIV CEFAS\Prochloraz\Prochloraz/20201210_Cefas_Test9_Run3/Plate 1/@2/ </t>
  </si>
  <si>
    <t xml:space="preserve"> 32.7899 </t>
  </si>
  <si>
    <t xml:space="preserve"> 12.4045 </t>
  </si>
  <si>
    <t xml:space="preserve"> 185895.375 </t>
  </si>
  <si>
    <t xml:space="preserve"> 295092.582 </t>
  </si>
  <si>
    <t xml:space="preserve">C:\Users\andre\Desktop\REACTIV CEFAS\Prochloraz\Prochloraz/20201210_Cefas_Test9_Run3/Plate 1/@3/A3_01.tif </t>
  </si>
  <si>
    <t xml:space="preserve"> 281.1886 </t>
  </si>
  <si>
    <t xml:space="preserve">C:\Users\andre\Desktop\REACTIV CEFAS\Prochloraz\Prochloraz/20201210_Cefas_Test9_Run3/Plate 1/@3/A3_02.tif </t>
  </si>
  <si>
    <t xml:space="preserve">C:\Users\andre\Desktop\REACTIV CEFAS\Prochloraz\Prochloraz/20201210_Cefas_Test9_Run3/Plate 1/@3/A3_03.tif </t>
  </si>
  <si>
    <t xml:space="preserve"> 2162.9895 </t>
  </si>
  <si>
    <t xml:space="preserve"> 32.63 </t>
  </si>
  <si>
    <t xml:space="preserve">C:\Users\andre\Desktop\REACTIV CEFAS\Prochloraz\Prochloraz/20201210_Cefas_Test9_Run3/Plate 1/@3/A3_04.tif </t>
  </si>
  <si>
    <t xml:space="preserve"> 30.5714 </t>
  </si>
  <si>
    <t xml:space="preserve">C:\Users\andre\Desktop\REACTIV CEFAS\Prochloraz\Prochloraz/20201210_Cefas_Test9_Run3/Plate 1/@3/B3_01.tif </t>
  </si>
  <si>
    <t xml:space="preserve"> 33.2392 </t>
  </si>
  <si>
    <t xml:space="preserve">C:\Users\andre\Desktop\REACTIV CEFAS\Prochloraz\Prochloraz/20201210_Cefas_Test9_Run3/Plate 1/@3/B3_02.tif </t>
  </si>
  <si>
    <t xml:space="preserve"> 33915.6748 </t>
  </si>
  <si>
    <t xml:space="preserve"> 36.5204 </t>
  </si>
  <si>
    <t xml:space="preserve">C:\Users\andre\Desktop\REACTIV CEFAS\Prochloraz\Prochloraz/20201210_Cefas_Test9_Run3/Plate 1/@3/B3_03.tif </t>
  </si>
  <si>
    <t xml:space="preserve"> 29676.2154 </t>
  </si>
  <si>
    <t xml:space="preserve"> 33.9599 </t>
  </si>
  <si>
    <t xml:space="preserve">C:\Users\andre\Desktop\REACTIV CEFAS\Prochloraz\Prochloraz/20201210_Cefas_Test9_Run3/Plate 1/@3/B3_04.tif </t>
  </si>
  <si>
    <t xml:space="preserve"> 31471.4967 </t>
  </si>
  <si>
    <t xml:space="preserve"> 35.3155 </t>
  </si>
  <si>
    <t xml:space="preserve">C:\Users\andre\Desktop\REACTIV CEFAS\Prochloraz\Prochloraz/20201210_Cefas_Test9_Run3/Plate 1/@3/C3_01.tif </t>
  </si>
  <si>
    <t xml:space="preserve"> 34.4198 </t>
  </si>
  <si>
    <t xml:space="preserve">C:\Users\andre\Desktop\REACTIV CEFAS\Prochloraz\Prochloraz/20201210_Cefas_Test9_Run3/Plate 1/@3/C3_02.tif </t>
  </si>
  <si>
    <t xml:space="preserve"> 32.1087 </t>
  </si>
  <si>
    <t xml:space="preserve">C:\Users\andre\Desktop\REACTIV CEFAS\Prochloraz\Prochloraz/20201210_Cefas_Test9_Run3/Plate 1/@3/C3_03.tif </t>
  </si>
  <si>
    <t xml:space="preserve"> 34.5738 </t>
  </si>
  <si>
    <t xml:space="preserve">C:\Users\andre\Desktop\REACTIV CEFAS\Prochloraz\Prochloraz/20201210_Cefas_Test9_Run3/Plate 1/@3/C3_04.tif </t>
  </si>
  <si>
    <t xml:space="preserve"> 34.7216 </t>
  </si>
  <si>
    <t xml:space="preserve">C:\Users\andre\Desktop\REACTIV CEFAS\Prochloraz\Prochloraz/20201210_Cefas_Test9_Run3/Plate 1/@3/D3_01.tif </t>
  </si>
  <si>
    <t xml:space="preserve"> 7440.6838 </t>
  </si>
  <si>
    <t xml:space="preserve"> 38.0988 </t>
  </si>
  <si>
    <t>C:\Users\andre\Desktop\REACTIV CEFAS\Prochloraz\Prochloraz/20201210_Cefas_Test9_Run3/Plate 1/@3/D3_02- exclu.tif</t>
  </si>
  <si>
    <t>C:\Users\andre\Desktop\REACTIV CEFAS\Prochloraz\Prochloraz/20201210_Cefas_Test9_Run3/Plate 1/@3/D3_03- exclu.tif</t>
  </si>
  <si>
    <t>C:\Users\andre\Desktop\REACTIV CEFAS\Prochloraz\Prochloraz/20201210_Cefas_Test9_Run3/Plate 1/@3/D3_04- exclu.tif</t>
  </si>
  <si>
    <t xml:space="preserve">C:\Users\andre\Desktop\REACTIV CEFAS\Prochloraz\Prochloraz/20201210_Cefas_Test9_Run3/Plate 1/@3/E3_01.tif </t>
  </si>
  <si>
    <t xml:space="preserve"> 31.0156 </t>
  </si>
  <si>
    <t xml:space="preserve">C:\Users\andre\Desktop\REACTIV CEFAS\Prochloraz\Prochloraz/20201210_Cefas_Test9_Run3/Plate 1/@3/E3_02.tif </t>
  </si>
  <si>
    <t xml:space="preserve"> 39.2383 </t>
  </si>
  <si>
    <t xml:space="preserve">C:\Users\andre\Desktop\REACTIV CEFAS\Prochloraz\Prochloraz/20201210_Cefas_Test9_Run3/Plate 1/@3/E3_03.tif </t>
  </si>
  <si>
    <t xml:space="preserve"> 35.5087 </t>
  </si>
  <si>
    <t xml:space="preserve">C:\Users\andre\Desktop\REACTIV CEFAS\Prochloraz\Prochloraz/20201210_Cefas_Test9_Run3/Plate 1/@3/E3_04.tif </t>
  </si>
  <si>
    <t xml:space="preserve"> 5407.4737 </t>
  </si>
  <si>
    <t xml:space="preserve"> 39.468 </t>
  </si>
  <si>
    <t xml:space="preserve">C:\Users\andre\Desktop\REACTIV CEFAS\Prochloraz\Prochloraz/20201210_Cefas_Test9_Run3/Plate 1/@3/F3_01.tif </t>
  </si>
  <si>
    <t xml:space="preserve"> 34.872 </t>
  </si>
  <si>
    <t xml:space="preserve">C:\Users\andre\Desktop\REACTIV CEFAS\Prochloraz\Prochloraz/20201210_Cefas_Test9_Run3/Plate 1/@3/F3_02.tif </t>
  </si>
  <si>
    <t xml:space="preserve"> 33.5781 </t>
  </si>
  <si>
    <t xml:space="preserve">C:\Users\andre\Desktop\REACTIV CEFAS\Prochloraz\Prochloraz/20201210_Cefas_Test9_Run3/Plate 1/@3/F3_03.tif </t>
  </si>
  <si>
    <t xml:space="preserve"> 4499.0181 </t>
  </si>
  <si>
    <t xml:space="preserve"> 37.1298 </t>
  </si>
  <si>
    <t xml:space="preserve">C:\Users\andre\Desktop\REACTIV CEFAS\Prochloraz\Prochloraz/20201210_Cefas_Test9_Run3/Plate 1/@3/F3_04.tif </t>
  </si>
  <si>
    <t xml:space="preserve">C:\Users\andre\Desktop\REACTIV CEFAS\Prochloraz\Prochloraz/20201210_Cefas_Test9_Run3/Plate 1/@3/G3_01.tif </t>
  </si>
  <si>
    <t xml:space="preserve">C:\Users\andre\Desktop\REACTIV CEFAS\Prochloraz\Prochloraz/20201210_Cefas_Test9_Run3/Plate 1/@3/G3_02.tif </t>
  </si>
  <si>
    <t xml:space="preserve"> 38.7946 </t>
  </si>
  <si>
    <t>C:\Users\andre\Desktop\REACTIV CEFAS\Prochloraz\Prochloraz/20201210_Cefas_Test9_Run3/Plate 1/@3/G3_03- exclu.tif</t>
  </si>
  <si>
    <t xml:space="preserve">C:\Users\andre\Desktop\REACTIV CEFAS\Prochloraz\Prochloraz/20201210_Cefas_Test9_Run3/Plate 1/@3/G3_04.tif </t>
  </si>
  <si>
    <t xml:space="preserve"> 40.4324 </t>
  </si>
  <si>
    <t xml:space="preserve">C:\Users\andre\Desktop\REACTIV CEFAS\Prochloraz\Prochloraz/20201210_Cefas_Test9_Run3/Plate 1/@3/H3_01.tif </t>
  </si>
  <si>
    <t xml:space="preserve"> 35.1368 </t>
  </si>
  <si>
    <t xml:space="preserve">C:\Users\andre\Desktop\REACTIV CEFAS\Prochloraz\Prochloraz/20201210_Cefas_Test9_Run3/Plate 1/@3/H3_02.tif </t>
  </si>
  <si>
    <t xml:space="preserve"> 1925.0606 </t>
  </si>
  <si>
    <t xml:space="preserve"> 34.4045 </t>
  </si>
  <si>
    <t xml:space="preserve">C:\Users\andre\Desktop\REACTIV CEFAS\Prochloraz\Prochloraz/20201210_Cefas_Test9_Run3/Plate 1/@3/H3_03.tif </t>
  </si>
  <si>
    <t xml:space="preserve"> 33.7321 </t>
  </si>
  <si>
    <t>C:\Users\andre\Desktop\REACTIV CEFAS\Prochloraz\Prochloraz/20201210_Cefas_Test9_Run3/Plate 1/@3/H3_04- exclu.tif</t>
  </si>
  <si>
    <t xml:space="preserve">C:\Users\andre\Desktop\REACTIV CEFAS\Prochloraz\Prochloraz/20201210_Cefas_Test9_Run3/Plate 1/@3/ </t>
  </si>
  <si>
    <t xml:space="preserve"> 33.4889 </t>
  </si>
  <si>
    <t xml:space="preserve"> 9.748 </t>
  </si>
  <si>
    <t xml:space="preserve"> 346719.666 </t>
  </si>
  <si>
    <t xml:space="preserve">C:\Users\andre\Desktop\REACTIV CEFAS\Prochloraz\Prochloraz/20201210_Cefas_Test9_Run3/Plate 1/@4/A4_01.tif </t>
  </si>
  <si>
    <t xml:space="preserve"> 29805.9948 </t>
  </si>
  <si>
    <t xml:space="preserve"> 33.5914 </t>
  </si>
  <si>
    <t xml:space="preserve">C:\Users\andre\Desktop\REACTIV CEFAS\Prochloraz\Prochloraz/20201210_Cefas_Test9_Run3/Plate 1/@4/A4_02.tif </t>
  </si>
  <si>
    <t xml:space="preserve"> 35.7034 </t>
  </si>
  <si>
    <t>C:\Users\andre\Desktop\REACTIV CEFAS\Prochloraz\Prochloraz/20201210_Cefas_Test9_Run3/Plate 1/@4/A4_03- exclu.tif</t>
  </si>
  <si>
    <t>C:\Users\andre\Desktop\REACTIV CEFAS\Prochloraz\Prochloraz/20201210_Cefas_Test9_Run3/Plate 1/@4/A4_04- exclu.tif</t>
  </si>
  <si>
    <t xml:space="preserve">C:\Users\andre\Desktop\REACTIV CEFAS\Prochloraz\Prochloraz/20201210_Cefas_Test9_Run3/Plate 1/@4/B4_01.tif </t>
  </si>
  <si>
    <t xml:space="preserve"> 31.3125 </t>
  </si>
  <si>
    <t>C:\Users\andre\Desktop\REACTIV CEFAS\Prochloraz\Prochloraz/20201210_Cefas_Test9_Run3/Plate 1/@4/B4_02- exclu.tif</t>
  </si>
  <si>
    <t xml:space="preserve">C:\Users\andre\Desktop\REACTIV CEFAS\Prochloraz\Prochloraz/20201210_Cefas_Test9_Run3/Plate 1/@4/B4_03.tif </t>
  </si>
  <si>
    <t xml:space="preserve"> 5580.5128 </t>
  </si>
  <si>
    <t xml:space="preserve"> 33.7287 </t>
  </si>
  <si>
    <t>C:\Users\andre\Desktop\REACTIV CEFAS\Prochloraz\Prochloraz/20201210_Cefas_Test9_Run3/Plate 1/@4/B4_04- exclu.tif</t>
  </si>
  <si>
    <t xml:space="preserve">C:\Users\andre\Desktop\REACTIV CEFAS\Prochloraz\Prochloraz/20201210_Cefas_Test9_Run3/Plate 1/@4/C4_01.tif </t>
  </si>
  <si>
    <t xml:space="preserve"> 31.9928 </t>
  </si>
  <si>
    <t xml:space="preserve">C:\Users\andre\Desktop\REACTIV CEFAS\Prochloraz\Prochloraz/20201210_Cefas_Test9_Run3/Plate 1/@4/C4_02.tif </t>
  </si>
  <si>
    <t xml:space="preserve"> 32.7647 </t>
  </si>
  <si>
    <t xml:space="preserve">C:\Users\andre\Desktop\REACTIV CEFAS\Prochloraz\Prochloraz/20201210_Cefas_Test9_Run3/Plate 1/@4/C4_03.tif </t>
  </si>
  <si>
    <t xml:space="preserve"> 5623.7726 </t>
  </si>
  <si>
    <t xml:space="preserve"> 31.9423 </t>
  </si>
  <si>
    <t xml:space="preserve">C:\Users\andre\Desktop\REACTIV CEFAS\Prochloraz\Prochloraz/20201210_Cefas_Test9_Run3/Plate 1/@4/C4_04.tif </t>
  </si>
  <si>
    <t xml:space="preserve"> 33.2649 </t>
  </si>
  <si>
    <t>C:\Users\andre\Desktop\REACTIV CEFAS\Prochloraz\Prochloraz/20201210_Cefas_Test9_Run3/Plate 1/@4/D4_01- exclu.tif</t>
  </si>
  <si>
    <t xml:space="preserve">C:\Users\andre\Desktop\REACTIV CEFAS\Prochloraz\Prochloraz/20201210_Cefas_Test9_Run3/Plate 1/@4/D4_02.tif </t>
  </si>
  <si>
    <t xml:space="preserve"> 4650.4273 </t>
  </si>
  <si>
    <t xml:space="preserve"> 34.1163 </t>
  </si>
  <si>
    <t xml:space="preserve">C:\Users\andre\Desktop\REACTIV CEFAS\Prochloraz\Prochloraz/20201210_Cefas_Test9_Run3/Plate 1/@4/D4_03.tif </t>
  </si>
  <si>
    <t xml:space="preserve"> 34.1918 </t>
  </si>
  <si>
    <t xml:space="preserve">C:\Users\andre\Desktop\REACTIV CEFAS\Prochloraz\Prochloraz/20201210_Cefas_Test9_Run3/Plate 1/@4/D4_04.tif </t>
  </si>
  <si>
    <t xml:space="preserve"> 34.0769 </t>
  </si>
  <si>
    <t xml:space="preserve">C:\Users\andre\Desktop\REACTIV CEFAS\Prochloraz\Prochloraz/20201210_Cefas_Test9_Run3/Plate 1/@4/E4_01.tif </t>
  </si>
  <si>
    <t xml:space="preserve"> 33.5733 </t>
  </si>
  <si>
    <t xml:space="preserve">C:\Users\andre\Desktop\REACTIV CEFAS\Prochloraz\Prochloraz/20201210_Cefas_Test9_Run3/Plate 1/@4/E4_02.tif </t>
  </si>
  <si>
    <t xml:space="preserve"> 31.6353 </t>
  </si>
  <si>
    <t xml:space="preserve">C:\Users\andre\Desktop\REACTIV CEFAS\Prochloraz\Prochloraz/20201210_Cefas_Test9_Run3/Plate 1/@4/E4_03.tif </t>
  </si>
  <si>
    <t xml:space="preserve"> 14383.8799 </t>
  </si>
  <si>
    <t xml:space="preserve"> 33.6286 </t>
  </si>
  <si>
    <t xml:space="preserve">C:\Users\andre\Desktop\REACTIV CEFAS\Prochloraz\Prochloraz/20201210_Cefas_Test9_Run3/Plate 1/@4/E4_04.tif </t>
  </si>
  <si>
    <t xml:space="preserve"> 17866.293 </t>
  </si>
  <si>
    <t xml:space="preserve"> 35.3644 </t>
  </si>
  <si>
    <t xml:space="preserve">C:\Users\andre\Desktop\REACTIV CEFAS\Prochloraz\Prochloraz/20201210_Cefas_Test9_Run3/Plate 1/@4/F4_01.tif </t>
  </si>
  <si>
    <t xml:space="preserve"> 38.533 </t>
  </si>
  <si>
    <t xml:space="preserve">C:\Users\andre\Desktop\REACTIV CEFAS\Prochloraz\Prochloraz/20201210_Cefas_Test9_Run3/Plate 1/@4/F4_02.tif </t>
  </si>
  <si>
    <t xml:space="preserve"> 40.3187 </t>
  </si>
  <si>
    <t xml:space="preserve">C:\Users\andre\Desktop\REACTIV CEFAS\Prochloraz\Prochloraz/20201210_Cefas_Test9_Run3/Plate 1/@4/F4_03.tif </t>
  </si>
  <si>
    <t xml:space="preserve"> 11528.7338 </t>
  </si>
  <si>
    <t xml:space="preserve"> 37.5197 </t>
  </si>
  <si>
    <t xml:space="preserve">C:\Users\andre\Desktop\REACTIV CEFAS\Prochloraz\Prochloraz/20201210_Cefas_Test9_Run3/Plate 1/@4/F4_04.tif </t>
  </si>
  <si>
    <t xml:space="preserve"> 12458.8193 </t>
  </si>
  <si>
    <t xml:space="preserve"> 39.2622 </t>
  </si>
  <si>
    <t xml:space="preserve">C:\Users\andre\Desktop\REACTIV CEFAS\Prochloraz\Prochloraz/20201210_Cefas_Test9_Run3/Plate 1/@4/G4_01.tif </t>
  </si>
  <si>
    <t xml:space="preserve"> 13021.1966 </t>
  </si>
  <si>
    <t xml:space="preserve"> 33.2326 </t>
  </si>
  <si>
    <t xml:space="preserve">C:\Users\andre\Desktop\REACTIV CEFAS\Prochloraz\Prochloraz/20201210_Cefas_Test9_Run3/Plate 1/@4/G4_02.tif </t>
  </si>
  <si>
    <t xml:space="preserve"> 16525.2395 </t>
  </si>
  <si>
    <t xml:space="preserve"> 33.8835 </t>
  </si>
  <si>
    <t xml:space="preserve">C:\Users\andre\Desktop\REACTIV CEFAS\Prochloraz\Prochloraz/20201210_Cefas_Test9_Run3/Plate 1/@4/G4_03.tif </t>
  </si>
  <si>
    <t xml:space="preserve"> 23771.2542 </t>
  </si>
  <si>
    <t xml:space="preserve"> 35.2129 </t>
  </si>
  <si>
    <t xml:space="preserve">C:\Users\andre\Desktop\REACTIV CEFAS\Prochloraz\Prochloraz/20201210_Cefas_Test9_Run3/Plate 1/@4/G4_04.tif </t>
  </si>
  <si>
    <t xml:space="preserve"> 26885.959 </t>
  </si>
  <si>
    <t xml:space="preserve"> 36.1553 </t>
  </si>
  <si>
    <t xml:space="preserve">C:\Users\andre\Desktop\REACTIV CEFAS\Prochloraz\Prochloraz/20201210_Cefas_Test9_Run3/Plate 1/@4/H4_01.tif </t>
  </si>
  <si>
    <t xml:space="preserve"> 13237.4955 </t>
  </si>
  <si>
    <t xml:space="preserve"> 32.1977 </t>
  </si>
  <si>
    <t xml:space="preserve">C:\Users\andre\Desktop\REACTIV CEFAS\Prochloraz\Prochloraz/20201210_Cefas_Test9_Run3/Plate 1/@4/H4_02.tif </t>
  </si>
  <si>
    <t xml:space="preserve"> 16611.7591 </t>
  </si>
  <si>
    <t xml:space="preserve"> 33.8646 </t>
  </si>
  <si>
    <t xml:space="preserve">C:\Users\andre\Desktop\REACTIV CEFAS\Prochloraz\Prochloraz/20201210_Cefas_Test9_Run3/Plate 1/@4/H4_03.tif </t>
  </si>
  <si>
    <t xml:space="preserve"> 12502.0791 </t>
  </si>
  <si>
    <t xml:space="preserve"> 34.7612 </t>
  </si>
  <si>
    <t xml:space="preserve">C:\Users\andre\Desktop\REACTIV CEFAS\Prochloraz\Prochloraz/20201210_Cefas_Test9_Run3/Plate 1/@4/H4_04.tif </t>
  </si>
  <si>
    <t xml:space="preserve"> 15097.6665 </t>
  </si>
  <si>
    <t xml:space="preserve"> 34.2235 </t>
  </si>
  <si>
    <t xml:space="preserve">C:\Users\andre\Desktop\REACTIV CEFAS\Prochloraz\Prochloraz/20201210_Cefas_Test9_Run3/Plate 1/@4/ </t>
  </si>
  <si>
    <t xml:space="preserve"> 34.9403 </t>
  </si>
  <si>
    <t xml:space="preserve"> 2.8811 </t>
  </si>
  <si>
    <t xml:space="preserve"> 479724.625 </t>
  </si>
  <si>
    <t xml:space="preserve"> 505727.661 </t>
  </si>
  <si>
    <t>C:\Users\andre\Desktop\REACTIV CEFAS\Prochloraz\Prochloraz/20201210_Cefas_Test9_Run3/Plate 1/@5/A5_01- exclu.tif</t>
  </si>
  <si>
    <t xml:space="preserve">C:\Users\andre\Desktop\REACTIV CEFAS\Prochloraz\Prochloraz/20201210_Cefas_Test9_Run3/Plate 1/@5/A5_02.tif </t>
  </si>
  <si>
    <t xml:space="preserve"> 23338.6563 </t>
  </si>
  <si>
    <t xml:space="preserve"> 33.7414 </t>
  </si>
  <si>
    <t>C:\Users\andre\Desktop\REACTIV CEFAS\Prochloraz\Prochloraz/20201210_Cefas_Test9_Run3/Plate 1/@5/A5_03- exclu.tif</t>
  </si>
  <si>
    <t>C:\Users\andre\Desktop\REACTIV CEFAS\Prochloraz\Prochloraz/20201210_Cefas_Test9_Run3/Plate 1/@5/A5_04- exclu.tif</t>
  </si>
  <si>
    <t xml:space="preserve">C:\Users\andre\Desktop\REACTIV CEFAS\Prochloraz\Prochloraz/20201210_Cefas_Test9_Run3/Plate 1/@5/B5_01.tif </t>
  </si>
  <si>
    <t xml:space="preserve"> 58249.3062 </t>
  </si>
  <si>
    <t xml:space="preserve"> 44.6896 </t>
  </si>
  <si>
    <t xml:space="preserve">C:\Users\andre\Desktop\REACTIV CEFAS\Prochloraz\Prochloraz/20201210_Cefas_Test9_Run3/Plate 1/@5/B5_02.tif </t>
  </si>
  <si>
    <t xml:space="preserve"> 51717.0781 </t>
  </si>
  <si>
    <t xml:space="preserve"> 41.3756 </t>
  </si>
  <si>
    <t xml:space="preserve">C:\Users\andre\Desktop\REACTIV CEFAS\Prochloraz\Prochloraz/20201210_Cefas_Test9_Run3/Plate 1/@5/B5_03.tif </t>
  </si>
  <si>
    <t xml:space="preserve"> 41.3236 </t>
  </si>
  <si>
    <t xml:space="preserve">C:\Users\andre\Desktop\REACTIV CEFAS\Prochloraz\Prochloraz/20201210_Cefas_Test9_Run3/Plate 1/@5/B5_04.tif </t>
  </si>
  <si>
    <t xml:space="preserve"> 51760.3378 </t>
  </si>
  <si>
    <t xml:space="preserve"> 42.2043 </t>
  </si>
  <si>
    <t xml:space="preserve">C:\Users\andre\Desktop\REACTIV CEFAS\Prochloraz\Prochloraz/20201210_Cefas_Test9_Run3/Plate 1/@5/C5_01.tif </t>
  </si>
  <si>
    <t xml:space="preserve"> 66533.5559 </t>
  </si>
  <si>
    <t xml:space="preserve"> 48.251 </t>
  </si>
  <si>
    <t xml:space="preserve">C:\Users\andre\Desktop\REACTIV CEFAS\Prochloraz\Prochloraz/20201210_Cefas_Test9_Run3/Plate 1/@5/C5_02.tif </t>
  </si>
  <si>
    <t xml:space="preserve"> 61537.0502 </t>
  </si>
  <si>
    <t xml:space="preserve"> 45.6699 </t>
  </si>
  <si>
    <t xml:space="preserve">C:\Users\andre\Desktop\REACTIV CEFAS\Prochloraz\Prochloraz/20201210_Cefas_Test9_Run3/Plate 1/@5/C5_03.tif </t>
  </si>
  <si>
    <t xml:space="preserve"> 63700.0397 </t>
  </si>
  <si>
    <t xml:space="preserve"> 48.2808 </t>
  </si>
  <si>
    <t xml:space="preserve">C:\Users\andre\Desktop\REACTIV CEFAS\Prochloraz\Prochloraz/20201210_Cefas_Test9_Run3/Plate 1/@5/C5_04.tif </t>
  </si>
  <si>
    <t xml:space="preserve"> 60044.5875 </t>
  </si>
  <si>
    <t xml:space="preserve"> 47.2471 </t>
  </si>
  <si>
    <t xml:space="preserve">C:\Users\andre\Desktop\REACTIV CEFAS\Prochloraz\Prochloraz/20201210_Cefas_Test9_Run3/Plate 1/@5/D5_01.tif </t>
  </si>
  <si>
    <t xml:space="preserve"> 31.7209 </t>
  </si>
  <si>
    <t xml:space="preserve">C:\Users\andre\Desktop\REACTIV CEFAS\Prochloraz\Prochloraz/20201210_Cefas_Test9_Run3/Plate 1/@5/D5_02.tif </t>
  </si>
  <si>
    <t xml:space="preserve"> 24636.45 </t>
  </si>
  <si>
    <t xml:space="preserve"> 34.6664 </t>
  </si>
  <si>
    <t xml:space="preserve">C:\Users\andre\Desktop\REACTIV CEFAS\Prochloraz\Prochloraz/20201210_Cefas_Test9_Run3/Plate 1/@5/D5_03.tif </t>
  </si>
  <si>
    <t xml:space="preserve"> 31.8264 </t>
  </si>
  <si>
    <t xml:space="preserve">C:\Users\andre\Desktop\REACTIV CEFAS\Prochloraz\Prochloraz/20201210_Cefas_Test9_Run3/Plate 1/@5/D5_04.tif </t>
  </si>
  <si>
    <t xml:space="preserve"> 17412.0652 </t>
  </si>
  <si>
    <t xml:space="preserve"> 33.328 </t>
  </si>
  <si>
    <t xml:space="preserve">C:\Users\andre\Desktop\REACTIV CEFAS\Prochloraz\Prochloraz/20201210_Cefas_Test9_Run3/Plate 1/@5/E5_01.tif </t>
  </si>
  <si>
    <t xml:space="preserve"> 62856.4738 </t>
  </si>
  <si>
    <t xml:space="preserve"> 41.2577 </t>
  </si>
  <si>
    <t xml:space="preserve">C:\Users\andre\Desktop\REACTIV CEFAS\Prochloraz\Prochloraz/20201210_Cefas_Test9_Run3/Plate 1/@5/E5_02.tif </t>
  </si>
  <si>
    <t xml:space="preserve"> 73325.3428 </t>
  </si>
  <si>
    <t xml:space="preserve"> 41.8209 </t>
  </si>
  <si>
    <t xml:space="preserve">C:\Users\andre\Desktop\REACTIV CEFAS\Prochloraz\Prochloraz/20201210_Cefas_Test9_Run3/Plate 1/@5/E5_03.tif </t>
  </si>
  <si>
    <t xml:space="preserve"> 58487.2351 </t>
  </si>
  <si>
    <t xml:space="preserve"> 37.7899 </t>
  </si>
  <si>
    <t xml:space="preserve">C:\Users\andre\Desktop\REACTIV CEFAS\Prochloraz\Prochloraz/20201210_Cefas_Test9_Run3/Plate 1/@5/E5_04.tif </t>
  </si>
  <si>
    <t xml:space="preserve"> 63764.9294 </t>
  </si>
  <si>
    <t xml:space="preserve"> 39.5543 </t>
  </si>
  <si>
    <t>C:\Users\andre\Desktop\REACTIV CEFAS\Prochloraz\Prochloraz/20201210_Cefas_Test9_Run3/Plate 1/@5/F5_01- exclu.tif</t>
  </si>
  <si>
    <t xml:space="preserve">C:\Users\andre\Desktop\REACTIV CEFAS\Prochloraz\Prochloraz/20201210_Cefas_Test9_Run3/Plate 1/@5/F5_02.tif </t>
  </si>
  <si>
    <t xml:space="preserve"> 35.2591 </t>
  </si>
  <si>
    <t>C:\Users\andre\Desktop\REACTIV CEFAS\Prochloraz\Prochloraz/20201210_Cefas_Test9_Run3/Plate 1/@5/F5_03- exclu.tif</t>
  </si>
  <si>
    <t xml:space="preserve">C:\Users\andre\Desktop\REACTIV CEFAS\Prochloraz\Prochloraz/20201210_Cefas_Test9_Run3/Plate 1/@5/F5_04.tif </t>
  </si>
  <si>
    <t xml:space="preserve"> 5969.8509 </t>
  </si>
  <si>
    <t xml:space="preserve"> 33.0543 </t>
  </si>
  <si>
    <t xml:space="preserve">C:\Users\andre\Desktop\REACTIV CEFAS\Prochloraz\Prochloraz/20201210_Cefas_Test9_Run3/Plate 1/@5/G5_01.tif </t>
  </si>
  <si>
    <t xml:space="preserve"> 44925.2911 </t>
  </si>
  <si>
    <t xml:space="preserve"> 35.0289 </t>
  </si>
  <si>
    <t>C:\Users\andre\Desktop\REACTIV CEFAS\Prochloraz\Prochloraz/20201210_Cefas_Test9_Run3/Plate 1/@5/G5_02- exclu.tif</t>
  </si>
  <si>
    <t>C:\Users\andre\Desktop\REACTIV CEFAS\Prochloraz\Prochloraz/20201210_Cefas_Test9_Run3/Plate 1/@5/G5_03- exclu.tif</t>
  </si>
  <si>
    <t>C:\Users\andre\Desktop\REACTIV CEFAS\Prochloraz\Prochloraz/20201210_Cefas_Test9_Run3/Plate 1/@5/G5_04- exclu.tif</t>
  </si>
  <si>
    <t xml:space="preserve">C:\Users\andre\Desktop\REACTIV CEFAS\Prochloraz\Prochloraz/20201210_Cefas_Test9_Run3/Plate 1/@5/H5_01.tif </t>
  </si>
  <si>
    <t xml:space="preserve"> 47088.2806 </t>
  </si>
  <si>
    <t xml:space="preserve"> 38.158 </t>
  </si>
  <si>
    <t xml:space="preserve">C:\Users\andre\Desktop\REACTIV CEFAS\Prochloraz\Prochloraz/20201210_Cefas_Test9_Run3/Plate 1/@5/H5_02.tif </t>
  </si>
  <si>
    <t xml:space="preserve"> 39150.1093 </t>
  </si>
  <si>
    <t xml:space="preserve"> 35.5757 </t>
  </si>
  <si>
    <t xml:space="preserve">C:\Users\andre\Desktop\REACTIV CEFAS\Prochloraz\Prochloraz/20201210_Cefas_Test9_Run3/Plate 1/@5/H5_03.tif </t>
  </si>
  <si>
    <t xml:space="preserve"> 40534.4225 </t>
  </si>
  <si>
    <t xml:space="preserve"> 36.1499 </t>
  </si>
  <si>
    <t xml:space="preserve">C:\Users\andre\Desktop\REACTIV CEFAS\Prochloraz\Prochloraz/20201210_Cefas_Test9_Run3/Plate 1/@5/H5_04.tif </t>
  </si>
  <si>
    <t xml:space="preserve"> 46504.2735 </t>
  </si>
  <si>
    <t xml:space="preserve"> 39.6512 </t>
  </si>
  <si>
    <t xml:space="preserve">C:\Users\andre\Desktop\REACTIV CEFAS\Prochloraz\Prochloraz/20201210_Cefas_Test9_Run3/Plate 1/@5/ </t>
  </si>
  <si>
    <t xml:space="preserve"> 37.9896 </t>
  </si>
  <si>
    <t xml:space="preserve"> 8.5493 </t>
  </si>
  <si>
    <t xml:space="preserve"> 1605178.75 </t>
  </si>
  <si>
    <t xml:space="preserve"> 1017758.56 </t>
  </si>
  <si>
    <t xml:space="preserve">C:\Users\andre\Desktop\REACTIV CEFAS\Prochloraz\Prochloraz/20201210_Cefas_Test9_Run3/Plate 1/@6/A6_01.tif </t>
  </si>
  <si>
    <t xml:space="preserve"> 75466.7024 </t>
  </si>
  <si>
    <t xml:space="preserve"> 48.4821 </t>
  </si>
  <si>
    <t xml:space="preserve">C:\Users\andre\Desktop\REACTIV CEFAS\Prochloraz\Prochloraz/20201210_Cefas_Test9_Run3/Plate 1/@6/A6_02.tif </t>
  </si>
  <si>
    <t xml:space="preserve"> 66663.3352 </t>
  </si>
  <si>
    <t xml:space="preserve"> 47.9977 </t>
  </si>
  <si>
    <t xml:space="preserve">C:\Users\andre\Desktop\REACTIV CEFAS\Prochloraz\Prochloraz/20201210_Cefas_Test9_Run3/Plate 1/@6/A6_03.tif </t>
  </si>
  <si>
    <t xml:space="preserve"> 72351.9975 </t>
  </si>
  <si>
    <t xml:space="preserve"> 46.2404 </t>
  </si>
  <si>
    <t xml:space="preserve">C:\Users\andre\Desktop\REACTIV CEFAS\Prochloraz\Prochloraz/20201210_Cefas_Test9_Run3/Plate 1/@6/A6_04.tif </t>
  </si>
  <si>
    <t xml:space="preserve"> 78559.7773 </t>
  </si>
  <si>
    <t xml:space="preserve"> 50.2566 </t>
  </si>
  <si>
    <t>C:\Users\andre\Desktop\REACTIV CEFAS\Prochloraz\Prochloraz/20201210_Cefas_Test9_Run3/Plate 1/@6/B6_01- exclu.tif</t>
  </si>
  <si>
    <t>C:\Users\andre\Desktop\REACTIV CEFAS\Prochloraz\Prochloraz/20201210_Cefas_Test9_Run3/Plate 1/@6/B6_02- exclu.tif</t>
  </si>
  <si>
    <t>C:\Users\andre\Desktop\REACTIV CEFAS\Prochloraz\Prochloraz/20201210_Cefas_Test9_Run3/Plate 1/@6/B6_03- exclu.tif</t>
  </si>
  <si>
    <t>C:\Users\andre\Desktop\REACTIV CEFAS\Prochloraz\Prochloraz/20201210_Cefas_Test9_Run3/Plate 1/@6/B6_04- exclu.tif</t>
  </si>
  <si>
    <t xml:space="preserve">C:\Users\andre\Desktop\REACTIV CEFAS\Prochloraz\Prochloraz/20201210_Cefas_Test9_Run3/Plate 1/@6/C6_01.tif </t>
  </si>
  <si>
    <t xml:space="preserve"> 83945.6211 </t>
  </si>
  <si>
    <t xml:space="preserve"> 46.7016 </t>
  </si>
  <si>
    <t xml:space="preserve">C:\Users\andre\Desktop\REACTIV CEFAS\Prochloraz\Prochloraz/20201210_Cefas_Test9_Run3/Plate 1/@6/C6_02.tif </t>
  </si>
  <si>
    <t xml:space="preserve"> 84724.2973 </t>
  </si>
  <si>
    <t xml:space="preserve"> 47.4271 </t>
  </si>
  <si>
    <t xml:space="preserve">C:\Users\andre\Desktop\REACTIV CEFAS\Prochloraz\Prochloraz/20201210_Cefas_Test9_Run3/Plate 1/@6/C6_03.tif </t>
  </si>
  <si>
    <t xml:space="preserve"> 84659.4076 </t>
  </si>
  <si>
    <t xml:space="preserve"> 46.4683 </t>
  </si>
  <si>
    <t xml:space="preserve">C:\Users\andre\Desktop\REACTIV CEFAS\Prochloraz\Prochloraz/20201210_Cefas_Test9_Run3/Plate 1/@6/C6_04.tif </t>
  </si>
  <si>
    <t xml:space="preserve"> 89071.9061 </t>
  </si>
  <si>
    <t xml:space="preserve"> 49.6508 </t>
  </si>
  <si>
    <t xml:space="preserve">C:\Users\andre\Desktop\REACTIV CEFAS\Prochloraz\Prochloraz/20201210_Cefas_Test9_Run3/Plate 1/@6/D6_01.tif </t>
  </si>
  <si>
    <t xml:space="preserve"> 66598.4456 </t>
  </si>
  <si>
    <t xml:space="preserve"> 49.1095 </t>
  </si>
  <si>
    <t xml:space="preserve">C:\Users\andre\Desktop\REACTIV CEFAS\Prochloraz\Prochloraz/20201210_Cefas_Test9_Run3/Plate 1/@6/D6_02.tif </t>
  </si>
  <si>
    <t xml:space="preserve"> 70816.275 </t>
  </si>
  <si>
    <t xml:space="preserve"> 53.7443 </t>
  </si>
  <si>
    <t xml:space="preserve">C:\Users\andre\Desktop\REACTIV CEFAS\Prochloraz\Prochloraz/20201210_Cefas_Test9_Run3/Plate 1/@6/D6_03.tif </t>
  </si>
  <si>
    <t xml:space="preserve"> 65408.8014 </t>
  </si>
  <si>
    <t xml:space="preserve"> 55.1567 </t>
  </si>
  <si>
    <t xml:space="preserve">C:\Users\andre\Desktop\REACTIV CEFAS\Prochloraz\Prochloraz/20201210_Cefas_Test9_Run3/Plate 1/@6/D6_04.tif </t>
  </si>
  <si>
    <t xml:space="preserve"> 70621.606 </t>
  </si>
  <si>
    <t xml:space="preserve"> 53.7538 </t>
  </si>
  <si>
    <t xml:space="preserve">C:\Users\andre\Desktop\REACTIV CEFAS\Prochloraz\Prochloraz/20201210_Cefas_Test9_Run3/Plate 1/@6/E6_01.tif </t>
  </si>
  <si>
    <t xml:space="preserve"> 22213.9018 </t>
  </si>
  <si>
    <t xml:space="preserve"> 44.2084 </t>
  </si>
  <si>
    <t xml:space="preserve">C:\Users\andre\Desktop\REACTIV CEFAS\Prochloraz\Prochloraz/20201210_Cefas_Test9_Run3/Plate 1/@6/E6_02.tif </t>
  </si>
  <si>
    <t xml:space="preserve"> 31687.7956 </t>
  </si>
  <si>
    <t xml:space="preserve"> 44.4833 </t>
  </si>
  <si>
    <t xml:space="preserve">C:\Users\andre\Desktop\REACTIV CEFAS\Prochloraz\Prochloraz/20201210_Cefas_Test9_Run3/Plate 1/@6/E6_03.tif </t>
  </si>
  <si>
    <t xml:space="preserve"> 31233.5678 </t>
  </si>
  <si>
    <t xml:space="preserve"> 43.5506 </t>
  </si>
  <si>
    <t xml:space="preserve">C:\Users\andre\Desktop\REACTIV CEFAS\Prochloraz\Prochloraz/20201210_Cefas_Test9_Run3/Plate 1/@6/E6_04.tif </t>
  </si>
  <si>
    <t xml:space="preserve"> 17433.6951 </t>
  </si>
  <si>
    <t xml:space="preserve"> 43.0831 </t>
  </si>
  <si>
    <t xml:space="preserve">C:\Users\andre\Desktop\REACTIV CEFAS\Prochloraz\Prochloraz/20201210_Cefas_Test9_Run3/Plate 1/@6/F6_01.tif </t>
  </si>
  <si>
    <t xml:space="preserve"> 41313.0987 </t>
  </si>
  <si>
    <t xml:space="preserve"> 44.6037 </t>
  </si>
  <si>
    <t xml:space="preserve">C:\Users\andre\Desktop\REACTIV CEFAS\Prochloraz\Prochloraz/20201210_Cefas_Test9_Run3/Plate 1/@6/F6_02.tif </t>
  </si>
  <si>
    <t xml:space="preserve"> 43757.2768 </t>
  </si>
  <si>
    <t xml:space="preserve"> 45.522 </t>
  </si>
  <si>
    <t xml:space="preserve">C:\Users\andre\Desktop\REACTIV CEFAS\Prochloraz\Prochloraz/20201210_Cefas_Test9_Run3/Plate 1/@6/F6_03.tif </t>
  </si>
  <si>
    <t xml:space="preserve"> 42264.8141 </t>
  </si>
  <si>
    <t xml:space="preserve"> 49.2385 </t>
  </si>
  <si>
    <t xml:space="preserve">C:\Users\andre\Desktop\REACTIV CEFAS\Prochloraz\Prochloraz/20201210_Cefas_Test9_Run3/Plate 1/@6/F6_04.tif </t>
  </si>
  <si>
    <t xml:space="preserve"> 42805.5615 </t>
  </si>
  <si>
    <t xml:space="preserve"> 46.3133 </t>
  </si>
  <si>
    <t xml:space="preserve">C:\Users\andre\Desktop\REACTIV CEFAS\Prochloraz\Prochloraz/20201210_Cefas_Test9_Run3/Plate 1/@6/G6_01.tif </t>
  </si>
  <si>
    <t xml:space="preserve"> 60931.4132 </t>
  </si>
  <si>
    <t xml:space="preserve"> 49.8122 </t>
  </si>
  <si>
    <t xml:space="preserve">C:\Users\andre\Desktop\REACTIV CEFAS\Prochloraz\Prochloraz/20201210_Cefas_Test9_Run3/Plate 1/@6/G6_02.tif </t>
  </si>
  <si>
    <t xml:space="preserve"> 48926.8217 </t>
  </si>
  <si>
    <t xml:space="preserve"> 48.1631 </t>
  </si>
  <si>
    <t xml:space="preserve">C:\Users\andre\Desktop\REACTIV CEFAS\Prochloraz\Prochloraz/20201210_Cefas_Test9_Run3/Plate 1/@6/G6_03.tif </t>
  </si>
  <si>
    <t xml:space="preserve"> 55091.3416 </t>
  </si>
  <si>
    <t xml:space="preserve"> 51.1327 </t>
  </si>
  <si>
    <t>C:\Users\andre\Desktop\REACTIV CEFAS\Prochloraz\Prochloraz/20201210_Cefas_Test9_Run3/Plate 1/@6/G6_04- exclu.tif</t>
  </si>
  <si>
    <t xml:space="preserve">C:\Users\andre\Desktop\REACTIV CEFAS\Prochloraz\Prochloraz/20201210_Cefas_Test9_Run3/Plate 1/@6/H6_01.tif </t>
  </si>
  <si>
    <t xml:space="preserve"> 55307.6406 </t>
  </si>
  <si>
    <t xml:space="preserve"> 46.9312 </t>
  </si>
  <si>
    <t xml:space="preserve">C:\Users\andre\Desktop\REACTIV CEFAS\Prochloraz\Prochloraz/20201210_Cefas_Test9_Run3/Plate 1/@6/H6_02.tif </t>
  </si>
  <si>
    <t xml:space="preserve"> 57600.4094 </t>
  </si>
  <si>
    <t xml:space="preserve"> 46.6538 </t>
  </si>
  <si>
    <t xml:space="preserve">C:\Users\andre\Desktop\REACTIV CEFAS\Prochloraz\Prochloraz/20201210_Cefas_Test9_Run3/Plate 1/@6/H6_03.tif </t>
  </si>
  <si>
    <t xml:space="preserve"> 55696.9787 </t>
  </si>
  <si>
    <t xml:space="preserve"> 47.1864 </t>
  </si>
  <si>
    <t xml:space="preserve">C:\Users\andre\Desktop\REACTIV CEFAS\Prochloraz\Prochloraz/20201210_Cefas_Test9_Run3/Plate 1/@6/H6_04.tif </t>
  </si>
  <si>
    <t xml:space="preserve"> 60520.4452 </t>
  </si>
  <si>
    <t xml:space="preserve"> 47.6762 </t>
  </si>
  <si>
    <t xml:space="preserve">C:\Users\andre\Desktop\REACTIV CEFAS\Prochloraz\Prochloraz/20201210_Cefas_Test9_Run3/Plate 1/@6/ </t>
  </si>
  <si>
    <t xml:space="preserve"> 47.4847 </t>
  </si>
  <si>
    <t xml:space="preserve"> 3.5886 </t>
  </si>
  <si>
    <t xml:space="preserve"> 2669827.22 </t>
  </si>
  <si>
    <t xml:space="preserve"> 1018763.13 </t>
  </si>
  <si>
    <t xml:space="preserve">C:\Users\andre\Desktop\REACTIV CEFAS\Prochloraz\Prochloraz/20201210_Cefas_Test9_Run3/Plate 1/@7/A7_01.tif </t>
  </si>
  <si>
    <t xml:space="preserve"> 92294.7604 </t>
  </si>
  <si>
    <t xml:space="preserve"> 60.4978 </t>
  </si>
  <si>
    <t xml:space="preserve">C:\Users\andre\Desktop\REACTIV CEFAS\Prochloraz\Prochloraz/20201210_Cefas_Test9_Run3/Plate 1/@7/A7_02.tif </t>
  </si>
  <si>
    <t xml:space="preserve"> 92748.9882 </t>
  </si>
  <si>
    <t xml:space="preserve"> 62.2038 </t>
  </si>
  <si>
    <t xml:space="preserve">C:\Users\andre\Desktop\REACTIV CEFAS\Prochloraz\Prochloraz/20201210_Cefas_Test9_Run3/Plate 1/@7/A7_03.tif </t>
  </si>
  <si>
    <t xml:space="preserve"> 94284.7107 </t>
  </si>
  <si>
    <t xml:space="preserve"> 62.4079 </t>
  </si>
  <si>
    <t xml:space="preserve">C:\Users\andre\Desktop\REACTIV CEFAS\Prochloraz\Prochloraz/20201210_Cefas_Test9_Run3/Plate 1/@7/A7_04.tif </t>
  </si>
  <si>
    <t xml:space="preserve"> 92597.5789 </t>
  </si>
  <si>
    <t xml:space="preserve"> 59.9923 </t>
  </si>
  <si>
    <t>C:\Users\andre\Desktop\REACTIV CEFAS\Prochloraz\Prochloraz/20201210_Cefas_Test9_Run3/Plate 1/@7/B7_01- exclu.tif</t>
  </si>
  <si>
    <t>C:\Users\andre\Desktop\REACTIV CEFAS\Prochloraz\Prochloraz/20201210_Cefas_Test9_Run3/Plate 1/@7/B7_02- exclu.tif</t>
  </si>
  <si>
    <t>C:\Users\andre\Desktop\REACTIV CEFAS\Prochloraz\Prochloraz/20201210_Cefas_Test9_Run3/Plate 1/@7/B7_03- exclu.tif</t>
  </si>
  <si>
    <t xml:space="preserve">C:\Users\andre\Desktop\REACTIV CEFAS\Prochloraz\Prochloraz/20201210_Cefas_Test9_Run3/Plate 1/@7/B7_04.tif </t>
  </si>
  <si>
    <t xml:space="preserve"> 96901.9279 </t>
  </si>
  <si>
    <t xml:space="preserve"> 64.6634 </t>
  </si>
  <si>
    <t xml:space="preserve">C:\Users\andre\Desktop\REACTIV CEFAS\Prochloraz\Prochloraz/20201210_Cefas_Test9_Run3/Plate 1/@7/C7_01.tif </t>
  </si>
  <si>
    <t xml:space="preserve"> 66706.595 </t>
  </si>
  <si>
    <t xml:space="preserve"> 53.2348 </t>
  </si>
  <si>
    <t xml:space="preserve">C:\Users\andre\Desktop\REACTIV CEFAS\Prochloraz\Prochloraz/20201210_Cefas_Test9_Run3/Plate 1/@7/C7_02.tif </t>
  </si>
  <si>
    <t xml:space="preserve"> 69194.0329 </t>
  </si>
  <si>
    <t xml:space="preserve"> 59.2682 </t>
  </si>
  <si>
    <t xml:space="preserve">C:\Users\andre\Desktop\REACTIV CEFAS\Prochloraz\Prochloraz/20201210_Cefas_Test9_Run3/Plate 1/@7/C7_03.tif </t>
  </si>
  <si>
    <t xml:space="preserve"> 64976.2035 </t>
  </si>
  <si>
    <t xml:space="preserve"> 54.2706 </t>
  </si>
  <si>
    <t xml:space="preserve">C:\Users\andre\Desktop\REACTIV CEFAS\Prochloraz\Prochloraz/20201210_Cefas_Test9_Run3/Plate 1/@7/C7_04.tif </t>
  </si>
  <si>
    <t xml:space="preserve"> 63353.9614 </t>
  </si>
  <si>
    <t xml:space="preserve"> 54.0731 </t>
  </si>
  <si>
    <t xml:space="preserve">C:\Users\andre\Desktop\REACTIV CEFAS\Prochloraz\Prochloraz/20201210_Cefas_Test9_Run3/Plate 1/@7/D7_01.tif </t>
  </si>
  <si>
    <t xml:space="preserve"> 82734.347 </t>
  </si>
  <si>
    <t xml:space="preserve"> 61.4952 </t>
  </si>
  <si>
    <t xml:space="preserve">C:\Users\andre\Desktop\REACTIV CEFAS\Prochloraz\Prochloraz/20201210_Cefas_Test9_Run3/Plate 1/@7/D7_02.tif </t>
  </si>
  <si>
    <t xml:space="preserve"> 61.3345 </t>
  </si>
  <si>
    <t xml:space="preserve">C:\Users\andre\Desktop\REACTIV CEFAS\Prochloraz\Prochloraz/20201210_Cefas_Test9_Run3/Plate 1/@7/D7_03.tif </t>
  </si>
  <si>
    <t xml:space="preserve"> 80355.0585 </t>
  </si>
  <si>
    <t xml:space="preserve"> 64.5133 </t>
  </si>
  <si>
    <t xml:space="preserve">C:\Users\andre\Desktop\REACTIV CEFAS\Prochloraz\Prochloraz/20201210_Cefas_Test9_Run3/Plate 1/@7/D7_04.tif </t>
  </si>
  <si>
    <t xml:space="preserve"> 80441.5781 </t>
  </si>
  <si>
    <t xml:space="preserve"> 59.2423 </t>
  </si>
  <si>
    <t xml:space="preserve">C:\Users\andre\Desktop\REACTIV CEFAS\Prochloraz\Prochloraz/20201210_Cefas_Test9_Run3/Plate 1/@7/E7_01.tif </t>
  </si>
  <si>
    <t xml:space="preserve"> 68501.8763 </t>
  </si>
  <si>
    <t xml:space="preserve"> 56.8137 </t>
  </si>
  <si>
    <t xml:space="preserve">C:\Users\andre\Desktop\REACTIV CEFAS\Prochloraz\Prochloraz/20201210_Cefas_Test9_Run3/Plate 1/@7/E7_02.tif </t>
  </si>
  <si>
    <t xml:space="preserve"> 69129.1432 </t>
  </si>
  <si>
    <t xml:space="preserve"> 55.0391 </t>
  </si>
  <si>
    <t xml:space="preserve">C:\Users\andre\Desktop\REACTIV CEFAS\Prochloraz\Prochloraz/20201210_Cefas_Test9_Run3/Plate 1/@7/E7_03.tif </t>
  </si>
  <si>
    <t xml:space="preserve"> 68761.435 </t>
  </si>
  <si>
    <t xml:space="preserve"> 58.8761 </t>
  </si>
  <si>
    <t xml:space="preserve">C:\Users\andre\Desktop\REACTIV CEFAS\Prochloraz\Prochloraz/20201210_Cefas_Test9_Run3/Plate 1/@7/E7_04.tif </t>
  </si>
  <si>
    <t xml:space="preserve"> 70751.3853 </t>
  </si>
  <si>
    <t xml:space="preserve"> 57.1804 </t>
  </si>
  <si>
    <t>C:\Users\andre\Desktop\REACTIV CEFAS\Prochloraz\Prochloraz/20201210_Cefas_Test9_Run3/Plate 1/@7/F7_01- exclu.tif</t>
  </si>
  <si>
    <t>C:\Users\andre\Desktop\REACTIV CEFAS\Prochloraz\Prochloraz/20201210_Cefas_Test9_Run3/Plate 1/@7/F7_02- exclu.tif</t>
  </si>
  <si>
    <t>C:\Users\andre\Desktop\REACTIV CEFAS\Prochloraz\Prochloraz/20201210_Cefas_Test9_Run3/Plate 1/@7/F7_03- exclu.tif</t>
  </si>
  <si>
    <t>C:\Users\andre\Desktop\REACTIV CEFAS\Prochloraz\Prochloraz/20201210_Cefas_Test9_Run3/Plate 1/@7/F7_04- exclu.tif</t>
  </si>
  <si>
    <t xml:space="preserve">C:\Users\andre\Desktop\REACTIV CEFAS\Prochloraz\Prochloraz/20201210_Cefas_Test9_Run3/Plate 1/@7/G7_01.tif </t>
  </si>
  <si>
    <t xml:space="preserve"> 44.2511 </t>
  </si>
  <si>
    <t xml:space="preserve">C:\Users\andre\Desktop\REACTIV CEFAS\Prochloraz\Prochloraz/20201210_Cefas_Test9_Run3/Plate 1/@7/G7_02.tif </t>
  </si>
  <si>
    <t xml:space="preserve"> 69367.0721 </t>
  </si>
  <si>
    <t xml:space="preserve"> 43.8575 </t>
  </si>
  <si>
    <t xml:space="preserve">C:\Users\andre\Desktop\REACTIV CEFAS\Prochloraz\Prochloraz/20201210_Cefas_Test9_Run3/Plate 1/@7/G7_03.tif </t>
  </si>
  <si>
    <t xml:space="preserve"> 69237.2927 </t>
  </si>
  <si>
    <t xml:space="preserve"> 43.7545 </t>
  </si>
  <si>
    <t xml:space="preserve">C:\Users\andre\Desktop\REACTIV CEFAS\Prochloraz\Prochloraz/20201210_Cefas_Test9_Run3/Plate 1/@7/G7_04.tif </t>
  </si>
  <si>
    <t xml:space="preserve"> 48.0702 </t>
  </si>
  <si>
    <t>C:\Users\andre\Desktop\REACTIV CEFAS\Prochloraz\Prochloraz/20201210_Cefas_Test9_Run3/Plate 1/@7/H7_01- exclu.tif</t>
  </si>
  <si>
    <t>C:\Users\andre\Desktop\REACTIV CEFAS\Prochloraz\Prochloraz/20201210_Cefas_Test9_Run3/Plate 1/@7/H7_02- exclu.tif</t>
  </si>
  <si>
    <t>C:\Users\andre\Desktop\REACTIV CEFAS\Prochloraz\Prochloraz/20201210_Cefas_Test9_Run3/Plate 1/@7/H7_03- exclu.tif</t>
  </si>
  <si>
    <t>C:\Users\andre\Desktop\REACTIV CEFAS\Prochloraz\Prochloraz/20201210_Cefas_Test9_Run3/Plate 1/@7/H7_04- exclu.tif</t>
  </si>
  <si>
    <t xml:space="preserve">C:\Users\andre\Desktop\REACTIV CEFAS\Prochloraz\Prochloraz/20201210_Cefas_Test9_Run3/Plate 1/@7/ </t>
  </si>
  <si>
    <t xml:space="preserve"> 50.559 </t>
  </si>
  <si>
    <t xml:space="preserve"> 12.403 </t>
  </si>
  <si>
    <t xml:space="preserve"> 3345979.06 </t>
  </si>
  <si>
    <t xml:space="preserve"> 2129631.33 </t>
  </si>
  <si>
    <t>C:\Users\andre\Desktop\REACTIV CEFAS\Prochloraz\Prochloraz/20201210_Cefas_Test9_Run3/Plate 4/@10/A4_01- exclu.tif</t>
  </si>
  <si>
    <t xml:space="preserve">C:\Users\andre\Desktop\REACTIV CEFAS\Prochloraz\Prochloraz/20201210_Cefas_Test9_Run3/Plate 4/@10/A4_02.tif </t>
  </si>
  <si>
    <t xml:space="preserve"> 37.3191 </t>
  </si>
  <si>
    <t xml:space="preserve">C:\Users\andre\Desktop\REACTIV CEFAS\Prochloraz\Prochloraz/20201210_Cefas_Test9_Run3/Plate 4/@10/A4_03.tif </t>
  </si>
  <si>
    <t xml:space="preserve">C:\Users\andre\Desktop\REACTIV CEFAS\Prochloraz\Prochloraz/20201210_Cefas_Test9_Run3/Plate 4/@10/A4_04.tif </t>
  </si>
  <si>
    <t xml:space="preserve"> 31.2143 </t>
  </si>
  <si>
    <t>C:\Users\andre\Desktop\REACTIV CEFAS\Prochloraz\Prochloraz/20201210_Cefas_Test9_Run3/Plate 4/@10/B4_01- exclu.tif</t>
  </si>
  <si>
    <t>C:\Users\andre\Desktop\REACTIV CEFAS\Prochloraz\Prochloraz/20201210_Cefas_Test9_Run3/Plate 4/@10/B4_02- exclu.tif</t>
  </si>
  <si>
    <t>C:\Users\andre\Desktop\REACTIV CEFAS\Prochloraz\Prochloraz/20201210_Cefas_Test9_Run3/Plate 4/@10/B4_03- exclu.tif</t>
  </si>
  <si>
    <t>C:\Users\andre\Desktop\REACTIV CEFAS\Prochloraz\Prochloraz/20201210_Cefas_Test9_Run3/Plate 4/@10/B4_04- exclu.tif</t>
  </si>
  <si>
    <t xml:space="preserve">C:\Users\andre\Desktop\REACTIV CEFAS\Prochloraz\Prochloraz/20201210_Cefas_Test9_Run3/Plate 4/@10/C4_01.tif </t>
  </si>
  <si>
    <t xml:space="preserve"> 9538.7835 </t>
  </si>
  <si>
    <t xml:space="preserve"> 43.3583 </t>
  </si>
  <si>
    <t xml:space="preserve">C:\Users\andre\Desktop\REACTIV CEFAS\Prochloraz\Prochloraz/20201210_Cefas_Test9_Run3/Plate 4/@10/C4_02.tif </t>
  </si>
  <si>
    <t xml:space="preserve"> 42.1066 </t>
  </si>
  <si>
    <t xml:space="preserve">C:\Users\andre\Desktop\REACTIV CEFAS\Prochloraz\Prochloraz/20201210_Cefas_Test9_Run3/Plate 4/@10/C4_03.tif </t>
  </si>
  <si>
    <t xml:space="preserve"> 37.9929 </t>
  </si>
  <si>
    <t xml:space="preserve">C:\Users\andre\Desktop\REACTIV CEFAS\Prochloraz\Prochloraz/20201210_Cefas_Test9_Run3/Plate 4/@10/C4_04.tif </t>
  </si>
  <si>
    <t xml:space="preserve"> 11247.5452 </t>
  </si>
  <si>
    <t xml:space="preserve"> 42.4712 </t>
  </si>
  <si>
    <t xml:space="preserve">C:\Users\andre\Desktop\REACTIV CEFAS\Prochloraz\Prochloraz/20201210_Cefas_Test9_Run3/Plate 4/@10/D4_01.tif </t>
  </si>
  <si>
    <t xml:space="preserve"> 40.6203 </t>
  </si>
  <si>
    <t xml:space="preserve">C:\Users\andre\Desktop\REACTIV CEFAS\Prochloraz\Prochloraz/20201210_Cefas_Test9_Run3/Plate 4/@10/D4_02.tif </t>
  </si>
  <si>
    <t xml:space="preserve"> 6943.1962 </t>
  </si>
  <si>
    <t xml:space="preserve"> 41.8723 </t>
  </si>
  <si>
    <t xml:space="preserve">C:\Users\andre\Desktop\REACTIV CEFAS\Prochloraz\Prochloraz/20201210_Cefas_Test9_Run3/Plate 4/@10/D4_03.tif </t>
  </si>
  <si>
    <t xml:space="preserve"> 5796.8118 </t>
  </si>
  <si>
    <t xml:space="preserve"> 39.1343 </t>
  </si>
  <si>
    <t xml:space="preserve">C:\Users\andre\Desktop\REACTIV CEFAS\Prochloraz\Prochloraz/20201210_Cefas_Test9_Run3/Plate 4/@10/D4_04.tif </t>
  </si>
  <si>
    <t xml:space="preserve"> 38.9845 </t>
  </si>
  <si>
    <t xml:space="preserve">C:\Users\andre\Desktop\REACTIV CEFAS\Prochloraz\Prochloraz/20201210_Cefas_Test9_Run3/Plate 4/@10/E4_01.tif </t>
  </si>
  <si>
    <t xml:space="preserve"> 37.8445 </t>
  </si>
  <si>
    <t xml:space="preserve">C:\Users\andre\Desktop\REACTIV CEFAS\Prochloraz\Prochloraz/20201210_Cefas_Test9_Run3/Plate 4/@10/E4_02.tif </t>
  </si>
  <si>
    <t xml:space="preserve"> 10122.7907 </t>
  </si>
  <si>
    <t xml:space="preserve"> 38.5641 </t>
  </si>
  <si>
    <t xml:space="preserve">C:\Users\andre\Desktop\REACTIV CEFAS\Prochloraz\Prochloraz/20201210_Cefas_Test9_Run3/Plate 4/@10/E4_03.tif </t>
  </si>
  <si>
    <t xml:space="preserve"> 38.1556 </t>
  </si>
  <si>
    <t xml:space="preserve">C:\Users\andre\Desktop\REACTIV CEFAS\Prochloraz\Prochloraz/20201210_Cefas_Test9_Run3/Plate 4/@10/E4_04.tif </t>
  </si>
  <si>
    <t xml:space="preserve"> 40.5792 </t>
  </si>
  <si>
    <t>C:\Users\andre\Desktop\REACTIV CEFAS\Prochloraz\Prochloraz/20201210_Cefas_Test9_Run3/Plate 4/@10/F4_01- exclu.tif</t>
  </si>
  <si>
    <t xml:space="preserve">C:\Users\andre\Desktop\REACTIV CEFAS\Prochloraz\Prochloraz/20201210_Cefas_Test9_Run3/Plate 4/@10/F4_02.tif </t>
  </si>
  <si>
    <t xml:space="preserve"> 36.2844 </t>
  </si>
  <si>
    <t>C:\Users\andre\Desktop\REACTIV CEFAS\Prochloraz\Prochloraz/20201210_Cefas_Test9_Run3/Plate 4/@10/F4_03- exclu.tif</t>
  </si>
  <si>
    <t>C:\Users\andre\Desktop\REACTIV CEFAS\Prochloraz\Prochloraz/20201210_Cefas_Test9_Run3/Plate 4/@10/F4_04- exclu.tif</t>
  </si>
  <si>
    <t xml:space="preserve">C:\Users\andre\Desktop\REACTIV CEFAS\Prochloraz\Prochloraz/20201210_Cefas_Test9_Run3/Plate 4/@10/G4_01.tif </t>
  </si>
  <si>
    <t xml:space="preserve"> 33.9074 </t>
  </si>
  <si>
    <t xml:space="preserve">C:\Users\andre\Desktop\REACTIV CEFAS\Prochloraz\Prochloraz/20201210_Cefas_Test9_Run3/Plate 4/@10/G4_02.tif </t>
  </si>
  <si>
    <t xml:space="preserve"> 36.7574 </t>
  </si>
  <si>
    <t xml:space="preserve">C:\Users\andre\Desktop\REACTIV CEFAS\Prochloraz\Prochloraz/20201210_Cefas_Test9_Run3/Plate 4/@10/G4_03.tif </t>
  </si>
  <si>
    <t xml:space="preserve"> 8824.997 </t>
  </si>
  <si>
    <t xml:space="preserve"> 38.1152 </t>
  </si>
  <si>
    <t xml:space="preserve">C:\Users\andre\Desktop\REACTIV CEFAS\Prochloraz\Prochloraz/20201210_Cefas_Test9_Run3/Plate 4/@10/G4_04.tif </t>
  </si>
  <si>
    <t xml:space="preserve">C:\Users\andre\Desktop\REACTIV CEFAS\Prochloraz\Prochloraz/20201210_Cefas_Test9_Run3/Plate 4/@10/H4_01.tif </t>
  </si>
  <si>
    <t xml:space="preserve"> 35.0539 </t>
  </si>
  <si>
    <t xml:space="preserve">C:\Users\andre\Desktop\REACTIV CEFAS\Prochloraz\Prochloraz/20201210_Cefas_Test9_Run3/Plate 4/@10/H4_02.tif </t>
  </si>
  <si>
    <t xml:space="preserve"> 37.0859 </t>
  </si>
  <si>
    <t xml:space="preserve">C:\Users\andre\Desktop\REACTIV CEFAS\Prochloraz\Prochloraz/20201210_Cefas_Test9_Run3/Plate 4/@10/H4_03.tif </t>
  </si>
  <si>
    <t xml:space="preserve"> 40.8496 </t>
  </si>
  <si>
    <t xml:space="preserve">C:\Users\andre\Desktop\REACTIV CEFAS\Prochloraz\Prochloraz/20201210_Cefas_Test9_Run3/Plate 4/@10/H4_04.tif </t>
  </si>
  <si>
    <t xml:space="preserve"> 37.2343 </t>
  </si>
  <si>
    <t xml:space="preserve">C:\Users\andre\Desktop\REACTIV CEFAS\Prochloraz\Prochloraz/20201210_Cefas_Test9_Run3/Plate 4/@10/ </t>
  </si>
  <si>
    <t xml:space="preserve"> 34.9758 </t>
  </si>
  <si>
    <t xml:space="preserve"> 14.3012 </t>
  </si>
  <si>
    <t xml:space="preserve"> 285507.094 </t>
  </si>
  <si>
    <t xml:space="preserve"> 224843.375 </t>
  </si>
  <si>
    <t xml:space="preserve">C:\Users\andre\Desktop\REACTIV CEFAS\Prochloraz\Prochloraz/20201210_Cefas_Test9_Run3/Plate 4/@11/A5_01.tif </t>
  </si>
  <si>
    <t xml:space="preserve"> 2617.2173 </t>
  </si>
  <si>
    <t xml:space="preserve"> 33.6033 </t>
  </si>
  <si>
    <t xml:space="preserve">C:\Users\andre\Desktop\REACTIV CEFAS\Prochloraz\Prochloraz/20201210_Cefas_Test9_Run3/Plate 4/@11/A5_02.tif </t>
  </si>
  <si>
    <t xml:space="preserve"> 46.7587 </t>
  </si>
  <si>
    <t xml:space="preserve">C:\Users\andre\Desktop\REACTIV CEFAS\Prochloraz\Prochloraz/20201210_Cefas_Test9_Run3/Plate 4/@11/A5_03.tif </t>
  </si>
  <si>
    <t xml:space="preserve"> 44.4286 </t>
  </si>
  <si>
    <t xml:space="preserve">C:\Users\andre\Desktop\REACTIV CEFAS\Prochloraz\Prochloraz/20201210_Cefas_Test9_Run3/Plate 4/@11/A5_04.tif </t>
  </si>
  <si>
    <t xml:space="preserve"> 13908.0222 </t>
  </si>
  <si>
    <t xml:space="preserve"> 48.3033 </t>
  </si>
  <si>
    <t xml:space="preserve">C:\Users\andre\Desktop\REACTIV CEFAS\Prochloraz\Prochloraz/20201210_Cefas_Test9_Run3/Plate 4/@11/B5_01.tif </t>
  </si>
  <si>
    <t xml:space="preserve"> 32.5208 </t>
  </si>
  <si>
    <t xml:space="preserve">C:\Users\andre\Desktop\REACTIV CEFAS\Prochloraz\Prochloraz/20201210_Cefas_Test9_Run3/Plate 4/@11/B5_02.tif </t>
  </si>
  <si>
    <t xml:space="preserve"> 35.2805 </t>
  </si>
  <si>
    <t xml:space="preserve">C:\Users\andre\Desktop\REACTIV CEFAS\Prochloraz\Prochloraz/20201210_Cefas_Test9_Run3/Plate 4/@11/B5_03.tif </t>
  </si>
  <si>
    <t xml:space="preserve"> 35.0255 </t>
  </si>
  <si>
    <t xml:space="preserve">C:\Users\andre\Desktop\REACTIV CEFAS\Prochloraz\Prochloraz/20201210_Cefas_Test9_Run3/Plate 4/@11/B5_04.tif </t>
  </si>
  <si>
    <t xml:space="preserve"> 39.8677 </t>
  </si>
  <si>
    <t xml:space="preserve">C:\Users\andre\Desktop\REACTIV CEFAS\Prochloraz\Prochloraz/20201210_Cefas_Test9_Run3/Plate 4/@11/C5_01.tif </t>
  </si>
  <si>
    <t xml:space="preserve"> 34.1404 </t>
  </si>
  <si>
    <t xml:space="preserve">C:\Users\andre\Desktop\REACTIV CEFAS\Prochloraz\Prochloraz/20201210_Cefas_Test9_Run3/Plate 4/@11/C5_02.tif </t>
  </si>
  <si>
    <t xml:space="preserve">C:\Users\andre\Desktop\REACTIV CEFAS\Prochloraz\Prochloraz/20201210_Cefas_Test9_Run3/Plate 4/@11/C5_03.tif </t>
  </si>
  <si>
    <t xml:space="preserve"> 37.4467 </t>
  </si>
  <si>
    <t xml:space="preserve">C:\Users\andre\Desktop\REACTIV CEFAS\Prochloraz\Prochloraz/20201210_Cefas_Test9_Run3/Plate 4/@11/C5_04.tif </t>
  </si>
  <si>
    <t xml:space="preserve"> 10966.3566 </t>
  </si>
  <si>
    <t xml:space="preserve"> 42.7318 </t>
  </si>
  <si>
    <t xml:space="preserve">C:\Users\andre\Desktop\REACTIV CEFAS\Prochloraz\Prochloraz/20201210_Cefas_Test9_Run3/Plate 4/@11/D5_01.tif </t>
  </si>
  <si>
    <t xml:space="preserve"> 8803.3671 </t>
  </si>
  <si>
    <t xml:space="preserve"> 42.9975 </t>
  </si>
  <si>
    <t xml:space="preserve">C:\Users\andre\Desktop\REACTIV CEFAS\Prochloraz\Prochloraz/20201210_Cefas_Test9_Run3/Plate 4/@11/D5_02.tif </t>
  </si>
  <si>
    <t xml:space="preserve"> 5753.552 </t>
  </si>
  <si>
    <t xml:space="preserve"> 38.4511 </t>
  </si>
  <si>
    <t xml:space="preserve">C:\Users\andre\Desktop\REACTIV CEFAS\Prochloraz\Prochloraz/20201210_Cefas_Test9_Run3/Plate 4/@11/D5_03.tif </t>
  </si>
  <si>
    <t xml:space="preserve"> 38.8339 </t>
  </si>
  <si>
    <t xml:space="preserve">C:\Users\andre\Desktop\REACTIV CEFAS\Prochloraz\Prochloraz/20201210_Cefas_Test9_Run3/Plate 4/@11/D5_04.tif </t>
  </si>
  <si>
    <t xml:space="preserve"> 5926.5911 </t>
  </si>
  <si>
    <t xml:space="preserve"> 38.7956 </t>
  </si>
  <si>
    <t xml:space="preserve">C:\Users\andre\Desktop\REACTIV CEFAS\Prochloraz\Prochloraz/20201210_Cefas_Test9_Run3/Plate 4/@11/E5_01.tif </t>
  </si>
  <si>
    <t xml:space="preserve">C:\Users\andre\Desktop\REACTIV CEFAS\Prochloraz\Prochloraz/20201210_Cefas_Test9_Run3/Plate 4/@11/E5_02.tif </t>
  </si>
  <si>
    <t xml:space="preserve">C:\Users\andre\Desktop\REACTIV CEFAS\Prochloraz\Prochloraz/20201210_Cefas_Test9_Run3/Plate 4/@11/E5_03.tif </t>
  </si>
  <si>
    <t xml:space="preserve">C:\Users\andre\Desktop\REACTIV CEFAS\Prochloraz\Prochloraz/20201210_Cefas_Test9_Run3/Plate 4/@11/E5_04.tif </t>
  </si>
  <si>
    <t>C:\Users\andre\Desktop\REACTIV CEFAS\Prochloraz\Prochloraz/20201210_Cefas_Test9_Run3/Plate 4/@11/F5_01- exclu.tif</t>
  </si>
  <si>
    <t>C:\Users\andre\Desktop\REACTIV CEFAS\Prochloraz\Prochloraz/20201210_Cefas_Test9_Run3/Plate 4/@11/F5_02- exclu.tif</t>
  </si>
  <si>
    <t>C:\Users\andre\Desktop\REACTIV CEFAS\Prochloraz\Prochloraz/20201210_Cefas_Test9_Run3/Plate 4/@11/F5_03- exclu.tif</t>
  </si>
  <si>
    <t>C:\Users\andre\Desktop\REACTIV CEFAS\Prochloraz\Prochloraz/20201210_Cefas_Test9_Run3/Plate 4/@11/F5_04- exclu.tif</t>
  </si>
  <si>
    <t xml:space="preserve">C:\Users\andre\Desktop\REACTIV CEFAS\Prochloraz\Prochloraz/20201210_Cefas_Test9_Run3/Plate 4/@11/G5_01.tif </t>
  </si>
  <si>
    <t xml:space="preserve"> 37.4525 </t>
  </si>
  <si>
    <t xml:space="preserve">C:\Users\andre\Desktop\REACTIV CEFAS\Prochloraz\Prochloraz/20201210_Cefas_Test9_Run3/Plate 4/@11/G5_02.tif </t>
  </si>
  <si>
    <t xml:space="preserve"> 9625.3031 </t>
  </si>
  <si>
    <t xml:space="preserve"> 39.5236 </t>
  </si>
  <si>
    <t xml:space="preserve">C:\Users\andre\Desktop\REACTIV CEFAS\Prochloraz\Prochloraz/20201210_Cefas_Test9_Run3/Plate 4/@11/G5_03.tif </t>
  </si>
  <si>
    <t xml:space="preserve"> 39.0046 </t>
  </si>
  <si>
    <t xml:space="preserve">C:\Users\andre\Desktop\REACTIV CEFAS\Prochloraz\Prochloraz/20201210_Cefas_Test9_Run3/Plate 4/@11/G5_04.tif </t>
  </si>
  <si>
    <t xml:space="preserve"> 37.4901 </t>
  </si>
  <si>
    <t>C:\Users\andre\Desktop\REACTIV CEFAS\Prochloraz\Prochloraz/20201210_Cefas_Test9_Run3/Plate 4/@11/H5_01- exclu.tif</t>
  </si>
  <si>
    <t>C:\Users\andre\Desktop\REACTIV CEFAS\Prochloraz\Prochloraz/20201210_Cefas_Test9_Run3/Plate 4/@11/H5_02- exclu.tif</t>
  </si>
  <si>
    <t>C:\Users\andre\Desktop\REACTIV CEFAS\Prochloraz\Prochloraz/20201210_Cefas_Test9_Run3/Plate 4/@11/H5_03- exclu.tif</t>
  </si>
  <si>
    <t>C:\Users\andre\Desktop\REACTIV CEFAS\Prochloraz\Prochloraz/20201210_Cefas_Test9_Run3/Plate 4/@11/H5_04- exclu.tif</t>
  </si>
  <si>
    <t xml:space="preserve">C:\Users\andre\Desktop\REACTIV CEFAS\Prochloraz\Prochloraz/20201210_Cefas_Test9_Run3/Plate 4/@11/ </t>
  </si>
  <si>
    <t xml:space="preserve"> 29.154 </t>
  </si>
  <si>
    <t xml:space="preserve"> 17.6739 </t>
  </si>
  <si>
    <t xml:space="preserve"> 221534.812 </t>
  </si>
  <si>
    <t xml:space="preserve"> 213125.808 </t>
  </si>
  <si>
    <t xml:space="preserve">C:\Users\andre\Desktop\REACTIV CEFAS\Prochloraz\Prochloraz/20201210_Cefas_Test9_Run3/Plate 4/@12/A6_01.tif </t>
  </si>
  <si>
    <t xml:space="preserve"> 10360.7195 </t>
  </si>
  <si>
    <t xml:space="preserve"> 42.238 </t>
  </si>
  <si>
    <t xml:space="preserve">C:\Users\andre\Desktop\REACTIV CEFAS\Prochloraz\Prochloraz/20201210_Cefas_Test9_Run3/Plate 4/@12/A6_02.tif </t>
  </si>
  <si>
    <t xml:space="preserve"> 12869.7873 </t>
  </si>
  <si>
    <t xml:space="preserve"> 41.9815 </t>
  </si>
  <si>
    <t xml:space="preserve">C:\Users\andre\Desktop\REACTIV CEFAS\Prochloraz\Prochloraz/20201210_Cefas_Test9_Run3/Plate 4/@12/A6_03.tif </t>
  </si>
  <si>
    <t xml:space="preserve"> 9733.4526 </t>
  </si>
  <si>
    <t xml:space="preserve"> 38.4089 </t>
  </si>
  <si>
    <t xml:space="preserve">C:\Users\andre\Desktop\REACTIV CEFAS\Prochloraz\Prochloraz/20201210_Cefas_Test9_Run3/Plate 4/@12/A6_04.tif </t>
  </si>
  <si>
    <t xml:space="preserve"> 12718.378 </t>
  </si>
  <si>
    <t xml:space="preserve"> 42.7483 </t>
  </si>
  <si>
    <t xml:space="preserve">C:\Users\andre\Desktop\REACTIV CEFAS\Prochloraz\Prochloraz/20201210_Cefas_Test9_Run3/Plate 4/@12/B6_01.tif </t>
  </si>
  <si>
    <t xml:space="preserve"> 41.1754 </t>
  </si>
  <si>
    <t xml:space="preserve">C:\Users\andre\Desktop\REACTIV CEFAS\Prochloraz\Prochloraz/20201210_Cefas_Test9_Run3/Plate 4/@12/B6_02.tif </t>
  </si>
  <si>
    <t xml:space="preserve"> 5385.8438 </t>
  </si>
  <si>
    <t xml:space="preserve"> 38.5502 </t>
  </si>
  <si>
    <t xml:space="preserve">C:\Users\andre\Desktop\REACTIV CEFAS\Prochloraz\Prochloraz/20201210_Cefas_Test9_Run3/Plate 4/@12/B6_03.tif </t>
  </si>
  <si>
    <t xml:space="preserve"> 11096.1359 </t>
  </si>
  <si>
    <t xml:space="preserve"> 46.5692 </t>
  </si>
  <si>
    <t xml:space="preserve">C:\Users\andre\Desktop\REACTIV CEFAS\Prochloraz\Prochloraz/20201210_Cefas_Test9_Run3/Plate 4/@12/B6_04.tif </t>
  </si>
  <si>
    <t xml:space="preserve"> 42.8062 </t>
  </si>
  <si>
    <t xml:space="preserve">C:\Users\andre\Desktop\REACTIV CEFAS\Prochloraz\Prochloraz/20201210_Cefas_Test9_Run3/Plate 4/@12/C6_01.tif </t>
  </si>
  <si>
    <t xml:space="preserve"> 44.1735 </t>
  </si>
  <si>
    <t xml:space="preserve">C:\Users\andre\Desktop\REACTIV CEFAS\Prochloraz\Prochloraz/20201210_Cefas_Test9_Run3/Plate 4/@12/C6_02.tif </t>
  </si>
  <si>
    <t xml:space="preserve"> 13150.9759 </t>
  </si>
  <si>
    <t xml:space="preserve"> 43.8553 </t>
  </si>
  <si>
    <t>C:\Users\andre\Desktop\REACTIV CEFAS\Prochloraz\Prochloraz/20201210_Cefas_Test9_Run3/Plate 4/@12/C6_03- exclu.tif</t>
  </si>
  <si>
    <t>C:\Users\andre\Desktop\REACTIV CEFAS\Prochloraz\Prochloraz/20201210_Cefas_Test9_Run3/Plate 4/@12/C6_04- exclu.tif</t>
  </si>
  <si>
    <t xml:space="preserve">C:\Users\andre\Desktop\REACTIV CEFAS\Prochloraz\Prochloraz/20201210_Cefas_Test9_Run3/Plate 4/@12/D6_01.tif </t>
  </si>
  <si>
    <t xml:space="preserve"> 8846.6269 </t>
  </si>
  <si>
    <t xml:space="preserve"> 38.1809 </t>
  </si>
  <si>
    <t xml:space="preserve">C:\Users\andre\Desktop\REACTIV CEFAS\Prochloraz\Prochloraz/20201210_Cefas_Test9_Run3/Plate 4/@12/D6_02.tif </t>
  </si>
  <si>
    <t xml:space="preserve"> 36.7805 </t>
  </si>
  <si>
    <t xml:space="preserve">C:\Users\andre\Desktop\REACTIV CEFAS\Prochloraz\Prochloraz/20201210_Cefas_Test9_Run3/Plate 4/@12/D6_03.tif </t>
  </si>
  <si>
    <t xml:space="preserve"> 9560.4134 </t>
  </si>
  <si>
    <t xml:space="preserve"> 38.491 </t>
  </si>
  <si>
    <t>C:\Users\andre\Desktop\REACTIV CEFAS\Prochloraz\Prochloraz/20201210_Cefas_Test9_Run3/Plate 4/@12/D6_04- exclu.tif</t>
  </si>
  <si>
    <t xml:space="preserve">C:\Users\andre\Desktop\REACTIV CEFAS\Prochloraz\Prochloraz/20201210_Cefas_Test9_Run3/Plate 4/@12/E6_01.tif </t>
  </si>
  <si>
    <t xml:space="preserve"> 10577.0185 </t>
  </si>
  <si>
    <t xml:space="preserve"> 41.2352 </t>
  </si>
  <si>
    <t xml:space="preserve">C:\Users\andre\Desktop\REACTIV CEFAS\Prochloraz\Prochloraz/20201210_Cefas_Test9_Run3/Plate 4/@12/E6_02.tif </t>
  </si>
  <si>
    <t xml:space="preserve"> 13929.6521 </t>
  </si>
  <si>
    <t xml:space="preserve"> 43.9876 </t>
  </si>
  <si>
    <t>C:\Users\andre\Desktop\REACTIV CEFAS\Prochloraz\Prochloraz/20201210_Cefas_Test9_Run3/Plate 4/@12/E6_03- exclu.tif</t>
  </si>
  <si>
    <t>C:\Users\andre\Desktop\REACTIV CEFAS\Prochloraz\Prochloraz/20201210_Cefas_Test9_Run3/Plate 4/@12/E6_04- exclu.tif</t>
  </si>
  <si>
    <t xml:space="preserve">C:\Users\andre\Desktop\REACTIV CEFAS\Prochloraz\Prochloraz/20201210_Cefas_Test9_Run3/Plate 4/@12/F6_01.tif </t>
  </si>
  <si>
    <t xml:space="preserve"> 38.4664 </t>
  </si>
  <si>
    <t xml:space="preserve">C:\Users\andre\Desktop\REACTIV CEFAS\Prochloraz\Prochloraz/20201210_Cefas_Test9_Run3/Plate 4/@12/F6_02.tif </t>
  </si>
  <si>
    <t xml:space="preserve"> 39.8187 </t>
  </si>
  <si>
    <t xml:space="preserve">C:\Users\andre\Desktop\REACTIV CEFAS\Prochloraz\Prochloraz/20201210_Cefas_Test9_Run3/Plate 4/@12/F6_03.tif </t>
  </si>
  <si>
    <t xml:space="preserve"> 38.2481 </t>
  </si>
  <si>
    <t xml:space="preserve">C:\Users\andre\Desktop\REACTIV CEFAS\Prochloraz\Prochloraz/20201210_Cefas_Test9_Run3/Plate 4/@12/F6_04.tif </t>
  </si>
  <si>
    <t xml:space="preserve"> 39.9219 </t>
  </si>
  <si>
    <t>C:\Users\andre\Desktop\REACTIV CEFAS\Prochloraz\Prochloraz/20201210_Cefas_Test9_Run3/Plate 4/@12/G6_01- exclu.tif</t>
  </si>
  <si>
    <t>C:\Users\andre\Desktop\REACTIV CEFAS\Prochloraz\Prochloraz/20201210_Cefas_Test9_Run3/Plate 4/@12/G6_02- exclu.tif</t>
  </si>
  <si>
    <t>C:\Users\andre\Desktop\REACTIV CEFAS\Prochloraz\Prochloraz/20201210_Cefas_Test9_Run3/Plate 4/@12/G6_03- exclu.tif</t>
  </si>
  <si>
    <t>C:\Users\andre\Desktop\REACTIV CEFAS\Prochloraz\Prochloraz/20201210_Cefas_Test9_Run3/Plate 4/@12/G6_04- exclu.tif</t>
  </si>
  <si>
    <t>C:\Users\andre\Desktop\REACTIV CEFAS\Prochloraz\Prochloraz/20201210_Cefas_Test9_Run3/Plate 4/@12/H6_01- exclu.tif</t>
  </si>
  <si>
    <t>C:\Users\andre\Desktop\REACTIV CEFAS\Prochloraz\Prochloraz/20201210_Cefas_Test9_Run3/Plate 4/@12/H6_02- exclu.tif</t>
  </si>
  <si>
    <t>C:\Users\andre\Desktop\REACTIV CEFAS\Prochloraz\Prochloraz/20201210_Cefas_Test9_Run3/Plate 4/@12/H6_03- exclu.tif</t>
  </si>
  <si>
    <t>C:\Users\andre\Desktop\REACTIV CEFAS\Prochloraz\Prochloraz/20201210_Cefas_Test9_Run3/Plate 4/@12/H6_04- exclu.tif</t>
  </si>
  <si>
    <t xml:space="preserve">C:\Users\andre\Desktop\REACTIV CEFAS\Prochloraz\Prochloraz/20201210_Cefas_Test9_Run3/Plate 4/@12/ </t>
  </si>
  <si>
    <t xml:space="preserve"> 38.9901 </t>
  </si>
  <si>
    <t xml:space="preserve"> 13.2079 </t>
  </si>
  <si>
    <t xml:space="preserve"> 449463.781 </t>
  </si>
  <si>
    <t xml:space="preserve"> 221190.99 </t>
  </si>
  <si>
    <t>C:\Users\andre\Desktop\REACTIV CEFAS\Prochloraz\Prochloraz/20201210_Cefas_Test9_Run3/Plate 4/@17/A8_01- exclu.tif</t>
  </si>
  <si>
    <t>C:\Users\andre\Desktop\REACTIV CEFAS\Prochloraz\Prochloraz/20201210_Cefas_Test9_Run3/Plate 4/@17/A8_02- exclu.tif</t>
  </si>
  <si>
    <t>C:\Users\andre\Desktop\REACTIV CEFAS\Prochloraz\Prochloraz/20201210_Cefas_Test9_Run3/Plate 4/@17/A8_03- exclu.tif</t>
  </si>
  <si>
    <t>C:\Users\andre\Desktop\REACTIV CEFAS\Prochloraz\Prochloraz/20201210_Cefas_Test9_Run3/Plate 4/@17/A8_04- exclu.tif</t>
  </si>
  <si>
    <t xml:space="preserve">C:\Users\andre\Desktop\REACTIV CEFAS\Prochloraz\Prochloraz/20201210_Cefas_Test9_Run3/Plate 4/@17/B8_01.tif </t>
  </si>
  <si>
    <t xml:space="preserve"> 13648.4635 </t>
  </si>
  <si>
    <t xml:space="preserve"> 35.0903 </t>
  </si>
  <si>
    <t xml:space="preserve">C:\Users\andre\Desktop\REACTIV CEFAS\Prochloraz\Prochloraz/20201210_Cefas_Test9_Run3/Plate 4/@17/B8_02.tif </t>
  </si>
  <si>
    <t xml:space="preserve"> 19510.165 </t>
  </si>
  <si>
    <t xml:space="preserve"> 35.8958 </t>
  </si>
  <si>
    <t xml:space="preserve">C:\Users\andre\Desktop\REACTIV CEFAS\Prochloraz\Prochloraz/20201210_Cefas_Test9_Run3/Plate 4/@17/B8_03.tif </t>
  </si>
  <si>
    <t xml:space="preserve"> 22668.1296 </t>
  </si>
  <si>
    <t xml:space="preserve"> 37.104 </t>
  </si>
  <si>
    <t xml:space="preserve">C:\Users\andre\Desktop\REACTIV CEFAS\Prochloraz\Prochloraz/20201210_Cefas_Test9_Run3/Plate 4/@17/B8_04.tif </t>
  </si>
  <si>
    <t xml:space="preserve"> 35.3752 </t>
  </si>
  <si>
    <t xml:space="preserve">C:\Users\andre\Desktop\REACTIV CEFAS\Prochloraz\Prochloraz/20201210_Cefas_Test9_Run3/Plate 4/@17/C8_01.tif </t>
  </si>
  <si>
    <t xml:space="preserve"> 11615.2534 </t>
  </si>
  <si>
    <t xml:space="preserve"> 41.6369 </t>
  </si>
  <si>
    <t>C:\Users\andre\Desktop\REACTIV CEFAS\Prochloraz\Prochloraz/20201210_Cefas_Test9_Run3/Plate 4/@17/C8_02- exclu.tif</t>
  </si>
  <si>
    <t xml:space="preserve">C:\Users\andre\Desktop\REACTIV CEFAS\Prochloraz\Prochloraz/20201210_Cefas_Test9_Run3/Plate 4/@17/C8_03.tif </t>
  </si>
  <si>
    <t xml:space="preserve"> 14492.0294 </t>
  </si>
  <si>
    <t xml:space="preserve"> 43.2433 </t>
  </si>
  <si>
    <t>C:\Users\andre\Desktop\REACTIV CEFAS\Prochloraz\Prochloraz/20201210_Cefas_Test9_Run3/Plate 4/@17/C8_04- exclu.tif</t>
  </si>
  <si>
    <t xml:space="preserve">C:\Users\andre\Desktop\REACTIV CEFAS\Prochloraz\Prochloraz/20201210_Cefas_Test9_Run3/Plate 4/@17/D8_01.tif </t>
  </si>
  <si>
    <t xml:space="preserve"> 43.25 </t>
  </si>
  <si>
    <t xml:space="preserve">C:\Users\andre\Desktop\REACTIV CEFAS\Prochloraz\Prochloraz/20201210_Cefas_Test9_Run3/Plate 4/@17/D8_02.tif </t>
  </si>
  <si>
    <t xml:space="preserve"> 15357.2252 </t>
  </si>
  <si>
    <t xml:space="preserve"> 44.5479 </t>
  </si>
  <si>
    <t xml:space="preserve">C:\Users\andre\Desktop\REACTIV CEFAS\Prochloraz\Prochloraz/20201210_Cefas_Test9_Run3/Plate 4/@17/D8_03.tif </t>
  </si>
  <si>
    <t xml:space="preserve"> 14210.8408 </t>
  </si>
  <si>
    <t xml:space="preserve"> 41.9863 </t>
  </si>
  <si>
    <t xml:space="preserve">C:\Users\andre\Desktop\REACTIV CEFAS\Prochloraz\Prochloraz/20201210_Cefas_Test9_Run3/Plate 4/@17/D8_04.tif </t>
  </si>
  <si>
    <t xml:space="preserve"> 13086.0863 </t>
  </si>
  <si>
    <t xml:space="preserve"> 41.0645 </t>
  </si>
  <si>
    <t xml:space="preserve">C:\Users\andre\Desktop\REACTIV CEFAS\Prochloraz\Prochloraz/20201210_Cefas_Test9_Run3/Plate 4/@17/E8_01.tif </t>
  </si>
  <si>
    <t xml:space="preserve"> 43.7198 </t>
  </si>
  <si>
    <t xml:space="preserve">C:\Users\andre\Desktop\REACTIV CEFAS\Prochloraz\Prochloraz/20201210_Cefas_Test9_Run3/Plate 4/@17/E8_02.tif </t>
  </si>
  <si>
    <t xml:space="preserve"> 78840.9659 </t>
  </si>
  <si>
    <t xml:space="preserve"> 46.3753 </t>
  </si>
  <si>
    <t xml:space="preserve">C:\Users\andre\Desktop\REACTIV CEFAS\Prochloraz\Prochloraz/20201210_Cefas_Test9_Run3/Plate 4/@17/E8_03.tif </t>
  </si>
  <si>
    <t xml:space="preserve"> 79122.1546 </t>
  </si>
  <si>
    <t xml:space="preserve"> 44.6919 </t>
  </si>
  <si>
    <t xml:space="preserve">C:\Users\andre\Desktop\REACTIV CEFAS\Prochloraz\Prochloraz/20201210_Cefas_Test9_Run3/Plate 4/@17/E8_04.tif </t>
  </si>
  <si>
    <t xml:space="preserve"> 87211.7351 </t>
  </si>
  <si>
    <t xml:space="preserve"> 45.5637 </t>
  </si>
  <si>
    <t xml:space="preserve">C:\Users\andre\Desktop\REACTIV CEFAS\Prochloraz\Prochloraz/20201210_Cefas_Test9_Run3/Plate 4/@17/F8_01.tif </t>
  </si>
  <si>
    <t xml:space="preserve"> 6899.9364 </t>
  </si>
  <si>
    <t xml:space="preserve"> 35.5643 </t>
  </si>
  <si>
    <t xml:space="preserve">C:\Users\andre\Desktop\REACTIV CEFAS\Prochloraz\Prochloraz/20201210_Cefas_Test9_Run3/Plate 4/@17/F8_02.tif </t>
  </si>
  <si>
    <t xml:space="preserve"> 34.2589 </t>
  </si>
  <si>
    <t xml:space="preserve">C:\Users\andre\Desktop\REACTIV CEFAS\Prochloraz\Prochloraz/20201210_Cefas_Test9_Run3/Plate 4/@17/F8_03.tif </t>
  </si>
  <si>
    <t xml:space="preserve"> 39.1837 </t>
  </si>
  <si>
    <t xml:space="preserve">C:\Users\andre\Desktop\REACTIV CEFAS\Prochloraz\Prochloraz/20201210_Cefas_Test9_Run3/Plate 4/@17/F8_04.tif </t>
  </si>
  <si>
    <t xml:space="preserve"> 6467.3385 </t>
  </si>
  <si>
    <t xml:space="preserve"> 36.7057 </t>
  </si>
  <si>
    <t xml:space="preserve">C:\Users\andre\Desktop\REACTIV CEFAS\Prochloraz\Prochloraz/20201210_Cefas_Test9_Run3/Plate 4/@17/G8_01.tif </t>
  </si>
  <si>
    <t xml:space="preserve"> 36.7848 </t>
  </si>
  <si>
    <t xml:space="preserve">C:\Users\andre\Desktop\REACTIV CEFAS\Prochloraz\Prochloraz/20201210_Cefas_Test9_Run3/Plate 4/@17/G8_02.tif </t>
  </si>
  <si>
    <t xml:space="preserve"> 8003.061 </t>
  </si>
  <si>
    <t xml:space="preserve"> 40.6838 </t>
  </si>
  <si>
    <t xml:space="preserve">C:\Users\andre\Desktop\REACTIV CEFAS\Prochloraz\Prochloraz/20201210_Cefas_Test9_Run3/Plate 4/@17/G8_03.tif </t>
  </si>
  <si>
    <t xml:space="preserve"> 17087.6168 </t>
  </si>
  <si>
    <t xml:space="preserve"> 39.2937 </t>
  </si>
  <si>
    <t xml:space="preserve">C:\Users\andre\Desktop\REACTIV CEFAS\Prochloraz\Prochloraz/20201210_Cefas_Test9_Run3/Plate 4/@17/G8_04.tif </t>
  </si>
  <si>
    <t xml:space="preserve"> 16330.5704 </t>
  </si>
  <si>
    <t xml:space="preserve"> 42.4464 </t>
  </si>
  <si>
    <t xml:space="preserve">C:\Users\andre\Desktop\REACTIV CEFAS\Prochloraz\Prochloraz/20201210_Cefas_Test9_Run3/Plate 4/@17/H8_01.tif </t>
  </si>
  <si>
    <t xml:space="preserve"> 44.4167 </t>
  </si>
  <si>
    <t xml:space="preserve">C:\Users\andre\Desktop\REACTIV CEFAS\Prochloraz\Prochloraz/20201210_Cefas_Test9_Run3/Plate 4/@17/H8_02.tif </t>
  </si>
  <si>
    <t xml:space="preserve"> 12588.5987 </t>
  </si>
  <si>
    <t xml:space="preserve"> 41.1838 </t>
  </si>
  <si>
    <t xml:space="preserve">C:\Users\andre\Desktop\REACTIV CEFAS\Prochloraz\Prochloraz/20201210_Cefas_Test9_Run3/Plate 4/@17/H8_03.tif </t>
  </si>
  <si>
    <t xml:space="preserve"> 10923.0968 </t>
  </si>
  <si>
    <t xml:space="preserve"> 38.895 </t>
  </si>
  <si>
    <t xml:space="preserve">C:\Users\andre\Desktop\REACTIV CEFAS\Prochloraz\Prochloraz/20201210_Cefas_Test9_Run3/Plate 4/@17/H8_04.tif </t>
  </si>
  <si>
    <t xml:space="preserve"> 12761.6378 </t>
  </si>
  <si>
    <t xml:space="preserve"> 41.9525 </t>
  </si>
  <si>
    <t xml:space="preserve">C:\Users\andre\Desktop\REACTIV CEFAS\Prochloraz\Prochloraz/20201210_Cefas_Test9_Run3/Plate 4/@17/ </t>
  </si>
  <si>
    <t xml:space="preserve"> 36.4271 </t>
  </si>
  <si>
    <t xml:space="preserve"> 12.4605 </t>
  </si>
  <si>
    <t xml:space="preserve"> 810241.625 </t>
  </si>
  <si>
    <t xml:space="preserve"> 1106820.17 </t>
  </si>
  <si>
    <t>C:\Users\andre\Desktop\REACTIV CEFAS\Prochloraz\Prochloraz/20201210_Cefas_Test9_Run3/Plate 4/@18/A9_01- exclu.tif</t>
  </si>
  <si>
    <t xml:space="preserve">C:\Users\andre\Desktop\REACTIV CEFAS\Prochloraz\Prochloraz/20201210_Cefas_Test9_Run3/Plate 4/@18/A9_02.tif </t>
  </si>
  <si>
    <t xml:space="preserve"> 52279.4553 </t>
  </si>
  <si>
    <t xml:space="preserve"> 38.7758 </t>
  </si>
  <si>
    <t>C:\Users\andre\Desktop\REACTIV CEFAS\Prochloraz\Prochloraz/20201210_Cefas_Test9_Run3/Plate 4/@18/A9_03- exclu.tif</t>
  </si>
  <si>
    <t xml:space="preserve">C:\Users\andre\Desktop\REACTIV CEFAS\Prochloraz\Prochloraz/20201210_Cefas_Test9_Run3/Plate 4/@18/A9_04.tif </t>
  </si>
  <si>
    <t xml:space="preserve"> 59006.3525 </t>
  </si>
  <si>
    <t xml:space="preserve"> 38.2005 </t>
  </si>
  <si>
    <t xml:space="preserve">C:\Users\andre\Desktop\REACTIV CEFAS\Prochloraz\Prochloraz/20201210_Cefas_Test9_Run3/Plate 4/@18/B9_01.tif </t>
  </si>
  <si>
    <t xml:space="preserve"> 35.633 </t>
  </si>
  <si>
    <t xml:space="preserve">C:\Users\andre\Desktop\REACTIV CEFAS\Prochloraz\Prochloraz/20201210_Cefas_Test9_Run3/Plate 4/@18/B9_02.tif </t>
  </si>
  <si>
    <t xml:space="preserve"> 34.6109 </t>
  </si>
  <si>
    <t>C:\Users\andre\Desktop\REACTIV CEFAS\Prochloraz\Prochloraz/20201210_Cefas_Test9_Run3/Plate 4/@18/B9_03- exclu.tif</t>
  </si>
  <si>
    <t xml:space="preserve">C:\Users\andre\Desktop\REACTIV CEFAS\Prochloraz\Prochloraz/20201210_Cefas_Test9_Run3/Plate 4/@18/B9_04.tif </t>
  </si>
  <si>
    <t xml:space="preserve"> 14946.2572 </t>
  </si>
  <si>
    <t xml:space="preserve"> 42.6758 </t>
  </si>
  <si>
    <t xml:space="preserve">C:\Users\andre\Desktop\REACTIV CEFAS\Prochloraz\Prochloraz/20201210_Cefas_Test9_Run3/Plate 4/@18/C9_01.tif </t>
  </si>
  <si>
    <t xml:space="preserve"> 35689.3261 </t>
  </si>
  <si>
    <t xml:space="preserve"> 36.9206 </t>
  </si>
  <si>
    <t xml:space="preserve">C:\Users\andre\Desktop\REACTIV CEFAS\Prochloraz\Prochloraz/20201210_Cefas_Test9_Run3/Plate 4/@18/C9_02.tif </t>
  </si>
  <si>
    <t xml:space="preserve"> 28378.4218 </t>
  </si>
  <si>
    <t xml:space="preserve"> 37.1372 </t>
  </si>
  <si>
    <t xml:space="preserve">C:\Users\andre\Desktop\REACTIV CEFAS\Prochloraz\Prochloraz/20201210_Cefas_Test9_Run3/Plate 4/@18/C9_03.tif </t>
  </si>
  <si>
    <t xml:space="preserve"> 33439.8171 </t>
  </si>
  <si>
    <t xml:space="preserve"> 38.6889 </t>
  </si>
  <si>
    <t xml:space="preserve">C:\Users\andre\Desktop\REACTIV CEFAS\Prochloraz\Prochloraz/20201210_Cefas_Test9_Run3/Plate 4/@18/C9_04.tif </t>
  </si>
  <si>
    <t xml:space="preserve"> 38371.4331 </t>
  </si>
  <si>
    <t xml:space="preserve"> 39.2672 </t>
  </si>
  <si>
    <t xml:space="preserve">C:\Users\andre\Desktop\REACTIV CEFAS\Prochloraz\Prochloraz/20201210_Cefas_Test9_Run3/Plate 4/@18/D9_01.tif </t>
  </si>
  <si>
    <t xml:space="preserve"> 31622.9059 </t>
  </si>
  <si>
    <t xml:space="preserve"> 35.1334 </t>
  </si>
  <si>
    <t xml:space="preserve">C:\Users\andre\Desktop\REACTIV CEFAS\Prochloraz\Prochloraz/20201210_Cefas_Test9_Run3/Plate 4/@18/D9_02.tif </t>
  </si>
  <si>
    <t xml:space="preserve"> 29243.6175 </t>
  </si>
  <si>
    <t xml:space="preserve"> 34.5732 </t>
  </si>
  <si>
    <t xml:space="preserve">C:\Users\andre\Desktop\REACTIV CEFAS\Prochloraz\Prochloraz/20201210_Cefas_Test9_Run3/Plate 4/@18/D9_03.tif </t>
  </si>
  <si>
    <t xml:space="preserve"> 43995.2057 </t>
  </si>
  <si>
    <t xml:space="preserve"> 37.6932 </t>
  </si>
  <si>
    <t xml:space="preserve">C:\Users\andre\Desktop\REACTIV CEFAS\Prochloraz\Prochloraz/20201210_Cefas_Test9_Run3/Plate 4/@18/D9_04.tif </t>
  </si>
  <si>
    <t xml:space="preserve"> 41053.54 </t>
  </si>
  <si>
    <t xml:space="preserve"> 35.8188 </t>
  </si>
  <si>
    <t xml:space="preserve">C:\Users\andre\Desktop\REACTIV CEFAS\Prochloraz\Prochloraz/20201210_Cefas_Test9_Run3/Plate 4/@18/E9_01.tif </t>
  </si>
  <si>
    <t xml:space="preserve"> 35.6273 </t>
  </si>
  <si>
    <t xml:space="preserve">C:\Users\andre\Desktop\REACTIV CEFAS\Prochloraz\Prochloraz/20201210_Cefas_Test9_Run3/Plate 4/@18/E9_02.tif </t>
  </si>
  <si>
    <t xml:space="preserve"> 40902.1307 </t>
  </si>
  <si>
    <t xml:space="preserve"> 38.6118 </t>
  </si>
  <si>
    <t xml:space="preserve">C:\Users\andre\Desktop\REACTIV CEFAS\Prochloraz\Prochloraz/20201210_Cefas_Test9_Run3/Plate 4/@18/E9_03.tif </t>
  </si>
  <si>
    <t xml:space="preserve"> 35.6659 </t>
  </si>
  <si>
    <t xml:space="preserve">C:\Users\andre\Desktop\REACTIV CEFAS\Prochloraz\Prochloraz/20201210_Cefas_Test9_Run3/Plate 4/@18/E9_04.tif </t>
  </si>
  <si>
    <t xml:space="preserve"> 36100.2941 </t>
  </si>
  <si>
    <t xml:space="preserve"> 36.9599 </t>
  </si>
  <si>
    <t xml:space="preserve">C:\Users\andre\Desktop\REACTIV CEFAS\Prochloraz\Prochloraz/20201210_Cefas_Test9_Run3/Plate 4/@18/F9_01.tif </t>
  </si>
  <si>
    <t xml:space="preserve"> 35.6986 </t>
  </si>
  <si>
    <t xml:space="preserve">C:\Users\andre\Desktop\REACTIV CEFAS\Prochloraz\Prochloraz/20201210_Cefas_Test9_Run3/Plate 4/@18/F9_02.tif </t>
  </si>
  <si>
    <t xml:space="preserve">C:\Users\andre\Desktop\REACTIV CEFAS\Prochloraz\Prochloraz/20201210_Cefas_Test9_Run3/Plate 4/@18/F9_03.tif </t>
  </si>
  <si>
    <t xml:space="preserve"> 3439.1532 </t>
  </si>
  <si>
    <t xml:space="preserve"> 33.8742 </t>
  </si>
  <si>
    <t xml:space="preserve">C:\Users\andre\Desktop\REACTIV CEFAS\Prochloraz\Prochloraz/20201210_Cefas_Test9_Run3/Plate 4/@18/F9_04.tif </t>
  </si>
  <si>
    <t xml:space="preserve"> 37.6108 </t>
  </si>
  <si>
    <t xml:space="preserve">C:\Users\andre\Desktop\REACTIV CEFAS\Prochloraz\Prochloraz/20201210_Cefas_Test9_Run3/Plate 4/@18/G9_01.tif </t>
  </si>
  <si>
    <t xml:space="preserve"> 12631.8585 </t>
  </si>
  <si>
    <t xml:space="preserve"> 32.3955 </t>
  </si>
  <si>
    <t xml:space="preserve">C:\Users\andre\Desktop\REACTIV CEFAS\Prochloraz\Prochloraz/20201210_Cefas_Test9_Run3/Plate 4/@18/G9_02.tif </t>
  </si>
  <si>
    <t xml:space="preserve"> 32.7236 </t>
  </si>
  <si>
    <t xml:space="preserve">C:\Users\andre\Desktop\REACTIV CEFAS\Prochloraz\Prochloraz/20201210_Cefas_Test9_Run3/Plate 4/@18/G9_03.tif </t>
  </si>
  <si>
    <t xml:space="preserve"> 15292.3355 </t>
  </si>
  <si>
    <t xml:space="preserve"> 33.1839 </t>
  </si>
  <si>
    <t xml:space="preserve">C:\Users\andre\Desktop\REACTIV CEFAS\Prochloraz\Prochloraz/20201210_Cefas_Test9_Run3/Plate 4/@18/G9_04.tif </t>
  </si>
  <si>
    <t xml:space="preserve"> 17390.4353 </t>
  </si>
  <si>
    <t xml:space="preserve"> 33.4279 </t>
  </si>
  <si>
    <t xml:space="preserve">C:\Users\andre\Desktop\REACTIV CEFAS\Prochloraz\Prochloraz/20201210_Cefas_Test9_Run3/Plate 4/@18/H9_01.tif </t>
  </si>
  <si>
    <t xml:space="preserve"> 59806.6586 </t>
  </si>
  <si>
    <t xml:space="preserve"> 38.6307 </t>
  </si>
  <si>
    <t xml:space="preserve">C:\Users\andre\Desktop\REACTIV CEFAS\Prochloraz\Prochloraz/20201210_Cefas_Test9_Run3/Plate 4/@18/H9_02.tif </t>
  </si>
  <si>
    <t xml:space="preserve"> 58703.534 </t>
  </si>
  <si>
    <t xml:space="preserve"> 39.6201 </t>
  </si>
  <si>
    <t xml:space="preserve">C:\Users\andre\Desktop\REACTIV CEFAS\Prochloraz\Prochloraz/20201210_Cefas_Test9_Run3/Plate 4/@18/H9_03.tif </t>
  </si>
  <si>
    <t xml:space="preserve"> 64759.9045 </t>
  </si>
  <si>
    <t xml:space="preserve"> 39.6039 </t>
  </si>
  <si>
    <t xml:space="preserve">C:\Users\andre\Desktop\REACTIV CEFAS\Prochloraz\Prochloraz/20201210_Cefas_Test9_Run3/Plate 4/@18/H9_04.tif </t>
  </si>
  <si>
    <t xml:space="preserve"> 65906.2889 </t>
  </si>
  <si>
    <t xml:space="preserve"> 40.3032 </t>
  </si>
  <si>
    <t xml:space="preserve">C:\Users\andre\Desktop\REACTIV CEFAS\Prochloraz\Prochloraz/20201210_Cefas_Test9_Run3/Plate 4/@18/ </t>
  </si>
  <si>
    <t xml:space="preserve"> 34.5557 </t>
  </si>
  <si>
    <t xml:space="preserve"> 9.4026 </t>
  </si>
  <si>
    <t xml:space="preserve"> 1107988.06 </t>
  </si>
  <si>
    <t xml:space="preserve"> 776705.084 </t>
  </si>
  <si>
    <t xml:space="preserve">C:\Users\andre\Desktop\REACTIV CEFAS\Prochloraz\Prochloraz/20201210_Cefas_Test9_Run3/Plate 4/@19/A10_01.tif </t>
  </si>
  <si>
    <t xml:space="preserve"> 40837.2411 </t>
  </si>
  <si>
    <t xml:space="preserve"> 35.1404 </t>
  </si>
  <si>
    <t xml:space="preserve">C:\Users\andre\Desktop\REACTIV CEFAS\Prochloraz\Prochloraz/20201210_Cefas_Test9_Run3/Plate 4/@19/A10_02.tif </t>
  </si>
  <si>
    <t xml:space="preserve"> 35.948 </t>
  </si>
  <si>
    <t xml:space="preserve">C:\Users\andre\Desktop\REACTIV CEFAS\Prochloraz\Prochloraz/20201210_Cefas_Test9_Run3/Plate 4/@19/A10_03.tif </t>
  </si>
  <si>
    <t xml:space="preserve"> 44795.5118 </t>
  </si>
  <si>
    <t xml:space="preserve"> 35.9324 </t>
  </si>
  <si>
    <t xml:space="preserve">C:\Users\andre\Desktop\REACTIV CEFAS\Prochloraz\Prochloraz/20201210_Cefas_Test9_Run3/Plate 4/@19/A10_04.tif </t>
  </si>
  <si>
    <t xml:space="preserve"> 34.3902 </t>
  </si>
  <si>
    <t xml:space="preserve">C:\Users\andre\Desktop\REACTIV CEFAS\Prochloraz\Prochloraz/20201210_Cefas_Test9_Run3/Plate 4/@19/B10_01.tif </t>
  </si>
  <si>
    <t xml:space="preserve"> 33.8194 </t>
  </si>
  <si>
    <t xml:space="preserve">C:\Users\andre\Desktop\REACTIV CEFAS\Prochloraz\Prochloraz/20201210_Cefas_Test9_Run3/Plate 4/@19/B10_02.tif </t>
  </si>
  <si>
    <t xml:space="preserve"> 22495.0904 </t>
  </si>
  <si>
    <t xml:space="preserve"> 37.2067 </t>
  </si>
  <si>
    <t>C:\Users\andre\Desktop\REACTIV CEFAS\Prochloraz\Prochloraz/20201210_Cefas_Test9_Run3/Plate 4/@19/B10_03- exclu.tif</t>
  </si>
  <si>
    <t>C:\Users\andre\Desktop\REACTIV CEFAS\Prochloraz\Prochloraz/20201210_Cefas_Test9_Run3/Plate 4/@19/B10_04- exclu.tif</t>
  </si>
  <si>
    <t xml:space="preserve">C:\Users\andre\Desktop\REACTIV CEFAS\Prochloraz\Prochloraz/20201210_Cefas_Test9_Run3/Plate 4/@19/C10_01.tif </t>
  </si>
  <si>
    <t xml:space="preserve"> 3979.9006 </t>
  </si>
  <si>
    <t xml:space="preserve"> 32.5543 </t>
  </si>
  <si>
    <t xml:space="preserve">C:\Users\andre\Desktop\REACTIV CEFAS\Prochloraz\Prochloraz/20201210_Cefas_Test9_Run3/Plate 4/@19/C10_02.tif </t>
  </si>
  <si>
    <t xml:space="preserve"> 843.5659 </t>
  </si>
  <si>
    <t xml:space="preserve"> 30.4872 </t>
  </si>
  <si>
    <t>C:\Users\andre\Desktop\REACTIV CEFAS\Prochloraz\Prochloraz/20201210_Cefas_Test9_Run3/Plate 4/@19/C10_03- exclu.tif</t>
  </si>
  <si>
    <t xml:space="preserve">C:\Users\andre\Desktop\REACTIV CEFAS\Prochloraz\Prochloraz/20201210_Cefas_Test9_Run3/Plate 4/@19/C10_04.tif </t>
  </si>
  <si>
    <t xml:space="preserve"> 7397.424 </t>
  </si>
  <si>
    <t xml:space="preserve"> 33.5965 </t>
  </si>
  <si>
    <t xml:space="preserve">C:\Users\andre\Desktop\REACTIV CEFAS\Prochloraz\Prochloraz/20201210_Cefas_Test9_Run3/Plate 4/@19/D10_01.tif </t>
  </si>
  <si>
    <t xml:space="preserve"> 70470.1967 </t>
  </si>
  <si>
    <t xml:space="preserve"> 39.861 </t>
  </si>
  <si>
    <t xml:space="preserve">C:\Users\andre\Desktop\REACTIV CEFAS\Prochloraz\Prochloraz/20201210_Cefas_Test9_Run3/Plate 4/@19/D10_02.tif </t>
  </si>
  <si>
    <t xml:space="preserve"> 73671.4211 </t>
  </si>
  <si>
    <t xml:space="preserve"> 40.8826 </t>
  </si>
  <si>
    <t xml:space="preserve">C:\Users\andre\Desktop\REACTIV CEFAS\Prochloraz\Prochloraz/20201210_Cefas_Test9_Run3/Plate 4/@19/D10_03.tif </t>
  </si>
  <si>
    <t xml:space="preserve"> 83383.2438 </t>
  </si>
  <si>
    <t xml:space="preserve"> 44.7673 </t>
  </si>
  <si>
    <t xml:space="preserve">C:\Users\andre\Desktop\REACTIV CEFAS\Prochloraz\Prochloraz/20201210_Cefas_Test9_Run3/Plate 4/@19/D10_04.tif </t>
  </si>
  <si>
    <t xml:space="preserve"> 69778.0401 </t>
  </si>
  <si>
    <t xml:space="preserve"> 44.801 </t>
  </si>
  <si>
    <t xml:space="preserve">C:\Users\andre\Desktop\REACTIV CEFAS\Prochloraz\Prochloraz/20201210_Cefas_Test9_Run3/Plate 4/@19/E10_01.tif </t>
  </si>
  <si>
    <t xml:space="preserve"> 16719.9085 </t>
  </si>
  <si>
    <t xml:space="preserve"> 32.3713 </t>
  </si>
  <si>
    <t xml:space="preserve">C:\Users\andre\Desktop\REACTIV CEFAS\Prochloraz\Prochloraz/20201210_Cefas_Test9_Run3/Plate 4/@19/E10_02.tif </t>
  </si>
  <si>
    <t xml:space="preserve"> 10101.1608 </t>
  </si>
  <si>
    <t xml:space="preserve"> 32.2248 </t>
  </si>
  <si>
    <t xml:space="preserve">C:\Users\andre\Desktop\REACTIV CEFAS\Prochloraz\Prochloraz/20201210_Cefas_Test9_Run3/Plate 4/@19/E10_03.tif </t>
  </si>
  <si>
    <t xml:space="preserve"> 32.6593 </t>
  </si>
  <si>
    <t xml:space="preserve">C:\Users\andre\Desktop\REACTIV CEFAS\Prochloraz\Prochloraz/20201210_Cefas_Test9_Run3/Plate 4/@19/E10_04.tif </t>
  </si>
  <si>
    <t xml:space="preserve"> 13605.2037 </t>
  </si>
  <si>
    <t xml:space="preserve"> 32.275 </t>
  </si>
  <si>
    <t xml:space="preserve">C:\Users\andre\Desktop\REACTIV CEFAS\Prochloraz\Prochloraz/20201210_Cefas_Test9_Run3/Plate 4/@19/F10_01.tif </t>
  </si>
  <si>
    <t xml:space="preserve"> 24160.5923 </t>
  </si>
  <si>
    <t xml:space="preserve"> 37.4682 </t>
  </si>
  <si>
    <t xml:space="preserve">C:\Users\andre\Desktop\REACTIV CEFAS\Prochloraz\Prochloraz/20201210_Cefas_Test9_Run3/Plate 4/@19/F10_02.tif </t>
  </si>
  <si>
    <t xml:space="preserve"> 39.825 </t>
  </si>
  <si>
    <t xml:space="preserve">C:\Users\andre\Desktop\REACTIV CEFAS\Prochloraz\Prochloraz/20201210_Cefas_Test9_Run3/Plate 4/@19/F10_03.tif </t>
  </si>
  <si>
    <t xml:space="preserve"> 21889.4534 </t>
  </si>
  <si>
    <t xml:space="preserve"> 35.6828 </t>
  </si>
  <si>
    <t xml:space="preserve">C:\Users\andre\Desktop\REACTIV CEFAS\Prochloraz\Prochloraz/20201210_Cefas_Test9_Run3/Plate 4/@19/F10_04.tif </t>
  </si>
  <si>
    <t xml:space="preserve"> 39.3653 </t>
  </si>
  <si>
    <t xml:space="preserve">C:\Users\andre\Desktop\REACTIV CEFAS\Prochloraz\Prochloraz/20201210_Cefas_Test9_Run3/Plate 4/@19/G10_01.tif </t>
  </si>
  <si>
    <t xml:space="preserve"> 37.288 </t>
  </si>
  <si>
    <t xml:space="preserve">C:\Users\andre\Desktop\REACTIV CEFAS\Prochloraz\Prochloraz/20201210_Cefas_Test9_Run3/Plate 4/@19/G10_02.tif </t>
  </si>
  <si>
    <t xml:space="preserve"> 45033.4406 </t>
  </si>
  <si>
    <t xml:space="preserve"> 38.5096 </t>
  </si>
  <si>
    <t xml:space="preserve">C:\Users\andre\Desktop\REACTIV CEFAS\Prochloraz\Prochloraz/20201210_Cefas_Test9_Run3/Plate 4/@19/G10_03.tif </t>
  </si>
  <si>
    <t xml:space="preserve"> 45552.5581 </t>
  </si>
  <si>
    <t xml:space="preserve"> 38.4967 </t>
  </si>
  <si>
    <t xml:space="preserve">C:\Users\andre\Desktop\REACTIV CEFAS\Prochloraz\Prochloraz/20201210_Cefas_Test9_Run3/Plate 4/@19/G10_04.tif </t>
  </si>
  <si>
    <t xml:space="preserve"> 42870.4512 </t>
  </si>
  <si>
    <t xml:space="preserve"> 39.1372 </t>
  </si>
  <si>
    <t>C:\Users\andre\Desktop\REACTIV CEFAS\Prochloraz\Prochloraz/20201210_Cefas_Test9_Run3/Plate 4/@19/H10_01- exclu.tif</t>
  </si>
  <si>
    <t>C:\Users\andre\Desktop\REACTIV CEFAS\Prochloraz\Prochloraz/20201210_Cefas_Test9_Run3/Plate 4/@19/H10_02- exclu.tif</t>
  </si>
  <si>
    <t xml:space="preserve">C:\Users\andre\Desktop\REACTIV CEFAS\Prochloraz\Prochloraz/20201210_Cefas_Test9_Run3/Plate 4/@19/H10_03.tif </t>
  </si>
  <si>
    <t xml:space="preserve"> 5299.3242 </t>
  </si>
  <si>
    <t xml:space="preserve"> 34.6082 </t>
  </si>
  <si>
    <t xml:space="preserve">C:\Users\andre\Desktop\REACTIV CEFAS\Prochloraz\Prochloraz/20201210_Cefas_Test9_Run3/Plate 4/@19/H10_04.tif </t>
  </si>
  <si>
    <t xml:space="preserve"> 34.6009 </t>
  </si>
  <si>
    <t xml:space="preserve">C:\Users\andre\Desktop\REACTIV CEFAS\Prochloraz\Prochloraz/20201210_Cefas_Test9_Run3/Plate 4/@19/ </t>
  </si>
  <si>
    <t xml:space="preserve"> 37.251 </t>
  </si>
  <si>
    <t xml:space="preserve"> 4.6657 </t>
  </si>
  <si>
    <t xml:space="preserve"> 1150165.5 </t>
  </si>
  <si>
    <t xml:space="preserve"> 946078.836 </t>
  </si>
  <si>
    <t xml:space="preserve">C:\Users\andre\Desktop\REACTIV CEFAS\Prochloraz\Prochloraz/20201210_Cefas_Test9_Run3/Plate 4/@20/A11_01.tif </t>
  </si>
  <si>
    <t xml:space="preserve"> 75293.6632 </t>
  </si>
  <si>
    <t xml:space="preserve"> 45.0842 </t>
  </si>
  <si>
    <t xml:space="preserve">C:\Users\andre\Desktop\REACTIV CEFAS\Prochloraz\Prochloraz/20201210_Cefas_Test9_Run3/Plate 4/@20/A11_02.tif </t>
  </si>
  <si>
    <t xml:space="preserve"> 74320.3179 </t>
  </si>
  <si>
    <t xml:space="preserve"> 42.5148 </t>
  </si>
  <si>
    <t xml:space="preserve">C:\Users\andre\Desktop\REACTIV CEFAS\Prochloraz\Prochloraz/20201210_Cefas_Test9_Run3/Plate 4/@20/A11_03.tif </t>
  </si>
  <si>
    <t xml:space="preserve"> 68458.6165 </t>
  </si>
  <si>
    <t xml:space="preserve"> 41.4945 </t>
  </si>
  <si>
    <t xml:space="preserve">C:\Users\andre\Desktop\REACTIV CEFAS\Prochloraz\Prochloraz/20201210_Cefas_Test9_Run3/Plate 4/@20/A11_04.tif </t>
  </si>
  <si>
    <t xml:space="preserve"> 75639.7415 </t>
  </si>
  <si>
    <t xml:space="preserve"> 42.9597 </t>
  </si>
  <si>
    <t xml:space="preserve">C:\Users\andre\Desktop\REACTIV CEFAS\Prochloraz\Prochloraz/20201210_Cefas_Test9_Run3/Plate 4/@20/B11_01.tif </t>
  </si>
  <si>
    <t xml:space="preserve"> 63635.15 </t>
  </si>
  <si>
    <t xml:space="preserve"> 40.9494 </t>
  </si>
  <si>
    <t xml:space="preserve">C:\Users\andre\Desktop\REACTIV CEFAS\Prochloraz\Prochloraz/20201210_Cefas_Test9_Run3/Plate 4/@20/B11_02.tif </t>
  </si>
  <si>
    <t xml:space="preserve"> 68523.5062 </t>
  </si>
  <si>
    <t xml:space="preserve"> 47.1556 </t>
  </si>
  <si>
    <t xml:space="preserve">C:\Users\andre\Desktop\REACTIV CEFAS\Prochloraz\Prochloraz/20201210_Cefas_Test9_Run3/Plate 4/@20/B11_03.tif </t>
  </si>
  <si>
    <t xml:space="preserve"> 71270.5028 </t>
  </si>
  <si>
    <t xml:space="preserve"> 42.8103 </t>
  </si>
  <si>
    <t xml:space="preserve">C:\Users\andre\Desktop\REACTIV CEFAS\Prochloraz\Prochloraz/20201210_Cefas_Test9_Run3/Plate 4/@20/B11_04.tif </t>
  </si>
  <si>
    <t xml:space="preserve"> 77781.1011 </t>
  </si>
  <si>
    <t xml:space="preserve"> 46.6001 </t>
  </si>
  <si>
    <t xml:space="preserve">C:\Users\andre\Desktop\REACTIV CEFAS\Prochloraz\Prochloraz/20201210_Cefas_Test9_Run3/Plate 4/@20/C11_01.tif </t>
  </si>
  <si>
    <t xml:space="preserve"> 46201.4549 </t>
  </si>
  <si>
    <t xml:space="preserve"> 37.1058 </t>
  </si>
  <si>
    <t xml:space="preserve">C:\Users\andre\Desktop\REACTIV CEFAS\Prochloraz\Prochloraz/20201210_Cefas_Test9_Run3/Plate 4/@20/C11_02.tif </t>
  </si>
  <si>
    <t xml:space="preserve"> 43908.6861 </t>
  </si>
  <si>
    <t xml:space="preserve"> 36.3315 </t>
  </si>
  <si>
    <t xml:space="preserve">C:\Users\andre\Desktop\REACTIV CEFAS\Prochloraz\Prochloraz/20201210_Cefas_Test9_Run3/Plate 4/@20/C11_03.tif </t>
  </si>
  <si>
    <t xml:space="preserve"> 46136.5652 </t>
  </si>
  <si>
    <t xml:space="preserve"> 36.5298 </t>
  </si>
  <si>
    <t xml:space="preserve">C:\Users\andre\Desktop\REACTIV CEFAS\Prochloraz\Prochloraz/20201210_Cefas_Test9_Run3/Plate 4/@20/C11_04.tif </t>
  </si>
  <si>
    <t xml:space="preserve"> 52798.5728 </t>
  </si>
  <si>
    <t xml:space="preserve"> 39.329 </t>
  </si>
  <si>
    <t xml:space="preserve">C:\Users\andre\Desktop\REACTIV CEFAS\Prochloraz\Prochloraz/20201210_Cefas_Test9_Run3/Plate 4/@20/D11_01.tif </t>
  </si>
  <si>
    <t xml:space="preserve"> 48580.7433 </t>
  </si>
  <si>
    <t xml:space="preserve"> 36.6536 </t>
  </si>
  <si>
    <t xml:space="preserve">C:\Users\andre\Desktop\REACTIV CEFAS\Prochloraz\Prochloraz/20201210_Cefas_Test9_Run3/Plate 4/@20/D11_02.tif </t>
  </si>
  <si>
    <t xml:space="preserve"> 56021.4271 </t>
  </si>
  <si>
    <t xml:space="preserve"> 38.8598 </t>
  </si>
  <si>
    <t xml:space="preserve">C:\Users\andre\Desktop\REACTIV CEFAS\Prochloraz\Prochloraz/20201210_Cefas_Test9_Run3/Plate 4/@20/D11_03.tif </t>
  </si>
  <si>
    <t xml:space="preserve"> 39.6755 </t>
  </si>
  <si>
    <t xml:space="preserve">C:\Users\andre\Desktop\REACTIV CEFAS\Prochloraz\Prochloraz/20201210_Cefas_Test9_Run3/Plate 4/@20/D11_04.tif </t>
  </si>
  <si>
    <t xml:space="preserve"> 55632.089 </t>
  </si>
  <si>
    <t xml:space="preserve"> 42.9075 </t>
  </si>
  <si>
    <t xml:space="preserve">C:\Users\andre\Desktop\REACTIV CEFAS\Prochloraz\Prochloraz/20201210_Cefas_Test9_Run3/Plate 4/@20/E11_01.tif </t>
  </si>
  <si>
    <t xml:space="preserve"> 24030.8129 </t>
  </si>
  <si>
    <t xml:space="preserve"> 35.5059 </t>
  </si>
  <si>
    <t xml:space="preserve">C:\Users\andre\Desktop\REACTIV CEFAS\Prochloraz\Prochloraz/20201210_Cefas_Test9_Run3/Plate 4/@20/E11_02.tif </t>
  </si>
  <si>
    <t xml:space="preserve"> 24247.1119 </t>
  </si>
  <si>
    <t xml:space="preserve"> 35.4478 </t>
  </si>
  <si>
    <t xml:space="preserve">C:\Users\andre\Desktop\REACTIV CEFAS\Prochloraz\Prochloraz/20201210_Cefas_Test9_Run3/Plate 4/@20/E11_03.tif </t>
  </si>
  <si>
    <t xml:space="preserve"> 19769.7237 </t>
  </si>
  <si>
    <t xml:space="preserve"> 35.2823 </t>
  </si>
  <si>
    <t xml:space="preserve">C:\Users\andre\Desktop\REACTIV CEFAS\Prochloraz\Prochloraz/20201210_Cefas_Test9_Run3/Plate 4/@20/E11_04.tif </t>
  </si>
  <si>
    <t xml:space="preserve"> 36878.9703 </t>
  </si>
  <si>
    <t xml:space="preserve"> 40.9918 </t>
  </si>
  <si>
    <t xml:space="preserve">C:\Users\andre\Desktop\REACTIV CEFAS\Prochloraz\Prochloraz/20201210_Cefas_Test9_Run3/Plate 4/@20/F11_01.tif </t>
  </si>
  <si>
    <t xml:space="preserve"> 42416.2234 </t>
  </si>
  <si>
    <t xml:space="preserve"> 40.4268 </t>
  </si>
  <si>
    <t xml:space="preserve">C:\Users\andre\Desktop\REACTIV CEFAS\Prochloraz\Prochloraz/20201210_Cefas_Test9_Run3/Plate 4/@20/F11_02.tif </t>
  </si>
  <si>
    <t xml:space="preserve"> 43151.6398 </t>
  </si>
  <si>
    <t xml:space="preserve"> 40.7815 </t>
  </si>
  <si>
    <t xml:space="preserve">C:\Users\andre\Desktop\REACTIV CEFAS\Prochloraz\Prochloraz/20201210_Cefas_Test9_Run3/Plate 4/@20/F11_03.tif </t>
  </si>
  <si>
    <t xml:space="preserve"> 50613.9534 </t>
  </si>
  <si>
    <t xml:space="preserve"> 39.1329 </t>
  </si>
  <si>
    <t>C:\Users\andre\Desktop\REACTIV CEFAS\Prochloraz\Prochloraz/20201210_Cefas_Test9_Run3/Plate 4/@20/F11_04- exclu.tif</t>
  </si>
  <si>
    <t xml:space="preserve">C:\Users\andre\Desktop\REACTIV CEFAS\Prochloraz\Prochloraz/20201210_Cefas_Test9_Run3/Plate 4/@20/G11_01.tif </t>
  </si>
  <si>
    <t xml:space="preserve"> 34218.4933 </t>
  </si>
  <si>
    <t xml:space="preserve"> 34.402 </t>
  </si>
  <si>
    <t xml:space="preserve">C:\Users\andre\Desktop\REACTIV CEFAS\Prochloraz\Prochloraz/20201210_Cefas_Test9_Run3/Plate 4/@20/G11_02.tif </t>
  </si>
  <si>
    <t xml:space="preserve"> 44189.8747 </t>
  </si>
  <si>
    <t xml:space="preserve"> 35.1801 </t>
  </si>
  <si>
    <t xml:space="preserve">C:\Users\andre\Desktop\REACTIV CEFAS\Prochloraz\Prochloraz/20201210_Cefas_Test9_Run3/Plate 4/@20/G11_03.tif </t>
  </si>
  <si>
    <t xml:space="preserve"> 48429.3341 </t>
  </si>
  <si>
    <t xml:space="preserve"> 35.7865 </t>
  </si>
  <si>
    <t xml:space="preserve">C:\Users\andre\Desktop\REACTIV CEFAS\Prochloraz\Prochloraz/20201210_Cefas_Test9_Run3/Plate 4/@20/G11_04.tif </t>
  </si>
  <si>
    <t xml:space="preserve"> 43281.4192 </t>
  </si>
  <si>
    <t xml:space="preserve"> 34.2839 </t>
  </si>
  <si>
    <t xml:space="preserve">C:\Users\andre\Desktop\REACTIV CEFAS\Prochloraz\Prochloraz/20201210_Cefas_Test9_Run3/Plate 4/@20/H11_01.tif </t>
  </si>
  <si>
    <t xml:space="preserve"> 22841.1687 </t>
  </si>
  <si>
    <t xml:space="preserve"> 34.4612 </t>
  </si>
  <si>
    <t xml:space="preserve">C:\Users\andre\Desktop\REACTIV CEFAS\Prochloraz\Prochloraz/20201210_Cefas_Test9_Run3/Plate 4/@20/H11_02.tif </t>
  </si>
  <si>
    <t xml:space="preserve"> 24896.0087 </t>
  </si>
  <si>
    <t xml:space="preserve"> 34.8202 </t>
  </si>
  <si>
    <t xml:space="preserve">C:\Users\andre\Desktop\REACTIV CEFAS\Prochloraz\Prochloraz/20201210_Cefas_Test9_Run3/Plate 4/@20/H11_03.tif </t>
  </si>
  <si>
    <t xml:space="preserve"> 36.0518 </t>
  </si>
  <si>
    <t>C:\Users\andre\Desktop\REACTIV CEFAS\Prochloraz\Prochloraz/20201210_Cefas_Test9_Run3/Plate 4/@20/H11_04- exclu.tif</t>
  </si>
  <si>
    <t xml:space="preserve">C:\Users\andre\Desktop\REACTIV CEFAS\Prochloraz\Prochloraz/20201210_Cefas_Test9_Run3/Plate 4/@20/ </t>
  </si>
  <si>
    <t xml:space="preserve"> 39.1015 </t>
  </si>
  <si>
    <t xml:space="preserve"> 3.688 </t>
  </si>
  <si>
    <t xml:space="preserve"> 1941702.72 </t>
  </si>
  <si>
    <t xml:space="preserve"> 834957.94 </t>
  </si>
  <si>
    <t xml:space="preserve">C:\Users\andre\Desktop\REACTIV CEFAS\Prochloraz\Prochloraz/20201210_Cefas_Test9_Run3/Plate 4/@21/A12_01.tif </t>
  </si>
  <si>
    <t xml:space="preserve"> 12329.0399 </t>
  </si>
  <si>
    <t xml:space="preserve"> 38.8105 </t>
  </si>
  <si>
    <t>C:\Users\andre\Desktop\REACTIV CEFAS\Prochloraz\Prochloraz/20201210_Cefas_Test9_Run3/Plate 4/@21/A12_02- exclu.tif</t>
  </si>
  <si>
    <t xml:space="preserve">C:\Users\andre\Desktop\REACTIV CEFAS\Prochloraz\Prochloraz/20201210_Cefas_Test9_Run3/Plate 4/@21/A12_03.tif </t>
  </si>
  <si>
    <t xml:space="preserve"> 17758.1435 </t>
  </si>
  <si>
    <t xml:space="preserve"> 38.1206 </t>
  </si>
  <si>
    <t>C:\Users\andre\Desktop\REACTIV CEFAS\Prochloraz\Prochloraz/20201210_Cefas_Test9_Run3/Plate 4/@21/A12_04- exclu.tif</t>
  </si>
  <si>
    <t xml:space="preserve">C:\Users\andre\Desktop\REACTIV CEFAS\Prochloraz\Prochloraz/20201210_Cefas_Test9_Run3/Plate 4/@21/B12_01.tif </t>
  </si>
  <si>
    <t xml:space="preserve"> 27880.9342 </t>
  </si>
  <si>
    <t xml:space="preserve"> 42.4057 </t>
  </si>
  <si>
    <t>C:\Users\andre\Desktop\REACTIV CEFAS\Prochloraz\Prochloraz/20201210_Cefas_Test9_Run3/Plate 4/@21/B12_02- exclu.tif</t>
  </si>
  <si>
    <t xml:space="preserve">C:\Users\andre\Desktop\REACTIV CEFAS\Prochloraz\Prochloraz/20201210_Cefas_Test9_Run3/Plate 4/@21/B12_03.tif </t>
  </si>
  <si>
    <t xml:space="preserve"> 16503.6096 </t>
  </si>
  <si>
    <t xml:space="preserve"> 45.3237 </t>
  </si>
  <si>
    <t xml:space="preserve">C:\Users\andre\Desktop\REACTIV CEFAS\Prochloraz\Prochloraz/20201210_Cefas_Test9_Run3/Plate 4/@21/B12_04.tif </t>
  </si>
  <si>
    <t xml:space="preserve"> 42.9864 </t>
  </si>
  <si>
    <t xml:space="preserve">C:\Users\andre\Desktop\REACTIV CEFAS\Prochloraz\Prochloraz/20201210_Cefas_Test9_Run3/Plate 4/@21/C12_01.tif </t>
  </si>
  <si>
    <t xml:space="preserve"> 30563.0411 </t>
  </si>
  <si>
    <t xml:space="preserve"> 36.2427 </t>
  </si>
  <si>
    <t xml:space="preserve">C:\Users\andre\Desktop\REACTIV CEFAS\Prochloraz\Prochloraz/20201210_Cefas_Test9_Run3/Plate 4/@21/C12_02.tif </t>
  </si>
  <si>
    <t xml:space="preserve"> 33850.7851 </t>
  </si>
  <si>
    <t xml:space="preserve"> 36.777 </t>
  </si>
  <si>
    <t xml:space="preserve">C:\Users\andre\Desktop\REACTIV CEFAS\Prochloraz\Prochloraz/20201210_Cefas_Test9_Run3/Plate 4/@21/C12_03.tif </t>
  </si>
  <si>
    <t xml:space="preserve"> 43130.0099 </t>
  </si>
  <si>
    <t xml:space="preserve"> 37.5712 </t>
  </si>
  <si>
    <t xml:space="preserve">C:\Users\andre\Desktop\REACTIV CEFAS\Prochloraz\Prochloraz/20201210_Cefas_Test9_Run3/Plate 4/@21/C12_04.tif </t>
  </si>
  <si>
    <t xml:space="preserve"> 38587.732 </t>
  </si>
  <si>
    <t xml:space="preserve"> 37.9535 </t>
  </si>
  <si>
    <t xml:space="preserve">C:\Users\andre\Desktop\REACTIV CEFAS\Prochloraz\Prochloraz/20201210_Cefas_Test9_Run3/Plate 4/@21/D12_01.tif </t>
  </si>
  <si>
    <t xml:space="preserve"> 31.9111 </t>
  </si>
  <si>
    <t xml:space="preserve">C:\Users\andre\Desktop\REACTIV CEFAS\Prochloraz\Prochloraz/20201210_Cefas_Test9_Run3/Plate 4/@21/D12_02.tif </t>
  </si>
  <si>
    <t xml:space="preserve"> 36.3064 </t>
  </si>
  <si>
    <t xml:space="preserve">C:\Users\andre\Desktop\REACTIV CEFAS\Prochloraz\Prochloraz/20201210_Cefas_Test9_Run3/Plate 4/@21/D12_03.tif </t>
  </si>
  <si>
    <t xml:space="preserve"> 5472.3633 </t>
  </si>
  <si>
    <t xml:space="preserve"> 34.332 </t>
  </si>
  <si>
    <t xml:space="preserve">C:\Users\andre\Desktop\REACTIV CEFAS\Prochloraz\Prochloraz/20201210_Cefas_Test9_Run3/Plate 4/@21/D12_04.tif </t>
  </si>
  <si>
    <t xml:space="preserve"> 13129.346 </t>
  </si>
  <si>
    <t xml:space="preserve"> 41.6425 </t>
  </si>
  <si>
    <t xml:space="preserve">C:\Users\andre\Desktop\REACTIV CEFAS\Prochloraz\Prochloraz/20201210_Cefas_Test9_Run3/Plate 4/@21/E12_01.tif </t>
  </si>
  <si>
    <t xml:space="preserve"> 37203.4188 </t>
  </si>
  <si>
    <t xml:space="preserve"> 35.6651 </t>
  </si>
  <si>
    <t xml:space="preserve">C:\Users\andre\Desktop\REACTIV CEFAS\Prochloraz\Prochloraz/20201210_Cefas_Test9_Run3/Plate 4/@21/E12_02.tif </t>
  </si>
  <si>
    <t xml:space="preserve"> 25133.9376 </t>
  </si>
  <si>
    <t xml:space="preserve"> 36.5628 </t>
  </si>
  <si>
    <t xml:space="preserve">C:\Users\andre\Desktop\REACTIV CEFAS\Prochloraz\Prochloraz/20201210_Cefas_Test9_Run3/Plate 4/@21/E12_03.tif </t>
  </si>
  <si>
    <t xml:space="preserve"> 28832.6495 </t>
  </si>
  <si>
    <t xml:space="preserve"> 35.8605 </t>
  </si>
  <si>
    <t xml:space="preserve">C:\Users\andre\Desktop\REACTIV CEFAS\Prochloraz\Prochloraz/20201210_Cefas_Test9_Run3/Plate 4/@21/E12_04.tif </t>
  </si>
  <si>
    <t xml:space="preserve"> 15205.8159 </t>
  </si>
  <si>
    <t xml:space="preserve"> 32.074 </t>
  </si>
  <si>
    <t>C:\Users\andre\Desktop\REACTIV CEFAS\Prochloraz\Prochloraz/20201210_Cefas_Test9_Run3/Plate 4/@21/F12_01- exclu.tif</t>
  </si>
  <si>
    <t xml:space="preserve">C:\Users\andre\Desktop\REACTIV CEFAS\Prochloraz\Prochloraz/20201210_Cefas_Test9_Run3/Plate 4/@21/F12_02.tif </t>
  </si>
  <si>
    <t xml:space="preserve"> 23165.6171 </t>
  </si>
  <si>
    <t xml:space="preserve"> 38.9468 </t>
  </si>
  <si>
    <t xml:space="preserve">C:\Users\andre\Desktop\REACTIV CEFAS\Prochloraz\Prochloraz/20201210_Cefas_Test9_Run3/Plate 4/@21/F12_03.tif </t>
  </si>
  <si>
    <t xml:space="preserve"> 24614.8201 </t>
  </si>
  <si>
    <t xml:space="preserve"> 39.7179 </t>
  </si>
  <si>
    <t xml:space="preserve">C:\Users\andre\Desktop\REACTIV CEFAS\Prochloraz\Prochloraz/20201210_Cefas_Test9_Run3/Plate 4/@21/F12_04.tif </t>
  </si>
  <si>
    <t xml:space="preserve"> 21565.0049 </t>
  </si>
  <si>
    <t xml:space="preserve"> 41.3059 </t>
  </si>
  <si>
    <t xml:space="preserve">C:\Users\andre\Desktop\REACTIV CEFAS\Prochloraz\Prochloraz/20201210_Cefas_Test9_Run3/Plate 4/@21/G12_01.tif </t>
  </si>
  <si>
    <t xml:space="preserve"> 13215.8656 </t>
  </si>
  <si>
    <t xml:space="preserve"> 47.4615 </t>
  </si>
  <si>
    <t xml:space="preserve">C:\Users\andre\Desktop\REACTIV CEFAS\Prochloraz\Prochloraz/20201210_Cefas_Test9_Run3/Plate 4/@21/G12_02.tif </t>
  </si>
  <si>
    <t xml:space="preserve"> 12393.9296 </t>
  </si>
  <si>
    <t xml:space="preserve"> 48.0977 </t>
  </si>
  <si>
    <t xml:space="preserve">C:\Users\andre\Desktop\REACTIV CEFAS\Prochloraz\Prochloraz/20201210_Cefas_Test9_Run3/Plate 4/@21/G12_03.tif </t>
  </si>
  <si>
    <t xml:space="preserve"> 19466.9052 </t>
  </si>
  <si>
    <t xml:space="preserve"> 46.0044 </t>
  </si>
  <si>
    <t xml:space="preserve">C:\Users\andre\Desktop\REACTIV CEFAS\Prochloraz\Prochloraz/20201210_Cefas_Test9_Run3/Plate 4/@21/G12_04.tif </t>
  </si>
  <si>
    <t xml:space="preserve"> 44.7372 </t>
  </si>
  <si>
    <t xml:space="preserve">C:\Users\andre\Desktop\REACTIV CEFAS\Prochloraz\Prochloraz/20201210_Cefas_Test9_Run3/Plate 4/@21/H12_01.tif </t>
  </si>
  <si>
    <t xml:space="preserve"> 18320.5208 </t>
  </si>
  <si>
    <t xml:space="preserve"> 33.9669 </t>
  </si>
  <si>
    <t xml:space="preserve">C:\Users\andre\Desktop\REACTIV CEFAS\Prochloraz\Prochloraz/20201210_Cefas_Test9_Run3/Plate 4/@21/H12_02.tif </t>
  </si>
  <si>
    <t xml:space="preserve"> 19272.2361 </t>
  </si>
  <si>
    <t xml:space="preserve"> 33.0516 </t>
  </si>
  <si>
    <t xml:space="preserve">C:\Users\andre\Desktop\REACTIV CEFAS\Prochloraz\Prochloraz/20201210_Cefas_Test9_Run3/Plate 4/@21/H12_03.tif </t>
  </si>
  <si>
    <t xml:space="preserve"> 32.9911 </t>
  </si>
  <si>
    <t xml:space="preserve">C:\Users\andre\Desktop\REACTIV CEFAS\Prochloraz\Prochloraz/20201210_Cefas_Test9_Run3/Plate 4/@21/H12_04.tif </t>
  </si>
  <si>
    <t xml:space="preserve"> 26085.6529 </t>
  </si>
  <si>
    <t xml:space="preserve"> 33.9842 </t>
  </si>
  <si>
    <t xml:space="preserve">C:\Users\andre\Desktop\REACTIV CEFAS\Prochloraz\Prochloraz/20201210_Cefas_Test9_Run3/Plate 4/@21/ </t>
  </si>
  <si>
    <t xml:space="preserve"> 38.5099 </t>
  </si>
  <si>
    <t xml:space="preserve"> 4.7205 </t>
  </si>
  <si>
    <t xml:space="preserve"> 803778.438 </t>
  </si>
  <si>
    <t xml:space="preserve"> 421444.036 </t>
  </si>
  <si>
    <t xml:space="preserve">C:\Users\andre\Desktop\REACTIV CEFAS\Prochloraz\Prochloraz/20201210_Cefas_Test9_Run3/Plate 4/@8/A2_01.tif </t>
  </si>
  <si>
    <t xml:space="preserve"> 34.6568 </t>
  </si>
  <si>
    <t xml:space="preserve">C:\Users\andre\Desktop\REACTIV CEFAS\Prochloraz\Prochloraz/20201210_Cefas_Test9_Run3/Plate 4/@8/A2_02.tif </t>
  </si>
  <si>
    <t xml:space="preserve"> 11485.474 </t>
  </si>
  <si>
    <t xml:space="preserve"> 40.1601 </t>
  </si>
  <si>
    <t xml:space="preserve">C:\Users\andre\Desktop\REACTIV CEFAS\Prochloraz\Prochloraz/20201210_Cefas_Test9_Run3/Plate 4/@8/A2_03.tif </t>
  </si>
  <si>
    <t xml:space="preserve"> 45.4521 </t>
  </si>
  <si>
    <t>C:\Users\andre\Desktop\REACTIV CEFAS\Prochloraz\Prochloraz/20201210_Cefas_Test9_Run3/Plate 4/@8/A2_04- exclu.tif</t>
  </si>
  <si>
    <t xml:space="preserve">C:\Users\andre\Desktop\REACTIV CEFAS\Prochloraz\Prochloraz/20201210_Cefas_Test9_Run3/Plate 4/@8/B2_01.tif </t>
  </si>
  <si>
    <t xml:space="preserve"> 32.2101 </t>
  </si>
  <si>
    <t xml:space="preserve">C:\Users\andre\Desktop\REACTIV CEFAS\Prochloraz\Prochloraz/20201210_Cefas_Test9_Run3/Plate 4/@8/B2_02.tif </t>
  </si>
  <si>
    <t xml:space="preserve"> 32.24 </t>
  </si>
  <si>
    <t xml:space="preserve">C:\Users\andre\Desktop\REACTIV CEFAS\Prochloraz\Prochloraz/20201210_Cefas_Test9_Run3/Plate 4/@8/B2_03.tif </t>
  </si>
  <si>
    <t xml:space="preserve"> 40.3886 </t>
  </si>
  <si>
    <t xml:space="preserve">C:\Users\andre\Desktop\REACTIV CEFAS\Prochloraz\Prochloraz/20201210_Cefas_Test9_Run3/Plate 4/@8/B2_04.tif </t>
  </si>
  <si>
    <t xml:space="preserve"> 35.6035 </t>
  </si>
  <si>
    <t>C:\Users\andre\Desktop\REACTIV CEFAS\Prochloraz\Prochloraz/20201210_Cefas_Test9_Run3/Plate 4/@8/C2_01- exclu.tif</t>
  </si>
  <si>
    <t xml:space="preserve">C:\Users\andre\Desktop\REACTIV CEFAS\Prochloraz\Prochloraz/20201210_Cefas_Test9_Run3/Plate 4/@8/C2_02.tif </t>
  </si>
  <si>
    <t xml:space="preserve"> 38.5169 </t>
  </si>
  <si>
    <t>C:\Users\andre\Desktop\REACTIV CEFAS\Prochloraz\Prochloraz/20201210_Cefas_Test9_Run3/Plate 4/@8/C2_03- exclu.tif</t>
  </si>
  <si>
    <t xml:space="preserve">C:\Users\andre\Desktop\REACTIV CEFAS\Prochloraz\Prochloraz/20201210_Cefas_Test9_Run3/Plate 4/@8/C2_04.tif </t>
  </si>
  <si>
    <t xml:space="preserve"> 30.2 </t>
  </si>
  <si>
    <t xml:space="preserve">C:\Users\andre\Desktop\REACTIV CEFAS\Prochloraz\Prochloraz/20201210_Cefas_Test9_Run3/Plate 4/@8/D2_01.tif </t>
  </si>
  <si>
    <t xml:space="preserve"> 35.2062 </t>
  </si>
  <si>
    <t xml:space="preserve">C:\Users\andre\Desktop\REACTIV CEFAS\Prochloraz\Prochloraz/20201210_Cefas_Test9_Run3/Plate 4/@8/D2_02.tif </t>
  </si>
  <si>
    <t xml:space="preserve"> 38.0569 </t>
  </si>
  <si>
    <t xml:space="preserve">C:\Users\andre\Desktop\REACTIV CEFAS\Prochloraz\Prochloraz/20201210_Cefas_Test9_Run3/Plate 4/@8/D2_03.tif </t>
  </si>
  <si>
    <t xml:space="preserve"> 35.6289 </t>
  </si>
  <si>
    <t xml:space="preserve">C:\Users\andre\Desktop\REACTIV CEFAS\Prochloraz\Prochloraz/20201210_Cefas_Test9_Run3/Plate 4/@8/D2_04.tif </t>
  </si>
  <si>
    <t xml:space="preserve"> 886.8257 </t>
  </si>
  <si>
    <t xml:space="preserve"> 32.9756 </t>
  </si>
  <si>
    <t xml:space="preserve">C:\Users\andre\Desktop\REACTIV CEFAS\Prochloraz\Prochloraz/20201210_Cefas_Test9_Run3/Plate 4/@8/E2_01.tif </t>
  </si>
  <si>
    <t xml:space="preserve"> 30.1667 </t>
  </si>
  <si>
    <t xml:space="preserve">C:\Users\andre\Desktop\REACTIV CEFAS\Prochloraz\Prochloraz/20201210_Cefas_Test9_Run3/Plate 4/@8/E2_02.tif </t>
  </si>
  <si>
    <t xml:space="preserve"> 9993.0113 </t>
  </si>
  <si>
    <t xml:space="preserve"> 39.2143 </t>
  </si>
  <si>
    <t xml:space="preserve">C:\Users\andre\Desktop\REACTIV CEFAS\Prochloraz\Prochloraz/20201210_Cefas_Test9_Run3/Plate 4/@8/E2_03.tif </t>
  </si>
  <si>
    <t xml:space="preserve"> 31.3929 </t>
  </si>
  <si>
    <t xml:space="preserve">C:\Users\andre\Desktop\REACTIV CEFAS\Prochloraz\Prochloraz/20201210_Cefas_Test9_Run3/Plate 4/@8/E2_04.tif </t>
  </si>
  <si>
    <t xml:space="preserve"> 35.6913 </t>
  </si>
  <si>
    <t xml:space="preserve">C:\Users\andre\Desktop\REACTIV CEFAS\Prochloraz\Prochloraz/20201210_Cefas_Test9_Run3/Plate 4/@8/F2_01.tif </t>
  </si>
  <si>
    <t xml:space="preserve"> 41.7726 </t>
  </si>
  <si>
    <t xml:space="preserve">C:\Users\andre\Desktop\REACTIV CEFAS\Prochloraz\Prochloraz/20201210_Cefas_Test9_Run3/Plate 4/@8/F2_02.tif </t>
  </si>
  <si>
    <t xml:space="preserve"> 8565.4383 </t>
  </si>
  <si>
    <t xml:space="preserve"> 38.3081 </t>
  </si>
  <si>
    <t>C:\Users\andre\Desktop\REACTIV CEFAS\Prochloraz\Prochloraz/20201210_Cefas_Test9_Run3/Plate 4/@8/F2_03- exclu.tif</t>
  </si>
  <si>
    <t xml:space="preserve">C:\Users\andre\Desktop\REACTIV CEFAS\Prochloraz\Prochloraz/20201210_Cefas_Test9_Run3/Plate 4/@8/F2_04.tif </t>
  </si>
  <si>
    <t xml:space="preserve"> 562.3773 </t>
  </si>
  <si>
    <t xml:space="preserve"> 31.7308 </t>
  </si>
  <si>
    <t xml:space="preserve">C:\Users\andre\Desktop\REACTIV CEFAS\Prochloraz\Prochloraz/20201210_Cefas_Test9_Run3/Plate 4/@8/G2_01.tif </t>
  </si>
  <si>
    <t xml:space="preserve"> 32.5956 </t>
  </si>
  <si>
    <t xml:space="preserve">C:\Users\andre\Desktop\REACTIV CEFAS\Prochloraz\Prochloraz/20201210_Cefas_Test9_Run3/Plate 4/@8/G2_02.tif </t>
  </si>
  <si>
    <t xml:space="preserve"> 35.0615 </t>
  </si>
  <si>
    <t xml:space="preserve">C:\Users\andre\Desktop\REACTIV CEFAS\Prochloraz\Prochloraz/20201210_Cefas_Test9_Run3/Plate 4/@8/G2_03.tif </t>
  </si>
  <si>
    <t xml:space="preserve"> 36.1187 </t>
  </si>
  <si>
    <t xml:space="preserve">C:\Users\andre\Desktop\REACTIV CEFAS\Prochloraz\Prochloraz/20201210_Cefas_Test9_Run3/Plate 4/@8/G2_04.tif </t>
  </si>
  <si>
    <t xml:space="preserve"> 37.9395 </t>
  </si>
  <si>
    <t xml:space="preserve">C:\Users\andre\Desktop\REACTIV CEFAS\Prochloraz\Prochloraz/20201210_Cefas_Test9_Run3/Plate 4/@8/H2_01.tif </t>
  </si>
  <si>
    <t xml:space="preserve"> 39.7531 </t>
  </si>
  <si>
    <t xml:space="preserve">C:\Users\andre\Desktop\REACTIV CEFAS\Prochloraz\Prochloraz/20201210_Cefas_Test9_Run3/Plate 4/@8/H2_02.tif </t>
  </si>
  <si>
    <t xml:space="preserve">C:\Users\andre\Desktop\REACTIV CEFAS\Prochloraz\Prochloraz/20201210_Cefas_Test9_Run3/Plate 4/@8/H2_03.tif </t>
  </si>
  <si>
    <t xml:space="preserve"> 33.7292 </t>
  </si>
  <si>
    <t xml:space="preserve">C:\Users\andre\Desktop\REACTIV CEFAS\Prochloraz\Prochloraz/20201210_Cefas_Test9_Run3/Plate 4/@8/H2_04.tif </t>
  </si>
  <si>
    <t xml:space="preserve"> 34.1972 </t>
  </si>
  <si>
    <t xml:space="preserve">C:\Users\andre\Desktop\REACTIV CEFAS\Prochloraz\Prochloraz/20201210_Cefas_Test9_Run3/Plate 4/@8/ </t>
  </si>
  <si>
    <t xml:space="preserve"> 32.7261 </t>
  </si>
  <si>
    <t xml:space="preserve"> 11.2714 </t>
  </si>
  <si>
    <t xml:space="preserve"> 200420.562 </t>
  </si>
  <si>
    <t xml:space="preserve"> 159225.455 </t>
  </si>
  <si>
    <t xml:space="preserve">C:\Users\andre\Desktop\REACTIV CEFAS\Prochloraz\Prochloraz/20201210_Cefas_Test9_Run3/Plate 4/@9/A3_01.tif </t>
  </si>
  <si>
    <t xml:space="preserve"> 33.94 </t>
  </si>
  <si>
    <t xml:space="preserve">C:\Users\andre\Desktop\REACTIV CEFAS\Prochloraz\Prochloraz/20201210_Cefas_Test9_Run3/Plate 4/@9/A3_02.tif </t>
  </si>
  <si>
    <t xml:space="preserve"> 33.2842 </t>
  </si>
  <si>
    <t xml:space="preserve">C:\Users\andre\Desktop\REACTIV CEFAS\Prochloraz\Prochloraz/20201210_Cefas_Test9_Run3/Plate 4/@9/A3_03.tif </t>
  </si>
  <si>
    <t xml:space="preserve"> 37.4521 </t>
  </si>
  <si>
    <t>C:\Users\andre\Desktop\REACTIV CEFAS\Prochloraz\Prochloraz/20201210_Cefas_Test9_Run3/Plate 4/@9/A3_04- exclu.tif</t>
  </si>
  <si>
    <t xml:space="preserve">C:\Users\andre\Desktop\REACTIV CEFAS\Prochloraz\Prochloraz/20201210_Cefas_Test9_Run3/Plate 4/@9/B3_01.tif </t>
  </si>
  <si>
    <t xml:space="preserve"> 30.4667 </t>
  </si>
  <si>
    <t>C:\Users\andre\Desktop\REACTIV CEFAS\Prochloraz\Prochloraz/20201210_Cefas_Test9_Run3/Plate 4/@9/B3_02- exclu.tif</t>
  </si>
  <si>
    <t>C:\Users\andre\Desktop\REACTIV CEFAS\Prochloraz\Prochloraz/20201210_Cefas_Test9_Run3/Plate 4/@9/B3_03- exclu.tif</t>
  </si>
  <si>
    <t xml:space="preserve">C:\Users\andre\Desktop\REACTIV CEFAS\Prochloraz\Prochloraz/20201210_Cefas_Test9_Run3/Plate 4/@9/B3_04.tif </t>
  </si>
  <si>
    <t xml:space="preserve"> 800.3061 </t>
  </si>
  <si>
    <t xml:space="preserve"> 31.7027 </t>
  </si>
  <si>
    <t xml:space="preserve">C:\Users\andre\Desktop\REACTIV CEFAS\Prochloraz\Prochloraz/20201210_Cefas_Test9_Run3/Plate 4/@9/C3_01.tif </t>
  </si>
  <si>
    <t xml:space="preserve"> 39.8639 </t>
  </si>
  <si>
    <t xml:space="preserve">C:\Users\andre\Desktop\REACTIV CEFAS\Prochloraz\Prochloraz/20201210_Cefas_Test9_Run3/Plate 4/@9/C3_02.tif </t>
  </si>
  <si>
    <t xml:space="preserve"> 41.5938 </t>
  </si>
  <si>
    <t>C:\Users\andre\Desktop\REACTIV CEFAS\Prochloraz\Prochloraz/20201210_Cefas_Test9_Run3/Plate 4/@9/C3_03- exclu.tif</t>
  </si>
  <si>
    <t>C:\Users\andre\Desktop\REACTIV CEFAS\Prochloraz\Prochloraz/20201210_Cefas_Test9_Run3/Plate 4/@9/C3_04- exclu.tif</t>
  </si>
  <si>
    <t xml:space="preserve">C:\Users\andre\Desktop\REACTIV CEFAS\Prochloraz\Prochloraz/20201210_Cefas_Test9_Run3/Plate 4/@9/D3_01.tif </t>
  </si>
  <si>
    <t xml:space="preserve"> 11442.2143 </t>
  </si>
  <si>
    <t xml:space="preserve"> 40.5992 </t>
  </si>
  <si>
    <t xml:space="preserve">C:\Users\andre\Desktop\REACTIV CEFAS\Prochloraz\Prochloraz/20201210_Cefas_Test9_Run3/Plate 4/@9/D3_02.tif </t>
  </si>
  <si>
    <t xml:space="preserve"> 10274.1999 </t>
  </si>
  <si>
    <t xml:space="preserve"> 40.8253 </t>
  </si>
  <si>
    <t xml:space="preserve">C:\Users\andre\Desktop\REACTIV CEFAS\Prochloraz\Prochloraz/20201210_Cefas_Test9_Run3/Plate 4/@9/D3_03.tif </t>
  </si>
  <si>
    <t xml:space="preserve"> 41.7955 </t>
  </si>
  <si>
    <t xml:space="preserve">C:\Users\andre\Desktop\REACTIV CEFAS\Prochloraz\Prochloraz/20201210_Cefas_Test9_Run3/Plate 4/@9/D3_04.tif </t>
  </si>
  <si>
    <t xml:space="preserve"> 44.9135 </t>
  </si>
  <si>
    <t xml:space="preserve">C:\Users\andre\Desktop\REACTIV CEFAS\Prochloraz\Prochloraz/20201210_Cefas_Test9_Run3/Plate 4/@9/E3_01.tif </t>
  </si>
  <si>
    <t xml:space="preserve"> 33.9749 </t>
  </si>
  <si>
    <t>C:\Users\andre\Desktop\REACTIV CEFAS\Prochloraz\Prochloraz/20201210_Cefas_Test9_Run3/Plate 4/@9/E3_02- exclu.tif</t>
  </si>
  <si>
    <t xml:space="preserve">C:\Users\andre\Desktop\REACTIV CEFAS\Prochloraz\Prochloraz/20201210_Cefas_Test9_Run3/Plate 4/@9/E3_03.tif </t>
  </si>
  <si>
    <t xml:space="preserve"> 31.4483 </t>
  </si>
  <si>
    <t xml:space="preserve">C:\Users\andre\Desktop\REACTIV CEFAS\Prochloraz\Prochloraz/20201210_Cefas_Test9_Run3/Plate 4/@9/E3_04.tif </t>
  </si>
  <si>
    <t xml:space="preserve"> 15573.5241 </t>
  </si>
  <si>
    <t xml:space="preserve"> 47.1708 </t>
  </si>
  <si>
    <t xml:space="preserve">C:\Users\andre\Desktop\REACTIV CEFAS\Prochloraz\Prochloraz/20201210_Cefas_Test9_Run3/Plate 4/@9/F3_01.tif </t>
  </si>
  <si>
    <t xml:space="preserve"> 1816.9111 </t>
  </si>
  <si>
    <t xml:space="preserve"> 34.8095 </t>
  </si>
  <si>
    <t xml:space="preserve">C:\Users\andre\Desktop\REACTIV CEFAS\Prochloraz\Prochloraz/20201210_Cefas_Test9_Run3/Plate 4/@9/F3_02.tif </t>
  </si>
  <si>
    <t xml:space="preserve"> 36.8712 </t>
  </si>
  <si>
    <t xml:space="preserve">C:\Users\andre\Desktop\REACTIV CEFAS\Prochloraz\Prochloraz/20201210_Cefas_Test9_Run3/Plate 4/@9/F3_03.tif </t>
  </si>
  <si>
    <t xml:space="preserve"> 2249.509 </t>
  </si>
  <si>
    <t xml:space="preserve"> 34.4904 </t>
  </si>
  <si>
    <t xml:space="preserve">C:\Users\andre\Desktop\REACTIV CEFAS\Prochloraz\Prochloraz/20201210_Cefas_Test9_Run3/Plate 4/@9/F3_04.tif </t>
  </si>
  <si>
    <t xml:space="preserve"> 40.0734 </t>
  </si>
  <si>
    <t xml:space="preserve">C:\Users\andre\Desktop\REACTIV CEFAS\Prochloraz\Prochloraz/20201210_Cefas_Test9_Run3/Plate 4/@9/G3_01.tif </t>
  </si>
  <si>
    <t xml:space="preserve"> 9062.9258 </t>
  </si>
  <si>
    <t xml:space="preserve"> 44.0215 </t>
  </si>
  <si>
    <t xml:space="preserve">C:\Users\andre\Desktop\REACTIV CEFAS\Prochloraz\Prochloraz/20201210_Cefas_Test9_Run3/Plate 4/@9/G3_02.tif </t>
  </si>
  <si>
    <t xml:space="preserve"> 3568.9326 </t>
  </si>
  <si>
    <t xml:space="preserve"> 42.9818 </t>
  </si>
  <si>
    <t>C:\Users\andre\Desktop\REACTIV CEFAS\Prochloraz\Prochloraz/20201210_Cefas_Test9_Run3/Plate 4/@9/G3_03- exclu.tif</t>
  </si>
  <si>
    <t>C:\Users\andre\Desktop\REACTIV CEFAS\Prochloraz\Prochloraz/20201210_Cefas_Test9_Run3/Plate 4/@9/G3_04- exclu.tif</t>
  </si>
  <si>
    <t xml:space="preserve">C:\Users\andre\Desktop\REACTIV CEFAS\Prochloraz\Prochloraz/20201210_Cefas_Test9_Run3/Plate 4/@9/H3_01.tif </t>
  </si>
  <si>
    <t xml:space="preserve"> 33.75 </t>
  </si>
  <si>
    <t xml:space="preserve">C:\Users\andre\Desktop\REACTIV CEFAS\Prochloraz\Prochloraz/20201210_Cefas_Test9_Run3/Plate 4/@9/H3_02.tif </t>
  </si>
  <si>
    <t xml:space="preserve"> 35.2933 </t>
  </si>
  <si>
    <t xml:space="preserve">C:\Users\andre\Desktop\REACTIV CEFAS\Prochloraz\Prochloraz/20201210_Cefas_Test9_Run3/Plate 4/@9/H3_03.tif </t>
  </si>
  <si>
    <t xml:space="preserve">C:\Users\andre\Desktop\REACTIV CEFAS\Prochloraz\Prochloraz/20201210_Cefas_Test9_Run3/Plate 4/@9/H3_04.tif </t>
  </si>
  <si>
    <t xml:space="preserve">C:\Users\andre\Desktop\REACTIV CEFAS\Prochloraz\Prochloraz/20201210_Cefas_Test9_Run3/Plate 4/@9/ </t>
  </si>
  <si>
    <t xml:space="preserve"> 38.6565 </t>
  </si>
  <si>
    <t xml:space="preserve"> 9.4266 </t>
  </si>
  <si>
    <t xml:space="preserve"> 289990.562 </t>
  </si>
  <si>
    <t xml:space="preserve"> 247113.212 </t>
  </si>
  <si>
    <t xml:space="preserve">C:\Users\andre\Desktop\REACTIV CEFAS\Prochloraz\Prochloraz/20201219_Cefas_Test10_Run2/Plate 1/@1/A10_01.tif </t>
  </si>
  <si>
    <t xml:space="preserve"> 13691.7233 </t>
  </si>
  <si>
    <t xml:space="preserve"> 38.6272 </t>
  </si>
  <si>
    <t xml:space="preserve">C:\Users\andre\Desktop\REACTIV CEFAS\Prochloraz\Prochloraz/20201219_Cefas_Test10_Run2/Plate 1/@1/A10_02.tif </t>
  </si>
  <si>
    <t xml:space="preserve"> 12177.6307 </t>
  </si>
  <si>
    <t xml:space="preserve"> 37.3179 </t>
  </si>
  <si>
    <t xml:space="preserve">C:\Users\andre\Desktop\REACTIV CEFAS\Prochloraz\Prochloraz/20201219_Cefas_Test10_Run2/Plate 1/@1/A10_03.tif </t>
  </si>
  <si>
    <t xml:space="preserve"> 35.7002 </t>
  </si>
  <si>
    <t xml:space="preserve">C:\Users\andre\Desktop\REACTIV CEFAS\Prochloraz\Prochloraz/20201219_Cefas_Test10_Run2/Plate 1/@1/A10_04.tif </t>
  </si>
  <si>
    <t xml:space="preserve"> 648.8968 </t>
  </si>
  <si>
    <t xml:space="preserve"> 33.5333 </t>
  </si>
  <si>
    <t xml:space="preserve">C:\Users\andre\Desktop\REACTIV CEFAS\Prochloraz\Prochloraz/20201219_Cefas_Test10_Run2/Plate 1/@1/B10_01.tif </t>
  </si>
  <si>
    <t xml:space="preserve"> 9495.5237 </t>
  </si>
  <si>
    <t xml:space="preserve"> 41.9385 </t>
  </si>
  <si>
    <t xml:space="preserve">C:\Users\andre\Desktop\REACTIV CEFAS\Prochloraz\Prochloraz/20201219_Cefas_Test10_Run2/Plate 1/@1/B10_02.tif </t>
  </si>
  <si>
    <t xml:space="preserve"> 8781.7372 </t>
  </si>
  <si>
    <t xml:space="preserve"> 41.3768 </t>
  </si>
  <si>
    <t xml:space="preserve">C:\Users\andre\Desktop\REACTIV CEFAS\Prochloraz\Prochloraz/20201219_Cefas_Test10_Run2/Plate 1/@1/B10_03.tif </t>
  </si>
  <si>
    <t xml:space="preserve"> 7743.5023 </t>
  </si>
  <si>
    <t xml:space="preserve"> 42.0698 </t>
  </si>
  <si>
    <t xml:space="preserve">C:\Users\andre\Desktop\REACTIV CEFAS\Prochloraz\Prochloraz/20201219_Cefas_Test10_Run2/Plate 1/@1/B10_04.tif </t>
  </si>
  <si>
    <t xml:space="preserve">C:\Users\andre\Desktop\REACTIV CEFAS\Prochloraz\Prochloraz/20201219_Cefas_Test10_Run2/Plate 1/@1/C10_01.tif </t>
  </si>
  <si>
    <t xml:space="preserve"> 38.4903 </t>
  </si>
  <si>
    <t xml:space="preserve">C:\Users\andre\Desktop\REACTIV CEFAS\Prochloraz\Prochloraz/20201219_Cefas_Test10_Run2/Plate 1/@1/C10_02.tif </t>
  </si>
  <si>
    <t xml:space="preserve"> 8370.7692 </t>
  </si>
  <si>
    <t xml:space="preserve"> 36.7804 </t>
  </si>
  <si>
    <t xml:space="preserve">C:\Users\andre\Desktop\REACTIV CEFAS\Prochloraz\Prochloraz/20201219_Cefas_Test10_Run2/Plate 1/@1/C10_03.tif </t>
  </si>
  <si>
    <t xml:space="preserve"> 36.7752 </t>
  </si>
  <si>
    <t xml:space="preserve">C:\Users\andre\Desktop\REACTIV CEFAS\Prochloraz\Prochloraz/20201219_Cefas_Test10_Run2/Plate 1/@1/C10_04.tif </t>
  </si>
  <si>
    <t xml:space="preserve"> 38.4106 </t>
  </si>
  <si>
    <t>C:\Users\andre\Desktop\REACTIV CEFAS\Prochloraz\Prochloraz/20201219_Cefas_Test10_Run2/Plate 1/@1/D10_01- exclu.tif</t>
  </si>
  <si>
    <t xml:space="preserve">C:\Users\andre\Desktop\REACTIV CEFAS\Prochloraz\Prochloraz/20201219_Cefas_Test10_Run2/Plate 1/@1/D10_02.tif </t>
  </si>
  <si>
    <t xml:space="preserve"> 11853.1823 </t>
  </si>
  <si>
    <t xml:space="preserve"> 41.1989 </t>
  </si>
  <si>
    <t xml:space="preserve">C:\Users\andre\Desktop\REACTIV CEFAS\Prochloraz\Prochloraz/20201219_Cefas_Test10_Run2/Plate 1/@1/D10_03.tif </t>
  </si>
  <si>
    <t xml:space="preserve"> 37.1426 </t>
  </si>
  <si>
    <t xml:space="preserve">C:\Users\andre\Desktop\REACTIV CEFAS\Prochloraz\Prochloraz/20201219_Cefas_Test10_Run2/Plate 1/@1/D10_04.tif </t>
  </si>
  <si>
    <t xml:space="preserve"> 9171.0753 </t>
  </si>
  <si>
    <t xml:space="preserve"> 43.5802 </t>
  </si>
  <si>
    <t xml:space="preserve">C:\Users\andre\Desktop\REACTIV CEFAS\Prochloraz\Prochloraz/20201219_Cefas_Test10_Run2/Plate 1/@1/E10_01.tif </t>
  </si>
  <si>
    <t xml:space="preserve"> 43.2211 </t>
  </si>
  <si>
    <t xml:space="preserve">C:\Users\andre\Desktop\REACTIV CEFAS\Prochloraz\Prochloraz/20201219_Cefas_Test10_Run2/Plate 1/@1/E10_02.tif </t>
  </si>
  <si>
    <t xml:space="preserve"> 40.7208 </t>
  </si>
  <si>
    <t xml:space="preserve">C:\Users\andre\Desktop\REACTIV CEFAS\Prochloraz\Prochloraz/20201219_Cefas_Test10_Run2/Plate 1/@1/E10_03.tif </t>
  </si>
  <si>
    <t xml:space="preserve"> 40.8755 </t>
  </si>
  <si>
    <t xml:space="preserve">C:\Users\andre\Desktop\REACTIV CEFAS\Prochloraz\Prochloraz/20201219_Cefas_Test10_Run2/Plate 1/@1/E10_04.tif </t>
  </si>
  <si>
    <t xml:space="preserve"> 42.0848 </t>
  </si>
  <si>
    <t xml:space="preserve">C:\Users\andre\Desktop\REACTIV CEFAS\Prochloraz\Prochloraz/20201219_Cefas_Test10_Run2/Plate 1/@1/F10_01.tif </t>
  </si>
  <si>
    <t xml:space="preserve"> 14621.8088 </t>
  </si>
  <si>
    <t xml:space="preserve"> 43.8491 </t>
  </si>
  <si>
    <t xml:space="preserve">C:\Users\andre\Desktop\REACTIV CEFAS\Prochloraz\Prochloraz/20201219_Cefas_Test10_Run2/Plate 1/@1/F10_02.tif </t>
  </si>
  <si>
    <t xml:space="preserve"> 42.2933 </t>
  </si>
  <si>
    <t xml:space="preserve">C:\Users\andre\Desktop\REACTIV CEFAS\Prochloraz\Prochloraz/20201219_Cefas_Test10_Run2/Plate 1/@1/F10_03.tif </t>
  </si>
  <si>
    <t xml:space="preserve">C:\Users\andre\Desktop\REACTIV CEFAS\Prochloraz\Prochloraz/20201219_Cefas_Test10_Run2/Plate 1/@1/F10_04.tif </t>
  </si>
  <si>
    <t xml:space="preserve"> 45.3118 </t>
  </si>
  <si>
    <t xml:space="preserve">C:\Users\andre\Desktop\REACTIV CEFAS\Prochloraz\Prochloraz/20201219_Cefas_Test10_Run2/Plate 1/@1/G10_01.tif </t>
  </si>
  <si>
    <t xml:space="preserve"> 41.3121 </t>
  </si>
  <si>
    <t xml:space="preserve">C:\Users\andre\Desktop\REACTIV CEFAS\Prochloraz\Prochloraz/20201219_Cefas_Test10_Run2/Plate 1/@1/G10_02.tif </t>
  </si>
  <si>
    <t xml:space="preserve"> 43.6978 </t>
  </si>
  <si>
    <t xml:space="preserve">C:\Users\andre\Desktop\REACTIV CEFAS\Prochloraz\Prochloraz/20201219_Cefas_Test10_Run2/Plate 1/@1/G10_03.tif </t>
  </si>
  <si>
    <t xml:space="preserve"> 12264.1503 </t>
  </si>
  <si>
    <t xml:space="preserve"> 43.6014 </t>
  </si>
  <si>
    <t xml:space="preserve">C:\Users\andre\Desktop\REACTIV CEFAS\Prochloraz\Prochloraz/20201219_Cefas_Test10_Run2/Plate 1/@1/G10_04.tif </t>
  </si>
  <si>
    <t xml:space="preserve"> 8457.2888 </t>
  </si>
  <si>
    <t xml:space="preserve"> 40.3683 </t>
  </si>
  <si>
    <t xml:space="preserve">C:\Users\andre\Desktop\REACTIV CEFAS\Prochloraz\Prochloraz/20201219_Cefas_Test10_Run2/Plate 1/@1/H10_01.tif </t>
  </si>
  <si>
    <t xml:space="preserve"> 37.9878 </t>
  </si>
  <si>
    <t xml:space="preserve">C:\Users\andre\Desktop\REACTIV CEFAS\Prochloraz\Prochloraz/20201219_Cefas_Test10_Run2/Plate 1/@1/H10_02.tif </t>
  </si>
  <si>
    <t xml:space="preserve"> 38.8277 </t>
  </si>
  <si>
    <t xml:space="preserve">C:\Users\andre\Desktop\REACTIV CEFAS\Prochloraz\Prochloraz/20201219_Cefas_Test10_Run2/Plate 1/@1/H10_03.tif </t>
  </si>
  <si>
    <t xml:space="preserve"> 39.1003 </t>
  </si>
  <si>
    <t xml:space="preserve">C:\Users\andre\Desktop\REACTIV CEFAS\Prochloraz\Prochloraz/20201219_Cefas_Test10_Run2/Plate 1/@1/H10_04.tif </t>
  </si>
  <si>
    <t xml:space="preserve">C:\Users\andre\Desktop\REACTIV CEFAS\Prochloraz\Prochloraz/20201219_Cefas_Test10_Run2/Plate 1/@1/ </t>
  </si>
  <si>
    <t xml:space="preserve"> 38.4022 </t>
  </si>
  <si>
    <t xml:space="preserve"> 7.8314 </t>
  </si>
  <si>
    <t xml:space="preserve"> 342960.219 </t>
  </si>
  <si>
    <t xml:space="preserve"> 161574.935 </t>
  </si>
  <si>
    <t xml:space="preserve">C:\Users\andre\Desktop\REACTIV CEFAS\Prochloraz\Prochloraz/20201219_Cefas_Test10_Run2/Plate 1/@13/A8_01.tif </t>
  </si>
  <si>
    <t xml:space="preserve"> 21218.9266 </t>
  </si>
  <si>
    <t xml:space="preserve"> 36.7156 </t>
  </si>
  <si>
    <t xml:space="preserve">C:\Users\andre\Desktop\REACTIV CEFAS\Prochloraz\Prochloraz/20201219_Cefas_Test10_Run2/Plate 1/@13/A8_02.tif </t>
  </si>
  <si>
    <t xml:space="preserve"> 25847.7241 </t>
  </si>
  <si>
    <t xml:space="preserve"> 39.1121 </t>
  </si>
  <si>
    <t xml:space="preserve">C:\Users\andre\Desktop\REACTIV CEFAS\Prochloraz\Prochloraz/20201219_Cefas_Test10_Run2/Plate 1/@13/A8_03.tif </t>
  </si>
  <si>
    <t xml:space="preserve"> 23079.0976 </t>
  </si>
  <si>
    <t xml:space="preserve"> 36.1949 </t>
  </si>
  <si>
    <t xml:space="preserve">C:\Users\andre\Desktop\REACTIV CEFAS\Prochloraz\Prochloraz/20201219_Cefas_Test10_Run2/Plate 1/@13/A8_04.tif </t>
  </si>
  <si>
    <t xml:space="preserve"> 32552.9914 </t>
  </si>
  <si>
    <t xml:space="preserve"> 38.6512 </t>
  </si>
  <si>
    <t xml:space="preserve">C:\Users\andre\Desktop\REACTIV CEFAS\Prochloraz\Prochloraz/20201219_Cefas_Test10_Run2/Plate 1/@13/B8_01.tif </t>
  </si>
  <si>
    <t xml:space="preserve"> 62229.2068 </t>
  </si>
  <si>
    <t xml:space="preserve"> 40.2218 </t>
  </si>
  <si>
    <t xml:space="preserve">C:\Users\andre\Desktop\REACTIV CEFAS\Prochloraz\Prochloraz/20201219_Cefas_Test10_Run2/Plate 1/@13/B8_02.tif </t>
  </si>
  <si>
    <t xml:space="preserve"> 67074.3032 </t>
  </si>
  <si>
    <t xml:space="preserve"> 41.3193 </t>
  </si>
  <si>
    <t xml:space="preserve">C:\Users\andre\Desktop\REACTIV CEFAS\Prochloraz\Prochloraz/20201219_Cefas_Test10_Run2/Plate 1/@13/B8_03.tif </t>
  </si>
  <si>
    <t xml:space="preserve"> 66511.926 </t>
  </si>
  <si>
    <t xml:space="preserve"> 40.5207 </t>
  </si>
  <si>
    <t xml:space="preserve">C:\Users\andre\Desktop\REACTIV CEFAS\Prochloraz\Prochloraz/20201219_Cefas_Test10_Run2/Plate 1/@13/B8_04.tif </t>
  </si>
  <si>
    <t xml:space="preserve"> 59330.801 </t>
  </si>
  <si>
    <t xml:space="preserve"> 41.9103 </t>
  </si>
  <si>
    <t xml:space="preserve">C:\Users\andre\Desktop\REACTIV CEFAS\Prochloraz\Prochloraz/20201219_Cefas_Test10_Run2/Plate 1/@13/C8_01.tif </t>
  </si>
  <si>
    <t xml:space="preserve"> 58660.2742 </t>
  </si>
  <si>
    <t xml:space="preserve"> 37.4491 </t>
  </si>
  <si>
    <t xml:space="preserve">C:\Users\andre\Desktop\REACTIV CEFAS\Prochloraz\Prochloraz/20201219_Cefas_Test10_Run2/Plate 1/@13/C8_02.tif </t>
  </si>
  <si>
    <t xml:space="preserve"> 61666.8296 </t>
  </si>
  <si>
    <t xml:space="preserve"> 37.9362 </t>
  </si>
  <si>
    <t xml:space="preserve">C:\Users\andre\Desktop\REACTIV CEFAS\Prochloraz\Prochloraz/20201219_Cefas_Test10_Run2/Plate 1/@13/C8_03.tif </t>
  </si>
  <si>
    <t xml:space="preserve"> 46698.9425 </t>
  </si>
  <si>
    <t xml:space="preserve"> 37.9305 </t>
  </si>
  <si>
    <t xml:space="preserve">C:\Users\andre\Desktop\REACTIV CEFAS\Prochloraz\Prochloraz/20201219_Cefas_Test10_Run2/Plate 1/@13/C8_04.tif </t>
  </si>
  <si>
    <t xml:space="preserve"> 54637.1138 </t>
  </si>
  <si>
    <t xml:space="preserve"> 36.9865 </t>
  </si>
  <si>
    <t xml:space="preserve">C:\Users\andre\Desktop\REACTIV CEFAS\Prochloraz\Prochloraz/20201219_Cefas_Test10_Run2/Plate 1/@13/D8_01.tif </t>
  </si>
  <si>
    <t xml:space="preserve"> 72308.7377 </t>
  </si>
  <si>
    <t xml:space="preserve"> 47.2629 </t>
  </si>
  <si>
    <t xml:space="preserve">C:\Users\andre\Desktop\REACTIV CEFAS\Prochloraz\Prochloraz/20201219_Cefas_Test10_Run2/Plate 1/@13/D8_02.tif </t>
  </si>
  <si>
    <t xml:space="preserve"> 66403.7765 </t>
  </si>
  <si>
    <t xml:space="preserve"> 44.1124 </t>
  </si>
  <si>
    <t xml:space="preserve">C:\Users\andre\Desktop\REACTIV CEFAS\Prochloraz\Prochloraz/20201219_Cefas_Test10_Run2/Plate 1/@13/D8_03.tif </t>
  </si>
  <si>
    <t xml:space="preserve"> 65192.5024 </t>
  </si>
  <si>
    <t xml:space="preserve"> 44.6407 </t>
  </si>
  <si>
    <t xml:space="preserve">C:\Users\andre\Desktop\REACTIV CEFAS\Prochloraz\Prochloraz/20201219_Cefas_Test10_Run2/Plate 1/@13/D8_04.tif </t>
  </si>
  <si>
    <t xml:space="preserve"> 48.0373 </t>
  </si>
  <si>
    <t xml:space="preserve">C:\Users\andre\Desktop\REACTIV CEFAS\Prochloraz\Prochloraz/20201219_Cefas_Test10_Run2/Plate 1/@13/E8_01.tif </t>
  </si>
  <si>
    <t xml:space="preserve"> 16373.8302 </t>
  </si>
  <si>
    <t xml:space="preserve"> 32.8587 </t>
  </si>
  <si>
    <t xml:space="preserve">C:\Users\andre\Desktop\REACTIV CEFAS\Prochloraz\Prochloraz/20201219_Cefas_Test10_Run2/Plate 1/@13/E8_02.tif </t>
  </si>
  <si>
    <t xml:space="preserve"> 21802.9338 </t>
  </si>
  <si>
    <t xml:space="preserve"> 35.0694 </t>
  </si>
  <si>
    <t xml:space="preserve">C:\Users\andre\Desktop\REACTIV CEFAS\Prochloraz\Prochloraz/20201219_Cefas_Test10_Run2/Plate 1/@13/E8_03.tif </t>
  </si>
  <si>
    <t xml:space="preserve"> 34780.8706 </t>
  </si>
  <si>
    <t xml:space="preserve"> 38.5572 </t>
  </si>
  <si>
    <t xml:space="preserve">C:\Users\andre\Desktop\REACTIV CEFAS\Prochloraz\Prochloraz/20201219_Cefas_Test10_Run2/Plate 1/@13/E8_04.tif </t>
  </si>
  <si>
    <t xml:space="preserve"> 27751.1548 </t>
  </si>
  <si>
    <t xml:space="preserve"> 37.5113 </t>
  </si>
  <si>
    <t xml:space="preserve">C:\Users\andre\Desktop\REACTIV CEFAS\Prochloraz\Prochloraz/20201219_Cefas_Test10_Run2/Plate 1/@13/F8_01.tif </t>
  </si>
  <si>
    <t xml:space="preserve"> 82950.6459 </t>
  </si>
  <si>
    <t xml:space="preserve"> 40.399 </t>
  </si>
  <si>
    <t xml:space="preserve">C:\Users\andre\Desktop\REACTIV CEFAS\Prochloraz\Prochloraz/20201219_Cefas_Test10_Run2/Plate 1/@13/F8_02.tif </t>
  </si>
  <si>
    <t xml:space="preserve"> 67961.1289 </t>
  </si>
  <si>
    <t xml:space="preserve"> 38.5401 </t>
  </si>
  <si>
    <t xml:space="preserve">C:\Users\andre\Desktop\REACTIV CEFAS\Prochloraz\Prochloraz/20201219_Cefas_Test10_Run2/Plate 1/@13/F8_03.tif </t>
  </si>
  <si>
    <t xml:space="preserve"> 38.503 </t>
  </si>
  <si>
    <t xml:space="preserve">C:\Users\andre\Desktop\REACTIV CEFAS\Prochloraz\Prochloraz/20201219_Cefas_Test10_Run2/Plate 1/@13/F8_04.tif </t>
  </si>
  <si>
    <t xml:space="preserve"> 73822.8304 </t>
  </si>
  <si>
    <t xml:space="preserve"> 37.792 </t>
  </si>
  <si>
    <t xml:space="preserve">C:\Users\andre\Desktop\REACTIV CEFAS\Prochloraz\Prochloraz/20201219_Cefas_Test10_Run2/Plate 1/@13/G8_01.tif </t>
  </si>
  <si>
    <t xml:space="preserve"> 56951.5126 </t>
  </si>
  <si>
    <t xml:space="preserve"> 36.9833 </t>
  </si>
  <si>
    <t xml:space="preserve">C:\Users\andre\Desktop\REACTIV CEFAS\Prochloraz\Prochloraz/20201219_Cefas_Test10_Run2/Plate 1/@13/G8_02.tif </t>
  </si>
  <si>
    <t xml:space="preserve"> 37.741 </t>
  </si>
  <si>
    <t xml:space="preserve">C:\Users\andre\Desktop\REACTIV CEFAS\Prochloraz\Prochloraz/20201219_Cefas_Test10_Run2/Plate 1/@13/G8_03.tif </t>
  </si>
  <si>
    <t xml:space="preserve"> 69972.7091 </t>
  </si>
  <si>
    <t xml:space="preserve"> 41.2117 </t>
  </si>
  <si>
    <t xml:space="preserve">C:\Users\andre\Desktop\REACTIV CEFAS\Prochloraz\Prochloraz/20201219_Cefas_Test10_Run2/Plate 1/@13/G8_04.tif </t>
  </si>
  <si>
    <t xml:space="preserve"> 68026.0186 </t>
  </si>
  <si>
    <t xml:space="preserve"> 39.8124 </t>
  </si>
  <si>
    <t xml:space="preserve">C:\Users\andre\Desktop\REACTIV CEFAS\Prochloraz\Prochloraz/20201219_Cefas_Test10_Run2/Plate 1/@13/H8_01.tif </t>
  </si>
  <si>
    <t xml:space="preserve"> 36.6362 </t>
  </si>
  <si>
    <t xml:space="preserve">C:\Users\andre\Desktop\REACTIV CEFAS\Prochloraz\Prochloraz/20201219_Cefas_Test10_Run2/Plate 1/@13/H8_02.tif </t>
  </si>
  <si>
    <t xml:space="preserve"> 59374.0608 </t>
  </si>
  <si>
    <t xml:space="preserve"> 36.8933 </t>
  </si>
  <si>
    <t xml:space="preserve">C:\Users\andre\Desktop\REACTIV CEFAS\Prochloraz\Prochloraz/20201219_Cefas_Test10_Run2/Plate 1/@13/H8_03.tif </t>
  </si>
  <si>
    <t xml:space="preserve"> 69994.339 </t>
  </si>
  <si>
    <t xml:space="preserve"> 40.204 </t>
  </si>
  <si>
    <t xml:space="preserve">C:\Users\andre\Desktop\REACTIV CEFAS\Prochloraz\Prochloraz/20201219_Cefas_Test10_Run2/Plate 1/@13/H8_04.tif </t>
  </si>
  <si>
    <t xml:space="preserve"> 65387.1715 </t>
  </si>
  <si>
    <t xml:space="preserve"> 38.3735 </t>
  </si>
  <si>
    <t xml:space="preserve">C:\Users\andre\Desktop\REACTIV CEFAS\Prochloraz\Prochloraz/20201219_Cefas_Test10_Run2/Plate 1/@13/ </t>
  </si>
  <si>
    <t xml:space="preserve"> 39.2527 </t>
  </si>
  <si>
    <t xml:space="preserve"> 3.2528 </t>
  </si>
  <si>
    <t xml:space="preserve"> 2178795.56 </t>
  </si>
  <si>
    <t xml:space="preserve"> 828316.915 </t>
  </si>
  <si>
    <t xml:space="preserve">C:\Users\andre\Desktop\REACTIV CEFAS\Prochloraz\Prochloraz/20201219_Cefas_Test10_Run2/Plate 1/@14/E9_01.tif </t>
  </si>
  <si>
    <t xml:space="preserve"> 42221.5543 </t>
  </si>
  <si>
    <t xml:space="preserve"> 35.4293 </t>
  </si>
  <si>
    <t xml:space="preserve">C:\Users\andre\Desktop\REACTIV CEFAS\Prochloraz\Prochloraz/20201219_Cefas_Test10_Run2/Plate 1/@14/E9_02.tif </t>
  </si>
  <si>
    <t xml:space="preserve"> 35.3396 </t>
  </si>
  <si>
    <t xml:space="preserve">C:\Users\andre\Desktop\REACTIV CEFAS\Prochloraz\Prochloraz/20201219_Cefas_Test10_Run2/Plate 1/@14/E9_03.tif </t>
  </si>
  <si>
    <t xml:space="preserve"> 39712.4865 </t>
  </si>
  <si>
    <t xml:space="preserve"> 37.592 </t>
  </si>
  <si>
    <t xml:space="preserve">C:\Users\andre\Desktop\REACTIV CEFAS\Prochloraz\Prochloraz/20201219_Cefas_Test10_Run2/Plate 1/@14/E9_04.tif </t>
  </si>
  <si>
    <t xml:space="preserve"> 33612.8563 </t>
  </si>
  <si>
    <t xml:space="preserve"> 35.6165 </t>
  </si>
  <si>
    <t xml:space="preserve">C:\Users\andre\Desktop\REACTIV CEFAS\Prochloraz\Prochloraz/20201219_Cefas_Test10_Run2/Plate 1/@14/F9_01.tif </t>
  </si>
  <si>
    <t xml:space="preserve"> 59438.9504 </t>
  </si>
  <si>
    <t xml:space="preserve"> 42.3406 </t>
  </si>
  <si>
    <t xml:space="preserve">C:\Users\andre\Desktop\REACTIV CEFAS\Prochloraz\Prochloraz/20201219_Cefas_Test10_Run2/Plate 1/@14/F9_02.tif </t>
  </si>
  <si>
    <t xml:space="preserve"> 67247.3424 </t>
  </si>
  <si>
    <t xml:space="preserve"> 46.8344 </t>
  </si>
  <si>
    <t xml:space="preserve">C:\Users\andre\Desktop\REACTIV CEFAS\Prochloraz\Prochloraz/20201219_Cefas_Test10_Run2/Plate 1/@14/F9_03.tif </t>
  </si>
  <si>
    <t xml:space="preserve"> 59698.5092 </t>
  </si>
  <si>
    <t xml:space="preserve"> 42.8203 </t>
  </si>
  <si>
    <t xml:space="preserve">C:\Users\andre\Desktop\REACTIV CEFAS\Prochloraz\Prochloraz/20201219_Cefas_Test10_Run2/Plate 1/@14/F9_04.tif </t>
  </si>
  <si>
    <t xml:space="preserve"> 69756.4102 </t>
  </si>
  <si>
    <t xml:space="preserve"> 43.1563 </t>
  </si>
  <si>
    <t xml:space="preserve">C:\Users\andre\Desktop\REACTIV CEFAS\Prochloraz\Prochloraz/20201219_Cefas_Test10_Run2/Plate 1/@14/G9_01.tif </t>
  </si>
  <si>
    <t xml:space="preserve"> 63094.4026 </t>
  </si>
  <si>
    <t xml:space="preserve"> 48.1697 </t>
  </si>
  <si>
    <t xml:space="preserve">C:\Users\andre\Desktop\REACTIV CEFAS\Prochloraz\Prochloraz/20201219_Cefas_Test10_Run2/Plate 1/@14/G9_02.tif </t>
  </si>
  <si>
    <t xml:space="preserve"> 65214.1323 </t>
  </si>
  <si>
    <t xml:space="preserve"> 48.0083 </t>
  </si>
  <si>
    <t xml:space="preserve">C:\Users\andre\Desktop\REACTIV CEFAS\Prochloraz\Prochloraz/20201219_Cefas_Test10_Run2/Plate 1/@14/G9_03.tif </t>
  </si>
  <si>
    <t xml:space="preserve"> 65084.3529 </t>
  </si>
  <si>
    <t xml:space="preserve"> 44.9093 </t>
  </si>
  <si>
    <t xml:space="preserve">C:\Users\andre\Desktop\REACTIV CEFAS\Prochloraz\Prochloraz/20201219_Cefas_Test10_Run2/Plate 1/@14/G9_04.tif </t>
  </si>
  <si>
    <t xml:space="preserve"> 72200.5883 </t>
  </si>
  <si>
    <t xml:space="preserve"> 43.8805 </t>
  </si>
  <si>
    <t xml:space="preserve">C:\Users\andre\Desktop\REACTIV CEFAS\Prochloraz\Prochloraz/20201219_Cefas_Test10_Run2/Plate 1/@14/H9_01.tif </t>
  </si>
  <si>
    <t xml:space="preserve"> 39.6941 </t>
  </si>
  <si>
    <t xml:space="preserve">C:\Users\andre\Desktop\REACTIV CEFAS\Prochloraz\Prochloraz/20201219_Cefas_Test10_Run2/Plate 1/@14/H9_02.tif </t>
  </si>
  <si>
    <t xml:space="preserve"> 62358.9862 </t>
  </si>
  <si>
    <t xml:space="preserve"> 39.795 </t>
  </si>
  <si>
    <t xml:space="preserve">C:\Users\andre\Desktop\REACTIV CEFAS\Prochloraz\Prochloraz/20201219_Cefas_Test10_Run2/Plate 1/@14/H9_03.tif </t>
  </si>
  <si>
    <t xml:space="preserve"> 68177.4279 </t>
  </si>
  <si>
    <t xml:space="preserve"> 41.5006 </t>
  </si>
  <si>
    <t xml:space="preserve">C:\Users\andre\Desktop\REACTIV CEFAS\Prochloraz\Prochloraz/20201219_Cefas_Test10_Run2/Plate 1/@14/H9_04.tif </t>
  </si>
  <si>
    <t xml:space="preserve"> 67550.1609 </t>
  </si>
  <si>
    <t xml:space="preserve"> 41.1082 </t>
  </si>
  <si>
    <t xml:space="preserve">C:\Users\andre\Desktop\REACTIV CEFAS\Prochloraz\Prochloraz/20201219_Cefas_Test10_Run2/Plate 1/@14/ </t>
  </si>
  <si>
    <t xml:space="preserve"> 41.6372 </t>
  </si>
  <si>
    <t xml:space="preserve"> 4.2308 </t>
  </si>
  <si>
    <t xml:space="preserve"> 2451740.44 </t>
  </si>
  <si>
    <t xml:space="preserve"> 744793.909 </t>
  </si>
  <si>
    <t xml:space="preserve">C:\Users\andre\Desktop\REACTIV CEFAS\Prochloraz\Prochloraz/20201219_Cefas_Test10_Run2/Plate 1/@15/A11_01.tif </t>
  </si>
  <si>
    <t xml:space="preserve"> 87817.3722 </t>
  </si>
  <si>
    <t xml:space="preserve"> 46.5397 </t>
  </si>
  <si>
    <t xml:space="preserve">C:\Users\andre\Desktop\REACTIV CEFAS\Prochloraz\Prochloraz/20201219_Cefas_Test10_Run2/Plate 1/@15/A11_02.tif </t>
  </si>
  <si>
    <t xml:space="preserve"> 87990.4114 </t>
  </si>
  <si>
    <t xml:space="preserve"> 47.0656 </t>
  </si>
  <si>
    <t xml:space="preserve">C:\Users\andre\Desktop\REACTIV CEFAS\Prochloraz\Prochloraz/20201219_Cefas_Test10_Run2/Plate 1/@15/A11_03.tif </t>
  </si>
  <si>
    <t xml:space="preserve"> 93441.1448 </t>
  </si>
  <si>
    <t xml:space="preserve"> 50.7331 </t>
  </si>
  <si>
    <t xml:space="preserve">C:\Users\andre\Desktop\REACTIV CEFAS\Prochloraz\Prochloraz/20201219_Cefas_Test10_Run2/Plate 1/@15/A11_04.tif </t>
  </si>
  <si>
    <t xml:space="preserve"> 85719.2724 </t>
  </si>
  <si>
    <t xml:space="preserve"> 44.8844 </t>
  </si>
  <si>
    <t xml:space="preserve">C:\Users\andre\Desktop\REACTIV CEFAS\Prochloraz\Prochloraz/20201219_Cefas_Test10_Run2/Plate 1/@15/B11_01.tif </t>
  </si>
  <si>
    <t xml:space="preserve"> 53771.918 </t>
  </si>
  <si>
    <t xml:space="preserve"> 41.8825 </t>
  </si>
  <si>
    <t xml:space="preserve">C:\Users\andre\Desktop\REACTIV CEFAS\Prochloraz\Prochloraz/20201219_Cefas_Test10_Run2/Plate 1/@15/B11_02.tif </t>
  </si>
  <si>
    <t xml:space="preserve"> 44.1186 </t>
  </si>
  <si>
    <t xml:space="preserve">C:\Users\andre\Desktop\REACTIV CEFAS\Prochloraz\Prochloraz/20201219_Cefas_Test10_Run2/Plate 1/@15/B11_03.tif </t>
  </si>
  <si>
    <t xml:space="preserve"> 54334.2953 </t>
  </si>
  <si>
    <t xml:space="preserve"> 44.3854 </t>
  </si>
  <si>
    <t xml:space="preserve">C:\Users\andre\Desktop\REACTIV CEFAS\Prochloraz\Prochloraz/20201219_Cefas_Test10_Run2/Plate 1/@15/B11_04.tif </t>
  </si>
  <si>
    <t xml:space="preserve"> 51068.1812 </t>
  </si>
  <si>
    <t xml:space="preserve"> 42.8306 </t>
  </si>
  <si>
    <t xml:space="preserve">C:\Users\andre\Desktop\REACTIV CEFAS\Prochloraz\Prochloraz/20201219_Cefas_Test10_Run2/Plate 1/@15/C11_01.tif </t>
  </si>
  <si>
    <t xml:space="preserve"> 81285.144 </t>
  </si>
  <si>
    <t xml:space="preserve"> 45.9462 </t>
  </si>
  <si>
    <t xml:space="preserve">C:\Users\andre\Desktop\REACTIV CEFAS\Prochloraz\Prochloraz/20201219_Cefas_Test10_Run2/Plate 1/@15/C11_02.tif </t>
  </si>
  <si>
    <t xml:space="preserve"> 82582.9377 </t>
  </si>
  <si>
    <t xml:space="preserve"> 50.4817 </t>
  </si>
  <si>
    <t xml:space="preserve">C:\Users\andre\Desktop\REACTIV CEFAS\Prochloraz\Prochloraz/20201219_Cefas_Test10_Run2/Plate 1/@15/C11_03.tif </t>
  </si>
  <si>
    <t xml:space="preserve"> 79100.5247 </t>
  </si>
  <si>
    <t xml:space="preserve"> 45.1017 </t>
  </si>
  <si>
    <t xml:space="preserve">C:\Users\andre\Desktop\REACTIV CEFAS\Prochloraz\Prochloraz/20201219_Cefas_Test10_Run2/Plate 1/@15/C11_04.tif </t>
  </si>
  <si>
    <t xml:space="preserve"> 86281.6497 </t>
  </si>
  <si>
    <t xml:space="preserve"> 48.9057 </t>
  </si>
  <si>
    <t xml:space="preserve">C:\Users\andre\Desktop\REACTIV CEFAS\Prochloraz\Prochloraz/20201219_Cefas_Test10_Run2/Plate 1/@15/D11_01.tif </t>
  </si>
  <si>
    <t xml:space="preserve"> 71962.6594 </t>
  </si>
  <si>
    <t xml:space="preserve"> 40.1121 </t>
  </si>
  <si>
    <t xml:space="preserve">C:\Users\andre\Desktop\REACTIV CEFAS\Prochloraz\Prochloraz/20201219_Cefas_Test10_Run2/Plate 1/@15/D11_02.tif </t>
  </si>
  <si>
    <t xml:space="preserve"> 40.8495 </t>
  </si>
  <si>
    <t xml:space="preserve">C:\Users\andre\Desktop\REACTIV CEFAS\Prochloraz\Prochloraz/20201219_Cefas_Test10_Run2/Plate 1/@15/D11_03.tif </t>
  </si>
  <si>
    <t xml:space="preserve"> 75791.1508 </t>
  </si>
  <si>
    <t xml:space="preserve"> 42.3091 </t>
  </si>
  <si>
    <t xml:space="preserve">C:\Users\andre\Desktop\REACTIV CEFAS\Prochloraz\Prochloraz/20201219_Cefas_Test10_Run2/Plate 1/@15/D11_04.tif </t>
  </si>
  <si>
    <t xml:space="preserve"> 66814.7445 </t>
  </si>
  <si>
    <t xml:space="preserve"> 42.1748 </t>
  </si>
  <si>
    <t xml:space="preserve">C:\Users\andre\Desktop\REACTIV CEFAS\Prochloraz\Prochloraz/20201219_Cefas_Test10_Run2/Plate 1/@15/E11_01.tif </t>
  </si>
  <si>
    <t xml:space="preserve"> 87190.1052 </t>
  </si>
  <si>
    <t xml:space="preserve"> 44.2364 </t>
  </si>
  <si>
    <t xml:space="preserve">C:\Users\andre\Desktop\REACTIV CEFAS\Prochloraz\Prochloraz/20201219_Cefas_Test10_Run2/Plate 1/@15/E11_02.tif </t>
  </si>
  <si>
    <t xml:space="preserve"> 87406.4042 </t>
  </si>
  <si>
    <t xml:space="preserve"> 46.8114 </t>
  </si>
  <si>
    <t>C:\Users\andre\Desktop\REACTIV CEFAS\Prochloraz\Prochloraz/20201219_Cefas_Test10_Run2/Plate 1/@15/E11_03- exclu.tif</t>
  </si>
  <si>
    <t xml:space="preserve">C:\Users\andre\Desktop\REACTIV CEFAS\Prochloraz\Prochloraz/20201219_Cefas_Test10_Run2/Plate 1/@15/E11_04.tif </t>
  </si>
  <si>
    <t xml:space="preserve"> 95820.4332 </t>
  </si>
  <si>
    <t xml:space="preserve"> 48.6494 </t>
  </si>
  <si>
    <t xml:space="preserve">C:\Users\andre\Desktop\REACTIV CEFAS\Prochloraz\Prochloraz/20201219_Cefas_Test10_Run2/Plate 1/@15/F11_01.tif </t>
  </si>
  <si>
    <t xml:space="preserve"> 94090.0416 </t>
  </si>
  <si>
    <t xml:space="preserve"> 47.3037 </t>
  </si>
  <si>
    <t xml:space="preserve">C:\Users\andre\Desktop\REACTIV CEFAS\Prochloraz\Prochloraz/20201219_Cefas_Test10_Run2/Plate 1/@15/F11_02.tif </t>
  </si>
  <si>
    <t xml:space="preserve"> 82453.1583 </t>
  </si>
  <si>
    <t xml:space="preserve"> 43.6881 </t>
  </si>
  <si>
    <t xml:space="preserve">C:\Users\andre\Desktop\REACTIV CEFAS\Prochloraz\Prochloraz/20201219_Cefas_Test10_Run2/Plate 1/@15/F11_03.tif </t>
  </si>
  <si>
    <t xml:space="preserve"> 95431.0951 </t>
  </si>
  <si>
    <t xml:space="preserve"> 48.6757 </t>
  </si>
  <si>
    <t xml:space="preserve">C:\Users\andre\Desktop\REACTIV CEFAS\Prochloraz\Prochloraz/20201219_Cefas_Test10_Run2/Plate 1/@15/F11_04.tif </t>
  </si>
  <si>
    <t xml:space="preserve"> 88877.237 </t>
  </si>
  <si>
    <t xml:space="preserve"> 45.0433 </t>
  </si>
  <si>
    <t xml:space="preserve">C:\Users\andre\Desktop\REACTIV CEFAS\Prochloraz\Prochloraz/20201219_Cefas_Test10_Run2/Plate 1/@15/G11_01.tif </t>
  </si>
  <si>
    <t xml:space="preserve"> 70513.4565 </t>
  </si>
  <si>
    <t xml:space="preserve"> 47.6356 </t>
  </si>
  <si>
    <t xml:space="preserve">C:\Users\andre\Desktop\REACTIV CEFAS\Prochloraz\Prochloraz/20201219_Cefas_Test10_Run2/Plate 1/@15/G11_02.tif </t>
  </si>
  <si>
    <t xml:space="preserve"> 63613.5201 </t>
  </si>
  <si>
    <t xml:space="preserve"> 47.5097 </t>
  </si>
  <si>
    <t xml:space="preserve">C:\Users\andre\Desktop\REACTIV CEFAS\Prochloraz\Prochloraz/20201219_Cefas_Test10_Run2/Plate 1/@15/G11_03.tif </t>
  </si>
  <si>
    <t xml:space="preserve"> 51.9304 </t>
  </si>
  <si>
    <t xml:space="preserve">C:\Users\andre\Desktop\REACTIV CEFAS\Prochloraz\Prochloraz/20201219_Cefas_Test10_Run2/Plate 1/@15/G11_04.tif </t>
  </si>
  <si>
    <t xml:space="preserve"> 66793.1146 </t>
  </si>
  <si>
    <t xml:space="preserve"> 45.4705 </t>
  </si>
  <si>
    <t xml:space="preserve">C:\Users\andre\Desktop\REACTIV CEFAS\Prochloraz\Prochloraz/20201219_Cefas_Test10_Run2/Plate 1/@15/H11_01.tif </t>
  </si>
  <si>
    <t xml:space="preserve"> 41.079 </t>
  </si>
  <si>
    <t xml:space="preserve">C:\Users\andre\Desktop\REACTIV CEFAS\Prochloraz\Prochloraz/20201219_Cefas_Test10_Run2/Plate 1/@15/H11_02.tif </t>
  </si>
  <si>
    <t xml:space="preserve"> 63505.3706 </t>
  </si>
  <si>
    <t xml:space="preserve"> 39.908 </t>
  </si>
  <si>
    <t xml:space="preserve">C:\Users\andre\Desktop\REACTIV CEFAS\Prochloraz\Prochloraz/20201219_Cefas_Test10_Run2/Plate 1/@15/H11_03.tif </t>
  </si>
  <si>
    <t xml:space="preserve"> 62077.7976 </t>
  </si>
  <si>
    <t xml:space="preserve"> 39.9693 </t>
  </si>
  <si>
    <t xml:space="preserve">C:\Users\andre\Desktop\REACTIV CEFAS\Prochloraz\Prochloraz/20201219_Cefas_Test10_Run2/Plate 1/@15/H11_04.tif </t>
  </si>
  <si>
    <t xml:space="preserve"> 71227.243 </t>
  </si>
  <si>
    <t xml:space="preserve"> 42.0279 </t>
  </si>
  <si>
    <t xml:space="preserve">C:\Users\andre\Desktop\REACTIV CEFAS\Prochloraz\Prochloraz/20201219_Cefas_Test10_Run2/Plate 1/@15/ </t>
  </si>
  <si>
    <t xml:space="preserve"> 45.276 </t>
  </si>
  <si>
    <t xml:space="preserve"> 3.4122 </t>
  </si>
  <si>
    <t xml:space="preserve"> 3456553.84 </t>
  </si>
  <si>
    <t xml:space="preserve"> 787125.882 </t>
  </si>
  <si>
    <t xml:space="preserve">C:\Users\andre\Desktop\REACTIV CEFAS\Prochloraz\Prochloraz/20201219_Cefas_Test10_Run2/Plate 1/@16/A12_01.tif </t>
  </si>
  <si>
    <t xml:space="preserve"> 39.1769 </t>
  </si>
  <si>
    <t xml:space="preserve">C:\Users\andre\Desktop\REACTIV CEFAS\Prochloraz\Prochloraz/20201219_Cefas_Test10_Run2/Plate 1/@16/A12_02.tif </t>
  </si>
  <si>
    <t xml:space="preserve"> 6878.3065 </t>
  </si>
  <si>
    <t xml:space="preserve"> 37.5629 </t>
  </si>
  <si>
    <t xml:space="preserve">C:\Users\andre\Desktop\REACTIV CEFAS\Prochloraz\Prochloraz/20201219_Cefas_Test10_Run2/Plate 1/@16/A12_03.tif </t>
  </si>
  <si>
    <t xml:space="preserve"> 11939.7018 </t>
  </si>
  <si>
    <t xml:space="preserve"> 40.346 </t>
  </si>
  <si>
    <t xml:space="preserve">C:\Users\andre\Desktop\REACTIV CEFAS\Prochloraz\Prochloraz/20201219_Cefas_Test10_Run2/Plate 1/@16/A12_04.tif </t>
  </si>
  <si>
    <t xml:space="preserve"> 42.292 </t>
  </si>
  <si>
    <t xml:space="preserve">C:\Users\andre\Desktop\REACTIV CEFAS\Prochloraz\Prochloraz/20201219_Cefas_Test10_Run2/Plate 1/@16/B12_01.tif </t>
  </si>
  <si>
    <t xml:space="preserve"> 31.1522 </t>
  </si>
  <si>
    <t xml:space="preserve">C:\Users\andre\Desktop\REACTIV CEFAS\Prochloraz\Prochloraz/20201219_Cefas_Test10_Run2/Plate 1/@16/B12_02.tif </t>
  </si>
  <si>
    <t xml:space="preserve"> 33.9339 </t>
  </si>
  <si>
    <t xml:space="preserve">C:\Users\andre\Desktop\REACTIV CEFAS\Prochloraz\Prochloraz/20201219_Cefas_Test10_Run2/Plate 1/@16/B12_03.tif </t>
  </si>
  <si>
    <t xml:space="preserve"> 34.4533 </t>
  </si>
  <si>
    <t xml:space="preserve">C:\Users\andre\Desktop\REACTIV CEFAS\Prochloraz\Prochloraz/20201219_Cefas_Test10_Run2/Plate 1/@16/B12_04.tif </t>
  </si>
  <si>
    <t xml:space="preserve"> 32.2992 </t>
  </si>
  <si>
    <t xml:space="preserve">C:\Users\andre\Desktop\REACTIV CEFAS\Prochloraz\Prochloraz/20201219_Cefas_Test10_Run2/Plate 1/@16/C12_01.tif </t>
  </si>
  <si>
    <t xml:space="preserve"> 38.4711 </t>
  </si>
  <si>
    <t xml:space="preserve">C:\Users\andre\Desktop\REACTIV CEFAS\Prochloraz\Prochloraz/20201219_Cefas_Test10_Run2/Plate 1/@16/C12_02.tif </t>
  </si>
  <si>
    <t xml:space="preserve"> 35.0839 </t>
  </si>
  <si>
    <t xml:space="preserve">C:\Users\andre\Desktop\REACTIV CEFAS\Prochloraz\Prochloraz/20201219_Cefas_Test10_Run2/Plate 1/@16/C12_03.tif </t>
  </si>
  <si>
    <t xml:space="preserve"> 35.8486 </t>
  </si>
  <si>
    <t xml:space="preserve">C:\Users\andre\Desktop\REACTIV CEFAS\Prochloraz\Prochloraz/20201219_Cefas_Test10_Run2/Plate 1/@16/C12_04.tif </t>
  </si>
  <si>
    <t xml:space="preserve"> 36.3815 </t>
  </si>
  <si>
    <t xml:space="preserve">C:\Users\andre\Desktop\REACTIV CEFAS\Prochloraz\Prochloraz/20201219_Cefas_Test10_Run2/Plate 1/@16/D12_01.tif </t>
  </si>
  <si>
    <t xml:space="preserve"> 10663.5381 </t>
  </si>
  <si>
    <t xml:space="preserve"> 44.4949 </t>
  </si>
  <si>
    <t xml:space="preserve">C:\Users\andre\Desktop\REACTIV CEFAS\Prochloraz\Prochloraz/20201219_Cefas_Test10_Run2/Plate 1/@16/D12_02.tif </t>
  </si>
  <si>
    <t xml:space="preserve"> 11550.3637 </t>
  </si>
  <si>
    <t xml:space="preserve"> 45.8502 </t>
  </si>
  <si>
    <t xml:space="preserve">C:\Users\andre\Desktop\REACTIV CEFAS\Prochloraz\Prochloraz/20201219_Cefas_Test10_Run2/Plate 1/@16/D12_03.tif </t>
  </si>
  <si>
    <t xml:space="preserve"> 11831.5524 </t>
  </si>
  <si>
    <t xml:space="preserve"> 44.4424 </t>
  </si>
  <si>
    <t xml:space="preserve">C:\Users\andre\Desktop\REACTIV CEFAS\Prochloraz\Prochloraz/20201219_Cefas_Test10_Run2/Plate 1/@16/D12_04.tif </t>
  </si>
  <si>
    <t xml:space="preserve"> 37.8174 </t>
  </si>
  <si>
    <t xml:space="preserve">C:\Users\andre\Desktop\REACTIV CEFAS\Prochloraz\Prochloraz/20201219_Cefas_Test10_Run2/Plate 1/@16/E12_01.tif </t>
  </si>
  <si>
    <t xml:space="preserve"> 12804.8976 </t>
  </si>
  <si>
    <t xml:space="preserve"> 46.7568 </t>
  </si>
  <si>
    <t>C:\Users\andre\Desktop\REACTIV CEFAS\Prochloraz\Prochloraz/20201219_Cefas_Test10_Run2/Plate 1/@16/E12_02- exclu.tif</t>
  </si>
  <si>
    <t xml:space="preserve">C:\Users\andre\Desktop\REACTIV CEFAS\Prochloraz\Prochloraz/20201219_Cefas_Test10_Run2/Plate 1/@16/E12_03.tif </t>
  </si>
  <si>
    <t xml:space="preserve"> 40.5561 </t>
  </si>
  <si>
    <t>C:\Users\andre\Desktop\REACTIV CEFAS\Prochloraz\Prochloraz/20201219_Cefas_Test10_Run2/Plate 1/@16/E12_04- exclu.tif</t>
  </si>
  <si>
    <t xml:space="preserve">C:\Users\andre\Desktop\REACTIV CEFAS\Prochloraz\Prochloraz/20201219_Cefas_Test10_Run2/Plate 1/@16/F12_01.tif </t>
  </si>
  <si>
    <t xml:space="preserve"> 39.5374 </t>
  </si>
  <si>
    <t xml:space="preserve">C:\Users\andre\Desktop\REACTIV CEFAS\Prochloraz\Prochloraz/20201219_Cefas_Test10_Run2/Plate 1/@16/F12_02.tif </t>
  </si>
  <si>
    <t xml:space="preserve"> 40.9383 </t>
  </si>
  <si>
    <t xml:space="preserve">C:\Users\andre\Desktop\REACTIV CEFAS\Prochloraz\Prochloraz/20201219_Cefas_Test10_Run2/Plate 1/@16/F12_03.tif </t>
  </si>
  <si>
    <t xml:space="preserve"> 43.2573 </t>
  </si>
  <si>
    <t xml:space="preserve">C:\Users\andre\Desktop\REACTIV CEFAS\Prochloraz\Prochloraz/20201219_Cefas_Test10_Run2/Plate 1/@16/F12_04.tif </t>
  </si>
  <si>
    <t xml:space="preserve"> 39.3835 </t>
  </si>
  <si>
    <t xml:space="preserve">C:\Users\andre\Desktop\REACTIV CEFAS\Prochloraz\Prochloraz/20201219_Cefas_Test10_Run2/Plate 1/@16/G12_01.tif </t>
  </si>
  <si>
    <t xml:space="preserve"> 5191.1747 </t>
  </si>
  <si>
    <t xml:space="preserve"> 34.7542 </t>
  </si>
  <si>
    <t xml:space="preserve">C:\Users\andre\Desktop\REACTIV CEFAS\Prochloraz\Prochloraz/20201219_Cefas_Test10_Run2/Plate 1/@16/G12_02.tif </t>
  </si>
  <si>
    <t xml:space="preserve"> 40.4876 </t>
  </si>
  <si>
    <t>C:\Users\andre\Desktop\REACTIV CEFAS\Prochloraz\Prochloraz/20201219_Cefas_Test10_Run2/Plate 1/@16/G12_03- exclu.tif</t>
  </si>
  <si>
    <t xml:space="preserve">C:\Users\andre\Desktop\REACTIV CEFAS\Prochloraz\Prochloraz/20201219_Cefas_Test10_Run2/Plate 1/@16/G12_04.tif </t>
  </si>
  <si>
    <t xml:space="preserve"> 39.3284 </t>
  </si>
  <si>
    <t xml:space="preserve">C:\Users\andre\Desktop\REACTIV CEFAS\Prochloraz\Prochloraz/20201219_Cefas_Test10_Run2/Plate 1/@16/H12_01.tif </t>
  </si>
  <si>
    <t xml:space="preserve">C:\Users\andre\Desktop\REACTIV CEFAS\Prochloraz\Prochloraz/20201219_Cefas_Test10_Run2/Plate 1/@16/H12_02.tif </t>
  </si>
  <si>
    <t xml:space="preserve"> 38.7659 </t>
  </si>
  <si>
    <t xml:space="preserve">C:\Users\andre\Desktop\REACTIV CEFAS\Prochloraz\Prochloraz/20201219_Cefas_Test10_Run2/Plate 1/@16/H12_03.tif </t>
  </si>
  <si>
    <t xml:space="preserve"> 35.0577 </t>
  </si>
  <si>
    <t xml:space="preserve">C:\Users\andre\Desktop\REACTIV CEFAS\Prochloraz\Prochloraz/20201219_Cefas_Test10_Run2/Plate 1/@16/H12_04.tif </t>
  </si>
  <si>
    <t xml:space="preserve"> 39.5995 </t>
  </si>
  <si>
    <t xml:space="preserve">C:\Users\andre\Desktop\REACTIV CEFAS\Prochloraz\Prochloraz/20201219_Cefas_Test10_Run2/Plate 1/@16/ </t>
  </si>
  <si>
    <t xml:space="preserve"> 38.2927 </t>
  </si>
  <si>
    <t xml:space="preserve"> 8.9437 </t>
  </si>
  <si>
    <t xml:space="preserve"> 336240.031 </t>
  </si>
  <si>
    <t xml:space="preserve"> 246722.619 </t>
  </si>
  <si>
    <t xml:space="preserve">C:\Users\andre\Desktop\REACTIV CEFAS\Prochloraz\Prochloraz/20201219_Cefas_Test10_Run2/Plate 1/@2/A2_01.tif </t>
  </si>
  <si>
    <t xml:space="preserve"> 35.884 </t>
  </si>
  <si>
    <t xml:space="preserve">C:\Users\andre\Desktop\REACTIV CEFAS\Prochloraz\Prochloraz/20201219_Cefas_Test10_Run2/Plate 1/@2/A2_02.tif </t>
  </si>
  <si>
    <t xml:space="preserve"> 10944.7267 </t>
  </si>
  <si>
    <t xml:space="preserve"> 37.67 </t>
  </si>
  <si>
    <t xml:space="preserve">C:\Users\andre\Desktop\REACTIV CEFAS\Prochloraz\Prochloraz/20201219_Cefas_Test10_Run2/Plate 1/@2/A2_03.tif </t>
  </si>
  <si>
    <t xml:space="preserve"> 37.7176 </t>
  </si>
  <si>
    <t>C:\Users\andre\Desktop\REACTIV CEFAS\Prochloraz\Prochloraz/20201219_Cefas_Test10_Run2/Plate 1/@2/A2_04- exclu.tif</t>
  </si>
  <si>
    <t xml:space="preserve">C:\Users\andre\Desktop\REACTIV CEFAS\Prochloraz\Prochloraz/20201219_Cefas_Test10_Run2/Plate 1/@2/B2_01.tif </t>
  </si>
  <si>
    <t xml:space="preserve"> 45.0851 </t>
  </si>
  <si>
    <t xml:space="preserve">C:\Users\andre\Desktop\REACTIV CEFAS\Prochloraz\Prochloraz/20201219_Cefas_Test10_Run2/Plate 1/@2/B2_02.tif </t>
  </si>
  <si>
    <t xml:space="preserve"> 45.3647 </t>
  </si>
  <si>
    <t xml:space="preserve">C:\Users\andre\Desktop\REACTIV CEFAS\Prochloraz\Prochloraz/20201219_Cefas_Test10_Run2/Plate 1/@2/B2_03.tif </t>
  </si>
  <si>
    <t xml:space="preserve"> 31.8571 </t>
  </si>
  <si>
    <t xml:space="preserve">C:\Users\andre\Desktop\REACTIV CEFAS\Prochloraz\Prochloraz/20201219_Cefas_Test10_Run2/Plate 1/@2/B2_04.tif </t>
  </si>
  <si>
    <t xml:space="preserve"> 13259.1254 </t>
  </si>
  <si>
    <t xml:space="preserve"> 42.4649 </t>
  </si>
  <si>
    <t xml:space="preserve">C:\Users\andre\Desktop\REACTIV CEFAS\Prochloraz\Prochloraz/20201219_Cefas_Test10_Run2/Plate 1/@2/C2_01.tif </t>
  </si>
  <si>
    <t xml:space="preserve"> 37.7939 </t>
  </si>
  <si>
    <t xml:space="preserve">C:\Users\andre\Desktop\REACTIV CEFAS\Prochloraz\Prochloraz/20201219_Cefas_Test10_Run2/Plate 1/@2/C2_02.tif </t>
  </si>
  <si>
    <t xml:space="preserve"> 3785.2316 </t>
  </si>
  <si>
    <t xml:space="preserve"> 40.7714 </t>
  </si>
  <si>
    <t xml:space="preserve">C:\Users\andre\Desktop\REACTIV CEFAS\Prochloraz\Prochloraz/20201219_Cefas_Test10_Run2/Plate 1/@2/C2_03.tif </t>
  </si>
  <si>
    <t xml:space="preserve"> 39.5772 </t>
  </si>
  <si>
    <t>C:\Users\andre\Desktop\REACTIV CEFAS\Prochloraz\Prochloraz/20201219_Cefas_Test10_Run2/Plate 1/@2/C2_04- exclu.tif</t>
  </si>
  <si>
    <t xml:space="preserve">C:\Users\andre\Desktop\REACTIV CEFAS\Prochloraz\Prochloraz/20201219_Cefas_Test10_Run2/Plate 1/@2/D2_01.tif </t>
  </si>
  <si>
    <t xml:space="preserve"> 42.5661 </t>
  </si>
  <si>
    <t xml:space="preserve">C:\Users\andre\Desktop\REACTIV CEFAS\Prochloraz\Prochloraz/20201219_Cefas_Test10_Run2/Plate 1/@2/D2_02.tif </t>
  </si>
  <si>
    <t xml:space="preserve"> 33.9072 </t>
  </si>
  <si>
    <t xml:space="preserve">C:\Users\andre\Desktop\REACTIV CEFAS\Prochloraz\Prochloraz/20201219_Cefas_Test10_Run2/Plate 1/@2/D2_03.tif </t>
  </si>
  <si>
    <t xml:space="preserve"> 38.3322 </t>
  </si>
  <si>
    <t xml:space="preserve">C:\Users\andre\Desktop\REACTIV CEFAS\Prochloraz\Prochloraz/20201219_Cefas_Test10_Run2/Plate 1/@2/D2_04.tif </t>
  </si>
  <si>
    <t xml:space="preserve"> 7678.6126 </t>
  </si>
  <si>
    <t xml:space="preserve"> 49.7549 </t>
  </si>
  <si>
    <t xml:space="preserve">C:\Users\andre\Desktop\REACTIV CEFAS\Prochloraz\Prochloraz/20201219_Cefas_Test10_Run2/Plate 1/@2/E2_01.tif </t>
  </si>
  <si>
    <t xml:space="preserve"> 36.7444 </t>
  </si>
  <si>
    <t xml:space="preserve">C:\Users\andre\Desktop\REACTIV CEFAS\Prochloraz\Prochloraz/20201219_Cefas_Test10_Run2/Plate 1/@2/E2_02.tif </t>
  </si>
  <si>
    <t xml:space="preserve"> 35.1233 </t>
  </si>
  <si>
    <t xml:space="preserve">C:\Users\andre\Desktop\REACTIV CEFAS\Prochloraz\Prochloraz/20201219_Cefas_Test10_Run2/Plate 1/@2/E2_03.tif </t>
  </si>
  <si>
    <t xml:space="preserve"> 8284.2496 </t>
  </si>
  <si>
    <t xml:space="preserve"> 36.3681 </t>
  </si>
  <si>
    <t xml:space="preserve">C:\Users\andre\Desktop\REACTIV CEFAS\Prochloraz\Prochloraz/20201219_Cefas_Test10_Run2/Plate 1/@2/E2_04.tif </t>
  </si>
  <si>
    <t xml:space="preserve"> 4347.6088 </t>
  </si>
  <si>
    <t xml:space="preserve"> 35.9751 </t>
  </si>
  <si>
    <t>C:\Users\andre\Desktop\REACTIV CEFAS\Prochloraz\Prochloraz/20201219_Cefas_Test10_Run2/Plate 1/@2/F2_01- exclu.tif</t>
  </si>
  <si>
    <t xml:space="preserve">C:\Users\andre\Desktop\REACTIV CEFAS\Prochloraz\Prochloraz/20201219_Cefas_Test10_Run2/Plate 1/@2/F2_02.tif </t>
  </si>
  <si>
    <t xml:space="preserve">C:\Users\andre\Desktop\REACTIV CEFAS\Prochloraz\Prochloraz/20201219_Cefas_Test10_Run2/Plate 1/@2/F2_03.tif </t>
  </si>
  <si>
    <t xml:space="preserve"> 4001.5305 </t>
  </si>
  <si>
    <t xml:space="preserve"> 33.5946 </t>
  </si>
  <si>
    <t xml:space="preserve">C:\Users\andre\Desktop\REACTIV CEFAS\Prochloraz\Prochloraz/20201219_Cefas_Test10_Run2/Plate 1/@2/F2_04.tif </t>
  </si>
  <si>
    <t xml:space="preserve"> 34.7298 </t>
  </si>
  <si>
    <t xml:space="preserve">C:\Users\andre\Desktop\REACTIV CEFAS\Prochloraz\Prochloraz/20201219_Cefas_Test10_Run2/Plate 1/@2/G2_01.tif </t>
  </si>
  <si>
    <t xml:space="preserve"> 12047.8513 </t>
  </si>
  <si>
    <t xml:space="preserve"> 39.0916 </t>
  </si>
  <si>
    <t xml:space="preserve">C:\Users\andre\Desktop\REACTIV CEFAS\Prochloraz\Prochloraz/20201219_Cefas_Test10_Run2/Plate 1/@2/G2_02.tif </t>
  </si>
  <si>
    <t xml:space="preserve"> 41.36 </t>
  </si>
  <si>
    <t xml:space="preserve">C:\Users\andre\Desktop\REACTIV CEFAS\Prochloraz\Prochloraz/20201219_Cefas_Test10_Run2/Plate 1/@2/G2_03.tif </t>
  </si>
  <si>
    <t xml:space="preserve"> 40.9944 </t>
  </si>
  <si>
    <t xml:space="preserve">C:\Users\andre\Desktop\REACTIV CEFAS\Prochloraz\Prochloraz/20201219_Cefas_Test10_Run2/Plate 1/@2/G2_04.tif </t>
  </si>
  <si>
    <t xml:space="preserve"> 32.8636 </t>
  </si>
  <si>
    <t xml:space="preserve">C:\Users\andre\Desktop\REACTIV CEFAS\Prochloraz\Prochloraz/20201219_Cefas_Test10_Run2/Plate 1/@2/H2_01.tif </t>
  </si>
  <si>
    <t xml:space="preserve"> 33.4839 </t>
  </si>
  <si>
    <t xml:space="preserve">C:\Users\andre\Desktop\REACTIV CEFAS\Prochloraz\Prochloraz/20201219_Cefas_Test10_Run2/Plate 1/@2/H2_02.tif </t>
  </si>
  <si>
    <t xml:space="preserve"> 31.6 </t>
  </si>
  <si>
    <t xml:space="preserve">C:\Users\andre\Desktop\REACTIV CEFAS\Prochloraz\Prochloraz/20201219_Cefas_Test10_Run2/Plate 1/@2/H2_03.tif </t>
  </si>
  <si>
    <t xml:space="preserve"> 41.0122 </t>
  </si>
  <si>
    <t xml:space="preserve">C:\Users\andre\Desktop\REACTIV CEFAS\Prochloraz\Prochloraz/20201219_Cefas_Test10_Run2/Plate 1/@2/H2_04.tif </t>
  </si>
  <si>
    <t xml:space="preserve"> 34.7269 </t>
  </si>
  <si>
    <t xml:space="preserve">C:\Users\andre\Desktop\REACTIV CEFAS\Prochloraz\Prochloraz/20201219_Cefas_Test10_Run2/Plate 1/@2/ </t>
  </si>
  <si>
    <t xml:space="preserve"> 33.3254 </t>
  </si>
  <si>
    <t xml:space="preserve"> 13.4468 </t>
  </si>
  <si>
    <t xml:space="preserve"> 247917.125 </t>
  </si>
  <si>
    <t xml:space="preserve"> 189762.754 </t>
  </si>
  <si>
    <t xml:space="preserve">C:\Users\andre\Desktop\REACTIV CEFAS\Prochloraz\Prochloraz/20201219_Cefas_Test10_Run2/Plate 1/@3/A3_01.tif </t>
  </si>
  <si>
    <t xml:space="preserve"> 6835.0467 </t>
  </si>
  <si>
    <t xml:space="preserve"> 33.3228 </t>
  </si>
  <si>
    <t xml:space="preserve">C:\Users\andre\Desktop\REACTIV CEFAS\Prochloraz\Prochloraz/20201219_Cefas_Test10_Run2/Plate 1/@3/A3_02.tif </t>
  </si>
  <si>
    <t xml:space="preserve"> 34.3439 </t>
  </si>
  <si>
    <t xml:space="preserve">C:\Users\andre\Desktop\REACTIV CEFAS\Prochloraz\Prochloraz/20201219_Cefas_Test10_Run2/Plate 1/@3/A3_03.tif </t>
  </si>
  <si>
    <t xml:space="preserve"> 38.4648 </t>
  </si>
  <si>
    <t xml:space="preserve">C:\Users\andre\Desktop\REACTIV CEFAS\Prochloraz\Prochloraz/20201219_Cefas_Test10_Run2/Plate 1/@3/A3_04.tif </t>
  </si>
  <si>
    <t xml:space="preserve"> 7873.2816 </t>
  </si>
  <si>
    <t xml:space="preserve"> 35.0357 </t>
  </si>
  <si>
    <t>C:\Users\andre\Desktop\REACTIV CEFAS\Prochloraz\Prochloraz/20201219_Cefas_Test10_Run2/Plate 1/@3/B3_01- exclu.tif</t>
  </si>
  <si>
    <t xml:space="preserve">C:\Users\andre\Desktop\REACTIV CEFAS\Prochloraz\Prochloraz/20201219_Cefas_Test10_Run2/Plate 1/@3/B3_02.tif </t>
  </si>
  <si>
    <t xml:space="preserve"> 40.6634 </t>
  </si>
  <si>
    <t xml:space="preserve">C:\Users\andre\Desktop\REACTIV CEFAS\Prochloraz\Prochloraz/20201219_Cefas_Test10_Run2/Plate 1/@3/B3_03.tif </t>
  </si>
  <si>
    <t xml:space="preserve"> 36.6809 </t>
  </si>
  <si>
    <t xml:space="preserve">C:\Users\andre\Desktop\REACTIV CEFAS\Prochloraz\Prochloraz/20201219_Cefas_Test10_Run2/Plate 1/@3/B3_04.tif </t>
  </si>
  <si>
    <t xml:space="preserve"> 5645.4025 </t>
  </si>
  <si>
    <t xml:space="preserve"> 40.5326 </t>
  </si>
  <si>
    <t xml:space="preserve">C:\Users\andre\Desktop\REACTIV CEFAS\Prochloraz\Prochloraz/20201219_Cefas_Test10_Run2/Plate 1/@3/C3_01.tif </t>
  </si>
  <si>
    <t xml:space="preserve"> 14535.2892 </t>
  </si>
  <si>
    <t xml:space="preserve"> 36.1518 </t>
  </si>
  <si>
    <t xml:space="preserve">C:\Users\andre\Desktop\REACTIV CEFAS\Prochloraz\Prochloraz/20201219_Cefas_Test10_Run2/Plate 1/@3/C3_02.tif </t>
  </si>
  <si>
    <t xml:space="preserve"> 34.4767 </t>
  </si>
  <si>
    <t xml:space="preserve">C:\Users\andre\Desktop\REACTIV CEFAS\Prochloraz\Prochloraz/20201219_Cefas_Test10_Run2/Plate 1/@3/C3_03.tif </t>
  </si>
  <si>
    <t xml:space="preserve"> 36.981 </t>
  </si>
  <si>
    <t xml:space="preserve">C:\Users\andre\Desktop\REACTIV CEFAS\Prochloraz\Prochloraz/20201219_Cefas_Test10_Run2/Plate 1/@3/C3_04.tif </t>
  </si>
  <si>
    <t xml:space="preserve"> 23122.3574 </t>
  </si>
  <si>
    <t xml:space="preserve"> 38.1422 </t>
  </si>
  <si>
    <t xml:space="preserve">C:\Users\andre\Desktop\REACTIV CEFAS\Prochloraz\Prochloraz/20201219_Cefas_Test10_Run2/Plate 1/@3/D3_01.tif </t>
  </si>
  <si>
    <t>C:\Users\andre\Desktop\REACTIV CEFAS\Prochloraz\Prochloraz/20201219_Cefas_Test10_Run2/Plate 1/@3/D3_02- exclu.tif</t>
  </si>
  <si>
    <t>C:\Users\andre\Desktop\REACTIV CEFAS\Prochloraz\Prochloraz/20201219_Cefas_Test10_Run2/Plate 1/@3/D3_03- exclu.tif</t>
  </si>
  <si>
    <t xml:space="preserve">C:\Users\andre\Desktop\REACTIV CEFAS\Prochloraz\Prochloraz/20201219_Cefas_Test10_Run2/Plate 1/@3/D3_04.tif </t>
  </si>
  <si>
    <t xml:space="preserve"> 37.5892 </t>
  </si>
  <si>
    <t xml:space="preserve">C:\Users\andre\Desktop\REACTIV CEFAS\Prochloraz\Prochloraz/20201219_Cefas_Test10_Run2/Plate 1/@3/E3_01.tif </t>
  </si>
  <si>
    <t xml:space="preserve"> 10425.6092 </t>
  </si>
  <si>
    <t xml:space="preserve"> 38.8299 </t>
  </si>
  <si>
    <t xml:space="preserve">C:\Users\andre\Desktop\REACTIV CEFAS\Prochloraz\Prochloraz/20201219_Cefas_Test10_Run2/Plate 1/@3/E3_02.tif </t>
  </si>
  <si>
    <t xml:space="preserve"> 40.9578 </t>
  </si>
  <si>
    <t xml:space="preserve">C:\Users\andre\Desktop\REACTIV CEFAS\Prochloraz\Prochloraz/20201219_Cefas_Test10_Run2/Plate 1/@3/E3_03.tif </t>
  </si>
  <si>
    <t xml:space="preserve"> 41.548 </t>
  </si>
  <si>
    <t xml:space="preserve">C:\Users\andre\Desktop\REACTIV CEFAS\Prochloraz\Prochloraz/20201219_Cefas_Test10_Run2/Plate 1/@3/E3_04.tif </t>
  </si>
  <si>
    <t xml:space="preserve"> 13756.613 </t>
  </si>
  <si>
    <t xml:space="preserve"> 43.6572 </t>
  </si>
  <si>
    <t xml:space="preserve">C:\Users\andre\Desktop\REACTIV CEFAS\Prochloraz\Prochloraz/20201219_Cefas_Test10_Run2/Plate 1/@3/F3_01.tif </t>
  </si>
  <si>
    <t xml:space="preserve"> 410.968 </t>
  </si>
  <si>
    <t xml:space="preserve"> 31.7895 </t>
  </si>
  <si>
    <t xml:space="preserve">C:\Users\andre\Desktop\REACTIV CEFAS\Prochloraz\Prochloraz/20201219_Cefas_Test10_Run2/Plate 1/@3/F3_02.tif </t>
  </si>
  <si>
    <t xml:space="preserve"> 46.6371 </t>
  </si>
  <si>
    <t xml:space="preserve">C:\Users\andre\Desktop\REACTIV CEFAS\Prochloraz\Prochloraz/20201219_Cefas_Test10_Run2/Plate 1/@3/F3_03.tif </t>
  </si>
  <si>
    <t xml:space="preserve"> 44.0884 </t>
  </si>
  <si>
    <t xml:space="preserve">C:\Users\andre\Desktop\REACTIV CEFAS\Prochloraz\Prochloraz/20201219_Cefas_Test10_Run2/Plate 1/@3/F3_04.tif </t>
  </si>
  <si>
    <t xml:space="preserve"> 11161.0256 </t>
  </si>
  <si>
    <t xml:space="preserve"> 47.5368 </t>
  </si>
  <si>
    <t xml:space="preserve">C:\Users\andre\Desktop\REACTIV CEFAS\Prochloraz\Prochloraz/20201219_Cefas_Test10_Run2/Plate 1/@3/G3_01.tif </t>
  </si>
  <si>
    <t xml:space="preserve"> 36.7103 </t>
  </si>
  <si>
    <t xml:space="preserve">C:\Users\andre\Desktop\REACTIV CEFAS\Prochloraz\Prochloraz/20201219_Cefas_Test10_Run2/Plate 1/@3/G3_02.tif </t>
  </si>
  <si>
    <t xml:space="preserve"> 38.8725 </t>
  </si>
  <si>
    <t xml:space="preserve">C:\Users\andre\Desktop\REACTIV CEFAS\Prochloraz\Prochloraz/20201219_Cefas_Test10_Run2/Plate 1/@3/G3_03.tif </t>
  </si>
  <si>
    <t xml:space="preserve"> 6207.7798 </t>
  </si>
  <si>
    <t xml:space="preserve"> 36.9721 </t>
  </si>
  <si>
    <t xml:space="preserve">C:\Users\andre\Desktop\REACTIV CEFAS\Prochloraz\Prochloraz/20201219_Cefas_Test10_Run2/Plate 1/@3/G3_04.tif </t>
  </si>
  <si>
    <t xml:space="preserve"> 38.2376 </t>
  </si>
  <si>
    <t xml:space="preserve">C:\Users\andre\Desktop\REACTIV CEFAS\Prochloraz\Prochloraz/20201219_Cefas_Test10_Run2/Plate 1/@3/H3_01.tif </t>
  </si>
  <si>
    <t xml:space="preserve"> 37.766 </t>
  </si>
  <si>
    <t>C:\Users\andre\Desktop\REACTIV CEFAS\Prochloraz\Prochloraz/20201219_Cefas_Test10_Run2/Plate 1/@3/H3_02- exclu.tif</t>
  </si>
  <si>
    <t xml:space="preserve">C:\Users\andre\Desktop\REACTIV CEFAS\Prochloraz\Prochloraz/20201219_Cefas_Test10_Run2/Plate 1/@3/H3_03.tif </t>
  </si>
  <si>
    <t xml:space="preserve"> 40.2365 </t>
  </si>
  <si>
    <t xml:space="preserve">C:\Users\andre\Desktop\REACTIV CEFAS\Prochloraz\Prochloraz/20201219_Cefas_Test10_Run2/Plate 1/@3/H3_04.tif </t>
  </si>
  <si>
    <t xml:space="preserve"> 6510.5983 </t>
  </si>
  <si>
    <t xml:space="preserve"> 43.7209 </t>
  </si>
  <si>
    <t xml:space="preserve">C:\Users\andre\Desktop\REACTIV CEFAS\Prochloraz\Prochloraz/20201219_Cefas_Test10_Run2/Plate 1/@3/ </t>
  </si>
  <si>
    <t xml:space="preserve"> 35.3037 </t>
  </si>
  <si>
    <t xml:space="preserve"> 12.2299 </t>
  </si>
  <si>
    <t xml:space="preserve"> 310727.625 </t>
  </si>
  <si>
    <t xml:space="preserve"> 199954.018 </t>
  </si>
  <si>
    <t xml:space="preserve">C:\Users\andre\Desktop\REACTIV CEFAS\Prochloraz\Prochloraz/20201219_Cefas_Test10_Run2/Plate 1/@4/A4_01.tif </t>
  </si>
  <si>
    <t xml:space="preserve"> 9841.6021 </t>
  </si>
  <si>
    <t xml:space="preserve"> 36.4374 </t>
  </si>
  <si>
    <t xml:space="preserve">C:\Users\andre\Desktop\REACTIV CEFAS\Prochloraz\Prochloraz/20201219_Cefas_Test10_Run2/Plate 1/@4/A4_02.tif </t>
  </si>
  <si>
    <t xml:space="preserve"> 38.1005 </t>
  </si>
  <si>
    <t xml:space="preserve">C:\Users\andre\Desktop\REACTIV CEFAS\Prochloraz\Prochloraz/20201219_Cefas_Test10_Run2/Plate 1/@4/A4_03.tif </t>
  </si>
  <si>
    <t xml:space="preserve"> 4953.2459 </t>
  </si>
  <si>
    <t xml:space="preserve"> 37.7336 </t>
  </si>
  <si>
    <t xml:space="preserve">C:\Users\andre\Desktop\REACTIV CEFAS\Prochloraz\Prochloraz/20201219_Cefas_Test10_Run2/Plate 1/@4/A4_04.tif </t>
  </si>
  <si>
    <t xml:space="preserve"> 35.1768 </t>
  </si>
  <si>
    <t xml:space="preserve">C:\Users\andre\Desktop\REACTIV CEFAS\Prochloraz\Prochloraz/20201219_Cefas_Test10_Run2/Plate 1/@4/B4_01.tif </t>
  </si>
  <si>
    <t xml:space="preserve"> 37.8496 </t>
  </si>
  <si>
    <t xml:space="preserve">C:\Users\andre\Desktop\REACTIV CEFAS\Prochloraz\Prochloraz/20201219_Cefas_Test10_Run2/Plate 1/@4/B4_02.tif </t>
  </si>
  <si>
    <t xml:space="preserve"> 36.7901 </t>
  </si>
  <si>
    <t xml:space="preserve">C:\Users\andre\Desktop\REACTIV CEFAS\Prochloraz\Prochloraz/20201219_Cefas_Test10_Run2/Plate 1/@4/B4_03.tif </t>
  </si>
  <si>
    <t xml:space="preserve"> 36.0098 </t>
  </si>
  <si>
    <t xml:space="preserve">C:\Users\andre\Desktop\REACTIV CEFAS\Prochloraz\Prochloraz/20201219_Cefas_Test10_Run2/Plate 1/@4/B4_04.tif </t>
  </si>
  <si>
    <t xml:space="preserve"> 35.4894 </t>
  </si>
  <si>
    <t xml:space="preserve">C:\Users\andre\Desktop\REACTIV CEFAS\Prochloraz\Prochloraz/20201219_Cefas_Test10_Run2/Plate 1/@4/C4_01.tif </t>
  </si>
  <si>
    <t xml:space="preserve"> 26756.1797 </t>
  </si>
  <si>
    <t xml:space="preserve"> 35.2288 </t>
  </si>
  <si>
    <t xml:space="preserve">C:\Users\andre\Desktop\REACTIV CEFAS\Prochloraz\Prochloraz/20201219_Cefas_Test10_Run2/Plate 1/@4/C4_02.tif </t>
  </si>
  <si>
    <t xml:space="preserve"> 14145.9511 </t>
  </si>
  <si>
    <t xml:space="preserve"> 33.7768 </t>
  </si>
  <si>
    <t xml:space="preserve">C:\Users\andre\Desktop\REACTIV CEFAS\Prochloraz\Prochloraz/20201219_Cefas_Test10_Run2/Plate 1/@4/C4_03.tif </t>
  </si>
  <si>
    <t xml:space="preserve"> 32.7119 </t>
  </si>
  <si>
    <t xml:space="preserve">C:\Users\andre\Desktop\REACTIV CEFAS\Prochloraz\Prochloraz/20201219_Cefas_Test10_Run2/Plate 1/@4/C4_04.tif </t>
  </si>
  <si>
    <t xml:space="preserve"> 28183.7527 </t>
  </si>
  <si>
    <t xml:space="preserve"> 34.1251 </t>
  </si>
  <si>
    <t xml:space="preserve">C:\Users\andre\Desktop\REACTIV CEFAS\Prochloraz\Prochloraz/20201219_Cefas_Test10_Run2/Plate 1/@4/D4_01.tif </t>
  </si>
  <si>
    <t xml:space="preserve"> 37.3964 </t>
  </si>
  <si>
    <t xml:space="preserve">C:\Users\andre\Desktop\REACTIV CEFAS\Prochloraz\Prochloraz/20201219_Cefas_Test10_Run2/Plate 1/@4/D4_02.tif </t>
  </si>
  <si>
    <t xml:space="preserve"> 4196.1996 </t>
  </si>
  <si>
    <t xml:space="preserve"> 37.2835 </t>
  </si>
  <si>
    <t xml:space="preserve">C:\Users\andre\Desktop\REACTIV CEFAS\Prochloraz\Prochloraz/20201219_Cefas_Test10_Run2/Plate 1/@4/D4_03.tif </t>
  </si>
  <si>
    <t xml:space="preserve"> 36.1264 </t>
  </si>
  <si>
    <t xml:space="preserve">C:\Users\andre\Desktop\REACTIV CEFAS\Prochloraz\Prochloraz/20201219_Cefas_Test10_Run2/Plate 1/@4/D4_04.tif </t>
  </si>
  <si>
    <t xml:space="preserve"> 35.9405 </t>
  </si>
  <si>
    <t xml:space="preserve">C:\Users\andre\Desktop\REACTIV CEFAS\Prochloraz\Prochloraz/20201219_Cefas_Test10_Run2/Plate 1/@4/E4_01.tif </t>
  </si>
  <si>
    <t xml:space="preserve"> 1297.7937 </t>
  </si>
  <si>
    <t xml:space="preserve">C:\Users\andre\Desktop\REACTIV CEFAS\Prochloraz\Prochloraz/20201219_Cefas_Test10_Run2/Plate 1/@4/E4_02.tif </t>
  </si>
  <si>
    <t xml:space="preserve">C:\Users\andre\Desktop\REACTIV CEFAS\Prochloraz\Prochloraz/20201219_Cefas_Test10_Run2/Plate 1/@4/E4_03.tif </t>
  </si>
  <si>
    <t xml:space="preserve"> 34.3952 </t>
  </si>
  <si>
    <t xml:space="preserve">C:\Users\andre\Desktop\REACTIV CEFAS\Prochloraz\Prochloraz/20201219_Cefas_Test10_Run2/Plate 1/@4/E4_04.tif </t>
  </si>
  <si>
    <t xml:space="preserve"> 33.012 </t>
  </si>
  <si>
    <t xml:space="preserve">C:\Users\andre\Desktop\REACTIV CEFAS\Prochloraz\Prochloraz/20201219_Cefas_Test10_Run2/Plate 1/@4/F4_01.tif </t>
  </si>
  <si>
    <t xml:space="preserve"> 20288.8412 </t>
  </si>
  <si>
    <t xml:space="preserve"> 34.5426 </t>
  </si>
  <si>
    <t xml:space="preserve">C:\Users\andre\Desktop\REACTIV CEFAS\Prochloraz\Prochloraz/20201219_Cefas_Test10_Run2/Plate 1/@4/F4_02.tif </t>
  </si>
  <si>
    <t xml:space="preserve"> 32985.5893 </t>
  </si>
  <si>
    <t xml:space="preserve"> 35.6026 </t>
  </si>
  <si>
    <t xml:space="preserve">C:\Users\andre\Desktop\REACTIV CEFAS\Prochloraz\Prochloraz/20201219_Cefas_Test10_Run2/Plate 1/@4/F4_03.tif </t>
  </si>
  <si>
    <t xml:space="preserve"> 29935.7742 </t>
  </si>
  <si>
    <t xml:space="preserve"> 35.2623 </t>
  </si>
  <si>
    <t xml:space="preserve">C:\Users\andre\Desktop\REACTIV CEFAS\Prochloraz\Prochloraz/20201219_Cefas_Test10_Run2/Plate 1/@4/F4_04.tif </t>
  </si>
  <si>
    <t xml:space="preserve"> 41961.9956 </t>
  </si>
  <si>
    <t xml:space="preserve"> 36.1753 </t>
  </si>
  <si>
    <t xml:space="preserve">C:\Users\andre\Desktop\REACTIV CEFAS\Prochloraz\Prochloraz/20201219_Cefas_Test10_Run2/Plate 1/@4/G4_01.tif </t>
  </si>
  <si>
    <t xml:space="preserve"> 37.098 </t>
  </si>
  <si>
    <t>C:\Users\andre\Desktop\REACTIV CEFAS\Prochloraz\Prochloraz/20201219_Cefas_Test10_Run2/Plate 1/@4/G4_02- exclu.tif</t>
  </si>
  <si>
    <t>C:\Users\andre\Desktop\REACTIV CEFAS\Prochloraz\Prochloraz/20201219_Cefas_Test10_Run2/Plate 1/@4/G4_03- exclu.tif</t>
  </si>
  <si>
    <t xml:space="preserve">C:\Users\andre\Desktop\REACTIV CEFAS\Prochloraz\Prochloraz/20201219_Cefas_Test10_Run2/Plate 1/@4/G4_04.tif </t>
  </si>
  <si>
    <t xml:space="preserve">C:\Users\andre\Desktop\REACTIV CEFAS\Prochloraz\Prochloraz/20201219_Cefas_Test10_Run2/Plate 1/@4/H4_01.tif </t>
  </si>
  <si>
    <t xml:space="preserve"> 11074.506 </t>
  </si>
  <si>
    <t xml:space="preserve"> 46.2188 </t>
  </si>
  <si>
    <t xml:space="preserve">C:\Users\andre\Desktop\REACTIV CEFAS\Prochloraz\Prochloraz/20201219_Cefas_Test10_Run2/Plate 1/@4/H4_02.tif </t>
  </si>
  <si>
    <t xml:space="preserve"> 48.9091 </t>
  </si>
  <si>
    <t xml:space="preserve">C:\Users\andre\Desktop\REACTIV CEFAS\Prochloraz\Prochloraz/20201219_Cefas_Test10_Run2/Plate 1/@4/H4_03.tif </t>
  </si>
  <si>
    <t xml:space="preserve"> 44.7974 </t>
  </si>
  <si>
    <t>C:\Users\andre\Desktop\REACTIV CEFAS\Prochloraz\Prochloraz/20201219_Cefas_Test10_Run2/Plate 1/@4/H4_04- exclu.tif</t>
  </si>
  <si>
    <t xml:space="preserve">C:\Users\andre\Desktop\REACTIV CEFAS\Prochloraz\Prochloraz/20201219_Cefas_Test10_Run2/Plate 1/@4/ </t>
  </si>
  <si>
    <t xml:space="preserve"> 34.0627 </t>
  </si>
  <si>
    <t xml:space="preserve"> 9.7464 </t>
  </si>
  <si>
    <t xml:space="preserve"> 388645.938 </t>
  </si>
  <si>
    <t xml:space="preserve"> 382879.396 </t>
  </si>
  <si>
    <t xml:space="preserve">C:\Users\andre\Desktop\REACTIV CEFAS\Prochloraz\Prochloraz/20201219_Cefas_Test10_Run2/Plate 1/@5/A5_01.tif </t>
  </si>
  <si>
    <t xml:space="preserve"> 66836.3744 </t>
  </si>
  <si>
    <t xml:space="preserve"> 39.6194 </t>
  </si>
  <si>
    <t xml:space="preserve">C:\Users\andre\Desktop\REACTIV CEFAS\Prochloraz\Prochloraz/20201219_Cefas_Test10_Run2/Plate 1/@5/A5_02.tif </t>
  </si>
  <si>
    <t xml:space="preserve"> 61169.342 </t>
  </si>
  <si>
    <t xml:space="preserve"> 39.3716 </t>
  </si>
  <si>
    <t>C:\Users\andre\Desktop\REACTIV CEFAS\Prochloraz\Prochloraz/20201219_Cefas_Test10_Run2/Plate 1/@5/A5_03- exclu.tif</t>
  </si>
  <si>
    <t xml:space="preserve">C:\Users\andre\Desktop\REACTIV CEFAS\Prochloraz\Prochloraz/20201219_Cefas_Test10_Run2/Plate 1/@5/A5_04.tif </t>
  </si>
  <si>
    <t xml:space="preserve"> 47737.1774 </t>
  </si>
  <si>
    <t xml:space="preserve"> 35.8305 </t>
  </si>
  <si>
    <t xml:space="preserve">C:\Users\andre\Desktop\REACTIV CEFAS\Prochloraz\Prochloraz/20201219_Cefas_Test10_Run2/Plate 1/@5/B5_01.tif </t>
  </si>
  <si>
    <t xml:space="preserve"> 40404.6432 </t>
  </si>
  <si>
    <t xml:space="preserve"> 36.6552 </t>
  </si>
  <si>
    <t xml:space="preserve">C:\Users\andre\Desktop\REACTIV CEFAS\Prochloraz\Prochloraz/20201219_Cefas_Test10_Run2/Plate 1/@5/B5_02.tif </t>
  </si>
  <si>
    <t xml:space="preserve"> 33158.6285 </t>
  </si>
  <si>
    <t xml:space="preserve"> 34.2511 </t>
  </si>
  <si>
    <t xml:space="preserve">C:\Users\andre\Desktop\REACTIV CEFAS\Prochloraz\Prochloraz/20201219_Cefas_Test10_Run2/Plate 1/@5/B5_03.tif </t>
  </si>
  <si>
    <t xml:space="preserve"> 35581.1767 </t>
  </si>
  <si>
    <t xml:space="preserve"> 34.3538 </t>
  </si>
  <si>
    <t xml:space="preserve">C:\Users\andre\Desktop\REACTIV CEFAS\Prochloraz\Prochloraz/20201219_Cefas_Test10_Run2/Plate 1/@5/B5_04.tif </t>
  </si>
  <si>
    <t xml:space="preserve"> 47780.4372 </t>
  </si>
  <si>
    <t xml:space="preserve"> 35.9434 </t>
  </si>
  <si>
    <t xml:space="preserve">C:\Users\andre\Desktop\REACTIV CEFAS\Prochloraz\Prochloraz/20201219_Cefas_Test10_Run2/Plate 1/@5/C5_01.tif </t>
  </si>
  <si>
    <t xml:space="preserve"> 25458.386 </t>
  </si>
  <si>
    <t xml:space="preserve"> 37.017 </t>
  </si>
  <si>
    <t xml:space="preserve">C:\Users\andre\Desktop\REACTIV CEFAS\Prochloraz\Prochloraz/20201219_Cefas_Test10_Run2/Plate 1/@5/C5_02.tif </t>
  </si>
  <si>
    <t xml:space="preserve"> 37.4407 </t>
  </si>
  <si>
    <t xml:space="preserve">C:\Users\andre\Desktop\REACTIV CEFAS\Prochloraz\Prochloraz/20201219_Cefas_Test10_Run2/Plate 1/@5/C5_03.tif </t>
  </si>
  <si>
    <t xml:space="preserve"> 28486.5712 </t>
  </si>
  <si>
    <t xml:space="preserve"> 38.5695 </t>
  </si>
  <si>
    <t xml:space="preserve">C:\Users\andre\Desktop\REACTIV CEFAS\Prochloraz\Prochloraz/20201219_Cefas_Test10_Run2/Plate 1/@5/C5_04.tif </t>
  </si>
  <si>
    <t xml:space="preserve"> 31449.8668 </t>
  </si>
  <si>
    <t xml:space="preserve"> 36.1891 </t>
  </si>
  <si>
    <t xml:space="preserve">C:\Users\andre\Desktop\REACTIV CEFAS\Prochloraz\Prochloraz/20201219_Cefas_Test10_Run2/Plate 1/@5/D5_01.tif </t>
  </si>
  <si>
    <t xml:space="preserve"> 48061.6259 </t>
  </si>
  <si>
    <t xml:space="preserve"> 36.4046 </t>
  </si>
  <si>
    <t>C:\Users\andre\Desktop\REACTIV CEFAS\Prochloraz\Prochloraz/20201219_Cefas_Test10_Run2/Plate 1/@5/D5_02- exclu.tif</t>
  </si>
  <si>
    <t xml:space="preserve">C:\Users\andre\Desktop\REACTIV CEFAS\Prochloraz\Prochloraz/20201219_Cefas_Test10_Run2/Plate 1/@5/D5_03.tif </t>
  </si>
  <si>
    <t xml:space="preserve"> 37.2434 </t>
  </si>
  <si>
    <t xml:space="preserve">C:\Users\andre\Desktop\REACTIV CEFAS\Prochloraz\Prochloraz/20201219_Cefas_Test10_Run2/Plate 1/@5/D5_04.tif </t>
  </si>
  <si>
    <t xml:space="preserve"> 56670.3239 </t>
  </si>
  <si>
    <t xml:space="preserve"> 38.5042 </t>
  </si>
  <si>
    <t xml:space="preserve">C:\Users\andre\Desktop\REACTIV CEFAS\Prochloraz\Prochloraz/20201219_Cefas_Test10_Run2/Plate 1/@5/E5_01.tif </t>
  </si>
  <si>
    <t xml:space="preserve"> 67679.9403 </t>
  </si>
  <si>
    <t xml:space="preserve"> 41.1163 </t>
  </si>
  <si>
    <t xml:space="preserve">C:\Users\andre\Desktop\REACTIV CEFAS\Prochloraz\Prochloraz/20201219_Cefas_Test10_Run2/Plate 1/@5/E5_02.tif </t>
  </si>
  <si>
    <t xml:space="preserve"> 44.9011 </t>
  </si>
  <si>
    <t xml:space="preserve">C:\Users\andre\Desktop\REACTIV CEFAS\Prochloraz\Prochloraz/20201219_Cefas_Test10_Run2/Plate 1/@5/E5_03.tif </t>
  </si>
  <si>
    <t xml:space="preserve"> 42.2685 </t>
  </si>
  <si>
    <t xml:space="preserve">C:\Users\andre\Desktop\REACTIV CEFAS\Prochloraz\Prochloraz/20201219_Cefas_Test10_Run2/Plate 1/@5/E5_04.tif </t>
  </si>
  <si>
    <t xml:space="preserve"> 61104.4523 </t>
  </si>
  <si>
    <t xml:space="preserve"> 42.2241 </t>
  </si>
  <si>
    <t xml:space="preserve">C:\Users\andre\Desktop\REACTIV CEFAS\Prochloraz\Prochloraz/20201219_Cefas_Test10_Run2/Plate 1/@5/F5_01.tif </t>
  </si>
  <si>
    <t xml:space="preserve"> 64781.5344 </t>
  </si>
  <si>
    <t xml:space="preserve"> 47.0137 </t>
  </si>
  <si>
    <t>C:\Users\andre\Desktop\REACTIV CEFAS\Prochloraz\Prochloraz/20201219_Cefas_Test10_Run2/Plate 1/@5/F5_02- exclu.tif</t>
  </si>
  <si>
    <t xml:space="preserve">C:\Users\andre\Desktop\REACTIV CEFAS\Prochloraz\Prochloraz/20201219_Cefas_Test10_Run2/Plate 1/@5/F5_03.tif </t>
  </si>
  <si>
    <t xml:space="preserve"> 66295.627 </t>
  </si>
  <si>
    <t xml:space="preserve"> 49.9808 </t>
  </si>
  <si>
    <t xml:space="preserve">C:\Users\andre\Desktop\REACTIV CEFAS\Prochloraz\Prochloraz/20201219_Cefas_Test10_Run2/Plate 1/@5/F5_04.tif </t>
  </si>
  <si>
    <t xml:space="preserve"> 66425.4064 </t>
  </si>
  <si>
    <t xml:space="preserve"> 48.2081 </t>
  </si>
  <si>
    <t xml:space="preserve">C:\Users\andre\Desktop\REACTIV CEFAS\Prochloraz\Prochloraz/20201219_Cefas_Test10_Run2/Plate 1/@5/G5_01.tif </t>
  </si>
  <si>
    <t xml:space="preserve"> 34326.6428 </t>
  </si>
  <si>
    <t xml:space="preserve"> 32.7713 </t>
  </si>
  <si>
    <t xml:space="preserve">C:\Users\andre\Desktop\REACTIV CEFAS\Prochloraz\Prochloraz/20201219_Cefas_Test10_Run2/Plate 1/@5/G5_02.tif </t>
  </si>
  <si>
    <t xml:space="preserve"> 51457.5193 </t>
  </si>
  <si>
    <t xml:space="preserve"> 35.0383 </t>
  </si>
  <si>
    <t xml:space="preserve">C:\Users\andre\Desktop\REACTIV CEFAS\Prochloraz\Prochloraz/20201219_Cefas_Test10_Run2/Plate 1/@5/G5_03.tif </t>
  </si>
  <si>
    <t xml:space="preserve"> 31990.6142 </t>
  </si>
  <si>
    <t xml:space="preserve"> 32.4888 </t>
  </si>
  <si>
    <t xml:space="preserve">C:\Users\andre\Desktop\REACTIV CEFAS\Prochloraz\Prochloraz/20201219_Cefas_Test10_Run2/Plate 1/@5/G5_04.tif </t>
  </si>
  <si>
    <t xml:space="preserve"> 29892.5144 </t>
  </si>
  <si>
    <t xml:space="preserve"> 32.1773 </t>
  </si>
  <si>
    <t xml:space="preserve">C:\Users\andre\Desktop\REACTIV CEFAS\Prochloraz\Prochloraz/20201219_Cefas_Test10_Run2/Plate 1/@5/H5_01.tif </t>
  </si>
  <si>
    <t xml:space="preserve"> 33958.9346 </t>
  </si>
  <si>
    <t xml:space="preserve"> 34.1325 </t>
  </si>
  <si>
    <t xml:space="preserve">C:\Users\andre\Desktop\REACTIV CEFAS\Prochloraz\Prochloraz/20201219_Cefas_Test10_Run2/Plate 1/@5/H5_02.tif </t>
  </si>
  <si>
    <t xml:space="preserve"> 39106.8495 </t>
  </si>
  <si>
    <t xml:space="preserve"> 33.9132 </t>
  </si>
  <si>
    <t xml:space="preserve">C:\Users\andre\Desktop\REACTIV CEFAS\Prochloraz\Prochloraz/20201219_Cefas_Test10_Run2/Plate 1/@5/H5_03.tif </t>
  </si>
  <si>
    <t xml:space="preserve"> 37441.3476 </t>
  </si>
  <si>
    <t xml:space="preserve"> 33.9549 </t>
  </si>
  <si>
    <t xml:space="preserve">C:\Users\andre\Desktop\REACTIV CEFAS\Prochloraz\Prochloraz/20201219_Cefas_Test10_Run2/Plate 1/@5/H5_04.tif </t>
  </si>
  <si>
    <t xml:space="preserve"> 42502.7429 </t>
  </si>
  <si>
    <t xml:space="preserve"> 36.8911 </t>
  </si>
  <si>
    <t xml:space="preserve">C:\Users\andre\Desktop\REACTIV CEFAS\Prochloraz\Prochloraz/20201219_Cefas_Test10_Run2/Plate 1/@5/ </t>
  </si>
  <si>
    <t xml:space="preserve"> 38.3522 </t>
  </si>
  <si>
    <t xml:space="preserve"> 4.6312 </t>
  </si>
  <si>
    <t xml:space="preserve"> 1865818.38 </t>
  </si>
  <si>
    <t xml:space="preserve"> 778138.95 </t>
  </si>
  <si>
    <t xml:space="preserve">C:\Users\andre\Desktop\REACTIV CEFAS\Prochloraz\Prochloraz/20201219_Cefas_Test10_Run2/Plate 1/@6/A6_01.tif </t>
  </si>
  <si>
    <t xml:space="preserve"> 77326.8733 </t>
  </si>
  <si>
    <t xml:space="preserve"> 44.6187 </t>
  </si>
  <si>
    <t xml:space="preserve">C:\Users\andre\Desktop\REACTIV CEFAS\Prochloraz\Prochloraz/20201219_Cefas_Test10_Run2/Plate 1/@6/A6_02.tif </t>
  </si>
  <si>
    <t xml:space="preserve"> 71789.6203 </t>
  </si>
  <si>
    <t xml:space="preserve"> 42.0096 </t>
  </si>
  <si>
    <t xml:space="preserve">C:\Users\andre\Desktop\REACTIV CEFAS\Prochloraz\Prochloraz/20201219_Cefas_Test10_Run2/Plate 1/@6/A6_03.tif </t>
  </si>
  <si>
    <t xml:space="preserve"> 73887.7201 </t>
  </si>
  <si>
    <t xml:space="preserve"> 41.6133 </t>
  </si>
  <si>
    <t xml:space="preserve">C:\Users\andre\Desktop\REACTIV CEFAS\Prochloraz\Prochloraz/20201219_Cefas_Test10_Run2/Plate 1/@6/A6_04.tif </t>
  </si>
  <si>
    <t xml:space="preserve"> 75683.0013 </t>
  </si>
  <si>
    <t xml:space="preserve"> 43.7394 </t>
  </si>
  <si>
    <t xml:space="preserve">C:\Users\andre\Desktop\REACTIV CEFAS\Prochloraz\Prochloraz/20201219_Cefas_Test10_Run2/Plate 1/@6/B6_01.tif </t>
  </si>
  <si>
    <t xml:space="preserve"> 75401.8127 </t>
  </si>
  <si>
    <t xml:space="preserve"> 47.4584 </t>
  </si>
  <si>
    <t>C:\Users\andre\Desktop\REACTIV CEFAS\Prochloraz\Prochloraz/20201219_Cefas_Test10_Run2/Plate 1/@6/B6_02- exclu.tif</t>
  </si>
  <si>
    <t xml:space="preserve">C:\Users\andre\Desktop\REACTIV CEFAS\Prochloraz\Prochloraz/20201219_Cefas_Test10_Run2/Plate 1/@6/B6_03.tif </t>
  </si>
  <si>
    <t xml:space="preserve"> 68739.8051 </t>
  </si>
  <si>
    <t xml:space="preserve"> 43.8361 </t>
  </si>
  <si>
    <t xml:space="preserve">C:\Users\andre\Desktop\REACTIV CEFAS\Prochloraz\Prochloraz/20201219_Cefas_Test10_Run2/Plate 1/@6/B6_04.tif </t>
  </si>
  <si>
    <t xml:space="preserve"> 84745.9272 </t>
  </si>
  <si>
    <t xml:space="preserve"> 45.9342 </t>
  </si>
  <si>
    <t xml:space="preserve">C:\Users\andre\Desktop\REACTIV CEFAS\Prochloraz\Prochloraz/20201219_Cefas_Test10_Run2/Plate 1/@6/C6_01.tif </t>
  </si>
  <si>
    <t xml:space="preserve"> 86022.0909 </t>
  </si>
  <si>
    <t xml:space="preserve"> 42.4136 </t>
  </si>
  <si>
    <t xml:space="preserve">C:\Users\andre\Desktop\REACTIV CEFAS\Prochloraz\Prochloraz/20201219_Cefas_Test10_Run2/Plate 1/@6/C6_02.tif </t>
  </si>
  <si>
    <t xml:space="preserve"> 74277.0582 </t>
  </si>
  <si>
    <t xml:space="preserve"> 40.0649 </t>
  </si>
  <si>
    <t xml:space="preserve">C:\Users\andre\Desktop\REACTIV CEFAS\Prochloraz\Prochloraz/20201219_Cefas_Test10_Run2/Plate 1/@6/C6_03.tif </t>
  </si>
  <si>
    <t xml:space="preserve"> 47.1292 </t>
  </si>
  <si>
    <t xml:space="preserve">C:\Users\andre\Desktop\REACTIV CEFAS\Prochloraz\Prochloraz/20201219_Cefas_Test10_Run2/Plate 1/@6/C6_04.tif </t>
  </si>
  <si>
    <t xml:space="preserve"> 81501.443 </t>
  </si>
  <si>
    <t xml:space="preserve"> 44.9639 </t>
  </si>
  <si>
    <t xml:space="preserve">C:\Users\andre\Desktop\REACTIV CEFAS\Prochloraz\Prochloraz/20201219_Cefas_Test10_Run2/Plate 1/@6/D6_01.tif </t>
  </si>
  <si>
    <t xml:space="preserve"> 75315.2931 </t>
  </si>
  <si>
    <t xml:space="preserve"> 46.9609 </t>
  </si>
  <si>
    <t xml:space="preserve">C:\Users\andre\Desktop\REACTIV CEFAS\Prochloraz\Prochloraz/20201219_Cefas_Test10_Run2/Plate 1/@6/D6_02.tif </t>
  </si>
  <si>
    <t xml:space="preserve"> 83577.9128 </t>
  </si>
  <si>
    <t xml:space="preserve"> 46.5572 </t>
  </si>
  <si>
    <t xml:space="preserve">C:\Users\andre\Desktop\REACTIV CEFAS\Prochloraz\Prochloraz/20201219_Cefas_Test10_Run2/Plate 1/@6/D6_03.tif </t>
  </si>
  <si>
    <t xml:space="preserve"> 65711.6199 </t>
  </si>
  <si>
    <t xml:space="preserve"> 49.3776 </t>
  </si>
  <si>
    <t xml:space="preserve">C:\Users\andre\Desktop\REACTIV CEFAS\Prochloraz\Prochloraz/20201219_Cefas_Test10_Run2/Plate 1/@6/D6_04.tif </t>
  </si>
  <si>
    <t xml:space="preserve"> 76699.6064 </t>
  </si>
  <si>
    <t xml:space="preserve"> 48.8438 </t>
  </si>
  <si>
    <t xml:space="preserve">C:\Users\andre\Desktop\REACTIV CEFAS\Prochloraz\Prochloraz/20201219_Cefas_Test10_Run2/Plate 1/@6/E6_01.tif </t>
  </si>
  <si>
    <t xml:space="preserve"> 70102.4885 </t>
  </si>
  <si>
    <t xml:space="preserve"> 43.0204 </t>
  </si>
  <si>
    <t xml:space="preserve">C:\Users\andre\Desktop\REACTIV CEFAS\Prochloraz\Prochloraz/20201219_Cefas_Test10_Run2/Plate 1/@6/E6_02.tif </t>
  </si>
  <si>
    <t xml:space="preserve"> 71508.4316 </t>
  </si>
  <si>
    <t xml:space="preserve"> 43.1034 </t>
  </si>
  <si>
    <t xml:space="preserve">C:\Users\andre\Desktop\REACTIV CEFAS\Prochloraz\Prochloraz/20201219_Cefas_Test10_Run2/Plate 1/@6/E6_03.tif </t>
  </si>
  <si>
    <t xml:space="preserve"> 62099.4275 </t>
  </si>
  <si>
    <t xml:space="preserve"> 42.1181 </t>
  </si>
  <si>
    <t xml:space="preserve">C:\Users\andre\Desktop\REACTIV CEFAS\Prochloraz\Prochloraz/20201219_Cefas_Test10_Run2/Plate 1/@6/E6_04.tif </t>
  </si>
  <si>
    <t xml:space="preserve"> 65863.0291 </t>
  </si>
  <si>
    <t xml:space="preserve"> 42.3681 </t>
  </si>
  <si>
    <t xml:space="preserve">C:\Users\andre\Desktop\REACTIV CEFAS\Prochloraz\Prochloraz/20201219_Cefas_Test10_Run2/Plate 1/@6/F6_01.tif </t>
  </si>
  <si>
    <t xml:space="preserve"> 57513.8898 </t>
  </si>
  <si>
    <t xml:space="preserve"> 42.5829 </t>
  </si>
  <si>
    <t xml:space="preserve">C:\Users\andre\Desktop\REACTIV CEFAS\Prochloraz\Prochloraz/20201219_Cefas_Test10_Run2/Plate 1/@6/F6_02.tif </t>
  </si>
  <si>
    <t xml:space="preserve"> 61710.0894 </t>
  </si>
  <si>
    <t xml:space="preserve"> 42.6155 </t>
  </si>
  <si>
    <t xml:space="preserve">C:\Users\andre\Desktop\REACTIV CEFAS\Prochloraz\Prochloraz/20201219_Cefas_Test10_Run2/Plate 1/@6/F6_03.tif </t>
  </si>
  <si>
    <t xml:space="preserve"> 66317.2569 </t>
  </si>
  <si>
    <t xml:space="preserve"> 46.6725 </t>
  </si>
  <si>
    <t xml:space="preserve">C:\Users\andre\Desktop\REACTIV CEFAS\Prochloraz\Prochloraz/20201219_Cefas_Test10_Run2/Plate 1/@6/F6_04.tif </t>
  </si>
  <si>
    <t xml:space="preserve"> 44.5646 </t>
  </si>
  <si>
    <t xml:space="preserve">C:\Users\andre\Desktop\REACTIV CEFAS\Prochloraz\Prochloraz/20201219_Cefas_Test10_Run2/Plate 1/@6/G6_01.tif </t>
  </si>
  <si>
    <t xml:space="preserve"> 52733.6831 </t>
  </si>
  <si>
    <t xml:space="preserve"> 41.6448 </t>
  </si>
  <si>
    <t xml:space="preserve">C:\Users\andre\Desktop\REACTIV CEFAS\Prochloraz\Prochloraz/20201219_Cefas_Test10_Run2/Plate 1/@6/G6_02.tif </t>
  </si>
  <si>
    <t xml:space="preserve"> 56562.1745 </t>
  </si>
  <si>
    <t xml:space="preserve"> 42.3866 </t>
  </si>
  <si>
    <t xml:space="preserve">C:\Users\andre\Desktop\REACTIV CEFAS\Prochloraz\Prochloraz/20201219_Cefas_Test10_Run2/Plate 1/@6/G6_03.tif </t>
  </si>
  <si>
    <t xml:space="preserve"> 61731.7193 </t>
  </si>
  <si>
    <t xml:space="preserve"> 46.2109 </t>
  </si>
  <si>
    <t xml:space="preserve">C:\Users\andre\Desktop\REACTIV CEFAS\Prochloraz\Prochloraz/20201219_Cefas_Test10_Run2/Plate 1/@6/G6_04.tif </t>
  </si>
  <si>
    <t xml:space="preserve"> 63245.8119 </t>
  </si>
  <si>
    <t xml:space="preserve"> 42.6228 </t>
  </si>
  <si>
    <t xml:space="preserve">C:\Users\andre\Desktop\REACTIV CEFAS\Prochloraz\Prochloraz/20201219_Cefas_Test10_Run2/Plate 1/@6/H6_01.tif </t>
  </si>
  <si>
    <t xml:space="preserve"> 28097.2331 </t>
  </si>
  <si>
    <t xml:space="preserve"> 34.4172 </t>
  </si>
  <si>
    <t xml:space="preserve">C:\Users\andre\Desktop\REACTIV CEFAS\Prochloraz\Prochloraz/20201219_Cefas_Test10_Run2/Plate 1/@6/H6_02.tif </t>
  </si>
  <si>
    <t xml:space="preserve"> 31276.8276 </t>
  </si>
  <si>
    <t xml:space="preserve"> 34.5339 </t>
  </si>
  <si>
    <t xml:space="preserve">C:\Users\andre\Desktop\REACTIV CEFAS\Prochloraz\Prochloraz/20201219_Cefas_Test10_Run2/Plate 1/@6/H6_03.tif </t>
  </si>
  <si>
    <t xml:space="preserve"> 30779.3401 </t>
  </si>
  <si>
    <t xml:space="preserve"> 35.5067 </t>
  </si>
  <si>
    <t xml:space="preserve">C:\Users\andre\Desktop\REACTIV CEFAS\Prochloraz\Prochloraz/20201219_Cefas_Test10_Run2/Plate 1/@6/H6_04.tif </t>
  </si>
  <si>
    <t xml:space="preserve"> 46482.6436 </t>
  </si>
  <si>
    <t xml:space="preserve"> 36.7822 </t>
  </si>
  <si>
    <t xml:space="preserve">C:\Users\andre\Desktop\REACTIV CEFAS\Prochloraz\Prochloraz/20201219_Cefas_Test10_Run2/Plate 1/@6/ </t>
  </si>
  <si>
    <t xml:space="preserve"> 43.212 </t>
  </si>
  <si>
    <t xml:space="preserve"> 3.7964 </t>
  </si>
  <si>
    <t xml:space="preserve"> 2890210.81 </t>
  </si>
  <si>
    <t xml:space="preserve"> 782282.508 </t>
  </si>
  <si>
    <t>C:\Users\andre\Desktop\REACTIV CEFAS\Prochloraz\Prochloraz/20201219_Cefas_Test10_Run2/Plate 1/@7/A7_01- exclu.tif</t>
  </si>
  <si>
    <t>C:\Users\andre\Desktop\REACTIV CEFAS\Prochloraz\Prochloraz/20201219_Cefas_Test10_Run2/Plate 1/@7/A7_02- exclu.tif</t>
  </si>
  <si>
    <t xml:space="preserve">C:\Users\andre\Desktop\REACTIV CEFAS\Prochloraz\Prochloraz/20201219_Cefas_Test10_Run2/Plate 1/@7/A7_03.tif </t>
  </si>
  <si>
    <t xml:space="preserve"> 55.3043 </t>
  </si>
  <si>
    <t>C:\Users\andre\Desktop\REACTIV CEFAS\Prochloraz\Prochloraz/20201219_Cefas_Test10_Run2/Plate 1/@7/A7_04- exclu.tif</t>
  </si>
  <si>
    <t xml:space="preserve">C:\Users\andre\Desktop\REACTIV CEFAS\Prochloraz\Prochloraz/20201219_Cefas_Test10_Run2/Plate 1/@7/B7_01.tif </t>
  </si>
  <si>
    <t xml:space="preserve"> 71919.3996 </t>
  </si>
  <si>
    <t xml:space="preserve"> 49.4081 </t>
  </si>
  <si>
    <t>C:\Users\andre\Desktop\REACTIV CEFAS\Prochloraz\Prochloraz/20201219_Cefas_Test10_Run2/Plate 1/@7/B7_02- exclu.tif</t>
  </si>
  <si>
    <t>C:\Users\andre\Desktop\REACTIV CEFAS\Prochloraz\Prochloraz/20201219_Cefas_Test10_Run2/Plate 1/@7/B7_03- exclu.tif</t>
  </si>
  <si>
    <t>C:\Users\andre\Desktop\REACTIV CEFAS\Prochloraz\Prochloraz/20201219_Cefas_Test10_Run2/Plate 1/@7/B7_04- exclu.tif</t>
  </si>
  <si>
    <t xml:space="preserve">C:\Users\andre\Desktop\REACTIV CEFAS\Prochloraz\Prochloraz/20201219_Cefas_Test10_Run2/Plate 1/@7/C7_01.tif </t>
  </si>
  <si>
    <t xml:space="preserve"> 78256.9588 </t>
  </si>
  <si>
    <t xml:space="preserve"> 48.8029 </t>
  </si>
  <si>
    <t xml:space="preserve">C:\Users\andre\Desktop\REACTIV CEFAS\Prochloraz\Prochloraz/20201219_Cefas_Test10_Run2/Plate 1/@7/C7_02.tif </t>
  </si>
  <si>
    <t xml:space="preserve"> 76288.6384 </t>
  </si>
  <si>
    <t xml:space="preserve"> 47.3621 </t>
  </si>
  <si>
    <t xml:space="preserve">C:\Users\andre\Desktop\REACTIV CEFAS\Prochloraz\Prochloraz/20201219_Cefas_Test10_Run2/Plate 1/@7/C7_03.tif </t>
  </si>
  <si>
    <t xml:space="preserve"> 78343.4783 </t>
  </si>
  <si>
    <t xml:space="preserve"> 51.093 </t>
  </si>
  <si>
    <t xml:space="preserve">C:\Users\andre\Desktop\REACTIV CEFAS\Prochloraz\Prochloraz/20201219_Cefas_Test10_Run2/Plate 1/@7/C7_04.tif </t>
  </si>
  <si>
    <t xml:space="preserve"> 72741.3356 </t>
  </si>
  <si>
    <t xml:space="preserve"> 45.7868 </t>
  </si>
  <si>
    <t xml:space="preserve">C:\Users\andre\Desktop\REACTIV CEFAS\Prochloraz\Prochloraz/20201219_Cefas_Test10_Run2/Plate 1/@7/D7_01.tif </t>
  </si>
  <si>
    <t xml:space="preserve"> 93462.7747 </t>
  </si>
  <si>
    <t xml:space="preserve"> 54.6313 </t>
  </si>
  <si>
    <t xml:space="preserve">C:\Users\andre\Desktop\REACTIV CEFAS\Prochloraz\Prochloraz/20201219_Cefas_Test10_Run2/Plate 1/@7/D7_02.tif </t>
  </si>
  <si>
    <t xml:space="preserve"> 94133.3014 </t>
  </si>
  <si>
    <t xml:space="preserve"> 54.3603 </t>
  </si>
  <si>
    <t xml:space="preserve">C:\Users\andre\Desktop\REACTIV CEFAS\Prochloraz\Prochloraz/20201219_Cefas_Test10_Run2/Plate 1/@7/D7_03.tif </t>
  </si>
  <si>
    <t xml:space="preserve"> 83599.5427 </t>
  </si>
  <si>
    <t xml:space="preserve"> 50.3211 </t>
  </si>
  <si>
    <t xml:space="preserve">C:\Users\andre\Desktop\REACTIV CEFAS\Prochloraz\Prochloraz/20201219_Cefas_Test10_Run2/Plate 1/@7/D7_04.tif </t>
  </si>
  <si>
    <t xml:space="preserve"> 93830.4829 </t>
  </si>
  <si>
    <t xml:space="preserve"> 54.5931 </t>
  </si>
  <si>
    <t xml:space="preserve">C:\Users\andre\Desktop\REACTIV CEFAS\Prochloraz\Prochloraz/20201219_Cefas_Test10_Run2/Plate 1/@7/E7_01.tif </t>
  </si>
  <si>
    <t xml:space="preserve"> 76396.7878 </t>
  </si>
  <si>
    <t xml:space="preserve"> 50.4881 </t>
  </si>
  <si>
    <t xml:space="preserve">C:\Users\andre\Desktop\REACTIV CEFAS\Prochloraz\Prochloraz/20201219_Cefas_Test10_Run2/Plate 1/@7/E7_02.tif </t>
  </si>
  <si>
    <t xml:space="preserve"> 75358.5529 </t>
  </si>
  <si>
    <t xml:space="preserve"> 48.0772 </t>
  </si>
  <si>
    <t xml:space="preserve">C:\Users\andre\Desktop\REACTIV CEFAS\Prochloraz\Prochloraz/20201219_Cefas_Test10_Run2/Plate 1/@7/E7_03.tif </t>
  </si>
  <si>
    <t xml:space="preserve"> 75250.4034 </t>
  </si>
  <si>
    <t xml:space="preserve"> 48.3599 </t>
  </si>
  <si>
    <t xml:space="preserve">C:\Users\andre\Desktop\REACTIV CEFAS\Prochloraz\Prochloraz/20201219_Cefas_Test10_Run2/Plate 1/@7/E7_04.tif </t>
  </si>
  <si>
    <t xml:space="preserve"> 88596.0484 </t>
  </si>
  <si>
    <t xml:space="preserve"> 49.3645 </t>
  </si>
  <si>
    <t xml:space="preserve">C:\Users\andre\Desktop\REACTIV CEFAS\Prochloraz\Prochloraz/20201219_Cefas_Test10_Run2/Plate 1/@7/F7_01.tif </t>
  </si>
  <si>
    <t xml:space="preserve"> 45.425 </t>
  </si>
  <si>
    <t xml:space="preserve">C:\Users\andre\Desktop\REACTIV CEFAS\Prochloraz\Prochloraz/20201219_Cefas_Test10_Run2/Plate 1/@7/F7_02.tif </t>
  </si>
  <si>
    <t xml:space="preserve"> 66122.5879 </t>
  </si>
  <si>
    <t xml:space="preserve"> 47.0723 </t>
  </si>
  <si>
    <t xml:space="preserve">C:\Users\andre\Desktop\REACTIV CEFAS\Prochloraz\Prochloraz/20201219_Cefas_Test10_Run2/Plate 1/@7/F7_03.tif </t>
  </si>
  <si>
    <t xml:space="preserve"> 73909.3499 </t>
  </si>
  <si>
    <t xml:space="preserve"> 49.935 </t>
  </si>
  <si>
    <t xml:space="preserve">C:\Users\andre\Desktop\REACTIV CEFAS\Prochloraz\Prochloraz/20201219_Cefas_Test10_Run2/Plate 1/@7/F7_04.tif </t>
  </si>
  <si>
    <t xml:space="preserve"> 70773.0152 </t>
  </si>
  <si>
    <t xml:space="preserve"> 47.6745 </t>
  </si>
  <si>
    <t xml:space="preserve">C:\Users\andre\Desktop\REACTIV CEFAS\Prochloraz\Prochloraz/20201219_Cefas_Test10_Run2/Plate 1/@7/G7_01.tif </t>
  </si>
  <si>
    <t xml:space="preserve"> 62532.0254 </t>
  </si>
  <si>
    <t xml:space="preserve"> 43.5738 </t>
  </si>
  <si>
    <t xml:space="preserve">C:\Users\andre\Desktop\REACTIV CEFAS\Prochloraz\Prochloraz/20201219_Cefas_Test10_Run2/Plate 1/@7/G7_02.tif </t>
  </si>
  <si>
    <t xml:space="preserve"> 67528.531 </t>
  </si>
  <si>
    <t xml:space="preserve"> 48.8792 </t>
  </si>
  <si>
    <t xml:space="preserve">C:\Users\andre\Desktop\REACTIV CEFAS\Prochloraz\Prochloraz/20201219_Cefas_Test10_Run2/Plate 1/@7/G7_03.tif </t>
  </si>
  <si>
    <t xml:space="preserve"> 44.0613 </t>
  </si>
  <si>
    <t xml:space="preserve">C:\Users\andre\Desktop\REACTIV CEFAS\Prochloraz\Prochloraz/20201219_Cefas_Test10_Run2/Plate 1/@7/G7_04.tif </t>
  </si>
  <si>
    <t xml:space="preserve"> 63808.1892 </t>
  </si>
  <si>
    <t xml:space="preserve"> 43.5007 </t>
  </si>
  <si>
    <t xml:space="preserve">C:\Users\andre\Desktop\REACTIV CEFAS\Prochloraz\Prochloraz/20201219_Cefas_Test10_Run2/Plate 1/@7/H7_01.tif </t>
  </si>
  <si>
    <t xml:space="preserve"> 89526.1339 </t>
  </si>
  <si>
    <t xml:space="preserve"> 49.517 </t>
  </si>
  <si>
    <t xml:space="preserve">C:\Users\andre\Desktop\REACTIV CEFAS\Prochloraz\Prochloraz/20201219_Cefas_Test10_Run2/Plate 1/@7/H7_02.tif </t>
  </si>
  <si>
    <t xml:space="preserve"> 92554.3191 </t>
  </si>
  <si>
    <t xml:space="preserve"> 49.8934 </t>
  </si>
  <si>
    <t xml:space="preserve">C:\Users\andre\Desktop\REACTIV CEFAS\Prochloraz\Prochloraz/20201219_Cefas_Test10_Run2/Plate 1/@7/H7_03.tif </t>
  </si>
  <si>
    <t xml:space="preserve"> 85329.9343 </t>
  </si>
  <si>
    <t xml:space="preserve"> 52.4043 </t>
  </si>
  <si>
    <t xml:space="preserve">C:\Users\andre\Desktop\REACTIV CEFAS\Prochloraz\Prochloraz/20201219_Cefas_Test10_Run2/Plate 1/@7/H7_04.tif </t>
  </si>
  <si>
    <t xml:space="preserve"> 99735.4441 </t>
  </si>
  <si>
    <t xml:space="preserve"> 52.8447 </t>
  </si>
  <si>
    <t xml:space="preserve">C:\Users\andre\Desktop\REACTIV CEFAS\Prochloraz\Prochloraz/20201219_Cefas_Test10_Run2/Plate 1/@7/ </t>
  </si>
  <si>
    <t xml:space="preserve"> 48.78 </t>
  </si>
  <si>
    <t xml:space="preserve"> 5.0179 </t>
  </si>
  <si>
    <t xml:space="preserve"> 3560015.09 </t>
  </si>
  <si>
    <t xml:space="preserve"> 1102789.07 </t>
  </si>
  <si>
    <t xml:space="preserve">C:\Users\andre\Desktop\REACTIV CEFAS\Prochloraz\Prochloraz/20201219_Cefas_Test10_Run2/Plate 3/@10/A4_01.tif </t>
  </si>
  <si>
    <t xml:space="preserve"> 37.7086 </t>
  </si>
  <si>
    <t xml:space="preserve">C:\Users\andre\Desktop\REACTIV CEFAS\Prochloraz\Prochloraz/20201219_Cefas_Test10_Run2/Plate 3/@10/A4_02.tif </t>
  </si>
  <si>
    <t xml:space="preserve"> 38.1743 </t>
  </si>
  <si>
    <t xml:space="preserve">C:\Users\andre\Desktop\REACTIV CEFAS\Prochloraz\Prochloraz/20201219_Cefas_Test10_Run2/Plate 3/@10/A4_03.tif </t>
  </si>
  <si>
    <t xml:space="preserve"> 5710.2922 </t>
  </si>
  <si>
    <t xml:space="preserve">C:\Users\andre\Desktop\REACTIV CEFAS\Prochloraz\Prochloraz/20201219_Cefas_Test10_Run2/Plate 3/@10/A4_04.tif </t>
  </si>
  <si>
    <t xml:space="preserve"> 42.7577 </t>
  </si>
  <si>
    <t xml:space="preserve">C:\Users\andre\Desktop\REACTIV CEFAS\Prochloraz\Prochloraz/20201219_Cefas_Test10_Run2/Plate 3/@10/B4_01.tif </t>
  </si>
  <si>
    <t xml:space="preserve"> 37.8127 </t>
  </si>
  <si>
    <t xml:space="preserve">C:\Users\andre\Desktop\REACTIV CEFAS\Prochloraz\Prochloraz/20201219_Cefas_Test10_Run2/Plate 3/@10/B4_02.tif </t>
  </si>
  <si>
    <t xml:space="preserve"> 41.1756 </t>
  </si>
  <si>
    <t xml:space="preserve">C:\Users\andre\Desktop\REACTIV CEFAS\Prochloraz\Prochloraz/20201219_Cefas_Test10_Run2/Plate 3/@10/B4_03.tif </t>
  </si>
  <si>
    <t xml:space="preserve"> 42.3119 </t>
  </si>
  <si>
    <t xml:space="preserve">C:\Users\andre\Desktop\REACTIV CEFAS\Prochloraz\Prochloraz/20201219_Cefas_Test10_Run2/Plate 3/@10/B4_04.tif </t>
  </si>
  <si>
    <t xml:space="preserve"> 38.2715 </t>
  </si>
  <si>
    <t xml:space="preserve">C:\Users\andre\Desktop\REACTIV CEFAS\Prochloraz\Prochloraz/20201219_Cefas_Test10_Run2/Plate 3/@10/C4_01.tif </t>
  </si>
  <si>
    <t xml:space="preserve">C:\Users\andre\Desktop\REACTIV CEFAS\Prochloraz\Prochloraz/20201219_Cefas_Test10_Run2/Plate 3/@10/C4_02.tif </t>
  </si>
  <si>
    <t xml:space="preserve"> 10209.3103 </t>
  </si>
  <si>
    <t xml:space="preserve"> 39.7903 </t>
  </si>
  <si>
    <t xml:space="preserve">C:\Users\andre\Desktop\REACTIV CEFAS\Prochloraz\Prochloraz/20201219_Cefas_Test10_Run2/Plate 3/@10/C4_03.tif </t>
  </si>
  <si>
    <t xml:space="preserve"> 39.3075 </t>
  </si>
  <si>
    <t xml:space="preserve">C:\Users\andre\Desktop\REACTIV CEFAS\Prochloraz\Prochloraz/20201219_Cefas_Test10_Run2/Plate 3/@10/C4_04.tif </t>
  </si>
  <si>
    <t xml:space="preserve"> 41.9135 </t>
  </si>
  <si>
    <t xml:space="preserve">C:\Users\andre\Desktop\REACTIV CEFAS\Prochloraz\Prochloraz/20201219_Cefas_Test10_Run2/Plate 3/@10/D4_01.tif </t>
  </si>
  <si>
    <t xml:space="preserve"> 10036.2711 </t>
  </si>
  <si>
    <t xml:space="preserve"> 38.8987 </t>
  </si>
  <si>
    <t xml:space="preserve">C:\Users\andre\Desktop\REACTIV CEFAS\Prochloraz\Prochloraz/20201219_Cefas_Test10_Run2/Plate 3/@10/D4_02.tif </t>
  </si>
  <si>
    <t xml:space="preserve"> 42.9066 </t>
  </si>
  <si>
    <t xml:space="preserve">C:\Users\andre\Desktop\REACTIV CEFAS\Prochloraz\Prochloraz/20201219_Cefas_Test10_Run2/Plate 3/@10/D4_03.tif </t>
  </si>
  <si>
    <t xml:space="preserve"> 39.5194 </t>
  </si>
  <si>
    <t xml:space="preserve">C:\Users\andre\Desktop\REACTIV CEFAS\Prochloraz\Prochloraz/20201219_Cefas_Test10_Run2/Plate 3/@10/D4_04.tif </t>
  </si>
  <si>
    <t xml:space="preserve"> 14773.218 </t>
  </si>
  <si>
    <t xml:space="preserve"> 45.3821 </t>
  </si>
  <si>
    <t xml:space="preserve">C:\Users\andre\Desktop\REACTIV CEFAS\Prochloraz\Prochloraz/20201219_Cefas_Test10_Run2/Plate 3/@10/E4_01.tif </t>
  </si>
  <si>
    <t xml:space="preserve"> 37.797 </t>
  </si>
  <si>
    <t xml:space="preserve">C:\Users\andre\Desktop\REACTIV CEFAS\Prochloraz\Prochloraz/20201219_Cefas_Test10_Run2/Plate 3/@10/E4_02.tif </t>
  </si>
  <si>
    <t xml:space="preserve"> 16244.0509 </t>
  </si>
  <si>
    <t xml:space="preserve"> 41.6871 </t>
  </si>
  <si>
    <t xml:space="preserve">C:\Users\andre\Desktop\REACTIV CEFAS\Prochloraz\Prochloraz/20201219_Cefas_Test10_Run2/Plate 3/@10/E4_03.tif </t>
  </si>
  <si>
    <t xml:space="preserve"> 13886.3924 </t>
  </si>
  <si>
    <t xml:space="preserve"> 41.1931 </t>
  </si>
  <si>
    <t xml:space="preserve">C:\Users\andre\Desktop\REACTIV CEFAS\Prochloraz\Prochloraz/20201219_Cefas_Test10_Run2/Plate 3/@10/E4_04.tif </t>
  </si>
  <si>
    <t xml:space="preserve"> 37.9446 </t>
  </si>
  <si>
    <t xml:space="preserve">C:\Users\andre\Desktop\REACTIV CEFAS\Prochloraz\Prochloraz/20201219_Cefas_Test10_Run2/Plate 3/@10/F4_01.tif </t>
  </si>
  <si>
    <t xml:space="preserve"> 36.8061 </t>
  </si>
  <si>
    <t xml:space="preserve">C:\Users\andre\Desktop\REACTIV CEFAS\Prochloraz\Prochloraz/20201219_Cefas_Test10_Run2/Plate 3/@10/F4_02.tif </t>
  </si>
  <si>
    <t xml:space="preserve"> 3806.8615 </t>
  </si>
  <si>
    <t xml:space="preserve"> 37.1591 </t>
  </si>
  <si>
    <t xml:space="preserve">C:\Users\andre\Desktop\REACTIV CEFAS\Prochloraz\Prochloraz/20201219_Cefas_Test10_Run2/Plate 3/@10/F4_03.tif </t>
  </si>
  <si>
    <t xml:space="preserve">C:\Users\andre\Desktop\REACTIV CEFAS\Prochloraz\Prochloraz/20201219_Cefas_Test10_Run2/Plate 3/@10/F4_04.tif </t>
  </si>
  <si>
    <t xml:space="preserve">C:\Users\andre\Desktop\REACTIV CEFAS\Prochloraz\Prochloraz/20201219_Cefas_Test10_Run2/Plate 3/@10/G4_01.tif </t>
  </si>
  <si>
    <t xml:space="preserve"> 41.2824 </t>
  </si>
  <si>
    <t xml:space="preserve">C:\Users\andre\Desktop\REACTIV CEFAS\Prochloraz\Prochloraz/20201219_Cefas_Test10_Run2/Plate 3/@10/G4_02.tif </t>
  </si>
  <si>
    <t xml:space="preserve"> 34.8621 </t>
  </si>
  <si>
    <t xml:space="preserve">C:\Users\andre\Desktop\REACTIV CEFAS\Prochloraz\Prochloraz/20201219_Cefas_Test10_Run2/Plate 3/@10/G4_03.tif </t>
  </si>
  <si>
    <t xml:space="preserve"> 42.6285 </t>
  </si>
  <si>
    <t xml:space="preserve">C:\Users\andre\Desktop\REACTIV CEFAS\Prochloraz\Prochloraz/20201219_Cefas_Test10_Run2/Plate 3/@10/G4_04.tif </t>
  </si>
  <si>
    <t xml:space="preserve"> 37.1935 </t>
  </si>
  <si>
    <t xml:space="preserve">C:\Users\andre\Desktop\REACTIV CEFAS\Prochloraz\Prochloraz/20201219_Cefas_Test10_Run2/Plate 3/@10/H4_01.tif </t>
  </si>
  <si>
    <t xml:space="preserve"> 10793.3174 </t>
  </si>
  <si>
    <t xml:space="preserve"> 38.6553 </t>
  </si>
  <si>
    <t xml:space="preserve">C:\Users\andre\Desktop\REACTIV CEFAS\Prochloraz\Prochloraz/20201219_Cefas_Test10_Run2/Plate 3/@10/H4_02.tif </t>
  </si>
  <si>
    <t xml:space="preserve"> 34.0286 </t>
  </si>
  <si>
    <t>C:\Users\andre\Desktop\REACTIV CEFAS\Prochloraz\Prochloraz/20201219_Cefas_Test10_Run2/Plate 3/@10/H4_03- exclu.tif</t>
  </si>
  <si>
    <t xml:space="preserve">C:\Users\andre\Desktop\REACTIV CEFAS\Prochloraz\Prochloraz/20201219_Cefas_Test10_Run2/Plate 3/@10/H4_04.tif </t>
  </si>
  <si>
    <t xml:space="preserve"> 43.0976 </t>
  </si>
  <si>
    <t xml:space="preserve">C:\Users\andre\Desktop\REACTIV CEFAS\Prochloraz\Prochloraz/20201219_Cefas_Test10_Run2/Plate 3/@10/ </t>
  </si>
  <si>
    <t xml:space="preserve"> 37.5083 </t>
  </si>
  <si>
    <t xml:space="preserve"> 7.7555 </t>
  </si>
  <si>
    <t xml:space="preserve"> 301521.375 </t>
  </si>
  <si>
    <t xml:space="preserve"> 183522.646 </t>
  </si>
  <si>
    <t xml:space="preserve">C:\Users\andre\Desktop\REACTIV CEFAS\Prochloraz\Prochloraz/20201219_Cefas_Test10_Run2/Plate 3/@11/A5_01.tif </t>
  </si>
  <si>
    <t xml:space="preserve"> 49.8232 </t>
  </si>
  <si>
    <t xml:space="preserve">C:\Users\andre\Desktop\REACTIV CEFAS\Prochloraz\Prochloraz/20201219_Cefas_Test10_Run2/Plate 3/@11/A5_02.tif </t>
  </si>
  <si>
    <t xml:space="preserve"> 13432.1646 </t>
  </si>
  <si>
    <t xml:space="preserve"> 47.2609 </t>
  </si>
  <si>
    <t>C:\Users\andre\Desktop\REACTIV CEFAS\Prochloraz\Prochloraz/20201219_Cefas_Test10_Run2/Plate 3/@11/A5_03- exclu.tif</t>
  </si>
  <si>
    <t xml:space="preserve">C:\Users\andre\Desktop\REACTIV CEFAS\Prochloraz\Prochloraz/20201219_Cefas_Test10_Run2/Plate 3/@11/A5_04.tif </t>
  </si>
  <si>
    <t xml:space="preserve"> 14989.517 </t>
  </si>
  <si>
    <t xml:space="preserve"> 47.329 </t>
  </si>
  <si>
    <t>C:\Users\andre\Desktop\REACTIV CEFAS\Prochloraz\Prochloraz/20201219_Cefas_Test10_Run2/Plate 3/@11/B5_01- exclu.tif</t>
  </si>
  <si>
    <t>C:\Users\andre\Desktop\REACTIV CEFAS\Prochloraz\Prochloraz/20201219_Cefas_Test10_Run2/Plate 3/@11/B5_02- exclu.tif</t>
  </si>
  <si>
    <t>C:\Users\andre\Desktop\REACTIV CEFAS\Prochloraz\Prochloraz/20201219_Cefas_Test10_Run2/Plate 3/@11/B5_03- exclu.tif</t>
  </si>
  <si>
    <t>C:\Users\andre\Desktop\REACTIV CEFAS\Prochloraz\Prochloraz/20201219_Cefas_Test10_Run2/Plate 3/@11/B5_04- exclu.tif</t>
  </si>
  <si>
    <t xml:space="preserve">C:\Users\andre\Desktop\REACTIV CEFAS\Prochloraz\Prochloraz/20201219_Cefas_Test10_Run2/Plate 3/@11/C5_01.tif </t>
  </si>
  <si>
    <t xml:space="preserve"> 41.9888 </t>
  </si>
  <si>
    <t xml:space="preserve">C:\Users\andre\Desktop\REACTIV CEFAS\Prochloraz\Prochloraz/20201219_Cefas_Test10_Run2/Plate 3/@11/C5_02.tif </t>
  </si>
  <si>
    <t xml:space="preserve">C:\Users\andre\Desktop\REACTIV CEFAS\Prochloraz\Prochloraz/20201219_Cefas_Test10_Run2/Plate 3/@11/C5_03.tif </t>
  </si>
  <si>
    <t xml:space="preserve"> 44.9659 </t>
  </si>
  <si>
    <t xml:space="preserve">C:\Users\andre\Desktop\REACTIV CEFAS\Prochloraz\Prochloraz/20201219_Cefas_Test10_Run2/Plate 3/@11/C5_04.tif </t>
  </si>
  <si>
    <t xml:space="preserve"> 46.591 </t>
  </si>
  <si>
    <t xml:space="preserve">C:\Users\andre\Desktop\REACTIV CEFAS\Prochloraz\Prochloraz/20201219_Cefas_Test10_Run2/Plate 3/@11/D5_01.tif </t>
  </si>
  <si>
    <t xml:space="preserve"> 47.4744 </t>
  </si>
  <si>
    <t xml:space="preserve">C:\Users\andre\Desktop\REACTIV CEFAS\Prochloraz\Prochloraz/20201219_Cefas_Test10_Run2/Plate 3/@11/D5_02.tif </t>
  </si>
  <si>
    <t xml:space="preserve"> 47.5439 </t>
  </si>
  <si>
    <t>C:\Users\andre\Desktop\REACTIV CEFAS\Prochloraz\Prochloraz/20201219_Cefas_Test10_Run2/Plate 3/@11/D5_03- exclu.tif</t>
  </si>
  <si>
    <t xml:space="preserve">C:\Users\andre\Desktop\REACTIV CEFAS\Prochloraz\Prochloraz/20201219_Cefas_Test10_Run2/Plate 3/@11/D5_04.tif </t>
  </si>
  <si>
    <t xml:space="preserve"> 9755.0825 </t>
  </si>
  <si>
    <t xml:space="preserve"> 45.5499 </t>
  </si>
  <si>
    <t xml:space="preserve">C:\Users\andre\Desktop\REACTIV CEFAS\Prochloraz\Prochloraz/20201219_Cefas_Test10_Run2/Plate 3/@11/E5_01.tif </t>
  </si>
  <si>
    <t xml:space="preserve"> 44.0888 </t>
  </si>
  <si>
    <t xml:space="preserve">C:\Users\andre\Desktop\REACTIV CEFAS\Prochloraz\Prochloraz/20201219_Cefas_Test10_Run2/Plate 3/@11/E5_02.tif </t>
  </si>
  <si>
    <t xml:space="preserve"> 44.1609 </t>
  </si>
  <si>
    <t xml:space="preserve">C:\Users\andre\Desktop\REACTIV CEFAS\Prochloraz\Prochloraz/20201219_Cefas_Test10_Run2/Plate 3/@11/E5_03.tif </t>
  </si>
  <si>
    <t xml:space="preserve"> 43.4152 </t>
  </si>
  <si>
    <t xml:space="preserve">C:\Users\andre\Desktop\REACTIV CEFAS\Prochloraz\Prochloraz/20201219_Cefas_Test10_Run2/Plate 3/@11/E5_04.tif </t>
  </si>
  <si>
    <t xml:space="preserve"> 40.7798 </t>
  </si>
  <si>
    <t xml:space="preserve">C:\Users\andre\Desktop\REACTIV CEFAS\Prochloraz\Prochloraz/20201219_Cefas_Test10_Run2/Plate 3/@11/F5_01.tif </t>
  </si>
  <si>
    <t xml:space="preserve"> 42.8554 </t>
  </si>
  <si>
    <t>C:\Users\andre\Desktop\REACTIV CEFAS\Prochloraz\Prochloraz/20201219_Cefas_Test10_Run2/Plate 3/@11/F5_02- exclu.tif</t>
  </si>
  <si>
    <t>C:\Users\andre\Desktop\REACTIV CEFAS\Prochloraz\Prochloraz/20201219_Cefas_Test10_Run2/Plate 3/@11/F5_03- exclu.tif</t>
  </si>
  <si>
    <t xml:space="preserve">C:\Users\andre\Desktop\REACTIV CEFAS\Prochloraz\Prochloraz/20201219_Cefas_Test10_Run2/Plate 3/@11/F5_04.tif </t>
  </si>
  <si>
    <t xml:space="preserve"> 48.7865 </t>
  </si>
  <si>
    <t xml:space="preserve">C:\Users\andre\Desktop\REACTIV CEFAS\Prochloraz\Prochloraz/20201219_Cefas_Test10_Run2/Plate 3/@11/G5_01.tif </t>
  </si>
  <si>
    <t xml:space="preserve"> 32.6748 </t>
  </si>
  <si>
    <t xml:space="preserve">C:\Users\andre\Desktop\REACTIV CEFAS\Prochloraz\Prochloraz/20201219_Cefas_Test10_Run2/Plate 3/@11/G5_02.tif </t>
  </si>
  <si>
    <t xml:space="preserve"> 38.1612 </t>
  </si>
  <si>
    <t xml:space="preserve">C:\Users\andre\Desktop\REACTIV CEFAS\Prochloraz\Prochloraz/20201219_Cefas_Test10_Run2/Plate 3/@11/G5_03.tif </t>
  </si>
  <si>
    <t xml:space="preserve"> 40.2319 </t>
  </si>
  <si>
    <t xml:space="preserve">C:\Users\andre\Desktop\REACTIV CEFAS\Prochloraz\Prochloraz/20201219_Cefas_Test10_Run2/Plate 3/@11/G5_04.tif </t>
  </si>
  <si>
    <t xml:space="preserve"> 40.1846 </t>
  </si>
  <si>
    <t xml:space="preserve">C:\Users\andre\Desktop\REACTIV CEFAS\Prochloraz\Prochloraz/20201219_Cefas_Test10_Run2/Plate 3/@11/H5_01.tif </t>
  </si>
  <si>
    <t xml:space="preserve"> 45.1132 </t>
  </si>
  <si>
    <t xml:space="preserve">C:\Users\andre\Desktop\REACTIV CEFAS\Prochloraz\Prochloraz/20201219_Cefas_Test10_Run2/Plate 3/@11/H5_02.tif </t>
  </si>
  <si>
    <t xml:space="preserve"> 53.574 </t>
  </si>
  <si>
    <t>C:\Users\andre\Desktop\REACTIV CEFAS\Prochloraz\Prochloraz/20201219_Cefas_Test10_Run2/Plate 3/@11/H5_03- exclu.tif</t>
  </si>
  <si>
    <t>C:\Users\andre\Desktop\REACTIV CEFAS\Prochloraz\Prochloraz/20201219_Cefas_Test10_Run2/Plate 3/@11/H5_04- exclu.tif</t>
  </si>
  <si>
    <t xml:space="preserve">C:\Users\andre\Desktop\REACTIV CEFAS\Prochloraz\Prochloraz/20201219_Cefas_Test10_Run2/Plate 3/@11/ </t>
  </si>
  <si>
    <t xml:space="preserve"> 40.8396 </t>
  </si>
  <si>
    <t xml:space="preserve"> 12.1288 </t>
  </si>
  <si>
    <t xml:space="preserve"> 469520.875 </t>
  </si>
  <si>
    <t xml:space="preserve"> 256042.919 </t>
  </si>
  <si>
    <t xml:space="preserve">C:\Users\andre\Desktop\REACTIV CEFAS\Prochloraz\Prochloraz/20201219_Cefas_Test10_Run2/Plate 3/@12/A6_01.tif </t>
  </si>
  <si>
    <t xml:space="preserve"> 33.1157 </t>
  </si>
  <si>
    <t xml:space="preserve">C:\Users\andre\Desktop\REACTIV CEFAS\Prochloraz\Prochloraz/20201219_Cefas_Test10_Run2/Plate 3/@12/A6_02.tif </t>
  </si>
  <si>
    <t xml:space="preserve"> 31.2857 </t>
  </si>
  <si>
    <t xml:space="preserve">C:\Users\andre\Desktop\REACTIV CEFAS\Prochloraz\Prochloraz/20201219_Cefas_Test10_Run2/Plate 3/@12/A6_03.tif </t>
  </si>
  <si>
    <t xml:space="preserve"> 10901.4669 </t>
  </si>
  <si>
    <t xml:space="preserve"> 43.8056 </t>
  </si>
  <si>
    <t xml:space="preserve">C:\Users\andre\Desktop\REACTIV CEFAS\Prochloraz\Prochloraz/20201219_Cefas_Test10_Run2/Plate 3/@12/A6_04.tif </t>
  </si>
  <si>
    <t xml:space="preserve"> 35.4783 </t>
  </si>
  <si>
    <t>C:\Users\andre\Desktop\REACTIV CEFAS\Prochloraz\Prochloraz/20201219_Cefas_Test10_Run2/Plate 3/@12/B6_01- exclu.tif</t>
  </si>
  <si>
    <t>C:\Users\andre\Desktop\REACTIV CEFAS\Prochloraz\Prochloraz/20201219_Cefas_Test10_Run2/Plate 3/@12/B6_02- exclu.tif</t>
  </si>
  <si>
    <t>C:\Users\andre\Desktop\REACTIV CEFAS\Prochloraz\Prochloraz/20201219_Cefas_Test10_Run2/Plate 3/@12/B6_03- exclu.tif</t>
  </si>
  <si>
    <t>C:\Users\andre\Desktop\REACTIV CEFAS\Prochloraz\Prochloraz/20201219_Cefas_Test10_Run2/Plate 3/@12/B6_04- exclu.tif</t>
  </si>
  <si>
    <t>C:\Users\andre\Desktop\REACTIV CEFAS\Prochloraz\Prochloraz/20201219_Cefas_Test10_Run2/Plate 3/@12/C6_01- exclu.tif</t>
  </si>
  <si>
    <t xml:space="preserve">C:\Users\andre\Desktop\REACTIV CEFAS\Prochloraz\Prochloraz/20201219_Cefas_Test10_Run2/Plate 3/@12/C6_02.tif </t>
  </si>
  <si>
    <t xml:space="preserve"> 9365.7444 </t>
  </si>
  <si>
    <t xml:space="preserve"> 45.9861 </t>
  </si>
  <si>
    <t xml:space="preserve">C:\Users\andre\Desktop\REACTIV CEFAS\Prochloraz\Prochloraz/20201219_Cefas_Test10_Run2/Plate 3/@12/C6_03.tif </t>
  </si>
  <si>
    <t xml:space="preserve"> 34.103 </t>
  </si>
  <si>
    <t>C:\Users\andre\Desktop\REACTIV CEFAS\Prochloraz\Prochloraz/20201219_Cefas_Test10_Run2/Plate 3/@12/C6_04- exclu.tif</t>
  </si>
  <si>
    <t xml:space="preserve">C:\Users\andre\Desktop\REACTIV CEFAS\Prochloraz\Prochloraz/20201219_Cefas_Test10_Run2/Plate 3/@12/D6_01.tif </t>
  </si>
  <si>
    <t xml:space="preserve">C:\Users\andre\Desktop\REACTIV CEFAS\Prochloraz\Prochloraz/20201219_Cefas_Test10_Run2/Plate 3/@12/D6_02.tif </t>
  </si>
  <si>
    <t xml:space="preserve"> 30.4 </t>
  </si>
  <si>
    <t>C:\Users\andre\Desktop\REACTIV CEFAS\Prochloraz\Prochloraz/20201219_Cefas_Test10_Run2/Plate 3/@12/D6_03- exclu.tif</t>
  </si>
  <si>
    <t xml:space="preserve">C:\Users\andre\Desktop\REACTIV CEFAS\Prochloraz\Prochloraz/20201219_Cefas_Test10_Run2/Plate 3/@12/D6_04.tif </t>
  </si>
  <si>
    <t xml:space="preserve"> 31.4915 </t>
  </si>
  <si>
    <t>C:\Users\andre\Desktop\REACTIV CEFAS\Prochloraz\Prochloraz/20201219_Cefas_Test10_Run2/Plate 3/@12/E6_01- exclu.tif</t>
  </si>
  <si>
    <t>C:\Users\andre\Desktop\REACTIV CEFAS\Prochloraz\Prochloraz/20201219_Cefas_Test10_Run2/Plate 3/@12/E6_02- exclu.tif</t>
  </si>
  <si>
    <t xml:space="preserve">C:\Users\andre\Desktop\REACTIV CEFAS\Prochloraz\Prochloraz/20201219_Cefas_Test10_Run2/Plate 3/@12/E6_03.tif </t>
  </si>
  <si>
    <t xml:space="preserve"> 5688.6623 </t>
  </si>
  <si>
    <t xml:space="preserve"> 38.4144 </t>
  </si>
  <si>
    <t xml:space="preserve">C:\Users\andre\Desktop\REACTIV CEFAS\Prochloraz\Prochloraz/20201219_Cefas_Test10_Run2/Plate 3/@12/E6_04.tif </t>
  </si>
  <si>
    <t xml:space="preserve"> 38.973 </t>
  </si>
  <si>
    <t xml:space="preserve">C:\Users\andre\Desktop\REACTIV CEFAS\Prochloraz\Prochloraz/20201219_Cefas_Test10_Run2/Plate 3/@12/F6_01.tif </t>
  </si>
  <si>
    <t xml:space="preserve"> 49.051 </t>
  </si>
  <si>
    <t xml:space="preserve">C:\Users\andre\Desktop\REACTIV CEFAS\Prochloraz\Prochloraz/20201219_Cefas_Test10_Run2/Plate 3/@12/F6_02.tif </t>
  </si>
  <si>
    <t xml:space="preserve"> 12285.7801 </t>
  </si>
  <si>
    <t xml:space="preserve"> 45.8856 </t>
  </si>
  <si>
    <t>C:\Users\andre\Desktop\REACTIV CEFAS\Prochloraz\Prochloraz/20201219_Cefas_Test10_Run2/Plate 3/@12/F6_03- exclu.tif</t>
  </si>
  <si>
    <t>C:\Users\andre\Desktop\REACTIV CEFAS\Prochloraz\Prochloraz/20201219_Cefas_Test10_Run2/Plate 3/@12/F6_04- exclu.tif</t>
  </si>
  <si>
    <t xml:space="preserve">C:\Users\andre\Desktop\REACTIV CEFAS\Prochloraz\Prochloraz/20201219_Cefas_Test10_Run2/Plate 3/@12/G6_01.tif </t>
  </si>
  <si>
    <t xml:space="preserve"> 46.4112 </t>
  </si>
  <si>
    <t xml:space="preserve">C:\Users\andre\Desktop\REACTIV CEFAS\Prochloraz\Prochloraz/20201219_Cefas_Test10_Run2/Plate 3/@12/G6_02.tif </t>
  </si>
  <si>
    <t xml:space="preserve"> 46.8589 </t>
  </si>
  <si>
    <t xml:space="preserve">C:\Users\andre\Desktop\REACTIV CEFAS\Prochloraz\Prochloraz/20201219_Cefas_Test10_Run2/Plate 3/@12/G6_03.tif </t>
  </si>
  <si>
    <t xml:space="preserve"> 42.815 </t>
  </si>
  <si>
    <t xml:space="preserve">C:\Users\andre\Desktop\REACTIV CEFAS\Prochloraz\Prochloraz/20201219_Cefas_Test10_Run2/Plate 3/@12/G6_04.tif </t>
  </si>
  <si>
    <t xml:space="preserve"> 8500.5486 </t>
  </si>
  <si>
    <t xml:space="preserve"> 41.9313 </t>
  </si>
  <si>
    <t xml:space="preserve">C:\Users\andre\Desktop\REACTIV CEFAS\Prochloraz\Prochloraz/20201219_Cefas_Test10_Run2/Plate 3/@12/H6_01.tif </t>
  </si>
  <si>
    <t xml:space="preserve"> 34.6068 </t>
  </si>
  <si>
    <t xml:space="preserve">C:\Users\andre\Desktop\REACTIV CEFAS\Prochloraz\Prochloraz/20201219_Cefas_Test10_Run2/Plate 3/@12/H6_02.tif </t>
  </si>
  <si>
    <t xml:space="preserve"> 35.6545 </t>
  </si>
  <si>
    <t xml:space="preserve">C:\Users\andre\Desktop\REACTIV CEFAS\Prochloraz\Prochloraz/20201219_Cefas_Test10_Run2/Plate 3/@12/H6_03.tif </t>
  </si>
  <si>
    <t xml:space="preserve"> 36.6262 </t>
  </si>
  <si>
    <t xml:space="preserve">C:\Users\andre\Desktop\REACTIV CEFAS\Prochloraz\Prochloraz/20201219_Cefas_Test10_Run2/Plate 3/@12/H6_04.tif </t>
  </si>
  <si>
    <t xml:space="preserve"> 37.0817 </t>
  </si>
  <si>
    <t xml:space="preserve">C:\Users\andre\Desktop\REACTIV CEFAS\Prochloraz\Prochloraz/20201219_Cefas_Test10_Run2/Plate 3/@12/ </t>
  </si>
  <si>
    <t xml:space="preserve"> 38.8046 </t>
  </si>
  <si>
    <t xml:space="preserve"> 9.5738 </t>
  </si>
  <si>
    <t xml:space="preserve"> 318585.969 </t>
  </si>
  <si>
    <t xml:space="preserve"> 271361.657 </t>
  </si>
  <si>
    <t xml:space="preserve">C:\Users\andre\Desktop\REACTIV CEFAS\Prochloraz\Prochloraz/20201219_Cefas_Test10_Run2/Plate 3/@17/A8_01.tif </t>
  </si>
  <si>
    <t xml:space="preserve"> 48386.0743 </t>
  </si>
  <si>
    <t xml:space="preserve"> 39.4148 </t>
  </si>
  <si>
    <t xml:space="preserve">C:\Users\andre\Desktop\REACTIV CEFAS\Prochloraz\Prochloraz/20201219_Cefas_Test10_Run2/Plate 3/@17/A8_02.tif </t>
  </si>
  <si>
    <t xml:space="preserve"> 60888.1534 </t>
  </si>
  <si>
    <t xml:space="preserve"> 39.6238 </t>
  </si>
  <si>
    <t xml:space="preserve">C:\Users\andre\Desktop\REACTIV CEFAS\Prochloraz\Prochloraz/20201219_Cefas_Test10_Run2/Plate 3/@17/A8_03.tif </t>
  </si>
  <si>
    <t xml:space="preserve"> 60953.0431 </t>
  </si>
  <si>
    <t xml:space="preserve"> 38.846 </t>
  </si>
  <si>
    <t>C:\Users\andre\Desktop\REACTIV CEFAS\Prochloraz\Prochloraz/20201219_Cefas_Test10_Run2/Plate 3/@17/A8_04- exclu.tif</t>
  </si>
  <si>
    <t xml:space="preserve">C:\Users\andre\Desktop\REACTIV CEFAS\Prochloraz\Prochloraz/20201219_Cefas_Test10_Run2/Plate 3/@17/B8_01.tif </t>
  </si>
  <si>
    <t xml:space="preserve"> 35126.9489 </t>
  </si>
  <si>
    <t xml:space="preserve"> 35.2254 </t>
  </si>
  <si>
    <t xml:space="preserve">C:\Users\andre\Desktop\REACTIV CEFAS\Prochloraz\Prochloraz/20201219_Cefas_Test10_Run2/Plate 3/@17/B8_02.tif </t>
  </si>
  <si>
    <t xml:space="preserve"> 50116.4659 </t>
  </si>
  <si>
    <t xml:space="preserve"> 37.637 </t>
  </si>
  <si>
    <t xml:space="preserve">C:\Users\andre\Desktop\REACTIV CEFAS\Prochloraz\Prochloraz/20201219_Cefas_Test10_Run2/Plate 3/@17/B8_03.tif </t>
  </si>
  <si>
    <t xml:space="preserve"> 48321.1846 </t>
  </si>
  <si>
    <t xml:space="preserve"> 37.5618 </t>
  </si>
  <si>
    <t xml:space="preserve">C:\Users\andre\Desktop\REACTIV CEFAS\Prochloraz\Prochloraz/20201219_Cefas_Test10_Run2/Plate 3/@17/B8_04.tif </t>
  </si>
  <si>
    <t xml:space="preserve"> 55610.4591 </t>
  </si>
  <si>
    <t xml:space="preserve"> 37.9638 </t>
  </si>
  <si>
    <t xml:space="preserve">C:\Users\andre\Desktop\REACTIV CEFAS\Prochloraz\Prochloraz/20201219_Cefas_Test10_Run2/Plate 3/@17/C8_01.tif </t>
  </si>
  <si>
    <t xml:space="preserve"> 84789.1869 </t>
  </si>
  <si>
    <t xml:space="preserve"> 45.9406 </t>
  </si>
  <si>
    <t xml:space="preserve">C:\Users\andre\Desktop\REACTIV CEFAS\Prochloraz\Prochloraz/20201219_Cefas_Test10_Run2/Plate 3/@17/C8_02.tif </t>
  </si>
  <si>
    <t xml:space="preserve"> 87298.2547 </t>
  </si>
  <si>
    <t xml:space="preserve"> 47.7745 </t>
  </si>
  <si>
    <t>C:\Users\andre\Desktop\REACTIV CEFAS\Prochloraz\Prochloraz/20201219_Cefas_Test10_Run2/Plate 3/@17/C8_03- exclu.tif</t>
  </si>
  <si>
    <t>C:\Users\andre\Desktop\REACTIV CEFAS\Prochloraz\Prochloraz/20201219_Cefas_Test10_Run2/Plate 3/@17/C8_04- exclu.tif</t>
  </si>
  <si>
    <t xml:space="preserve">C:\Users\andre\Desktop\REACTIV CEFAS\Prochloraz\Prochloraz/20201219_Cefas_Test10_Run2/Plate 3/@17/D8_01.tif </t>
  </si>
  <si>
    <t xml:space="preserve"> 39.1845 </t>
  </si>
  <si>
    <t xml:space="preserve">C:\Users\andre\Desktop\REACTIV CEFAS\Prochloraz\Prochloraz/20201219_Cefas_Test10_Run2/Plate 3/@17/D8_02.tif </t>
  </si>
  <si>
    <t xml:space="preserve"> 74125.6489 </t>
  </si>
  <si>
    <t xml:space="preserve"> 41.396 </t>
  </si>
  <si>
    <t xml:space="preserve">C:\Users\andre\Desktop\REACTIV CEFAS\Prochloraz\Prochloraz/20201219_Cefas_Test10_Run2/Plate 3/@17/D8_03.tif </t>
  </si>
  <si>
    <t xml:space="preserve"> 41.2321 </t>
  </si>
  <si>
    <t xml:space="preserve">C:\Users\andre\Desktop\REACTIV CEFAS\Prochloraz\Prochloraz/20201219_Cefas_Test10_Run2/Plate 3/@17/D8_04.tif </t>
  </si>
  <si>
    <t xml:space="preserve"> 68847.9546 </t>
  </si>
  <si>
    <t xml:space="preserve"> 41.9808 </t>
  </si>
  <si>
    <t xml:space="preserve">C:\Users\andre\Desktop\REACTIV CEFAS\Prochloraz\Prochloraz/20201219_Cefas_Test10_Run2/Plate 3/@17/E8_01.tif </t>
  </si>
  <si>
    <t xml:space="preserve"> 54896.6726 </t>
  </si>
  <si>
    <t xml:space="preserve"> 35.6619 </t>
  </si>
  <si>
    <t xml:space="preserve">C:\Users\andre\Desktop\REACTIV CEFAS\Prochloraz\Prochloraz/20201219_Cefas_Test10_Run2/Plate 3/@17/E8_02.tif </t>
  </si>
  <si>
    <t xml:space="preserve"> 51673.8183 </t>
  </si>
  <si>
    <t xml:space="preserve"> 34.8715 </t>
  </si>
  <si>
    <t xml:space="preserve">C:\Users\andre\Desktop\REACTIV CEFAS\Prochloraz\Prochloraz/20201219_Cefas_Test10_Run2/Plate 3/@17/E8_03.tif </t>
  </si>
  <si>
    <t xml:space="preserve"> 65322.2818 </t>
  </si>
  <si>
    <t xml:space="preserve"> 36.7344 </t>
  </si>
  <si>
    <t xml:space="preserve">C:\Users\andre\Desktop\REACTIV CEFAS\Prochloraz\Prochloraz/20201219_Cefas_Test10_Run2/Plate 3/@17/E8_04.tif </t>
  </si>
  <si>
    <t xml:space="preserve"> 71897.7697 </t>
  </si>
  <si>
    <t xml:space="preserve"> 37.4663 </t>
  </si>
  <si>
    <t xml:space="preserve">C:\Users\andre\Desktop\REACTIV CEFAS\Prochloraz\Prochloraz/20201219_Cefas_Test10_Run2/Plate 3/@17/F8_01.tif </t>
  </si>
  <si>
    <t xml:space="preserve"> 36.797 </t>
  </si>
  <si>
    <t xml:space="preserve">C:\Users\andre\Desktop\REACTIV CEFAS\Prochloraz\Prochloraz/20201219_Cefas_Test10_Run2/Plate 3/@17/F8_02.tif </t>
  </si>
  <si>
    <t xml:space="preserve"> 37.8754 </t>
  </si>
  <si>
    <t xml:space="preserve">C:\Users\andre\Desktop\REACTIV CEFAS\Prochloraz\Prochloraz/20201219_Cefas_Test10_Run2/Plate 3/@17/F8_03.tif </t>
  </si>
  <si>
    <t xml:space="preserve"> 34.3575 </t>
  </si>
  <si>
    <t xml:space="preserve">C:\Users\andre\Desktop\REACTIV CEFAS\Prochloraz\Prochloraz/20201219_Cefas_Test10_Run2/Plate 3/@17/F8_04.tif </t>
  </si>
  <si>
    <t xml:space="preserve"> 31.6462 </t>
  </si>
  <si>
    <t xml:space="preserve">C:\Users\andre\Desktop\REACTIV CEFAS\Prochloraz\Prochloraz/20201219_Cefas_Test10_Run2/Plate 3/@17/G8_01.tif </t>
  </si>
  <si>
    <t xml:space="preserve"> 81998.9305 </t>
  </si>
  <si>
    <t xml:space="preserve"> 46.8446 </t>
  </si>
  <si>
    <t xml:space="preserve">C:\Users\andre\Desktop\REACTIV CEFAS\Prochloraz\Prochloraz/20201219_Cefas_Test10_Run2/Plate 3/@17/G8_02.tif </t>
  </si>
  <si>
    <t xml:space="preserve"> 44.4327 </t>
  </si>
  <si>
    <t xml:space="preserve">C:\Users\andre\Desktop\REACTIV CEFAS\Prochloraz\Prochloraz/20201219_Cefas_Test10_Run2/Plate 3/@17/G8_03.tif </t>
  </si>
  <si>
    <t xml:space="preserve"> 76894.2754 </t>
  </si>
  <si>
    <t xml:space="preserve"> 42.607 </t>
  </si>
  <si>
    <t xml:space="preserve">C:\Users\andre\Desktop\REACTIV CEFAS\Prochloraz\Prochloraz/20201219_Cefas_Test10_Run2/Plate 3/@17/G8_04.tif </t>
  </si>
  <si>
    <t xml:space="preserve"> 79554.7524 </t>
  </si>
  <si>
    <t xml:space="preserve"> 45.103 </t>
  </si>
  <si>
    <t xml:space="preserve">C:\Users\andre\Desktop\REACTIV CEFAS\Prochloraz\Prochloraz/20201219_Cefas_Test10_Run2/Plate 3/@17/H8_01.tif </t>
  </si>
  <si>
    <t xml:space="preserve"> 31.2991 </t>
  </si>
  <si>
    <t xml:space="preserve">C:\Users\andre\Desktop\REACTIV CEFAS\Prochloraz\Prochloraz/20201219_Cefas_Test10_Run2/Plate 3/@17/H8_02.tif </t>
  </si>
  <si>
    <t xml:space="preserve"> 31.6345 </t>
  </si>
  <si>
    <t xml:space="preserve">C:\Users\andre\Desktop\REACTIV CEFAS\Prochloraz\Prochloraz/20201219_Cefas_Test10_Run2/Plate 3/@17/H8_03.tif </t>
  </si>
  <si>
    <t xml:space="preserve"> 14751.5881 </t>
  </si>
  <si>
    <t xml:space="preserve"> 39.3754 </t>
  </si>
  <si>
    <t>C:\Users\andre\Desktop\REACTIV CEFAS\Prochloraz\Prochloraz/20201219_Cefas_Test10_Run2/Plate 3/@17/H8_04- exclu.tif</t>
  </si>
  <si>
    <t xml:space="preserve">C:\Users\andre\Desktop\REACTIV CEFAS\Prochloraz\Prochloraz/20201219_Cefas_Test10_Run2/Plate 3/@17/ </t>
  </si>
  <si>
    <t xml:space="preserve"> 38.9629 </t>
  </si>
  <si>
    <t xml:space="preserve"> 4.454 </t>
  </si>
  <si>
    <t xml:space="preserve"> 2112528.94 </t>
  </si>
  <si>
    <t xml:space="preserve"> 1323566.68 </t>
  </si>
  <si>
    <t xml:space="preserve">C:\Users\andre\Desktop\REACTIV CEFAS\Prochloraz\Prochloraz/20201219_Cefas_Test10_Run2/Plate 3/@18/A9_01.tif </t>
  </si>
  <si>
    <t xml:space="preserve"> 36251.7034 </t>
  </si>
  <si>
    <t xml:space="preserve"> 37.0692 </t>
  </si>
  <si>
    <t xml:space="preserve">C:\Users\andre\Desktop\REACTIV CEFAS\Prochloraz\Prochloraz/20201219_Cefas_Test10_Run2/Plate 3/@18/A9_02.tif </t>
  </si>
  <si>
    <t xml:space="preserve"> 40750.7215 </t>
  </si>
  <si>
    <t xml:space="preserve"> 38.0499 </t>
  </si>
  <si>
    <t xml:space="preserve">C:\Users\andre\Desktop\REACTIV CEFAS\Prochloraz\Prochloraz/20201219_Cefas_Test10_Run2/Plate 3/@18/A9_03.tif </t>
  </si>
  <si>
    <t xml:space="preserve"> 37.2721 </t>
  </si>
  <si>
    <t xml:space="preserve">C:\Users\andre\Desktop\REACTIV CEFAS\Prochloraz\Prochloraz/20201219_Cefas_Test10_Run2/Plate 3/@18/A9_04.tif </t>
  </si>
  <si>
    <t xml:space="preserve"> 41529.3977 </t>
  </si>
  <si>
    <t xml:space="preserve"> 38.5271 </t>
  </si>
  <si>
    <t xml:space="preserve">C:\Users\andre\Desktop\REACTIV CEFAS\Prochloraz\Prochloraz/20201219_Cefas_Test10_Run2/Plate 3/@18/B9_01.tif </t>
  </si>
  <si>
    <t xml:space="preserve"> 9668.5629 </t>
  </si>
  <si>
    <t xml:space="preserve"> 39.3602 </t>
  </si>
  <si>
    <t xml:space="preserve">C:\Users\andre\Desktop\REACTIV CEFAS\Prochloraz\Prochloraz/20201219_Cefas_Test10_Run2/Plate 3/@18/B9_02.tif </t>
  </si>
  <si>
    <t xml:space="preserve"> 41.1456 </t>
  </si>
  <si>
    <t xml:space="preserve">C:\Users\andre\Desktop\REACTIV CEFAS\Prochloraz\Prochloraz/20201219_Cefas_Test10_Run2/Plate 3/@18/B9_03.tif </t>
  </si>
  <si>
    <t xml:space="preserve"> 37.8588 </t>
  </si>
  <si>
    <t xml:space="preserve">C:\Users\andre\Desktop\REACTIV CEFAS\Prochloraz\Prochloraz/20201219_Cefas_Test10_Run2/Plate 3/@18/B9_04.tif </t>
  </si>
  <si>
    <t xml:space="preserve"> 38.4906 </t>
  </si>
  <si>
    <t>C:\Users\andre\Desktop\REACTIV CEFAS\Prochloraz\Prochloraz/20201219_Cefas_Test10_Run2/Plate 3/@18/C9_01- exclu.tif</t>
  </si>
  <si>
    <t xml:space="preserve">C:\Users\andre\Desktop\REACTIV CEFAS\Prochloraz\Prochloraz/20201219_Cefas_Test10_Run2/Plate 3/@18/C9_02.tif </t>
  </si>
  <si>
    <t xml:space="preserve"> 62034.5378 </t>
  </si>
  <si>
    <t xml:space="preserve"> 37.7043 </t>
  </si>
  <si>
    <t xml:space="preserve">C:\Users\andre\Desktop\REACTIV CEFAS\Prochloraz\Prochloraz/20201219_Cefas_Test10_Run2/Plate 3/@18/C9_03.tif </t>
  </si>
  <si>
    <t xml:space="preserve"> 58379.0856 </t>
  </si>
  <si>
    <t xml:space="preserve"> 40.5417 </t>
  </si>
  <si>
    <t xml:space="preserve">C:\Users\andre\Desktop\REACTIV CEFAS\Prochloraz\Prochloraz/20201219_Cefas_Test10_Run2/Plate 3/@18/C9_04.tif </t>
  </si>
  <si>
    <t xml:space="preserve"> 62618.545 </t>
  </si>
  <si>
    <t xml:space="preserve"> 37.9713 </t>
  </si>
  <si>
    <t xml:space="preserve">C:\Users\andre\Desktop\REACTIV CEFAS\Prochloraz\Prochloraz/20201219_Cefas_Test10_Run2/Plate 3/@18/D9_01.tif </t>
  </si>
  <si>
    <t xml:space="preserve"> 2400.9183 </t>
  </si>
  <si>
    <t xml:space="preserve"> 32.9369 </t>
  </si>
  <si>
    <t>C:\Users\andre\Desktop\REACTIV CEFAS\Prochloraz\Prochloraz/20201219_Cefas_Test10_Run2/Plate 3/@18/D9_02- exclu.tif</t>
  </si>
  <si>
    <t xml:space="preserve">C:\Users\andre\Desktop\REACTIV CEFAS\Prochloraz\Prochloraz/20201219_Cefas_Test10_Run2/Plate 3/@18/D9_03.tif </t>
  </si>
  <si>
    <t xml:space="preserve"> 39.5659 </t>
  </si>
  <si>
    <t xml:space="preserve">C:\Users\andre\Desktop\REACTIV CEFAS\Prochloraz\Prochloraz/20201219_Cefas_Test10_Run2/Plate 3/@18/D9_04.tif </t>
  </si>
  <si>
    <t xml:space="preserve"> 36.6355 </t>
  </si>
  <si>
    <t xml:space="preserve">C:\Users\andre\Desktop\REACTIV CEFAS\Prochloraz\Prochloraz/20201219_Cefas_Test10_Run2/Plate 3/@18/E9_01.tif </t>
  </si>
  <si>
    <t xml:space="preserve"> 54269.4056 </t>
  </si>
  <si>
    <t xml:space="preserve"> 37.7377 </t>
  </si>
  <si>
    <t xml:space="preserve">C:\Users\andre\Desktop\REACTIV CEFAS\Prochloraz\Prochloraz/20201219_Cefas_Test10_Run2/Plate 3/@18/E9_02.tif </t>
  </si>
  <si>
    <t xml:space="preserve"> 55069.7117 </t>
  </si>
  <si>
    <t xml:space="preserve"> 38.7636 </t>
  </si>
  <si>
    <t xml:space="preserve">C:\Users\andre\Desktop\REACTIV CEFAS\Prochloraz\Prochloraz/20201219_Cefas_Test10_Run2/Plate 3/@18/E9_03.tif </t>
  </si>
  <si>
    <t xml:space="preserve"> 51435.8894 </t>
  </si>
  <si>
    <t xml:space="preserve"> 39.5303 </t>
  </si>
  <si>
    <t xml:space="preserve">C:\Users\andre\Desktop\REACTIV CEFAS\Prochloraz\Prochloraz/20201219_Cefas_Test10_Run2/Plate 3/@18/E9_04.tif </t>
  </si>
  <si>
    <t xml:space="preserve"> 52949.9821 </t>
  </si>
  <si>
    <t xml:space="preserve"> 37.1757 </t>
  </si>
  <si>
    <t xml:space="preserve">C:\Users\andre\Desktop\REACTIV CEFAS\Prochloraz\Prochloraz/20201219_Cefas_Test10_Run2/Plate 3/@18/F9_01.tif </t>
  </si>
  <si>
    <t xml:space="preserve"> 93895.3726 </t>
  </si>
  <si>
    <t xml:space="preserve"> 50.405 </t>
  </si>
  <si>
    <t xml:space="preserve">C:\Users\andre\Desktop\REACTIV CEFAS\Prochloraz\Prochloraz/20201219_Cefas_Test10_Run2/Plate 3/@18/F9_02.tif </t>
  </si>
  <si>
    <t xml:space="preserve"> 49.6082 </t>
  </si>
  <si>
    <t xml:space="preserve">C:\Users\andre\Desktop\REACTIV CEFAS\Prochloraz\Prochloraz/20201219_Cefas_Test10_Run2/Plate 3/@18/F9_03.tif </t>
  </si>
  <si>
    <t xml:space="preserve"> 90715.7781 </t>
  </si>
  <si>
    <t xml:space="preserve"> 47.2368 </t>
  </si>
  <si>
    <t xml:space="preserve">C:\Users\andre\Desktop\REACTIV CEFAS\Prochloraz\Prochloraz/20201219_Cefas_Test10_Run2/Plate 3/@18/F9_04.tif </t>
  </si>
  <si>
    <t xml:space="preserve"> 47.589 </t>
  </si>
  <si>
    <t xml:space="preserve">C:\Users\andre\Desktop\REACTIV CEFAS\Prochloraz\Prochloraz/20201219_Cefas_Test10_Run2/Plate 3/@18/G9_01.tif </t>
  </si>
  <si>
    <t xml:space="preserve"> 60412.2957 </t>
  </si>
  <si>
    <t xml:space="preserve"> 44.121 </t>
  </si>
  <si>
    <t xml:space="preserve">C:\Users\andre\Desktop\REACTIV CEFAS\Prochloraz\Prochloraz/20201219_Cefas_Test10_Run2/Plate 3/@18/G9_02.tif </t>
  </si>
  <si>
    <t xml:space="preserve"> 58898.2031 </t>
  </si>
  <si>
    <t xml:space="preserve"> 40.8476 </t>
  </si>
  <si>
    <t xml:space="preserve">C:\Users\andre\Desktop\REACTIV CEFAS\Prochloraz\Prochloraz/20201219_Cefas_Test10_Run2/Plate 3/@18/G9_03.tif </t>
  </si>
  <si>
    <t xml:space="preserve"> 65625.1003 </t>
  </si>
  <si>
    <t xml:space="preserve"> 45.5138 </t>
  </si>
  <si>
    <t xml:space="preserve">C:\Users\andre\Desktop\REACTIV CEFAS\Prochloraz\Prochloraz/20201219_Cefas_Test10_Run2/Plate 3/@18/G9_04.tif </t>
  </si>
  <si>
    <t xml:space="preserve"> 66447.0363 </t>
  </si>
  <si>
    <t xml:space="preserve"> 43.1051 </t>
  </si>
  <si>
    <t xml:space="preserve">C:\Users\andre\Desktop\REACTIV CEFAS\Prochloraz\Prochloraz/20201219_Cefas_Test10_Run2/Plate 3/@18/H9_01.tif </t>
  </si>
  <si>
    <t xml:space="preserve"> 43108.38 </t>
  </si>
  <si>
    <t xml:space="preserve"> 38.1445 </t>
  </si>
  <si>
    <t xml:space="preserve">C:\Users\andre\Desktop\REACTIV CEFAS\Prochloraz\Prochloraz/20201219_Cefas_Test10_Run2/Plate 3/@18/H9_02.tif </t>
  </si>
  <si>
    <t xml:space="preserve"> 36.5852 </t>
  </si>
  <si>
    <t xml:space="preserve">C:\Users\andre\Desktop\REACTIV CEFAS\Prochloraz\Prochloraz/20201219_Cefas_Test10_Run2/Plate 3/@18/H9_03.tif </t>
  </si>
  <si>
    <t xml:space="preserve"> 39.4479 </t>
  </si>
  <si>
    <t xml:space="preserve">C:\Users\andre\Desktop\REACTIV CEFAS\Prochloraz\Prochloraz/20201219_Cefas_Test10_Run2/Plate 3/@18/H9_04.tif </t>
  </si>
  <si>
    <t xml:space="preserve"> 56518.9147 </t>
  </si>
  <si>
    <t xml:space="preserve"> 38.9208 </t>
  </si>
  <si>
    <t xml:space="preserve">C:\Users\andre\Desktop\REACTIV CEFAS\Prochloraz\Prochloraz/20201219_Cefas_Test10_Run2/Plate 3/@18/ </t>
  </si>
  <si>
    <t xml:space="preserve"> 39.9664 </t>
  </si>
  <si>
    <t xml:space="preserve"> 4.2775 </t>
  </si>
  <si>
    <t xml:space="preserve"> 1930559.34 </t>
  </si>
  <si>
    <t xml:space="preserve"> 1255562.64 </t>
  </si>
  <si>
    <t xml:space="preserve">C:\Users\andre\Desktop\REACTIV CEFAS\Prochloraz\Prochloraz/20201219_Cefas_Test10_Run2/Plate 3/@19/A10_01.tif </t>
  </si>
  <si>
    <t xml:space="preserve"> 12977.9368 </t>
  </si>
  <si>
    <t xml:space="preserve"> 40.9083 </t>
  </si>
  <si>
    <t xml:space="preserve">C:\Users\andre\Desktop\REACTIV CEFAS\Prochloraz\Prochloraz/20201219_Cefas_Test10_Run2/Plate 3/@19/A10_02.tif </t>
  </si>
  <si>
    <t xml:space="preserve"> 18839.6382 </t>
  </si>
  <si>
    <t xml:space="preserve"> 38.1263 </t>
  </si>
  <si>
    <t xml:space="preserve">C:\Users\andre\Desktop\REACTIV CEFAS\Prochloraz\Prochloraz/20201219_Cefas_Test10_Run2/Plate 3/@19/A10_03.tif </t>
  </si>
  <si>
    <t xml:space="preserve"> 11766.6627 </t>
  </si>
  <si>
    <t xml:space="preserve"> 39.4007 </t>
  </si>
  <si>
    <t xml:space="preserve">C:\Users\andre\Desktop\REACTIV CEFAS\Prochloraz\Prochloraz/20201219_Cefas_Test10_Run2/Plate 3/@19/A10_04.tif </t>
  </si>
  <si>
    <t xml:space="preserve"> 38.6961 </t>
  </si>
  <si>
    <t xml:space="preserve">C:\Users\andre\Desktop\REACTIV CEFAS\Prochloraz\Prochloraz/20201219_Cefas_Test10_Run2/Plate 3/@19/B10_01.tif </t>
  </si>
  <si>
    <t xml:space="preserve"> 58335.8258 </t>
  </si>
  <si>
    <t xml:space="preserve"> 40.0801 </t>
  </si>
  <si>
    <t xml:space="preserve">C:\Users\andre\Desktop\REACTIV CEFAS\Prochloraz\Prochloraz/20201219_Cefas_Test10_Run2/Plate 3/@19/B10_02.tif </t>
  </si>
  <si>
    <t xml:space="preserve"> 47845.3269 </t>
  </si>
  <si>
    <t xml:space="preserve"> 36.9634 </t>
  </si>
  <si>
    <t xml:space="preserve">C:\Users\andre\Desktop\REACTIV CEFAS\Prochloraz\Prochloraz/20201219_Cefas_Test10_Run2/Plate 3/@19/B10_03.tif </t>
  </si>
  <si>
    <t xml:space="preserve"> 60304.1462 </t>
  </si>
  <si>
    <t xml:space="preserve"> 39.3271 </t>
  </si>
  <si>
    <t xml:space="preserve">C:\Users\andre\Desktop\REACTIV CEFAS\Prochloraz\Prochloraz/20201219_Cefas_Test10_Run2/Plate 3/@19/B10_04.tif </t>
  </si>
  <si>
    <t xml:space="preserve"> 48494.2238 </t>
  </si>
  <si>
    <t xml:space="preserve"> 37.8448 </t>
  </si>
  <si>
    <t xml:space="preserve">C:\Users\andre\Desktop\REACTIV CEFAS\Prochloraz\Prochloraz/20201219_Cefas_Test10_Run2/Plate 3/@19/C10_01.tif </t>
  </si>
  <si>
    <t xml:space="preserve"> 61515.4203 </t>
  </si>
  <si>
    <t xml:space="preserve"> 39.8365 </t>
  </si>
  <si>
    <t xml:space="preserve">C:\Users\andre\Desktop\REACTIV CEFAS\Prochloraz\Prochloraz/20201219_Cefas_Test10_Run2/Plate 3/@19/C10_02.tif </t>
  </si>
  <si>
    <t xml:space="preserve"> 44.0883 </t>
  </si>
  <si>
    <t xml:space="preserve">C:\Users\andre\Desktop\REACTIV CEFAS\Prochloraz\Prochloraz/20201219_Cefas_Test10_Run2/Plate 3/@19/C10_03.tif </t>
  </si>
  <si>
    <t xml:space="preserve"> 71421.9121 </t>
  </si>
  <si>
    <t xml:space="preserve"> 45.3222 </t>
  </si>
  <si>
    <t xml:space="preserve">C:\Users\andre\Desktop\REACTIV CEFAS\Prochloraz\Prochloraz/20201219_Cefas_Test10_Run2/Plate 3/@19/C10_04.tif </t>
  </si>
  <si>
    <t xml:space="preserve"> 42.0078 </t>
  </si>
  <si>
    <t xml:space="preserve">C:\Users\andre\Desktop\REACTIV CEFAS\Prochloraz\Prochloraz/20201219_Cefas_Test10_Run2/Plate 3/@19/D10_01.tif </t>
  </si>
  <si>
    <t xml:space="preserve"> 37.3702 </t>
  </si>
  <si>
    <t xml:space="preserve">C:\Users\andre\Desktop\REACTIV CEFAS\Prochloraz\Prochloraz/20201219_Cefas_Test10_Run2/Plate 3/@19/D10_02.tif </t>
  </si>
  <si>
    <t xml:space="preserve"> 7527.2033 </t>
  </si>
  <si>
    <t xml:space="preserve"> 39.1466 </t>
  </si>
  <si>
    <t xml:space="preserve">C:\Users\andre\Desktop\REACTIV CEFAS\Prochloraz\Prochloraz/20201219_Cefas_Test10_Run2/Plate 3/@19/D10_03.tif </t>
  </si>
  <si>
    <t xml:space="preserve"> 34.686 </t>
  </si>
  <si>
    <t>C:\Users\andre\Desktop\REACTIV CEFAS\Prochloraz\Prochloraz/20201219_Cefas_Test10_Run2/Plate 3/@19/D10_04- exclu.tif</t>
  </si>
  <si>
    <t xml:space="preserve">C:\Users\andre\Desktop\REACTIV CEFAS\Prochloraz\Prochloraz/20201219_Cefas_Test10_Run2/Plate 3/@19/E10_01.tif </t>
  </si>
  <si>
    <t xml:space="preserve"> 30930.7493 </t>
  </si>
  <si>
    <t xml:space="preserve"> 35.8636 </t>
  </si>
  <si>
    <t xml:space="preserve">C:\Users\andre\Desktop\REACTIV CEFAS\Prochloraz\Prochloraz/20201219_Cefas_Test10_Run2/Plate 3/@19/E10_02.tif </t>
  </si>
  <si>
    <t xml:space="preserve"> 30541.4112 </t>
  </si>
  <si>
    <t xml:space="preserve"> 35.9894 </t>
  </si>
  <si>
    <t xml:space="preserve">C:\Users\andre\Desktop\REACTIV CEFAS\Prochloraz\Prochloraz/20201219_Cefas_Test10_Run2/Plate 3/@19/E10_03.tif </t>
  </si>
  <si>
    <t xml:space="preserve"> 35775.8457 </t>
  </si>
  <si>
    <t xml:space="preserve"> 35.763 </t>
  </si>
  <si>
    <t xml:space="preserve">C:\Users\andre\Desktop\REACTIV CEFAS\Prochloraz\Prochloraz/20201219_Cefas_Test10_Run2/Plate 3/@19/E10_04.tif </t>
  </si>
  <si>
    <t xml:space="preserve"> 41486.1379 </t>
  </si>
  <si>
    <t xml:space="preserve"> 36.4552 </t>
  </si>
  <si>
    <t xml:space="preserve">C:\Users\andre\Desktop\REACTIV CEFAS\Prochloraz\Prochloraz/20201219_Cefas_Test10_Run2/Plate 3/@19/F10_01.tif </t>
  </si>
  <si>
    <t xml:space="preserve"> 27859.3043 </t>
  </si>
  <si>
    <t xml:space="preserve"> 36.5225 </t>
  </si>
  <si>
    <t xml:space="preserve">C:\Users\andre\Desktop\REACTIV CEFAS\Prochloraz\Prochloraz/20201219_Cefas_Test10_Run2/Plate 3/@19/F10_02.tif </t>
  </si>
  <si>
    <t xml:space="preserve"> 25826.0942 </t>
  </si>
  <si>
    <t xml:space="preserve"> 34.701 </t>
  </si>
  <si>
    <t xml:space="preserve">C:\Users\andre\Desktop\REACTIV CEFAS\Prochloraz\Prochloraz/20201219_Cefas_Test10_Run2/Plate 3/@19/F10_03.tif </t>
  </si>
  <si>
    <t xml:space="preserve"> 21478.4854 </t>
  </si>
  <si>
    <t xml:space="preserve"> 35.8963 </t>
  </si>
  <si>
    <t xml:space="preserve">C:\Users\andre\Desktop\REACTIV CEFAS\Prochloraz\Prochloraz/20201219_Cefas_Test10_Run2/Plate 3/@19/F10_04.tif </t>
  </si>
  <si>
    <t xml:space="preserve"> 36.9658 </t>
  </si>
  <si>
    <t>C:\Users\andre\Desktop\REACTIV CEFAS\Prochloraz\Prochloraz/20201219_Cefas_Test10_Run2/Plate 3/@19/G10_01- exclu.tif</t>
  </si>
  <si>
    <t xml:space="preserve">C:\Users\andre\Desktop\REACTIV CEFAS\Prochloraz\Prochloraz/20201219_Cefas_Test10_Run2/Plate 3/@19/G10_02.tif </t>
  </si>
  <si>
    <t xml:space="preserve"> 34.5833 </t>
  </si>
  <si>
    <t xml:space="preserve">C:\Users\andre\Desktop\REACTIV CEFAS\Prochloraz\Prochloraz/20201219_Cefas_Test10_Run2/Plate 3/@19/G10_03.tif </t>
  </si>
  <si>
    <t xml:space="preserve"> 34.7811 </t>
  </si>
  <si>
    <t xml:space="preserve">C:\Users\andre\Desktop\REACTIV CEFAS\Prochloraz\Prochloraz/20201219_Cefas_Test10_Run2/Plate 3/@19/G10_04.tif </t>
  </si>
  <si>
    <t xml:space="preserve"> 3028.1852 </t>
  </si>
  <si>
    <t xml:space="preserve"> 34.8571 </t>
  </si>
  <si>
    <t xml:space="preserve">C:\Users\andre\Desktop\REACTIV CEFAS\Prochloraz\Prochloraz/20201219_Cefas_Test10_Run2/Plate 3/@19/H10_01.tif </t>
  </si>
  <si>
    <t xml:space="preserve"> 35.2894 </t>
  </si>
  <si>
    <t xml:space="preserve">C:\Users\andre\Desktop\REACTIV CEFAS\Prochloraz\Prochloraz/20201219_Cefas_Test10_Run2/Plate 3/@19/H10_02.tif </t>
  </si>
  <si>
    <t xml:space="preserve"> 36.5 </t>
  </si>
  <si>
    <t>C:\Users\andre\Desktop\REACTIV CEFAS\Prochloraz\Prochloraz/20201219_Cefas_Test10_Run2/Plate 3/@19/H10_03- exclu.tif</t>
  </si>
  <si>
    <t xml:space="preserve">C:\Users\andre\Desktop\REACTIV CEFAS\Prochloraz\Prochloraz/20201219_Cefas_Test10_Run2/Plate 3/@19/H10_04.tif </t>
  </si>
  <si>
    <t xml:space="preserve"> 35710.956 </t>
  </si>
  <si>
    <t xml:space="preserve"> 36.636 </t>
  </si>
  <si>
    <t xml:space="preserve">C:\Users\andre\Desktop\REACTIV CEFAS\Prochloraz\Prochloraz/20201219_Cefas_Test10_Run2/Plate 3/@19/ </t>
  </si>
  <si>
    <t xml:space="preserve"> 37.0708 </t>
  </si>
  <si>
    <t xml:space="preserve"> 3.4009 </t>
  </si>
  <si>
    <t xml:space="preserve"> 1073404.53 </t>
  </si>
  <si>
    <t xml:space="preserve"> 959138.876 </t>
  </si>
  <si>
    <t xml:space="preserve">C:\Users\andre\Desktop\REACTIV CEFAS\Prochloraz\Prochloraz/20201219_Cefas_Test10_Run2/Plate 3/@20/A11_01.tif </t>
  </si>
  <si>
    <t xml:space="preserve"> 50527.4339 </t>
  </si>
  <si>
    <t xml:space="preserve"> 38.3801 </t>
  </si>
  <si>
    <t xml:space="preserve">C:\Users\andre\Desktop\REACTIV CEFAS\Prochloraz\Prochloraz/20201219_Cefas_Test10_Run2/Plate 3/@20/A11_02.tif </t>
  </si>
  <si>
    <t xml:space="preserve"> 36.9563 </t>
  </si>
  <si>
    <t xml:space="preserve">C:\Users\andre\Desktop\REACTIV CEFAS\Prochloraz\Prochloraz/20201219_Cefas_Test10_Run2/Plate 3/@20/A11_03.tif </t>
  </si>
  <si>
    <t xml:space="preserve"> 50008.3164 </t>
  </si>
  <si>
    <t xml:space="preserve"> 37.5043 </t>
  </si>
  <si>
    <t xml:space="preserve">C:\Users\andre\Desktop\REACTIV CEFAS\Prochloraz\Prochloraz/20201219_Cefas_Test10_Run2/Plate 3/@20/A11_04.tif </t>
  </si>
  <si>
    <t xml:space="preserve"> 67917.8691 </t>
  </si>
  <si>
    <t xml:space="preserve"> 38.851 </t>
  </si>
  <si>
    <t xml:space="preserve">C:\Users\andre\Desktop\REACTIV CEFAS\Prochloraz\Prochloraz/20201219_Cefas_Test10_Run2/Plate 3/@20/B11_01.tif </t>
  </si>
  <si>
    <t xml:space="preserve"> 48710.5227 </t>
  </si>
  <si>
    <t xml:space="preserve"> 37.0719 </t>
  </si>
  <si>
    <t xml:space="preserve">C:\Users\andre\Desktop\REACTIV CEFAS\Prochloraz\Prochloraz/20201219_Cefas_Test10_Run2/Plate 3/@20/B11_02.tif </t>
  </si>
  <si>
    <t xml:space="preserve"> 44038.4655 </t>
  </si>
  <si>
    <t xml:space="preserve"> 37.2161 </t>
  </si>
  <si>
    <t xml:space="preserve">C:\Users\andre\Desktop\REACTIV CEFAS\Prochloraz\Prochloraz/20201219_Cefas_Test10_Run2/Plate 3/@20/B11_03.tif </t>
  </si>
  <si>
    <t xml:space="preserve"> 34672.7211 </t>
  </si>
  <si>
    <t xml:space="preserve"> 34.6438 </t>
  </si>
  <si>
    <t>C:\Users\andre\Desktop\REACTIV CEFAS\Prochloraz\Prochloraz/20201219_Cefas_Test10_Run2/Plate 3/@20/B11_04- exclu.tif</t>
  </si>
  <si>
    <t>C:\Users\andre\Desktop\REACTIV CEFAS\Prochloraz\Prochloraz/20201219_Cefas_Test10_Run2/Plate 3/@20/C11_01- exclu.tif</t>
  </si>
  <si>
    <t xml:space="preserve">C:\Users\andre\Desktop\REACTIV CEFAS\Prochloraz\Prochloraz/20201219_Cefas_Test10_Run2/Plate 3/@20/C11_02.tif </t>
  </si>
  <si>
    <t xml:space="preserve"> 58725.1639 </t>
  </si>
  <si>
    <t xml:space="preserve"> 39.011 </t>
  </si>
  <si>
    <t xml:space="preserve">C:\Users\andre\Desktop\REACTIV CEFAS\Prochloraz\Prochloraz/20201219_Cefas_Test10_Run2/Plate 3/@20/C11_03.tif </t>
  </si>
  <si>
    <t xml:space="preserve"> 52387.6048 </t>
  </si>
  <si>
    <t xml:space="preserve"> 38.3728 </t>
  </si>
  <si>
    <t xml:space="preserve">C:\Users\andre\Desktop\REACTIV CEFAS\Prochloraz\Prochloraz/20201219_Cefas_Test10_Run2/Plate 3/@20/C11_04.tif </t>
  </si>
  <si>
    <t xml:space="preserve"> 52041.5265 </t>
  </si>
  <si>
    <t xml:space="preserve"> 38.5125 </t>
  </si>
  <si>
    <t xml:space="preserve">C:\Users\andre\Desktop\REACTIV CEFAS\Prochloraz\Prochloraz/20201219_Cefas_Test10_Run2/Plate 3/@20/D11_01.tif </t>
  </si>
  <si>
    <t xml:space="preserve"> 43411.1985 </t>
  </si>
  <si>
    <t xml:space="preserve"> 35.6373 </t>
  </si>
  <si>
    <t>C:\Users\andre\Desktop\REACTIV CEFAS\Prochloraz\Prochloraz/20201219_Cefas_Test10_Run2/Plate 3/@20/D11_02- exclu.tif</t>
  </si>
  <si>
    <t xml:space="preserve">C:\Users\andre\Desktop\REACTIV CEFAS\Prochloraz\Prochloraz/20201219_Cefas_Test10_Run2/Plate 3/@20/D11_03.tif </t>
  </si>
  <si>
    <t xml:space="preserve"> 69302.1824 </t>
  </si>
  <si>
    <t xml:space="preserve"> 40.6205 </t>
  </si>
  <si>
    <t xml:space="preserve">C:\Users\andre\Desktop\REACTIV CEFAS\Prochloraz\Prochloraz/20201219_Cefas_Test10_Run2/Plate 3/@20/D11_04.tif </t>
  </si>
  <si>
    <t xml:space="preserve"> 39.6113 </t>
  </si>
  <si>
    <t xml:space="preserve">C:\Users\andre\Desktop\REACTIV CEFAS\Prochloraz\Prochloraz/20201219_Cefas_Test10_Run2/Plate 3/@20/E11_01.tif </t>
  </si>
  <si>
    <t xml:space="preserve"> 71183.9832 </t>
  </si>
  <si>
    <t xml:space="preserve"> 41.0778 </t>
  </si>
  <si>
    <t xml:space="preserve">C:\Users\andre\Desktop\REACTIV CEFAS\Prochloraz\Prochloraz/20201219_Cefas_Test10_Run2/Plate 3/@20/E11_02.tif </t>
  </si>
  <si>
    <t xml:space="preserve"> 59849.9184 </t>
  </si>
  <si>
    <t xml:space="preserve"> 39.4474 </t>
  </si>
  <si>
    <t xml:space="preserve">C:\Users\andre\Desktop\REACTIV CEFAS\Prochloraz\Prochloraz/20201219_Cefas_Test10_Run2/Plate 3/@20/E11_03.tif </t>
  </si>
  <si>
    <t xml:space="preserve"> 67874.6093 </t>
  </si>
  <si>
    <t xml:space="preserve"> 41.2027 </t>
  </si>
  <si>
    <t xml:space="preserve">C:\Users\andre\Desktop\REACTIV CEFAS\Prochloraz\Prochloraz/20201219_Cefas_Test10_Run2/Plate 3/@20/E11_04.tif </t>
  </si>
  <si>
    <t xml:space="preserve"> 79922.4607 </t>
  </si>
  <si>
    <t xml:space="preserve"> 43.7922 </t>
  </si>
  <si>
    <t>C:\Users\andre\Desktop\REACTIV CEFAS\Prochloraz\Prochloraz/20201219_Cefas_Test10_Run2/Plate 3/@20/F11_01- exclu.tif</t>
  </si>
  <si>
    <t xml:space="preserve">C:\Users\andre\Desktop\REACTIV CEFAS\Prochloraz\Prochloraz/20201219_Cefas_Test10_Run2/Plate 3/@20/F11_02.tif </t>
  </si>
  <si>
    <t xml:space="preserve"> 76353.528 </t>
  </si>
  <si>
    <t xml:space="preserve"> 39.2207 </t>
  </si>
  <si>
    <t>C:\Users\andre\Desktop\REACTIV CEFAS\Prochloraz\Prochloraz/20201219_Cefas_Test10_Run2/Plate 3/@20/F11_03- exclu.tif</t>
  </si>
  <si>
    <t xml:space="preserve">C:\Users\andre\Desktop\REACTIV CEFAS\Prochloraz\Prochloraz/20201219_Cefas_Test10_Run2/Plate 3/@20/F11_04.tif </t>
  </si>
  <si>
    <t xml:space="preserve"> 40.9991 </t>
  </si>
  <si>
    <t xml:space="preserve">C:\Users\andre\Desktop\REACTIV CEFAS\Prochloraz\Prochloraz/20201219_Cefas_Test10_Run2/Plate 3/@20/G11_01.tif </t>
  </si>
  <si>
    <t xml:space="preserve"> 36.3269 </t>
  </si>
  <si>
    <t xml:space="preserve">C:\Users\andre\Desktop\REACTIV CEFAS\Prochloraz\Prochloraz/20201219_Cefas_Test10_Run2/Plate 3/@20/G11_02.tif </t>
  </si>
  <si>
    <t xml:space="preserve"> 53252.8006 </t>
  </si>
  <si>
    <t xml:space="preserve"> 36.013 </t>
  </si>
  <si>
    <t xml:space="preserve">C:\Users\andre\Desktop\REACTIV CEFAS\Prochloraz\Prochloraz/20201219_Cefas_Test10_Run2/Plate 3/@20/G11_03.tif </t>
  </si>
  <si>
    <t xml:space="preserve"> 34737.6108 </t>
  </si>
  <si>
    <t xml:space="preserve"> 34.3879 </t>
  </si>
  <si>
    <t xml:space="preserve">C:\Users\andre\Desktop\REACTIV CEFAS\Prochloraz\Prochloraz/20201219_Cefas_Test10_Run2/Plate 3/@20/G11_04.tif </t>
  </si>
  <si>
    <t xml:space="preserve"> 52236.1955 </t>
  </si>
  <si>
    <t xml:space="preserve"> 35.9002 </t>
  </si>
  <si>
    <t xml:space="preserve">C:\Users\andre\Desktop\REACTIV CEFAS\Prochloraz\Prochloraz/20201219_Cefas_Test10_Run2/Plate 3/@20/H11_01.tif </t>
  </si>
  <si>
    <t xml:space="preserve"> 34.96 </t>
  </si>
  <si>
    <t xml:space="preserve">C:\Users\andre\Desktop\REACTIV CEFAS\Prochloraz\Prochloraz/20201219_Cefas_Test10_Run2/Plate 3/@20/H11_02.tif </t>
  </si>
  <si>
    <t xml:space="preserve">C:\Users\andre\Desktop\REACTIV CEFAS\Prochloraz\Prochloraz/20201219_Cefas_Test10_Run2/Plate 3/@20/H11_03.tif </t>
  </si>
  <si>
    <t xml:space="preserve">C:\Users\andre\Desktop\REACTIV CEFAS\Prochloraz\Prochloraz/20201219_Cefas_Test10_Run2/Plate 3/@20/H11_04.tif </t>
  </si>
  <si>
    <t xml:space="preserve">C:\Users\andre\Desktop\REACTIV CEFAS\Prochloraz\Prochloraz/20201219_Cefas_Test10_Run2/Plate 3/@20/ </t>
  </si>
  <si>
    <t xml:space="preserve"> 35.2578 </t>
  </si>
  <si>
    <t xml:space="preserve"> 9.6355 </t>
  </si>
  <si>
    <t xml:space="preserve"> 1807183.91 </t>
  </si>
  <si>
    <t xml:space="preserve"> 899980.709 </t>
  </si>
  <si>
    <t xml:space="preserve">C:\Users\andre\Desktop\REACTIV CEFAS\Prochloraz\Prochloraz/20201219_Cefas_Test10_Run2/Plate 3/@21/A12_01.tif </t>
  </si>
  <si>
    <t xml:space="preserve"> 39799.0061 </t>
  </si>
  <si>
    <t xml:space="preserve"> 35.219 </t>
  </si>
  <si>
    <t xml:space="preserve">C:\Users\andre\Desktop\REACTIV CEFAS\Prochloraz\Prochloraz/20201219_Cefas_Test10_Run2/Plate 3/@21/A12_02.tif </t>
  </si>
  <si>
    <t xml:space="preserve"> 33.959 </t>
  </si>
  <si>
    <t xml:space="preserve">C:\Users\andre\Desktop\REACTIV CEFAS\Prochloraz\Prochloraz/20201219_Cefas_Test10_Run2/Plate 3/@21/A12_03.tif </t>
  </si>
  <si>
    <t xml:space="preserve"> 38912.1804 </t>
  </si>
  <si>
    <t xml:space="preserve"> 36.3291 </t>
  </si>
  <si>
    <t xml:space="preserve">C:\Users\andre\Desktop\REACTIV CEFAS\Prochloraz\Prochloraz/20201219_Cefas_Test10_Run2/Plate 3/@21/A12_04.tif </t>
  </si>
  <si>
    <t xml:space="preserve"> 36.6194 </t>
  </si>
  <si>
    <t xml:space="preserve">C:\Users\andre\Desktop\REACTIV CEFAS\Prochloraz\Prochloraz/20201219_Cefas_Test10_Run2/Plate 3/@21/B12_01.tif </t>
  </si>
  <si>
    <t xml:space="preserve"> 71724.7306 </t>
  </si>
  <si>
    <t xml:space="preserve"> 37.7633 </t>
  </si>
  <si>
    <t xml:space="preserve">C:\Users\andre\Desktop\REACTIV CEFAS\Prochloraz\Prochloraz/20201219_Cefas_Test10_Run2/Plate 3/@21/B12_02.tif </t>
  </si>
  <si>
    <t xml:space="preserve"> 74666.3963 </t>
  </si>
  <si>
    <t xml:space="preserve"> 38.7552 </t>
  </si>
  <si>
    <t xml:space="preserve">C:\Users\andre\Desktop\REACTIV CEFAS\Prochloraz\Prochloraz/20201219_Cefas_Test10_Run2/Plate 3/@21/B12_03.tif </t>
  </si>
  <si>
    <t xml:space="preserve"> 81696.112 </t>
  </si>
  <si>
    <t xml:space="preserve"> 40.7577 </t>
  </si>
  <si>
    <t xml:space="preserve">C:\Users\andre\Desktop\REACTIV CEFAS\Prochloraz\Prochloraz/20201219_Cefas_Test10_Run2/Plate 3/@21/B12_04.tif </t>
  </si>
  <si>
    <t xml:space="preserve"> 78083.9196 </t>
  </si>
  <si>
    <t xml:space="preserve"> 38.5094 </t>
  </si>
  <si>
    <t xml:space="preserve">C:\Users\andre\Desktop\REACTIV CEFAS\Prochloraz\Prochloraz/20201219_Cefas_Test10_Run2/Plate 3/@21/C12_01.tif </t>
  </si>
  <si>
    <t xml:space="preserve"> 39993.6752 </t>
  </si>
  <si>
    <t xml:space="preserve"> 36.7664 </t>
  </si>
  <si>
    <t xml:space="preserve">C:\Users\andre\Desktop\REACTIV CEFAS\Prochloraz\Prochloraz/20201219_Cefas_Test10_Run2/Plate 3/@21/C12_02.tif </t>
  </si>
  <si>
    <t xml:space="preserve"> 42524.3728 </t>
  </si>
  <si>
    <t xml:space="preserve"> 40.6017 </t>
  </si>
  <si>
    <t xml:space="preserve">C:\Users\andre\Desktop\REACTIV CEFAS\Prochloraz\Prochloraz/20201219_Cefas_Test10_Run2/Plate 3/@21/C12_03.tif </t>
  </si>
  <si>
    <t xml:space="preserve"> 51349.3698 </t>
  </si>
  <si>
    <t xml:space="preserve"> 40.4836 </t>
  </si>
  <si>
    <t>C:\Users\andre\Desktop\REACTIV CEFAS\Prochloraz\Prochloraz/20201219_Cefas_Test10_Run2/Plate 3/@21/C12_04- exclu.tif</t>
  </si>
  <si>
    <t>C:\Users\andre\Desktop\REACTIV CEFAS\Prochloraz\Prochloraz/20201219_Cefas_Test10_Run2/Plate 3/@21/D12_01- exclu.tif</t>
  </si>
  <si>
    <t xml:space="preserve">C:\Users\andre\Desktop\REACTIV CEFAS\Prochloraz\Prochloraz/20201219_Cefas_Test10_Run2/Plate 3/@21/D12_02.tif </t>
  </si>
  <si>
    <t xml:space="preserve"> 18774.7485 </t>
  </si>
  <si>
    <t xml:space="preserve"> 35.227 </t>
  </si>
  <si>
    <t>C:\Users\andre\Desktop\REACTIV CEFAS\Prochloraz\Prochloraz/20201219_Cefas_Test10_Run2/Plate 3/@21/D12_03- exclu.tif</t>
  </si>
  <si>
    <t xml:space="preserve">C:\Users\andre\Desktop\REACTIV CEFAS\Prochloraz\Prochloraz/20201219_Cefas_Test10_Run2/Plate 3/@21/D12_04.tif </t>
  </si>
  <si>
    <t xml:space="preserve"> 34759.2407 </t>
  </si>
  <si>
    <t xml:space="preserve"> 35.336 </t>
  </si>
  <si>
    <t xml:space="preserve">C:\Users\andre\Desktop\REACTIV CEFAS\Prochloraz\Prochloraz/20201219_Cefas_Test10_Run2/Plate 3/@21/E12_01.tif </t>
  </si>
  <si>
    <t xml:space="preserve"> 35.2813 </t>
  </si>
  <si>
    <t xml:space="preserve">C:\Users\andre\Desktop\REACTIV CEFAS\Prochloraz\Prochloraz/20201219_Cefas_Test10_Run2/Plate 3/@21/E12_02.tif </t>
  </si>
  <si>
    <t xml:space="preserve"> 52084.7863 </t>
  </si>
  <si>
    <t xml:space="preserve"> 34.4431 </t>
  </si>
  <si>
    <t xml:space="preserve">C:\Users\andre\Desktop\REACTIV CEFAS\Prochloraz\Prochloraz/20201219_Cefas_Test10_Run2/Plate 3/@21/E12_03.tif </t>
  </si>
  <si>
    <t xml:space="preserve"> 35.872 </t>
  </si>
  <si>
    <t xml:space="preserve">C:\Users\andre\Desktop\REACTIV CEFAS\Prochloraz\Prochloraz/20201219_Cefas_Test10_Run2/Plate 3/@21/E12_04.tif </t>
  </si>
  <si>
    <t xml:space="preserve"> 58508.865 </t>
  </si>
  <si>
    <t xml:space="preserve"> 35.0362 </t>
  </si>
  <si>
    <t xml:space="preserve">C:\Users\andre\Desktop\REACTIV CEFAS\Prochloraz\Prochloraz/20201219_Cefas_Test10_Run2/Plate 3/@21/F12_01.tif </t>
  </si>
  <si>
    <t xml:space="preserve"> 55913.2776 </t>
  </si>
  <si>
    <t xml:space="preserve"> 37.0476 </t>
  </si>
  <si>
    <t xml:space="preserve">C:\Users\andre\Desktop\REACTIV CEFAS\Prochloraz\Prochloraz/20201219_Cefas_Test10_Run2/Plate 3/@21/F12_02.tif </t>
  </si>
  <si>
    <t xml:space="preserve"> 31514.7565 </t>
  </si>
  <si>
    <t xml:space="preserve"> 33.6191 </t>
  </si>
  <si>
    <t xml:space="preserve">C:\Users\andre\Desktop\REACTIV CEFAS\Prochloraz\Prochloraz/20201219_Cefas_Test10_Run2/Plate 3/@21/F12_03.tif </t>
  </si>
  <si>
    <t xml:space="preserve"> 45292.9994 </t>
  </si>
  <si>
    <t xml:space="preserve"> 34.0019 </t>
  </si>
  <si>
    <t xml:space="preserve">C:\Users\andre\Desktop\REACTIV CEFAS\Prochloraz\Prochloraz/20201219_Cefas_Test10_Run2/Plate 3/@21/F12_04.tif </t>
  </si>
  <si>
    <t xml:space="preserve"> 36.6465 </t>
  </si>
  <si>
    <t>C:\Users\andre\Desktop\REACTIV CEFAS\Prochloraz\Prochloraz/20201219_Cefas_Test10_Run2/Plate 3/@21/G12_01- exclu.tif</t>
  </si>
  <si>
    <t>C:\Users\andre\Desktop\REACTIV CEFAS\Prochloraz\Prochloraz/20201219_Cefas_Test10_Run2/Plate 3/@21/G12_02- exclu.tif</t>
  </si>
  <si>
    <t xml:space="preserve">C:\Users\andre\Desktop\REACTIV CEFAS\Prochloraz\Prochloraz/20201219_Cefas_Test10_Run2/Plate 3/@21/G12_03.tif </t>
  </si>
  <si>
    <t xml:space="preserve"> 55242.7509 </t>
  </si>
  <si>
    <t xml:space="preserve"> 42.7486 </t>
  </si>
  <si>
    <t xml:space="preserve">C:\Users\andre\Desktop\REACTIV CEFAS\Prochloraz\Prochloraz/20201219_Cefas_Test10_Run2/Plate 3/@21/G12_04.tif </t>
  </si>
  <si>
    <t xml:space="preserve"> 57686.929 </t>
  </si>
  <si>
    <t xml:space="preserve"> 39.1207 </t>
  </si>
  <si>
    <t xml:space="preserve">C:\Users\andre\Desktop\REACTIV CEFAS\Prochloraz\Prochloraz/20201219_Cefas_Test10_Run2/Plate 3/@21/H12_01.tif </t>
  </si>
  <si>
    <t xml:space="preserve"> 26669.6601 </t>
  </si>
  <si>
    <t xml:space="preserve"> 39.1119 </t>
  </si>
  <si>
    <t xml:space="preserve">C:\Users\andre\Desktop\REACTIV CEFAS\Prochloraz\Prochloraz/20201219_Cefas_Test10_Run2/Plate 3/@21/H12_02.tif </t>
  </si>
  <si>
    <t xml:space="preserve"> 36.0695 </t>
  </si>
  <si>
    <t xml:space="preserve">C:\Users\andre\Desktop\REACTIV CEFAS\Prochloraz\Prochloraz/20201219_Cefas_Test10_Run2/Plate 3/@21/H12_03.tif </t>
  </si>
  <si>
    <t xml:space="preserve"> 26626.4003 </t>
  </si>
  <si>
    <t xml:space="preserve"> 36.905 </t>
  </si>
  <si>
    <t xml:space="preserve">C:\Users\andre\Desktop\REACTIV CEFAS\Prochloraz\Prochloraz/20201219_Cefas_Test10_Run2/Plate 3/@21/H12_04.tif </t>
  </si>
  <si>
    <t xml:space="preserve"> 17649.994 </t>
  </si>
  <si>
    <t xml:space="preserve"> 36.8566 </t>
  </si>
  <si>
    <t xml:space="preserve">C:\Users\andre\Desktop\REACTIV CEFAS\Prochloraz\Prochloraz/20201219_Cefas_Test10_Run2/Plate 3/@21/ </t>
  </si>
  <si>
    <t xml:space="preserve"> 37.5485 </t>
  </si>
  <si>
    <t xml:space="preserve"> 2.947 </t>
  </si>
  <si>
    <t xml:space="preserve"> 1726681.28 </t>
  </si>
  <si>
    <t xml:space="preserve"> 752883.587 </t>
  </si>
  <si>
    <t xml:space="preserve">C:\Users\andre\Desktop\REACTIV CEFAS\Prochloraz\Prochloraz/20201219_Cefas_Test10_Run2/Plate 3/@8/A2_01.tif </t>
  </si>
  <si>
    <t xml:space="preserve"> 37.4578 </t>
  </si>
  <si>
    <t xml:space="preserve">C:\Users\andre\Desktop\REACTIV CEFAS\Prochloraz\Prochloraz/20201219_Cefas_Test10_Run2/Plate 3/@8/A2_02.tif </t>
  </si>
  <si>
    <t xml:space="preserve"> 9387.3743 </t>
  </si>
  <si>
    <t xml:space="preserve"> 36.2051 </t>
  </si>
  <si>
    <t xml:space="preserve">C:\Users\andre\Desktop\REACTIV CEFAS\Prochloraz\Prochloraz/20201219_Cefas_Test10_Run2/Plate 3/@8/A2_03.tif </t>
  </si>
  <si>
    <t xml:space="preserve"> 39.0901 </t>
  </si>
  <si>
    <t xml:space="preserve">C:\Users\andre\Desktop\REACTIV CEFAS\Prochloraz\Prochloraz/20201219_Cefas_Test10_Run2/Plate 3/@8/A2_04.tif </t>
  </si>
  <si>
    <t xml:space="preserve"> 40.6 </t>
  </si>
  <si>
    <t xml:space="preserve">C:\Users\andre\Desktop\REACTIV CEFAS\Prochloraz\Prochloraz/20201219_Cefas_Test10_Run2/Plate 3/@8/B2_01.tif </t>
  </si>
  <si>
    <t xml:space="preserve"> 40.4767 </t>
  </si>
  <si>
    <t xml:space="preserve">C:\Users\andre\Desktop\REACTIV CEFAS\Prochloraz\Prochloraz/20201219_Cefas_Test10_Run2/Plate 3/@8/B2_02.tif </t>
  </si>
  <si>
    <t xml:space="preserve"> 41.1128 </t>
  </si>
  <si>
    <t xml:space="preserve">C:\Users\andre\Desktop\REACTIV CEFAS\Prochloraz\Prochloraz/20201219_Cefas_Test10_Run2/Plate 3/@8/B2_03.tif </t>
  </si>
  <si>
    <t xml:space="preserve"> 40.856 </t>
  </si>
  <si>
    <t xml:space="preserve">C:\Users\andre\Desktop\REACTIV CEFAS\Prochloraz\Prochloraz/20201219_Cefas_Test10_Run2/Plate 3/@8/B2_04.tif </t>
  </si>
  <si>
    <t xml:space="preserve"> 13302.3852 </t>
  </si>
  <si>
    <t xml:space="preserve"> 39.2634 </t>
  </si>
  <si>
    <t>C:\Users\andre\Desktop\REACTIV CEFAS\Prochloraz\Prochloraz/20201219_Cefas_Test10_Run2/Plate 3/@8/C2_01- exclu.tif</t>
  </si>
  <si>
    <t xml:space="preserve">C:\Users\andre\Desktop\REACTIV CEFAS\Prochloraz\Prochloraz/20201219_Cefas_Test10_Run2/Plate 3/@8/C2_02.tif </t>
  </si>
  <si>
    <t xml:space="preserve"> 12372.2997 </t>
  </si>
  <si>
    <t xml:space="preserve"> 38.5979 </t>
  </si>
  <si>
    <t xml:space="preserve">C:\Users\andre\Desktop\REACTIV CEFAS\Prochloraz\Prochloraz/20201219_Cefas_Test10_Run2/Plate 3/@8/C2_03.tif </t>
  </si>
  <si>
    <t xml:space="preserve"> 37.1882 </t>
  </si>
  <si>
    <t xml:space="preserve">C:\Users\andre\Desktop\REACTIV CEFAS\Prochloraz\Prochloraz/20201219_Cefas_Test10_Run2/Plate 3/@8/C2_04.tif </t>
  </si>
  <si>
    <t xml:space="preserve"> 38.1237 </t>
  </si>
  <si>
    <t xml:space="preserve">C:\Users\andre\Desktop\REACTIV CEFAS\Prochloraz\Prochloraz/20201219_Cefas_Test10_Run2/Plate 3/@8/D2_01.tif </t>
  </si>
  <si>
    <t xml:space="preserve"> 41.0732 </t>
  </si>
  <si>
    <t xml:space="preserve">C:\Users\andre\Desktop\REACTIV CEFAS\Prochloraz\Prochloraz/20201219_Cefas_Test10_Run2/Plate 3/@8/D2_02.tif </t>
  </si>
  <si>
    <t xml:space="preserve"> 41.9869 </t>
  </si>
  <si>
    <t xml:space="preserve">C:\Users\andre\Desktop\REACTIV CEFAS\Prochloraz\Prochloraz/20201219_Cefas_Test10_Run2/Plate 3/@8/D2_03.tif </t>
  </si>
  <si>
    <t xml:space="preserve"> 11009.6164 </t>
  </si>
  <si>
    <t xml:space="preserve"> 41.1984 </t>
  </si>
  <si>
    <t xml:space="preserve">C:\Users\andre\Desktop\REACTIV CEFAS\Prochloraz\Prochloraz/20201219_Cefas_Test10_Run2/Plate 3/@8/D2_04.tif </t>
  </si>
  <si>
    <t xml:space="preserve">C:\Users\andre\Desktop\REACTIV CEFAS\Prochloraz\Prochloraz/20201219_Cefas_Test10_Run2/Plate 3/@8/E2_01.tif </t>
  </si>
  <si>
    <t xml:space="preserve"> 6748.5271 </t>
  </si>
  <si>
    <t xml:space="preserve"> 42.9135 </t>
  </si>
  <si>
    <t xml:space="preserve">C:\Users\andre\Desktop\REACTIV CEFAS\Prochloraz\Prochloraz/20201219_Cefas_Test10_Run2/Plate 3/@8/E2_02.tif </t>
  </si>
  <si>
    <t xml:space="preserve">C:\Users\andre\Desktop\REACTIV CEFAS\Prochloraz\Prochloraz/20201219_Cefas_Test10_Run2/Plate 3/@8/E2_03.tif </t>
  </si>
  <si>
    <t xml:space="preserve"> 40.9806 </t>
  </si>
  <si>
    <t>C:\Users\andre\Desktop\REACTIV CEFAS\Prochloraz\Prochloraz/20201219_Cefas_Test10_Run2/Plate 3/@8/E2_04- exclu.tif</t>
  </si>
  <si>
    <t xml:space="preserve">C:\Users\andre\Desktop\REACTIV CEFAS\Prochloraz\Prochloraz/20201219_Cefas_Test10_Run2/Plate 3/@8/F2_01.tif </t>
  </si>
  <si>
    <t xml:space="preserve"> 39.8448 </t>
  </si>
  <si>
    <t xml:space="preserve">C:\Users\andre\Desktop\REACTIV CEFAS\Prochloraz\Prochloraz/20201219_Cefas_Test10_Run2/Plate 3/@8/F2_02.tif </t>
  </si>
  <si>
    <t xml:space="preserve"> 41.4982 </t>
  </si>
  <si>
    <t xml:space="preserve">C:\Users\andre\Desktop\REACTIV CEFAS\Prochloraz\Prochloraz/20201219_Cefas_Test10_Run2/Plate 3/@8/F2_03.tif </t>
  </si>
  <si>
    <t xml:space="preserve"> 40.6993 </t>
  </si>
  <si>
    <t xml:space="preserve">C:\Users\andre\Desktop\REACTIV CEFAS\Prochloraz\Prochloraz/20201219_Cefas_Test10_Run2/Plate 3/@8/F2_04.tif </t>
  </si>
  <si>
    <t xml:space="preserve">C:\Users\andre\Desktop\REACTIV CEFAS\Prochloraz\Prochloraz/20201219_Cefas_Test10_Run2/Plate 3/@8/G2_01.tif </t>
  </si>
  <si>
    <t xml:space="preserve"> 12566.9688 </t>
  </si>
  <si>
    <t xml:space="preserve"> 40.8176 </t>
  </si>
  <si>
    <t xml:space="preserve">C:\Users\andre\Desktop\REACTIV CEFAS\Prochloraz\Prochloraz/20201219_Cefas_Test10_Run2/Plate 3/@8/G2_02.tif </t>
  </si>
  <si>
    <t xml:space="preserve"> 13734.9831 </t>
  </si>
  <si>
    <t xml:space="preserve"> 40.9008 </t>
  </si>
  <si>
    <t xml:space="preserve">C:\Users\andre\Desktop\REACTIV CEFAS\Prochloraz\Prochloraz/20201219_Cefas_Test10_Run2/Plate 3/@8/G2_03.tif </t>
  </si>
  <si>
    <t xml:space="preserve"> 32.5078 </t>
  </si>
  <si>
    <t xml:space="preserve">C:\Users\andre\Desktop\REACTIV CEFAS\Prochloraz\Prochloraz/20201219_Cefas_Test10_Run2/Plate 3/@8/G2_04.tif </t>
  </si>
  <si>
    <t xml:space="preserve"> 41.9403 </t>
  </si>
  <si>
    <t xml:space="preserve">C:\Users\andre\Desktop\REACTIV CEFAS\Prochloraz\Prochloraz/20201219_Cefas_Test10_Run2/Plate 3/@8/H2_01.tif </t>
  </si>
  <si>
    <t xml:space="preserve"> 9322.4846 </t>
  </si>
  <si>
    <t xml:space="preserve"> 37.993 </t>
  </si>
  <si>
    <t xml:space="preserve">C:\Users\andre\Desktop\REACTIV CEFAS\Prochloraz\Prochloraz/20201219_Cefas_Test10_Run2/Plate 3/@8/H2_02.tif </t>
  </si>
  <si>
    <t xml:space="preserve"> 40.2413 </t>
  </si>
  <si>
    <t xml:space="preserve">C:\Users\andre\Desktop\REACTIV CEFAS\Prochloraz\Prochloraz/20201219_Cefas_Test10_Run2/Plate 3/@8/H2_03.tif </t>
  </si>
  <si>
    <t xml:space="preserve"> 35.8323 </t>
  </si>
  <si>
    <t>C:\Users\andre\Desktop\REACTIV CEFAS\Prochloraz\Prochloraz/20201219_Cefas_Test10_Run2/Plate 3/@8/H2_04- exclu.tif</t>
  </si>
  <si>
    <t xml:space="preserve">C:\Users\andre\Desktop\REACTIV CEFAS\Prochloraz\Prochloraz/20201219_Cefas_Test10_Run2/Plate 3/@8/ </t>
  </si>
  <si>
    <t xml:space="preserve"> 37.7273 </t>
  </si>
  <si>
    <t xml:space="preserve"> 7.4575 </t>
  </si>
  <si>
    <t xml:space="preserve"> 333149.781 </t>
  </si>
  <si>
    <t xml:space="preserve"> 165392.023 </t>
  </si>
  <si>
    <t xml:space="preserve">C:\Users\andre\Desktop\REACTIV CEFAS\Prochloraz\Prochloraz/20201219_Cefas_Test10_Run2/Plate 3/@9/A3_01.tif </t>
  </si>
  <si>
    <t xml:space="preserve"> 1514.0926 </t>
  </si>
  <si>
    <t xml:space="preserve"> 32.5286 </t>
  </si>
  <si>
    <t xml:space="preserve">C:\Users\andre\Desktop\REACTIV CEFAS\Prochloraz\Prochloraz/20201219_Cefas_Test10_Run2/Plate 3/@9/A3_02.tif </t>
  </si>
  <si>
    <t xml:space="preserve"> 34.0242 </t>
  </si>
  <si>
    <t xml:space="preserve">C:\Users\andre\Desktop\REACTIV CEFAS\Prochloraz\Prochloraz/20201219_Cefas_Test10_Run2/Plate 3/@9/A3_03.tif </t>
  </si>
  <si>
    <t xml:space="preserve"> 34.6961 </t>
  </si>
  <si>
    <t xml:space="preserve">C:\Users\andre\Desktop\REACTIV CEFAS\Prochloraz\Prochloraz/20201219_Cefas_Test10_Run2/Plate 3/@9/A3_04.tif </t>
  </si>
  <si>
    <t xml:space="preserve"> 35.1329 </t>
  </si>
  <si>
    <t xml:space="preserve">C:\Users\andre\Desktop\REACTIV CEFAS\Prochloraz\Prochloraz/20201219_Cefas_Test10_Run2/Plate 3/@9/B3_01.tif </t>
  </si>
  <si>
    <t xml:space="preserve"> 36.9416 </t>
  </si>
  <si>
    <t xml:space="preserve">C:\Users\andre\Desktop\REACTIV CEFAS\Prochloraz\Prochloraz/20201219_Cefas_Test10_Run2/Plate 3/@9/B3_02.tif </t>
  </si>
  <si>
    <t xml:space="preserve"> 35.2632 </t>
  </si>
  <si>
    <t xml:space="preserve">C:\Users\andre\Desktop\REACTIV CEFAS\Prochloraz\Prochloraz/20201219_Cefas_Test10_Run2/Plate 3/@9/B3_03.tif </t>
  </si>
  <si>
    <t xml:space="preserve"> 36.0511 </t>
  </si>
  <si>
    <t>C:\Users\andre\Desktop\REACTIV CEFAS\Prochloraz\Prochloraz/20201219_Cefas_Test10_Run2/Plate 3/@9/B3_04- exclu.tif</t>
  </si>
  <si>
    <t xml:space="preserve">C:\Users\andre\Desktop\REACTIV CEFAS\Prochloraz\Prochloraz/20201219_Cefas_Test10_Run2/Plate 3/@9/C3_01.tif </t>
  </si>
  <si>
    <t xml:space="preserve"> 39.2556 </t>
  </si>
  <si>
    <t xml:space="preserve">C:\Users\andre\Desktop\REACTIV CEFAS\Prochloraz\Prochloraz/20201219_Cefas_Test10_Run2/Plate 3/@9/C3_02.tif </t>
  </si>
  <si>
    <t xml:space="preserve"> 11312.4349 </t>
  </si>
  <si>
    <t xml:space="preserve"> 41.5277 </t>
  </si>
  <si>
    <t xml:space="preserve">C:\Users\andre\Desktop\REACTIV CEFAS\Prochloraz\Prochloraz/20201219_Cefas_Test10_Run2/Plate 3/@9/C3_03.tif </t>
  </si>
  <si>
    <t xml:space="preserve"> 40.0861 </t>
  </si>
  <si>
    <t xml:space="preserve">C:\Users\andre\Desktop\REACTIV CEFAS\Prochloraz\Prochloraz/20201219_Cefas_Test10_Run2/Plate 3/@9/C3_04.tif </t>
  </si>
  <si>
    <t xml:space="preserve"> 40.4795 </t>
  </si>
  <si>
    <t xml:space="preserve">C:\Users\andre\Desktop\REACTIV CEFAS\Prochloraz\Prochloraz/20201219_Cefas_Test10_Run2/Plate 3/@9/D3_01.tif </t>
  </si>
  <si>
    <t xml:space="preserve"> 37.0033 </t>
  </si>
  <si>
    <t xml:space="preserve">C:\Users\andre\Desktop\REACTIV CEFAS\Prochloraz\Prochloraz/20201219_Cefas_Test10_Run2/Plate 3/@9/D3_02.tif </t>
  </si>
  <si>
    <t xml:space="preserve"> 35.8476 </t>
  </si>
  <si>
    <t xml:space="preserve">C:\Users\andre\Desktop\REACTIV CEFAS\Prochloraz\Prochloraz/20201219_Cefas_Test10_Run2/Plate 3/@9/D3_03.tif </t>
  </si>
  <si>
    <t xml:space="preserve"> 865.1958 </t>
  </si>
  <si>
    <t xml:space="preserve"> 32.625 </t>
  </si>
  <si>
    <t xml:space="preserve">C:\Users\andre\Desktop\REACTIV CEFAS\Prochloraz\Prochloraz/20201219_Cefas_Test10_Run2/Plate 3/@9/D3_04.tif </t>
  </si>
  <si>
    <t xml:space="preserve"> 39.0805 </t>
  </si>
  <si>
    <t xml:space="preserve">C:\Users\andre\Desktop\REACTIV CEFAS\Prochloraz\Prochloraz/20201219_Cefas_Test10_Run2/Plate 3/@9/E3_01.tif </t>
  </si>
  <si>
    <t xml:space="preserve"> 11982.9616 </t>
  </si>
  <si>
    <t xml:space="preserve"> 40.1155 </t>
  </si>
  <si>
    <t xml:space="preserve">C:\Users\andre\Desktop\REACTIV CEFAS\Prochloraz\Prochloraz/20201219_Cefas_Test10_Run2/Plate 3/@9/E3_02.tif </t>
  </si>
  <si>
    <t xml:space="preserve"> 38.3675 </t>
  </si>
  <si>
    <t xml:space="preserve">C:\Users\andre\Desktop\REACTIV CEFAS\Prochloraz\Prochloraz/20201219_Cefas_Test10_Run2/Plate 3/@9/E3_03.tif </t>
  </si>
  <si>
    <t xml:space="preserve"> 39.5953 </t>
  </si>
  <si>
    <t xml:space="preserve">C:\Users\andre\Desktop\REACTIV CEFAS\Prochloraz\Prochloraz/20201219_Cefas_Test10_Run2/Plate 3/@9/E3_04.tif </t>
  </si>
  <si>
    <t xml:space="preserve"> 42.3105 </t>
  </si>
  <si>
    <t xml:space="preserve">C:\Users\andre\Desktop\REACTIV CEFAS\Prochloraz\Prochloraz/20201219_Cefas_Test10_Run2/Plate 3/@9/F3_01.tif </t>
  </si>
  <si>
    <t xml:space="preserve"> 30.25 </t>
  </si>
  <si>
    <t xml:space="preserve">C:\Users\andre\Desktop\REACTIV CEFAS\Prochloraz\Prochloraz/20201219_Cefas_Test10_Run2/Plate 3/@9/F3_02.tif </t>
  </si>
  <si>
    <t xml:space="preserve"> 38.4161 </t>
  </si>
  <si>
    <t xml:space="preserve">C:\Users\andre\Desktop\REACTIV CEFAS\Prochloraz\Prochloraz/20201219_Cefas_Test10_Run2/Plate 3/@9/F3_03.tif </t>
  </si>
  <si>
    <t xml:space="preserve"> 37.5012 </t>
  </si>
  <si>
    <t xml:space="preserve">C:\Users\andre\Desktop\REACTIV CEFAS\Prochloraz\Prochloraz/20201219_Cefas_Test10_Run2/Plate 3/@9/F3_04.tif </t>
  </si>
  <si>
    <t xml:space="preserve"> 12913.0471 </t>
  </si>
  <si>
    <t xml:space="preserve"> 42.0134 </t>
  </si>
  <si>
    <t xml:space="preserve">C:\Users\andre\Desktop\REACTIV CEFAS\Prochloraz\Prochloraz/20201219_Cefas_Test10_Run2/Plate 3/@9/G3_01.tif </t>
  </si>
  <si>
    <t xml:space="preserve"> 47.633 </t>
  </si>
  <si>
    <t xml:space="preserve">C:\Users\andre\Desktop\REACTIV CEFAS\Prochloraz\Prochloraz/20201219_Cefas_Test10_Run2/Plate 3/@9/G3_02.tif </t>
  </si>
  <si>
    <t xml:space="preserve"> 12783.2677 </t>
  </si>
  <si>
    <t xml:space="preserve"> 47.4264 </t>
  </si>
  <si>
    <t xml:space="preserve">C:\Users\andre\Desktop\REACTIV CEFAS\Prochloraz\Prochloraz/20201219_Cefas_Test10_Run2/Plate 3/@9/G3_03.tif </t>
  </si>
  <si>
    <t xml:space="preserve"> 46.486 </t>
  </si>
  <si>
    <t xml:space="preserve">C:\Users\andre\Desktop\REACTIV CEFAS\Prochloraz\Prochloraz/20201219_Cefas_Test10_Run2/Plate 3/@9/G3_04.tif </t>
  </si>
  <si>
    <t xml:space="preserve"> 39.261 </t>
  </si>
  <si>
    <t xml:space="preserve">C:\Users\andre\Desktop\REACTIV CEFAS\Prochloraz\Prochloraz/20201219_Cefas_Test10_Run2/Plate 3/@9/H3_01.tif </t>
  </si>
  <si>
    <t xml:space="preserve"> 35.1979 </t>
  </si>
  <si>
    <t xml:space="preserve">C:\Users\andre\Desktop\REACTIV CEFAS\Prochloraz\Prochloraz/20201219_Cefas_Test10_Run2/Plate 3/@9/H3_02.tif </t>
  </si>
  <si>
    <t xml:space="preserve"> 39.5654 </t>
  </si>
  <si>
    <t xml:space="preserve">C:\Users\andre\Desktop\REACTIV CEFAS\Prochloraz\Prochloraz/20201219_Cefas_Test10_Run2/Plate 3/@9/H3_03.tif </t>
  </si>
  <si>
    <t xml:space="preserve"> 38.8991 </t>
  </si>
  <si>
    <t>C:\Users\andre\Desktop\REACTIV CEFAS\Prochloraz\Prochloraz/20201219_Cefas_Test10_Run2/Plate 3/@9/H3_04- exclu.tif</t>
  </si>
  <si>
    <t xml:space="preserve">C:\Users\andre\Desktop\REACTIV CEFAS\Prochloraz\Prochloraz/20201219_Cefas_Test10_Run2/Plate 3/@9/ </t>
  </si>
  <si>
    <t xml:space="preserve"> 38.1594 </t>
  </si>
  <si>
    <t xml:space="preserve"> 4.1796 </t>
  </si>
  <si>
    <t xml:space="preserve"> 305458.719 </t>
  </si>
  <si>
    <t xml:space="preserve"> 169842.146 </t>
  </si>
  <si>
    <t>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</si>
</sst>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
      <sz val="7"/>
      <name val="Arial"/>
      <family val="2"/>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43">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7" borderId="16" xfId="0" applyFill="1" applyBorder="1" applyAlignment="1">
      <alignment horizontal="center"/>
    </xf>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0" fontId="0" fillId="0" borderId="5"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164" fontId="7" fillId="12" borderId="6" xfId="0" applyNumberFormat="1" applyFont="1" applyFill="1" applyBorder="1" applyAlignment="1">
      <alignment horizontal="lef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164" fontId="0" fillId="7" borderId="3" xfId="0" applyNumberFormat="1" applyFill="1" applyBorder="1" applyAlignment="1">
      <alignment horizontal="center"/>
    </xf>
    <xf numFmtId="164" fontId="0" fillId="7" borderId="17"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applyNumberFormat="1" applyFont="1"/>
    <xf numFmtId="0" fontId="19" fillId="0" borderId="0" xfId="0" applyFont="1"/>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0" fontId="7" fillId="12" borderId="5"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164" fontId="7" fillId="12" borderId="5"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ercent" xfId="7" builtinId="5"/>
  </cellStyles>
  <dxfs count="42">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externalLink" Target="externalLinks/externalLink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pivotCacheDefinition" Target="pivotCache/pivotCacheDefinition4.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3.xml"/><Relationship Id="rId28" Type="http://schemas.openxmlformats.org/officeDocument/2006/relationships/calcChain" Target="calcChain.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2.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'R1'!$N$48:$AK$48</c:f>
                <c:numCache>
                  <c:formatCode>General</c:formatCode>
                  <c:ptCount val="24"/>
                  <c:pt idx="0">
                    <c:v>0</c:v>
                  </c:pt>
                  <c:pt idx="1">
                    <c:v>0.24954716600746679</c:v>
                  </c:pt>
                  <c:pt idx="2">
                    <c:v>0.45312558055857671</c:v>
                  </c:pt>
                  <c:pt idx="3">
                    <c:v>4.1102807042711111E-2</c:v>
                  </c:pt>
                  <c:pt idx="4">
                    <c:v>0.41529988646770871</c:v>
                  </c:pt>
                  <c:pt idx="5">
                    <c:v>0.39443346963199349</c:v>
                  </c:pt>
                  <c:pt idx="6">
                    <c:v>0.46587333168193956</c:v>
                  </c:pt>
                  <c:pt idx="7">
                    <c:v>0.22870502604421236</c:v>
                  </c:pt>
                  <c:pt idx="8">
                    <c:v>0.39452672342080924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plus>
            <c:minus>
              <c:numRef>
                <c:f>'R1'!$N$48:$AK$48</c:f>
                <c:numCache>
                  <c:formatCode>General</c:formatCode>
                  <c:ptCount val="24"/>
                  <c:pt idx="0">
                    <c:v>0</c:v>
                  </c:pt>
                  <c:pt idx="1">
                    <c:v>0.24954716600746679</c:v>
                  </c:pt>
                  <c:pt idx="2">
                    <c:v>0.45312558055857671</c:v>
                  </c:pt>
                  <c:pt idx="3">
                    <c:v>4.1102807042711111E-2</c:v>
                  </c:pt>
                  <c:pt idx="4">
                    <c:v>0.41529988646770871</c:v>
                  </c:pt>
                  <c:pt idx="5">
                    <c:v>0.39443346963199349</c:v>
                  </c:pt>
                  <c:pt idx="6">
                    <c:v>0.46587333168193956</c:v>
                  </c:pt>
                  <c:pt idx="7">
                    <c:v>0.22870502604421236</c:v>
                  </c:pt>
                  <c:pt idx="8">
                    <c:v>0.39452672342080924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'R1'!$B$52:$AK$52</c:f>
              <c:strCache>
                <c:ptCount val="36"/>
                <c:pt idx="0">
                  <c:v>Témoin solvant</c:v>
                </c:pt>
                <c:pt idx="1">
                  <c:v>EE2-33.8ng/L</c:v>
                </c:pt>
                <c:pt idx="2">
                  <c:v>EE2-50.6ng/L</c:v>
                </c:pt>
                <c:pt idx="3">
                  <c:v>EE2-76ng/L</c:v>
                </c:pt>
                <c:pt idx="4">
                  <c:v>EE2-114ng/L</c:v>
                </c:pt>
                <c:pt idx="5">
                  <c:v>EE2-170.9ng/L</c:v>
                </c:pt>
                <c:pt idx="6">
                  <c:v>EE2-488ng/L</c:v>
                </c:pt>
                <c:pt idx="7">
                  <c:v>Prochloraz-0,063mg/L</c:v>
                </c:pt>
                <c:pt idx="8">
                  <c:v>Prochloraz-0,13mg/L</c:v>
                </c:pt>
                <c:pt idx="9">
                  <c:v>Prochloraz-0,25mg/L</c:v>
                </c:pt>
                <c:pt idx="10">
                  <c:v>Prochloraz-0,5mg/L</c:v>
                </c:pt>
                <c:pt idx="11">
                  <c:v>Prochloraz-1mg/L</c:v>
                </c:pt>
                <c:pt idx="13">
                  <c:v>Testo -30µg/L</c:v>
                </c:pt>
                <c:pt idx="14">
                  <c:v>Testo 30µg/L + EE2 -64ng/L</c:v>
                </c:pt>
                <c:pt idx="15">
                  <c:v>Testo 30µg/L + FAD-10mg/L</c:v>
                </c:pt>
                <c:pt idx="16">
                  <c:v>Prochloraz-0.063mg/L + Testostérone</c:v>
                </c:pt>
                <c:pt idx="17">
                  <c:v>Prochloraz-0.13mg/L + Testostérone</c:v>
                </c:pt>
                <c:pt idx="18">
                  <c:v>Prochloraz-0.25mg/L + Testostérone</c:v>
                </c:pt>
                <c:pt idx="19">
                  <c:v>Prochloraz-0.5mg/L + Testostérone</c:v>
                </c:pt>
                <c:pt idx="20">
                  <c:v>Prochloraz-1mg/L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'R1'!$B$53:$AK$53</c:f>
              <c:numCache>
                <c:formatCode>0.0000</c:formatCode>
                <c:ptCount val="36"/>
                <c:pt idx="0">
                  <c:v>0.28711179742097781</c:v>
                </c:pt>
                <c:pt idx="1">
                  <c:v>0.27885507671434989</c:v>
                </c:pt>
                <c:pt idx="2">
                  <c:v>0.29579698899899443</c:v>
                </c:pt>
                <c:pt idx="3">
                  <c:v>1.589627535074531</c:v>
                </c:pt>
                <c:pt idx="4">
                  <c:v>3.3475787057035342</c:v>
                </c:pt>
                <c:pt idx="5">
                  <c:v>3.8854558950719187</c:v>
                </c:pt>
                <c:pt idx="6">
                  <c:v>5.9796625195592217</c:v>
                </c:pt>
                <c:pt idx="7">
                  <c:v>0.29298197290019867</c:v>
                </c:pt>
                <c:pt idx="8">
                  <c:v>0.19436028330429997</c:v>
                </c:pt>
                <c:pt idx="9">
                  <c:v>0.2994504131443293</c:v>
                </c:pt>
                <c:pt idx="10">
                  <c:v>0.28005656331146578</c:v>
                </c:pt>
                <c:pt idx="11">
                  <c:v>0.37684299501454821</c:v>
                </c:pt>
                <c:pt idx="13">
                  <c:v>0.99999999999999989</c:v>
                </c:pt>
                <c:pt idx="14">
                  <c:v>4.9194636556095812</c:v>
                </c:pt>
                <c:pt idx="15">
                  <c:v>0.15808032301624825</c:v>
                </c:pt>
                <c:pt idx="16">
                  <c:v>1.9180034232092003</c:v>
                </c:pt>
                <c:pt idx="17">
                  <c:v>1.6492388052001072</c:v>
                </c:pt>
                <c:pt idx="18">
                  <c:v>4.1002111509654346</c:v>
                </c:pt>
                <c:pt idx="19">
                  <c:v>0.71375908665394339</c:v>
                </c:pt>
                <c:pt idx="20">
                  <c:v>0.91144570140352266</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'R2'!$B$54:$X$54</c:f>
                <c:numCache>
                  <c:formatCode>General</c:formatCode>
                  <c:ptCount val="23"/>
                  <c:pt idx="0">
                    <c:v>1.1385438859068281E-2</c:v>
                  </c:pt>
                  <c:pt idx="1">
                    <c:v>2.0510940420045785E-2</c:v>
                  </c:pt>
                  <c:pt idx="2">
                    <c:v>2.4273137416238762E-2</c:v>
                  </c:pt>
                  <c:pt idx="3">
                    <c:v>4.5547775488718786E-2</c:v>
                  </c:pt>
                  <c:pt idx="4">
                    <c:v>7.7582816290012638E-2</c:v>
                  </c:pt>
                  <c:pt idx="5">
                    <c:v>0.10822303521160373</c:v>
                  </c:pt>
                  <c:pt idx="6">
                    <c:v>0.10253523983882422</c:v>
                  </c:pt>
                  <c:pt idx="7">
                    <c:v>2.5030995399142251E-2</c:v>
                  </c:pt>
                  <c:pt idx="8">
                    <c:v>2.0702194878434211E-2</c:v>
                  </c:pt>
                  <c:pt idx="9">
                    <c:v>1.1393774911587466E-2</c:v>
                  </c:pt>
                  <c:pt idx="10">
                    <c:v>2.6944267355489705E-2</c:v>
                  </c:pt>
                  <c:pt idx="11">
                    <c:v>2.6004754679416694E-2</c:v>
                  </c:pt>
                  <c:pt idx="13">
                    <c:v>9.2920502827877366E-2</c:v>
                  </c:pt>
                  <c:pt idx="14">
                    <c:v>0.14789139780808025</c:v>
                  </c:pt>
                  <c:pt idx="15">
                    <c:v>1.2586564028004982E-2</c:v>
                  </c:pt>
                  <c:pt idx="16">
                    <c:v>0.14289837793978621</c:v>
                  </c:pt>
                  <c:pt idx="17">
                    <c:v>0.17153295846164551</c:v>
                  </c:pt>
                  <c:pt idx="18">
                    <c:v>0.11188143010907833</c:v>
                  </c:pt>
                  <c:pt idx="19">
                    <c:v>0.10832304173505106</c:v>
                  </c:pt>
                  <c:pt idx="20">
                    <c:v>0.10662289244456799</c:v>
                  </c:pt>
                  <c:pt idx="21">
                    <c:v>0</c:v>
                  </c:pt>
                  <c:pt idx="22">
                    <c:v>0</c:v>
                  </c:pt>
                </c:numCache>
              </c:numRef>
            </c:plus>
            <c:minus>
              <c:numRef>
                <c:f>'R1'!$N$48:$AK$48</c:f>
                <c:numCache>
                  <c:formatCode>General</c:formatCode>
                  <c:ptCount val="24"/>
                  <c:pt idx="0">
                    <c:v>0</c:v>
                  </c:pt>
                  <c:pt idx="1">
                    <c:v>0.24954716600746679</c:v>
                  </c:pt>
                  <c:pt idx="2">
                    <c:v>0.45312558055857671</c:v>
                  </c:pt>
                  <c:pt idx="3">
                    <c:v>4.1102807042711111E-2</c:v>
                  </c:pt>
                  <c:pt idx="4">
                    <c:v>0.41529988646770871</c:v>
                  </c:pt>
                  <c:pt idx="5">
                    <c:v>0.39443346963199349</c:v>
                  </c:pt>
                  <c:pt idx="6">
                    <c:v>0.46587333168193956</c:v>
                  </c:pt>
                  <c:pt idx="7">
                    <c:v>0.22870502604421236</c:v>
                  </c:pt>
                  <c:pt idx="8">
                    <c:v>0.39452672342080924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'R2'!$B$52:$AK$52</c:f>
              <c:strCache>
                <c:ptCount val="36"/>
                <c:pt idx="0">
                  <c:v>Témoin solvant</c:v>
                </c:pt>
                <c:pt idx="1">
                  <c:v>EE2-33.8ng/L</c:v>
                </c:pt>
                <c:pt idx="2">
                  <c:v>EE2-50.6ng/L</c:v>
                </c:pt>
                <c:pt idx="3">
                  <c:v>EE2-76ng/L</c:v>
                </c:pt>
                <c:pt idx="4">
                  <c:v>EE2-114ng/L</c:v>
                </c:pt>
                <c:pt idx="5">
                  <c:v>EE2-170.9ng/L</c:v>
                </c:pt>
                <c:pt idx="6">
                  <c:v>EE2-488ng/L</c:v>
                </c:pt>
                <c:pt idx="7">
                  <c:v>Prochloraz-0,063mg/L</c:v>
                </c:pt>
                <c:pt idx="8">
                  <c:v>Prochloraz-0,13mg/L</c:v>
                </c:pt>
                <c:pt idx="9">
                  <c:v>Prochloraz-0,25mg/L</c:v>
                </c:pt>
                <c:pt idx="10">
                  <c:v>Prochloraz-0,5mg/L</c:v>
                </c:pt>
                <c:pt idx="11">
                  <c:v>Prochloraz-1mg/L</c:v>
                </c:pt>
                <c:pt idx="13">
                  <c:v>Testo -30µg/L</c:v>
                </c:pt>
                <c:pt idx="14">
                  <c:v>Testo 30µg/L + EE2 -64ng/L</c:v>
                </c:pt>
                <c:pt idx="15">
                  <c:v>Testo 30µg/L + FAD-10mg/L</c:v>
                </c:pt>
                <c:pt idx="16">
                  <c:v>Prochloraz-0.063mg/L + Testostérone</c:v>
                </c:pt>
                <c:pt idx="17">
                  <c:v>Prochloraz-0.13mg/L + Testostérone</c:v>
                </c:pt>
                <c:pt idx="18">
                  <c:v>Prochloraz-0.25mg/L + Testostérone</c:v>
                </c:pt>
                <c:pt idx="19">
                  <c:v>Prochloraz-0.5mg/L + Testostérone</c:v>
                </c:pt>
                <c:pt idx="20">
                  <c:v>Prochloraz-1mg/L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'R2'!$B$53:$AK$53</c:f>
              <c:numCache>
                <c:formatCode>0.0000</c:formatCode>
                <c:ptCount val="36"/>
                <c:pt idx="0">
                  <c:v>0.12786931651462038</c:v>
                </c:pt>
                <c:pt idx="1">
                  <c:v>0.12262717192203094</c:v>
                </c:pt>
                <c:pt idx="2">
                  <c:v>0.11911350636037547</c:v>
                </c:pt>
                <c:pt idx="3">
                  <c:v>0.17514550647610333</c:v>
                </c:pt>
                <c:pt idx="4">
                  <c:v>0.60354206967960089</c:v>
                </c:pt>
                <c:pt idx="5">
                  <c:v>1.4766265140950239</c:v>
                </c:pt>
                <c:pt idx="6">
                  <c:v>2.1094336916152114</c:v>
                </c:pt>
                <c:pt idx="7">
                  <c:v>0.15427004824369045</c:v>
                </c:pt>
                <c:pt idx="8">
                  <c:v>0.13695265175992793</c:v>
                </c:pt>
                <c:pt idx="9">
                  <c:v>0.14026114224297306</c:v>
                </c:pt>
                <c:pt idx="10">
                  <c:v>0.21175645076133248</c:v>
                </c:pt>
                <c:pt idx="11">
                  <c:v>0.15353002627745202</c:v>
                </c:pt>
                <c:pt idx="13">
                  <c:v>0.99999999999999978</c:v>
                </c:pt>
                <c:pt idx="14">
                  <c:v>1.8054884101586119</c:v>
                </c:pt>
                <c:pt idx="15">
                  <c:v>0.12461497381361147</c:v>
                </c:pt>
                <c:pt idx="16">
                  <c:v>0.79282503065937926</c:v>
                </c:pt>
                <c:pt idx="17">
                  <c:v>0.78757570846753622</c:v>
                </c:pt>
                <c:pt idx="18">
                  <c:v>0.53096902611742613</c:v>
                </c:pt>
                <c:pt idx="19">
                  <c:v>0.81166513430392473</c:v>
                </c:pt>
                <c:pt idx="20">
                  <c:v>0.75233408315801531</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'R3'!$B$54:$X$54</c:f>
                <c:numCache>
                  <c:formatCode>General</c:formatCode>
                  <c:ptCount val="23"/>
                  <c:pt idx="0">
                    <c:v>3.5239828271144524E-2</c:v>
                  </c:pt>
                  <c:pt idx="1">
                    <c:v>1.3746311121568962E-2</c:v>
                  </c:pt>
                  <c:pt idx="2">
                    <c:v>6.8102667527604729E-2</c:v>
                  </c:pt>
                  <c:pt idx="3">
                    <c:v>7.1973622209703506E-2</c:v>
                  </c:pt>
                  <c:pt idx="4">
                    <c:v>0.20789296550057199</c:v>
                  </c:pt>
                  <c:pt idx="5">
                    <c:v>0.22764225586280012</c:v>
                  </c:pt>
                  <c:pt idx="6">
                    <c:v>0.29049250548501793</c:v>
                  </c:pt>
                  <c:pt idx="7">
                    <c:v>2.1338744655978754E-2</c:v>
                  </c:pt>
                  <c:pt idx="8">
                    <c:v>3.3473276412832306E-2</c:v>
                  </c:pt>
                  <c:pt idx="9">
                    <c:v>2.4415708838012702E-2</c:v>
                  </c:pt>
                  <c:pt idx="10">
                    <c:v>3.8849359923643877E-2</c:v>
                  </c:pt>
                  <c:pt idx="11">
                    <c:v>2.9294353421746494E-2</c:v>
                  </c:pt>
                  <c:pt idx="13">
                    <c:v>0.1237766778101316</c:v>
                  </c:pt>
                  <c:pt idx="14">
                    <c:v>0.23506320583332604</c:v>
                  </c:pt>
                  <c:pt idx="15">
                    <c:v>3.2292261781286025E-2</c:v>
                  </c:pt>
                  <c:pt idx="16">
                    <c:v>0.2644602000311469</c:v>
                  </c:pt>
                  <c:pt idx="17">
                    <c:v>0.16961181608518996</c:v>
                  </c:pt>
                  <c:pt idx="18">
                    <c:v>0.21012817633121395</c:v>
                  </c:pt>
                  <c:pt idx="19">
                    <c:v>0.17681490883256332</c:v>
                  </c:pt>
                  <c:pt idx="20">
                    <c:v>7.2160790260461571E-2</c:v>
                  </c:pt>
                  <c:pt idx="21">
                    <c:v>0</c:v>
                  </c:pt>
                  <c:pt idx="22">
                    <c:v>0</c:v>
                  </c:pt>
                </c:numCache>
              </c:numRef>
            </c:plus>
            <c:minus>
              <c:numRef>
                <c:f>'R1'!$N$48:$AK$48</c:f>
                <c:numCache>
                  <c:formatCode>General</c:formatCode>
                  <c:ptCount val="24"/>
                  <c:pt idx="0">
                    <c:v>0</c:v>
                  </c:pt>
                  <c:pt idx="1">
                    <c:v>0.24954716600746679</c:v>
                  </c:pt>
                  <c:pt idx="2">
                    <c:v>0.45312558055857671</c:v>
                  </c:pt>
                  <c:pt idx="3">
                    <c:v>4.1102807042711111E-2</c:v>
                  </c:pt>
                  <c:pt idx="4">
                    <c:v>0.41529988646770871</c:v>
                  </c:pt>
                  <c:pt idx="5">
                    <c:v>0.39443346963199349</c:v>
                  </c:pt>
                  <c:pt idx="6">
                    <c:v>0.46587333168193956</c:v>
                  </c:pt>
                  <c:pt idx="7">
                    <c:v>0.22870502604421236</c:v>
                  </c:pt>
                  <c:pt idx="8">
                    <c:v>0.39452672342080924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'R3'!$B$52:$AK$52</c:f>
              <c:strCache>
                <c:ptCount val="36"/>
                <c:pt idx="0">
                  <c:v>Témoin solvant</c:v>
                </c:pt>
                <c:pt idx="1">
                  <c:v>EE2-33.8ng/L</c:v>
                </c:pt>
                <c:pt idx="2">
                  <c:v>EE2-50.6ng/L</c:v>
                </c:pt>
                <c:pt idx="3">
                  <c:v>EE2-76ng/L</c:v>
                </c:pt>
                <c:pt idx="4">
                  <c:v>EE2-114ng/L</c:v>
                </c:pt>
                <c:pt idx="5">
                  <c:v>EE2-170.9ng/L</c:v>
                </c:pt>
                <c:pt idx="6">
                  <c:v>EE2-488ng/L</c:v>
                </c:pt>
                <c:pt idx="7">
                  <c:v>Prochloraz-0,063mg/L</c:v>
                </c:pt>
                <c:pt idx="8">
                  <c:v>Prochloraz-0,13mg/L</c:v>
                </c:pt>
                <c:pt idx="9">
                  <c:v>Prochloraz-0,25mg/L</c:v>
                </c:pt>
                <c:pt idx="10">
                  <c:v>Prochloraz-0,5mg/L</c:v>
                </c:pt>
                <c:pt idx="11">
                  <c:v>Prochloraz-1mg/L</c:v>
                </c:pt>
                <c:pt idx="13">
                  <c:v>Testo -30µg/L</c:v>
                </c:pt>
                <c:pt idx="14">
                  <c:v>Testo 30µg/L + EE2 -64ng/L</c:v>
                </c:pt>
                <c:pt idx="15">
                  <c:v>Testo 30µg/L + FAD-10mg/L</c:v>
                </c:pt>
                <c:pt idx="16">
                  <c:v>Prochloraz-0.063mg/L + Testostérone</c:v>
                </c:pt>
                <c:pt idx="17">
                  <c:v>Prochloraz-0.13mg/L + Testostérone</c:v>
                </c:pt>
                <c:pt idx="18">
                  <c:v>Prochloraz-0.25mg/L + Testostérone</c:v>
                </c:pt>
                <c:pt idx="19">
                  <c:v>Prochloraz-0.5mg/L + Testostérone</c:v>
                </c:pt>
                <c:pt idx="20">
                  <c:v>Prochloraz-1mg/L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'R3'!$B$53:$AK$53</c:f>
              <c:numCache>
                <c:formatCode>0.0000</c:formatCode>
                <c:ptCount val="36"/>
                <c:pt idx="0">
                  <c:v>0.11359420478039334</c:v>
                </c:pt>
                <c:pt idx="1">
                  <c:v>4.9391841407717518E-2</c:v>
                </c:pt>
                <c:pt idx="2">
                  <c:v>0.15417035508723126</c:v>
                </c:pt>
                <c:pt idx="3">
                  <c:v>0.24584670345400292</c:v>
                </c:pt>
                <c:pt idx="4">
                  <c:v>0.92180987007146975</c:v>
                </c:pt>
                <c:pt idx="5">
                  <c:v>1.6552826724431999</c:v>
                </c:pt>
                <c:pt idx="6">
                  <c:v>2.7097241311248994</c:v>
                </c:pt>
                <c:pt idx="7">
                  <c:v>0.12190854925691638</c:v>
                </c:pt>
                <c:pt idx="8">
                  <c:v>0.12734523420486271</c:v>
                </c:pt>
                <c:pt idx="9">
                  <c:v>0.13645874891226681</c:v>
                </c:pt>
                <c:pt idx="10">
                  <c:v>0.14435255341077927</c:v>
                </c:pt>
                <c:pt idx="11">
                  <c:v>0.24757605901818092</c:v>
                </c:pt>
                <c:pt idx="13">
                  <c:v>1.0000000000000002</c:v>
                </c:pt>
                <c:pt idx="14">
                  <c:v>1.6398925302656242</c:v>
                </c:pt>
                <c:pt idx="15">
                  <c:v>0.11770359869337851</c:v>
                </c:pt>
                <c:pt idx="16">
                  <c:v>0.5465954992367501</c:v>
                </c:pt>
                <c:pt idx="17">
                  <c:v>0.70137019017049596</c:v>
                </c:pt>
                <c:pt idx="18">
                  <c:v>0.64571131097600387</c:v>
                </c:pt>
                <c:pt idx="19">
                  <c:v>1.1282997199738305</c:v>
                </c:pt>
                <c:pt idx="20">
                  <c:v>0.48240105690418078</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9F7A9F3A-D393-43B6-A046-97B6380B759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0347A744-8053-4419-9B73-D73268D0C09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B16F9254-3B16-4A20-A2E0-8B883645BFC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C59678EE-10A2-4078-A1C5-2B5563B3CB3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45CA3C08-4FF0-4C61-8237-42281209226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B31DD734-4671-4528-935C-1D4FB3B2395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D165D437-964E-4FC5-80C8-7B0440DE26E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BC51FCF2-2D6B-4E2E-9283-9F2503810DE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B3031D5A-C975-4E71-B5DC-347FD2B4B1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A564B601-6F97-4441-B232-E2234329129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77EA3B5E-6F0B-45EE-9F2B-E1BC9616FEF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8D0B236F-0FE9-42DC-B160-9F6EAAA661D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131ACFD9-3F3E-40ED-9D74-8C3459565C7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43FF05B0-DAAD-4D5C-8A27-8CD563D35B7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A9ED92B1-79E1-4885-81AD-D1D96E37624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5B0DA9D9-A19A-4E25-A062-D0B91411E18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CA6475F0-2DBD-4606-A49A-53B5E0FE565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A38C02B3-8616-4959-B9FB-AA87A99DC0C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4DB1ACB1-2201-48C9-82AC-D096F2211C8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10A89F96-C2A1-430F-9FD7-734A2832BF7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1"/>
              <c:tx>
                <c:rich>
                  <a:bodyPr/>
                  <a:lstStyle/>
                  <a:p>
                    <a:fld id="{3AF324BA-5B95-4395-8737-5812269ED6E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033C-4530-84A9-991A3866ABD4}"/>
                </c:ext>
              </c:extLst>
            </c:dLbl>
            <c:dLbl>
              <c:idx val="22"/>
              <c:tx>
                <c:rich>
                  <a:bodyPr/>
                  <a:lstStyle/>
                  <a:p>
                    <a:fld id="{DFEE6423-A9CD-4426-91C1-84AD42EF2F8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033C-4530-84A9-991A3866ABD4}"/>
                </c:ext>
              </c:extLst>
            </c:dLbl>
            <c:dLbl>
              <c:idx val="23"/>
              <c:tx>
                <c:rich>
                  <a:bodyPr/>
                  <a:lstStyle/>
                  <a:p>
                    <a:fld id="{73307CA4-1688-431F-990E-DE48E33C022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A435-467A-9CEB-6115478B7183}"/>
                </c:ext>
              </c:extLst>
            </c:dLbl>
            <c:dLbl>
              <c:idx val="24"/>
              <c:tx>
                <c:rich>
                  <a:bodyPr/>
                  <a:lstStyle/>
                  <a:p>
                    <a:fld id="{653216A9-F32C-420A-8AC7-3FD42CC9623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A435-467A-9CEB-6115478B7183}"/>
                </c:ext>
              </c:extLst>
            </c:dLbl>
            <c:dLbl>
              <c:idx val="25"/>
              <c:tx>
                <c:rich>
                  <a:bodyPr/>
                  <a:lstStyle/>
                  <a:p>
                    <a:fld id="{66B32131-00FD-4610-986D-62F2A370F4B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A435-467A-9CEB-6115478B7183}"/>
                </c:ext>
              </c:extLst>
            </c:dLbl>
            <c:dLbl>
              <c:idx val="26"/>
              <c:tx>
                <c:rich>
                  <a:bodyPr/>
                  <a:lstStyle/>
                  <a:p>
                    <a:fld id="{A73E00AF-A12B-4778-BBDF-9137DAABC22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A435-467A-9CEB-6115478B7183}"/>
                </c:ext>
              </c:extLst>
            </c:dLbl>
            <c:dLbl>
              <c:idx val="27"/>
              <c:tx>
                <c:rich>
                  <a:bodyPr/>
                  <a:lstStyle/>
                  <a:p>
                    <a:fld id="{6C2EDD39-87AD-4DD7-B447-3C5F1C7112B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A435-467A-9CEB-6115478B7183}"/>
                </c:ext>
              </c:extLst>
            </c:dLbl>
            <c:dLbl>
              <c:idx val="28"/>
              <c:tx>
                <c:rich>
                  <a:bodyPr/>
                  <a:lstStyle/>
                  <a:p>
                    <a:fld id="{1FF99B64-EEEA-41A3-8F48-1055EADE357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A435-467A-9CEB-6115478B7183}"/>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dLbl>
              <c:idx val="30"/>
              <c:tx>
                <c:rich>
                  <a:bodyPr/>
                  <a:lstStyle/>
                  <a:p>
                    <a:fld id="{1DD77FA0-E033-4260-AA38-7CAEE1E7BE3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A435-467A-9CEB-6115478B7183}"/>
                </c:ext>
              </c:extLst>
            </c:dLbl>
            <c:dLbl>
              <c:idx val="31"/>
              <c:tx>
                <c:rich>
                  <a:bodyPr/>
                  <a:lstStyle/>
                  <a:p>
                    <a:fld id="{601287B9-181F-4F0F-915F-FD387ACA0AE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A435-467A-9CEB-6115478B7183}"/>
                </c:ext>
              </c:extLst>
            </c:dLbl>
            <c:dLbl>
              <c:idx val="32"/>
              <c:tx>
                <c:rich>
                  <a:bodyPr/>
                  <a:lstStyle/>
                  <a:p>
                    <a:fld id="{B5914551-6207-40C2-8EF3-73DBA62ABC0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A435-467A-9CEB-6115478B7183}"/>
                </c:ext>
              </c:extLst>
            </c:dLbl>
            <c:dLbl>
              <c:idx val="33"/>
              <c:tx>
                <c:rich>
                  <a:bodyPr/>
                  <a:lstStyle/>
                  <a:p>
                    <a:fld id="{AE207590-69F8-4688-975E-001ABE38F7C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A435-467A-9CEB-6115478B7183}"/>
                </c:ext>
              </c:extLst>
            </c:dLbl>
            <c:dLbl>
              <c:idx val="34"/>
              <c:tx>
                <c:rich>
                  <a:bodyPr/>
                  <a:lstStyle/>
                  <a:p>
                    <a:fld id="{4287B16A-C749-4562-81A5-53177C07C3C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A435-467A-9CEB-6115478B7183}"/>
                </c:ext>
              </c:extLst>
            </c:dLbl>
            <c:dLbl>
              <c:idx val="35"/>
              <c:tx>
                <c:rich>
                  <a:bodyPr/>
                  <a:lstStyle/>
                  <a:p>
                    <a:fld id="{63D6A611-BCF7-4886-939A-C7B5C044267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A435-467A-9CEB-6115478B7183}"/>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values'!$B$76:$AK$76</c:f>
                <c:numCache>
                  <c:formatCode>General</c:formatCode>
                  <c:ptCount val="36"/>
                  <c:pt idx="0">
                    <c:v>2.6512072163712905E-2</c:v>
                  </c:pt>
                  <c:pt idx="1">
                    <c:v>3.4396094946569734E-2</c:v>
                  </c:pt>
                  <c:pt idx="2">
                    <c:v>4.0173387932438E-2</c:v>
                  </c:pt>
                  <c:pt idx="3">
                    <c:v>0.20863398465331823</c:v>
                  </c:pt>
                  <c:pt idx="4">
                    <c:v>0.28064149217724077</c:v>
                  </c:pt>
                  <c:pt idx="5">
                    <c:v>0.33556759607804165</c:v>
                  </c:pt>
                  <c:pt idx="6">
                    <c:v>0.40284471914866982</c:v>
                  </c:pt>
                  <c:pt idx="7">
                    <c:v>2.6570382406034765E-2</c:v>
                  </c:pt>
                  <c:pt idx="8">
                    <c:v>2.0255552020591774E-2</c:v>
                  </c:pt>
                  <c:pt idx="9">
                    <c:v>2.8933670909426643E-2</c:v>
                  </c:pt>
                  <c:pt idx="10">
                    <c:v>2.199699606471189E-2</c:v>
                  </c:pt>
                  <c:pt idx="11">
                    <c:v>3.0435409140734535E-2</c:v>
                  </c:pt>
                  <c:pt idx="13">
                    <c:v>9.4709424650372104E-2</c:v>
                  </c:pt>
                  <c:pt idx="14">
                    <c:v>0.36734383968505246</c:v>
                  </c:pt>
                  <c:pt idx="15">
                    <c:v>1.751489074100791E-2</c:v>
                  </c:pt>
                  <c:pt idx="16">
                    <c:v>0.20221060178736505</c:v>
                  </c:pt>
                  <c:pt idx="17">
                    <c:v>0.16519817004261689</c:v>
                  </c:pt>
                  <c:pt idx="18">
                    <c:v>0.38343803780849234</c:v>
                  </c:pt>
                  <c:pt idx="19">
                    <c:v>0.10502031135173165</c:v>
                  </c:pt>
                  <c:pt idx="20">
                    <c:v>0.13724384547120111</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plus>
            <c:minus>
              <c:numRef>
                <c:f>'pooled normalised values'!$B$76:$AK$76</c:f>
                <c:numCache>
                  <c:formatCode>General</c:formatCode>
                  <c:ptCount val="36"/>
                  <c:pt idx="0">
                    <c:v>2.6512072163712905E-2</c:v>
                  </c:pt>
                  <c:pt idx="1">
                    <c:v>3.4396094946569734E-2</c:v>
                  </c:pt>
                  <c:pt idx="2">
                    <c:v>4.0173387932438E-2</c:v>
                  </c:pt>
                  <c:pt idx="3">
                    <c:v>0.20863398465331823</c:v>
                  </c:pt>
                  <c:pt idx="4">
                    <c:v>0.28064149217724077</c:v>
                  </c:pt>
                  <c:pt idx="5">
                    <c:v>0.33556759607804165</c:v>
                  </c:pt>
                  <c:pt idx="6">
                    <c:v>0.40284471914866982</c:v>
                  </c:pt>
                  <c:pt idx="7">
                    <c:v>2.6570382406034765E-2</c:v>
                  </c:pt>
                  <c:pt idx="8">
                    <c:v>2.0255552020591774E-2</c:v>
                  </c:pt>
                  <c:pt idx="9">
                    <c:v>2.8933670909426643E-2</c:v>
                  </c:pt>
                  <c:pt idx="10">
                    <c:v>2.199699606471189E-2</c:v>
                  </c:pt>
                  <c:pt idx="11">
                    <c:v>3.0435409140734535E-2</c:v>
                  </c:pt>
                  <c:pt idx="13">
                    <c:v>9.4709424650372104E-2</c:v>
                  </c:pt>
                  <c:pt idx="14">
                    <c:v>0.36734383968505246</c:v>
                  </c:pt>
                  <c:pt idx="15">
                    <c:v>1.751489074100791E-2</c:v>
                  </c:pt>
                  <c:pt idx="16">
                    <c:v>0.20221060178736505</c:v>
                  </c:pt>
                  <c:pt idx="17">
                    <c:v>0.16519817004261689</c:v>
                  </c:pt>
                  <c:pt idx="18">
                    <c:v>0.38343803780849234</c:v>
                  </c:pt>
                  <c:pt idx="19">
                    <c:v>0.10502031135173165</c:v>
                  </c:pt>
                  <c:pt idx="20">
                    <c:v>0.13724384547120111</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minus>
          </c:errBars>
          <c:cat>
            <c:strRef>
              <c:f>'pooled normalised values'!$B$74:$AK$74</c:f>
              <c:strCache>
                <c:ptCount val="36"/>
                <c:pt idx="0">
                  <c:v>Témoin solvant</c:v>
                </c:pt>
                <c:pt idx="1">
                  <c:v>EE2-33.8ng/L</c:v>
                </c:pt>
                <c:pt idx="2">
                  <c:v>EE2-50.6ng/L</c:v>
                </c:pt>
                <c:pt idx="3">
                  <c:v>EE2-76ng/L</c:v>
                </c:pt>
                <c:pt idx="4">
                  <c:v>EE2-114ng/L</c:v>
                </c:pt>
                <c:pt idx="5">
                  <c:v>EE2-170.9ng/L</c:v>
                </c:pt>
                <c:pt idx="6">
                  <c:v>EE2-488ng/L</c:v>
                </c:pt>
                <c:pt idx="7">
                  <c:v>Prochloraz-0,063mg/L</c:v>
                </c:pt>
                <c:pt idx="8">
                  <c:v>Prochloraz-0,13mg/L</c:v>
                </c:pt>
                <c:pt idx="9">
                  <c:v>Prochloraz-0,25mg/L</c:v>
                </c:pt>
                <c:pt idx="10">
                  <c:v>Prochloraz-0,5mg/L</c:v>
                </c:pt>
                <c:pt idx="11">
                  <c:v>Prochloraz-1mg/L</c:v>
                </c:pt>
                <c:pt idx="13">
                  <c:v>Testo -30µg/L</c:v>
                </c:pt>
                <c:pt idx="14">
                  <c:v>Testo 30µg/L + EE2 -64ng/L</c:v>
                </c:pt>
                <c:pt idx="15">
                  <c:v>Testo 30µg/L + FAD-10mg/L</c:v>
                </c:pt>
                <c:pt idx="16">
                  <c:v>Prochloraz-0.063mg/L + Testostérone</c:v>
                </c:pt>
                <c:pt idx="17">
                  <c:v>Prochloraz-0.13mg/L + Testostérone</c:v>
                </c:pt>
                <c:pt idx="18">
                  <c:v>Prochloraz-0.25mg/L + Testostérone</c:v>
                </c:pt>
                <c:pt idx="19">
                  <c:v>Prochloraz-0.5mg/L + Testostérone</c:v>
                </c:pt>
                <c:pt idx="20">
                  <c:v>Prochloraz-1mg/L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'pooled normalised values'!$B$75:$AK$75</c:f>
              <c:numCache>
                <c:formatCode>0.0000</c:formatCode>
                <c:ptCount val="36"/>
                <c:pt idx="0">
                  <c:v>0.1761917729053305</c:v>
                </c:pt>
                <c:pt idx="1">
                  <c:v>0.14903390010139633</c:v>
                </c:pt>
                <c:pt idx="2">
                  <c:v>0.18969361681553368</c:v>
                </c:pt>
                <c:pt idx="3">
                  <c:v>0.67020658166821245</c:v>
                </c:pt>
                <c:pt idx="4">
                  <c:v>1.624310215151535</c:v>
                </c:pt>
                <c:pt idx="5">
                  <c:v>2.2999173675166369</c:v>
                </c:pt>
                <c:pt idx="6">
                  <c:v>3.6805052034611303</c:v>
                </c:pt>
                <c:pt idx="7">
                  <c:v>0.18972019013360186</c:v>
                </c:pt>
                <c:pt idx="8">
                  <c:v>0.15288605642303019</c:v>
                </c:pt>
                <c:pt idx="9">
                  <c:v>0.19447407328192554</c:v>
                </c:pt>
                <c:pt idx="10">
                  <c:v>0.21820997422941185</c:v>
                </c:pt>
                <c:pt idx="11">
                  <c:v>0.26038366020204934</c:v>
                </c:pt>
                <c:pt idx="13">
                  <c:v>1.0000000000000002</c:v>
                </c:pt>
                <c:pt idx="14">
                  <c:v>2.8382114886089091</c:v>
                </c:pt>
                <c:pt idx="15">
                  <c:v>0.13346629850774602</c:v>
                </c:pt>
                <c:pt idx="16">
                  <c:v>1.0724905773816678</c:v>
                </c:pt>
                <c:pt idx="17">
                  <c:v>1.0198364706741305</c:v>
                </c:pt>
                <c:pt idx="18">
                  <c:v>1.7589638293529548</c:v>
                </c:pt>
                <c:pt idx="19">
                  <c:v>0.88457464697723298</c:v>
                </c:pt>
                <c:pt idx="20">
                  <c:v>0.71539361382190625</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5="http://schemas.microsoft.com/office/drawing/2012/chart" uri="{02D57815-91ED-43cb-92C2-25804820EDAC}">
              <c15:datalabelsRange>
                <c15:f>'pooled normalised values'!$B$83:$AK$83</c15:f>
                <c15:dlblRangeCache>
                  <c:ptCount val="36"/>
                  <c:pt idx="1">
                    <c:v>NS</c:v>
                  </c:pt>
                  <c:pt idx="2">
                    <c:v>NS</c:v>
                  </c:pt>
                  <c:pt idx="3">
                    <c:v>NS</c:v>
                  </c:pt>
                  <c:pt idx="4">
                    <c:v>***</c:v>
                  </c:pt>
                  <c:pt idx="5">
                    <c:v>***</c:v>
                  </c:pt>
                  <c:pt idx="6">
                    <c:v>***</c:v>
                  </c:pt>
                  <c:pt idx="7">
                    <c:v>NS</c:v>
                  </c:pt>
                  <c:pt idx="8">
                    <c:v>NS</c:v>
                  </c:pt>
                  <c:pt idx="9">
                    <c:v>NS</c:v>
                  </c:pt>
                  <c:pt idx="10">
                    <c:v>NS</c:v>
                  </c:pt>
                  <c:pt idx="11">
                    <c:v>NS</c:v>
                  </c:pt>
                  <c:pt idx="13">
                    <c:v>***</c:v>
                  </c:pt>
                  <c:pt idx="14">
                    <c:v>***</c:v>
                  </c:pt>
                  <c:pt idx="15">
                    <c:v>***</c:v>
                  </c:pt>
                  <c:pt idx="16">
                    <c:v>NS</c:v>
                  </c:pt>
                  <c:pt idx="17">
                    <c:v>NS</c:v>
                  </c:pt>
                  <c:pt idx="18">
                    <c:v>NS</c:v>
                  </c:pt>
                  <c:pt idx="19">
                    <c:v>NS</c:v>
                  </c:pt>
                  <c:pt idx="20">
                    <c:v>NS</c:v>
                  </c:pt>
                  <c:pt idx="21">
                    <c:v>#NAME?</c:v>
                  </c:pt>
                  <c:pt idx="22">
                    <c:v>#NAME?</c:v>
                  </c:pt>
                  <c:pt idx="23">
                    <c:v>#NAME?</c:v>
                  </c:pt>
                  <c:pt idx="24">
                    <c:v>#NAME?</c:v>
                  </c:pt>
                  <c:pt idx="25">
                    <c:v>#NAME?</c:v>
                  </c:pt>
                  <c:pt idx="26">
                    <c:v>#NAME?</c:v>
                  </c:pt>
                  <c:pt idx="27">
                    <c:v>#NAME?</c:v>
                  </c:pt>
                  <c:pt idx="28">
                    <c:v>#NAME?</c:v>
                  </c:pt>
                  <c:pt idx="29">
                    <c:v>#NAME?</c:v>
                  </c:pt>
                  <c:pt idx="30">
                    <c:v>#NAME?</c:v>
                  </c:pt>
                  <c:pt idx="31">
                    <c:v>#NAME?</c:v>
                  </c:pt>
                  <c:pt idx="32">
                    <c:v>#NAME?</c:v>
                  </c:pt>
                  <c:pt idx="33">
                    <c:v>#NAME?</c:v>
                  </c:pt>
                  <c:pt idx="34">
                    <c:v>#NAME?</c:v>
                  </c:pt>
                  <c:pt idx="35">
                    <c:v>#NAME?</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Prochloraz-0.063mg/L : 0%</c:v>
                  </c:pt>
                  <c:pt idx="1">
                    <c:v>Prochloraz-0.13mg/L : 0%</c:v>
                  </c:pt>
                  <c:pt idx="2">
                    <c:v>Prochloraz-0.25mg/L : 0%</c:v>
                  </c:pt>
                  <c:pt idx="3">
                    <c:v>Prochloraz-0.5mg/L : 0%</c:v>
                  </c:pt>
                  <c:pt idx="4">
                    <c:v>Prochloraz-1mg/L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Prochloraz-0.063mg/L : 0%</c:v>
                  </c:pt>
                  <c:pt idx="1">
                    <c:v>Prochloraz-0.13mg/L : 0%</c:v>
                  </c:pt>
                  <c:pt idx="2">
                    <c:v>Prochloraz-0.25mg/L : 0%</c:v>
                  </c:pt>
                  <c:pt idx="3">
                    <c:v>Prochloraz-0.5mg/L : 0%</c:v>
                  </c:pt>
                  <c:pt idx="4">
                    <c:v>Prochloraz-1mg/L : 0%</c:v>
                  </c:pt>
                  <c:pt idx="5">
                    <c:v>#NAME?</c:v>
                  </c:pt>
                  <c:pt idx="6">
                    <c:v>#NAME?</c:v>
                  </c:pt>
                  <c:pt idx="7">
                    <c:v>#NAME?</c:v>
                  </c:pt>
                  <c:pt idx="8">
                    <c:v>#NAME?</c:v>
                  </c:pt>
                  <c:pt idx="9">
                    <c:v>#NAME?</c:v>
                  </c:pt>
                  <c:pt idx="10">
                    <c:v>#NAME?</c:v>
                  </c:pt>
                  <c:pt idx="11">
                    <c:v>#NAME?</c:v>
                  </c:pt>
                  <c:pt idx="12">
                    <c:v>#NAME?</c:v>
                  </c:pt>
                  <c:pt idx="13">
                    <c:v>#NAME?</c:v>
                  </c:pt>
                  <c:pt idx="14">
                    <c:v>#NAME?</c:v>
                  </c:pt>
                  <c:pt idx="15">
                    <c:v>#NAME?</c:v>
                  </c:pt>
                  <c:pt idx="16">
                    <c:v>#NAME?</c:v>
                  </c:pt>
                  <c:pt idx="17">
                    <c:v>#NAME?</c:v>
                  </c:pt>
                  <c:pt idx="18">
                    <c:v>#NAME?</c:v>
                  </c:pt>
                  <c:pt idx="19">
                    <c:v>#NAME?</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Prochloraz-0.063mg/L : 0%</c:v>
                  </c:pt>
                  <c:pt idx="1">
                    <c:v>Prochloraz-0.13mg/L : 0%</c:v>
                  </c:pt>
                  <c:pt idx="2">
                    <c:v>Prochloraz-0.25mg/L : 0%</c:v>
                  </c:pt>
                  <c:pt idx="3">
                    <c:v>Prochloraz-0.5mg/L : 0%</c:v>
                  </c:pt>
                  <c:pt idx="4">
                    <c:v>Prochloraz-1mg/L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Prochloraz-0.063mg/L : 0%</c:v>
                  </c:pt>
                  <c:pt idx="1">
                    <c:v>Prochloraz-0.13mg/L : 0%</c:v>
                  </c:pt>
                  <c:pt idx="2">
                    <c:v>Prochloraz-0.25mg/L : 0%</c:v>
                  </c:pt>
                  <c:pt idx="3">
                    <c:v>Prochloraz-0.5mg/L : 0%</c:v>
                  </c:pt>
                  <c:pt idx="4">
                    <c:v>Prochloraz-1mg/L : 0%</c:v>
                  </c:pt>
                  <c:pt idx="5">
                    <c:v>#NAME?</c:v>
                  </c:pt>
                  <c:pt idx="6">
                    <c:v>#NAME?</c:v>
                  </c:pt>
                  <c:pt idx="7">
                    <c:v>#NAME?</c:v>
                  </c:pt>
                  <c:pt idx="8">
                    <c:v>#NAME?</c:v>
                  </c:pt>
                  <c:pt idx="9">
                    <c:v>#NAME?</c:v>
                  </c:pt>
                  <c:pt idx="10">
                    <c:v>#NAME?</c:v>
                  </c:pt>
                  <c:pt idx="11">
                    <c:v>#NAME?</c:v>
                  </c:pt>
                  <c:pt idx="12">
                    <c:v>#NAME?</c:v>
                  </c:pt>
                  <c:pt idx="13">
                    <c:v>#NAME?</c:v>
                  </c:pt>
                  <c:pt idx="14">
                    <c:v>#NAME?</c:v>
                  </c:pt>
                  <c:pt idx="15">
                    <c:v>#NAME?</c:v>
                  </c:pt>
                  <c:pt idx="16">
                    <c:v>#NAME?</c:v>
                  </c:pt>
                  <c:pt idx="17">
                    <c:v>#NAME?</c:v>
                  </c:pt>
                  <c:pt idx="18">
                    <c:v>#NAME?</c:v>
                  </c:pt>
                  <c:pt idx="19">
                    <c:v>#NAME?</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Prochloraz-0,13mg/L</c:v>
                </c:pt>
                <c:pt idx="2">
                  <c:v>Prochloraz-0,25mg/L</c:v>
                </c:pt>
                <c:pt idx="3">
                  <c:v>Prochloraz-0,5mg/L</c:v>
                </c:pt>
                <c:pt idx="4">
                  <c:v>Prochloraz-1mg/L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Prochloraz-0,13mg/L</c:v>
                </c:pt>
                <c:pt idx="2">
                  <c:v>Prochloraz-0,25mg/L</c:v>
                </c:pt>
                <c:pt idx="3">
                  <c:v>Prochloraz-0,5mg/L</c:v>
                </c:pt>
                <c:pt idx="4">
                  <c:v>Prochloraz-1mg/L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Prochloraz-0,13mg/L</c:v>
                </c:pt>
                <c:pt idx="2">
                  <c:v>Prochloraz-0,25mg/L</c:v>
                </c:pt>
                <c:pt idx="3">
                  <c:v>Prochloraz-0,5mg/L</c:v>
                </c:pt>
                <c:pt idx="4">
                  <c:v>Prochloraz-1mg/L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4D99BF0F-D81A-448D-8906-A6072D6A34D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5C1C5EF6-8C1E-48B0-B0A3-2BBB41626A2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E8CAB056-DD04-4257-9E55-3FF26CA1EDE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2FA486F4-2EE2-4158-91B8-BE6F2621BBD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6FBF4D8D-5DE1-4450-B36D-6DF83C9F847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31E09F5F-A5C5-4F37-89C4-3924CD5933B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E71D377E-FCC4-4770-B22E-03A18691B94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323B8020-724E-43B5-B387-631F882BF59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6C31645F-9ECB-415F-8D0E-8A91D1FA118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5A604085-1D4C-42C8-896A-4AD2C51E310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B7E68DEA-1798-44E2-8579-B7E39CBD8FA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43FF6E16-0FE0-4292-96FC-E70667E4A91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14EAFCB9-E93F-4D82-996F-C69CA5682B0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53B3DAF0-6C33-4368-83F1-5088E6F2451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2.0255552020591774E-2</c:v>
                  </c:pt>
                  <c:pt idx="2">
                    <c:v>2.8933670909426643E-2</c:v>
                  </c:pt>
                  <c:pt idx="3">
                    <c:v>2.199699606471189E-2</c:v>
                  </c:pt>
                  <c:pt idx="4">
                    <c:v>3.0435409140734535E-2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2.0255552020591774E-2</c:v>
                  </c:pt>
                  <c:pt idx="2">
                    <c:v>2.8933670909426643E-2</c:v>
                  </c:pt>
                  <c:pt idx="3">
                    <c:v>2.199699606471189E-2</c:v>
                  </c:pt>
                  <c:pt idx="4">
                    <c:v>3.0435409140734535E-2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Prochloraz-0,13mg/L</c:v>
                </c:pt>
                <c:pt idx="2">
                  <c:v>Prochloraz-0,25mg/L</c:v>
                </c:pt>
                <c:pt idx="3">
                  <c:v>Prochloraz-0,5mg/L</c:v>
                </c:pt>
                <c:pt idx="4">
                  <c:v>Prochloraz-1mg/L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0.15288605642303019</c:v>
                </c:pt>
                <c:pt idx="2">
                  <c:v>0.19447407328192554</c:v>
                </c:pt>
                <c:pt idx="3">
                  <c:v>0.21820997422941185</c:v>
                </c:pt>
                <c:pt idx="4">
                  <c:v>0.26038366020204934</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0.1761917729053305</c:v>
                </c:pt>
                <c:pt idx="1">
                  <c:v>0.1761917729053305</c:v>
                </c:pt>
                <c:pt idx="2">
                  <c:v>0.1761917729053305</c:v>
                </c:pt>
                <c:pt idx="3">
                  <c:v>0.1761917729053305</c:v>
                </c:pt>
                <c:pt idx="4">
                  <c:v>0.1761917729053305</c:v>
                </c:pt>
                <c:pt idx="5">
                  <c:v>0.1761917729053305</c:v>
                </c:pt>
                <c:pt idx="6">
                  <c:v>0.1761917729053305</c:v>
                </c:pt>
                <c:pt idx="7">
                  <c:v>0.1761917729053305</c:v>
                </c:pt>
                <c:pt idx="8">
                  <c:v>0.1761917729053305</c:v>
                </c:pt>
                <c:pt idx="9">
                  <c:v>0.1761917729053305</c:v>
                </c:pt>
                <c:pt idx="10">
                  <c:v>0.1761917729053305</c:v>
                </c:pt>
                <c:pt idx="11">
                  <c:v>0.1761917729053305</c:v>
                </c:pt>
                <c:pt idx="12">
                  <c:v>0.1761917729053305</c:v>
                </c:pt>
                <c:pt idx="13">
                  <c:v>0.1761917729053305</c:v>
                </c:pt>
                <c:pt idx="14">
                  <c:v>0.1761917729053305</c:v>
                </c:pt>
                <c:pt idx="15">
                  <c:v>0.1761917729053305</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7976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CHG'!$U$8:$AJ$8</c:f>
              <c:numCache>
                <c:formatCode>General</c:formatCode>
                <c:ptCount val="16"/>
                <c:pt idx="0">
                  <c:v>0.13346629850774602</c:v>
                </c:pt>
                <c:pt idx="1">
                  <c:v>0.13346629850774602</c:v>
                </c:pt>
                <c:pt idx="2">
                  <c:v>0.13346629850774602</c:v>
                </c:pt>
                <c:pt idx="3">
                  <c:v>0.13346629850774602</c:v>
                </c:pt>
                <c:pt idx="4">
                  <c:v>0.13346629850774602</c:v>
                </c:pt>
                <c:pt idx="5">
                  <c:v>0.13346629850774602</c:v>
                </c:pt>
                <c:pt idx="6">
                  <c:v>0.13346629850774602</c:v>
                </c:pt>
                <c:pt idx="7">
                  <c:v>0.13346629850774602</c:v>
                </c:pt>
                <c:pt idx="8">
                  <c:v>0.13346629850774602</c:v>
                </c:pt>
                <c:pt idx="9">
                  <c:v>0.13346629850774602</c:v>
                </c:pt>
                <c:pt idx="10">
                  <c:v>0.13346629850774602</c:v>
                </c:pt>
                <c:pt idx="11">
                  <c:v>0.13346629850774602</c:v>
                </c:pt>
                <c:pt idx="12">
                  <c:v>0.13346629850774602</c:v>
                </c:pt>
                <c:pt idx="13">
                  <c:v>0.13346629850774602</c:v>
                </c:pt>
                <c:pt idx="14">
                  <c:v>0.13346629850774602</c:v>
                </c:pt>
                <c:pt idx="15">
                  <c:v>0.13346629850774602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CHG'!$U$9:$AJ$9</c:f>
              <c:numCache>
                <c:formatCode>General</c:formatCode>
                <c:ptCount val="16"/>
                <c:pt idx="0">
                  <c:v>2.7047451901011632</c:v>
                </c:pt>
                <c:pt idx="1">
                  <c:v>2.7047451901011632</c:v>
                </c:pt>
                <c:pt idx="2">
                  <c:v>2.7047451901011632</c:v>
                </c:pt>
                <c:pt idx="3">
                  <c:v>2.7047451901011632</c:v>
                </c:pt>
                <c:pt idx="4">
                  <c:v>2.7047451901011632</c:v>
                </c:pt>
                <c:pt idx="5">
                  <c:v>2.7047451901011632</c:v>
                </c:pt>
                <c:pt idx="6">
                  <c:v>2.7047451901011632</c:v>
                </c:pt>
                <c:pt idx="7">
                  <c:v>2.7047451901011632</c:v>
                </c:pt>
                <c:pt idx="8">
                  <c:v>2.7047451901011632</c:v>
                </c:pt>
                <c:pt idx="9">
                  <c:v>2.7047451901011632</c:v>
                </c:pt>
                <c:pt idx="10">
                  <c:v>2.7047451901011632</c:v>
                </c:pt>
                <c:pt idx="11">
                  <c:v>2.7047451901011632</c:v>
                </c:pt>
                <c:pt idx="12">
                  <c:v>2.7047451901011632</c:v>
                </c:pt>
                <c:pt idx="13">
                  <c:v>2.7047451901011632</c:v>
                </c:pt>
                <c:pt idx="14">
                  <c:v>2.7047451901011632</c:v>
                </c:pt>
                <c:pt idx="15">
                  <c:v>2.7047451901011632</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CHG'!$U$10:$AJ$10</c:f>
              <c:numCache>
                <c:formatCode>General</c:formatCode>
                <c:ptCount val="16"/>
                <c:pt idx="0">
                  <c:v>-0.20474519010116321</c:v>
                </c:pt>
                <c:pt idx="1">
                  <c:v>-0.20474519010116321</c:v>
                </c:pt>
                <c:pt idx="2">
                  <c:v>-0.20474519010116321</c:v>
                </c:pt>
                <c:pt idx="3">
                  <c:v>-0.20474519010116321</c:v>
                </c:pt>
                <c:pt idx="4">
                  <c:v>-0.20474519010116321</c:v>
                </c:pt>
                <c:pt idx="5">
                  <c:v>-0.20474519010116321</c:v>
                </c:pt>
                <c:pt idx="6">
                  <c:v>-0.20474519010116321</c:v>
                </c:pt>
                <c:pt idx="7">
                  <c:v>-0.20474519010116321</c:v>
                </c:pt>
                <c:pt idx="8">
                  <c:v>-0.20474519010116321</c:v>
                </c:pt>
                <c:pt idx="9">
                  <c:v>-0.20474519010116321</c:v>
                </c:pt>
                <c:pt idx="10">
                  <c:v>-0.20474519010116321</c:v>
                </c:pt>
                <c:pt idx="11">
                  <c:v>-0.20474519010116321</c:v>
                </c:pt>
                <c:pt idx="12">
                  <c:v>-0.20474519010116321</c:v>
                </c:pt>
                <c:pt idx="13">
                  <c:v>-0.20474519010116321</c:v>
                </c:pt>
                <c:pt idx="14">
                  <c:v>-0.20474519010116321</c:v>
                </c:pt>
                <c:pt idx="15">
                  <c:v>-0.20474519010116321</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89E4A207-154E-4B26-BA4C-7E8835A6966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0CAB21D6-D216-45CA-BF6F-985C122A712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0C000BC5-C46C-4154-A7D1-B1C3D157EA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FA3CE554-FD10-4732-9A2D-0ACE8D240FB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6F2A6AB0-0F7A-456D-AB49-EF71CC9BA0B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ED7F1363-4F1B-4609-8120-A13E7322641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EC98C732-FC47-4C08-BB15-B88F5D0497C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BD50A928-DDDA-445D-AC05-45F8A4CAA08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C699FD16-B47E-4692-B0CB-71BED1744C2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0852A44B-5766-4B15-8C0A-A6B67914599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962A230E-8DCA-4494-8266-D63C2CE1F06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DBC3DECD-706F-40C8-98E2-98F7C61E024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E131E01E-64BC-40E5-BCE7-6EDF4FFAD60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0054840B-9C1F-4540-B3F5-AD7A4E33625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0.20221060178736505</c:v>
                  </c:pt>
                  <c:pt idx="2">
                    <c:v>0.16519817004261689</c:v>
                  </c:pt>
                  <c:pt idx="3">
                    <c:v>0.38343803780849234</c:v>
                  </c:pt>
                  <c:pt idx="4">
                    <c:v>0.10502031135173165</c:v>
                  </c:pt>
                  <c:pt idx="5">
                    <c:v>0.13724384547120111</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0.20221060178736505</c:v>
                  </c:pt>
                  <c:pt idx="2">
                    <c:v>0.16519817004261689</c:v>
                  </c:pt>
                  <c:pt idx="3">
                    <c:v>0.38343803780849234</c:v>
                  </c:pt>
                  <c:pt idx="4">
                    <c:v>0.10502031135173165</c:v>
                  </c:pt>
                  <c:pt idx="5">
                    <c:v>0.13724384547120111</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CHG'!$U$3:$AJ$3</c:f>
              <c:numCache>
                <c:formatCode>General</c:formatCode>
                <c:ptCount val="16"/>
                <c:pt idx="1">
                  <c:v>1.0724905773816678</c:v>
                </c:pt>
                <c:pt idx="2">
                  <c:v>1.0198364706741305</c:v>
                </c:pt>
                <c:pt idx="3">
                  <c:v>1.7589638293529548</c:v>
                </c:pt>
                <c:pt idx="4">
                  <c:v>0.88457464697723298</c:v>
                </c:pt>
                <c:pt idx="5">
                  <c:v>0.71539361382190625</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#NAME?</c:v>
                  </c:pt>
                  <c:pt idx="7">
                    <c:v>#NAME?</c:v>
                  </c:pt>
                  <c:pt idx="8">
                    <c:v>#NAME?</c:v>
                  </c:pt>
                  <c:pt idx="9">
                    <c:v>#NAME?</c:v>
                  </c:pt>
                  <c:pt idx="10">
                    <c:v>#NAME?</c:v>
                  </c:pt>
                  <c:pt idx="11">
                    <c:v>#NAME?</c:v>
                  </c:pt>
                  <c:pt idx="12">
                    <c:v>#NAME?</c:v>
                  </c:pt>
                  <c:pt idx="13">
                    <c:v>#NAME?</c:v>
                  </c:pt>
                  <c:pt idx="14">
                    <c:v>#NAME?</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093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Prochloraz-0,13mg/L</c:v>
                </c:pt>
                <c:pt idx="2">
                  <c:v>Prochloraz-0,25mg/L</c:v>
                </c:pt>
                <c:pt idx="3">
                  <c:v>Prochloraz-0,5mg/L</c:v>
                </c:pt>
                <c:pt idx="4">
                  <c:v>Prochloraz-1mg/L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Prochloraz-0,13mg/L</c:v>
                </c:pt>
                <c:pt idx="2">
                  <c:v>Prochloraz-0,25mg/L</c:v>
                </c:pt>
                <c:pt idx="3">
                  <c:v>Prochloraz-0,5mg/L</c:v>
                </c:pt>
                <c:pt idx="4">
                  <c:v>Prochloraz-1mg/L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Prochloraz-0,13mg/L</c:v>
                </c:pt>
                <c:pt idx="2">
                  <c:v>Prochloraz-0,25mg/L</c:v>
                </c:pt>
                <c:pt idx="3">
                  <c:v>Prochloraz-0,5mg/L</c:v>
                </c:pt>
                <c:pt idx="4">
                  <c:v>Prochloraz-1mg/L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0C6C324E-7AD3-4CE0-A0AC-877229AE39A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69A4E757-04C5-4E05-ACC3-150AB9E5A26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3BA9702F-92EC-4D23-9FF8-FFF03BD9B02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0CAD7034-9B0F-43EB-8DD1-C8F91F51CCC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AB705F56-42A2-48B5-A772-80E47FD4D67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D7E0CC7B-4E65-4A53-B494-A171EBE90D7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C8118EED-C6F9-4E57-8BBB-EED9A07F9CD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3080CE92-981B-45EE-A4DE-3729375C5E9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AFEDAFDD-8257-4CAB-B6EE-60527875B4D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1CFEBCB9-5D94-4D45-89CD-BEAA75A2B8B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CE249B55-FB49-4B0C-BAED-46435BA0B2C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EAF05ABA-DAFE-4501-880F-857C61FD7EA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BCB630B3-2437-4C98-BF6B-458E4AF9953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59C727D4-1D73-4CB7-826E-A4ADC7AD166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2.0255552020591774E-2</c:v>
                  </c:pt>
                  <c:pt idx="2">
                    <c:v>2.8933670909426643E-2</c:v>
                  </c:pt>
                  <c:pt idx="3">
                    <c:v>2.199699606471189E-2</c:v>
                  </c:pt>
                  <c:pt idx="4">
                    <c:v>3.0435409140734535E-2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2.0255552020591774E-2</c:v>
                  </c:pt>
                  <c:pt idx="2">
                    <c:v>2.8933670909426643E-2</c:v>
                  </c:pt>
                  <c:pt idx="3">
                    <c:v>2.199699606471189E-2</c:v>
                  </c:pt>
                  <c:pt idx="4">
                    <c:v>3.0435409140734535E-2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Prochloraz-0,13mg/L</c:v>
                </c:pt>
                <c:pt idx="2">
                  <c:v>Prochloraz-0,25mg/L</c:v>
                </c:pt>
                <c:pt idx="3">
                  <c:v>Prochloraz-0,5mg/L</c:v>
                </c:pt>
                <c:pt idx="4">
                  <c:v>Prochloraz-1mg/L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0.15288605642303019</c:v>
                </c:pt>
                <c:pt idx="2">
                  <c:v>0.19447407328192554</c:v>
                </c:pt>
                <c:pt idx="3">
                  <c:v>0.21820997422941185</c:v>
                </c:pt>
                <c:pt idx="4">
                  <c:v>0.26038366020204934</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0.1761917729053305</c:v>
                </c:pt>
                <c:pt idx="1">
                  <c:v>0.1761917729053305</c:v>
                </c:pt>
                <c:pt idx="2">
                  <c:v>0.1761917729053305</c:v>
                </c:pt>
                <c:pt idx="3">
                  <c:v>0.1761917729053305</c:v>
                </c:pt>
                <c:pt idx="4">
                  <c:v>0.1761917729053305</c:v>
                </c:pt>
                <c:pt idx="5">
                  <c:v>0.1761917729053305</c:v>
                </c:pt>
                <c:pt idx="6">
                  <c:v>0.1761917729053305</c:v>
                </c:pt>
                <c:pt idx="7">
                  <c:v>0.1761917729053305</c:v>
                </c:pt>
                <c:pt idx="8">
                  <c:v>0.1761917729053305</c:v>
                </c:pt>
                <c:pt idx="9">
                  <c:v>0.1761917729053305</c:v>
                </c:pt>
                <c:pt idx="10">
                  <c:v>0.1761917729053305</c:v>
                </c:pt>
                <c:pt idx="11">
                  <c:v>0.1761917729053305</c:v>
                </c:pt>
                <c:pt idx="12">
                  <c:v>0.1761917729053305</c:v>
                </c:pt>
                <c:pt idx="13">
                  <c:v>0.1761917729053305</c:v>
                </c:pt>
                <c:pt idx="14">
                  <c:v>0.1761917729053305</c:v>
                </c:pt>
                <c:pt idx="15">
                  <c:v>0.1761917729053305</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211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CHG'!$U$8:$AJ$8</c:f>
              <c:numCache>
                <c:formatCode>General</c:formatCode>
                <c:ptCount val="16"/>
                <c:pt idx="0">
                  <c:v>0.13346629850774602</c:v>
                </c:pt>
                <c:pt idx="1">
                  <c:v>0.13346629850774602</c:v>
                </c:pt>
                <c:pt idx="2">
                  <c:v>0.13346629850774602</c:v>
                </c:pt>
                <c:pt idx="3">
                  <c:v>0.13346629850774602</c:v>
                </c:pt>
                <c:pt idx="4">
                  <c:v>0.13346629850774602</c:v>
                </c:pt>
                <c:pt idx="5">
                  <c:v>0.13346629850774602</c:v>
                </c:pt>
                <c:pt idx="6">
                  <c:v>0.13346629850774602</c:v>
                </c:pt>
                <c:pt idx="7">
                  <c:v>0.13346629850774602</c:v>
                </c:pt>
                <c:pt idx="8">
                  <c:v>0.13346629850774602</c:v>
                </c:pt>
                <c:pt idx="9">
                  <c:v>0.13346629850774602</c:v>
                </c:pt>
                <c:pt idx="10">
                  <c:v>0.13346629850774602</c:v>
                </c:pt>
                <c:pt idx="11">
                  <c:v>0.13346629850774602</c:v>
                </c:pt>
                <c:pt idx="12">
                  <c:v>0.13346629850774602</c:v>
                </c:pt>
                <c:pt idx="13">
                  <c:v>0.13346629850774602</c:v>
                </c:pt>
                <c:pt idx="14">
                  <c:v>0.13346629850774602</c:v>
                </c:pt>
                <c:pt idx="15">
                  <c:v>0.13346629850774602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CHG'!$U$9:$AJ$9</c:f>
              <c:numCache>
                <c:formatCode>General</c:formatCode>
                <c:ptCount val="16"/>
                <c:pt idx="0">
                  <c:v>2.7047451901011632</c:v>
                </c:pt>
                <c:pt idx="1">
                  <c:v>2.7047451901011632</c:v>
                </c:pt>
                <c:pt idx="2">
                  <c:v>2.7047451901011632</c:v>
                </c:pt>
                <c:pt idx="3">
                  <c:v>2.7047451901011632</c:v>
                </c:pt>
                <c:pt idx="4">
                  <c:v>2.7047451901011632</c:v>
                </c:pt>
                <c:pt idx="5">
                  <c:v>2.7047451901011632</c:v>
                </c:pt>
                <c:pt idx="6">
                  <c:v>2.7047451901011632</c:v>
                </c:pt>
                <c:pt idx="7">
                  <c:v>2.7047451901011632</c:v>
                </c:pt>
                <c:pt idx="8">
                  <c:v>2.7047451901011632</c:v>
                </c:pt>
                <c:pt idx="9">
                  <c:v>2.7047451901011632</c:v>
                </c:pt>
                <c:pt idx="10">
                  <c:v>2.7047451901011632</c:v>
                </c:pt>
                <c:pt idx="11">
                  <c:v>2.7047451901011632</c:v>
                </c:pt>
                <c:pt idx="12">
                  <c:v>2.7047451901011632</c:v>
                </c:pt>
                <c:pt idx="13">
                  <c:v>2.7047451901011632</c:v>
                </c:pt>
                <c:pt idx="14">
                  <c:v>2.7047451901011632</c:v>
                </c:pt>
                <c:pt idx="15">
                  <c:v>2.7047451901011632</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CHG'!$U$10:$AJ$10</c:f>
              <c:numCache>
                <c:formatCode>General</c:formatCode>
                <c:ptCount val="16"/>
                <c:pt idx="0">
                  <c:v>-0.20474519010116321</c:v>
                </c:pt>
                <c:pt idx="1">
                  <c:v>-0.20474519010116321</c:v>
                </c:pt>
                <c:pt idx="2">
                  <c:v>-0.20474519010116321</c:v>
                </c:pt>
                <c:pt idx="3">
                  <c:v>-0.20474519010116321</c:v>
                </c:pt>
                <c:pt idx="4">
                  <c:v>-0.20474519010116321</c:v>
                </c:pt>
                <c:pt idx="5">
                  <c:v>-0.20474519010116321</c:v>
                </c:pt>
                <c:pt idx="6">
                  <c:v>-0.20474519010116321</c:v>
                </c:pt>
                <c:pt idx="7">
                  <c:v>-0.20474519010116321</c:v>
                </c:pt>
                <c:pt idx="8">
                  <c:v>-0.20474519010116321</c:v>
                </c:pt>
                <c:pt idx="9">
                  <c:v>-0.20474519010116321</c:v>
                </c:pt>
                <c:pt idx="10">
                  <c:v>-0.20474519010116321</c:v>
                </c:pt>
                <c:pt idx="11">
                  <c:v>-0.20474519010116321</c:v>
                </c:pt>
                <c:pt idx="12">
                  <c:v>-0.20474519010116321</c:v>
                </c:pt>
                <c:pt idx="13">
                  <c:v>-0.20474519010116321</c:v>
                </c:pt>
                <c:pt idx="14">
                  <c:v>-0.20474519010116321</c:v>
                </c:pt>
                <c:pt idx="15">
                  <c:v>-0.20474519010116321</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BB5B524A-49C3-4B6E-A380-252DC36B75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CF0678F2-C90E-44DF-B48C-9A361454BC2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266BFFCF-4A9D-4441-BF29-D9721465643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C03F154F-0D28-4926-9E44-2492206FBC3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1052DE39-6353-42A7-A48B-37B5347612E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E2685DFA-EE6F-4381-A1D0-D388A8ABAAA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1049CA1E-97A9-4DBC-BCDF-55EB1EEAA17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24BE57C2-A9E4-4596-B8EF-26E0092953B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36F9D831-561A-4191-9ABE-48F57597632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56D9E7EF-5C89-4020-8F05-837E67BE3C2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F8163FB0-6B19-4D08-A717-DE25C6D829C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B59A14EF-F755-4E91-B7DA-182C0F19870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36167E7C-6169-42FC-A2B0-C7CA972DAC2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F4D6C81F-BA3E-4253-BDF5-67A509771E8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0.20221060178736505</c:v>
                  </c:pt>
                  <c:pt idx="2">
                    <c:v>0.16519817004261689</c:v>
                  </c:pt>
                  <c:pt idx="3">
                    <c:v>0.38343803780849234</c:v>
                  </c:pt>
                  <c:pt idx="4">
                    <c:v>0.10502031135173165</c:v>
                  </c:pt>
                  <c:pt idx="5">
                    <c:v>0.13724384547120111</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0.20221060178736505</c:v>
                  </c:pt>
                  <c:pt idx="2">
                    <c:v>0.16519817004261689</c:v>
                  </c:pt>
                  <c:pt idx="3">
                    <c:v>0.38343803780849234</c:v>
                  </c:pt>
                  <c:pt idx="4">
                    <c:v>0.10502031135173165</c:v>
                  </c:pt>
                  <c:pt idx="5">
                    <c:v>0.13724384547120111</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CHG'!$U$3:$AJ$3</c:f>
              <c:numCache>
                <c:formatCode>General</c:formatCode>
                <c:ptCount val="16"/>
                <c:pt idx="1">
                  <c:v>1.0724905773816678</c:v>
                </c:pt>
                <c:pt idx="2">
                  <c:v>1.0198364706741305</c:v>
                </c:pt>
                <c:pt idx="3">
                  <c:v>1.7589638293529548</c:v>
                </c:pt>
                <c:pt idx="4">
                  <c:v>0.88457464697723298</c:v>
                </c:pt>
                <c:pt idx="5">
                  <c:v>0.71539361382190625</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#NAME?</c:v>
                  </c:pt>
                  <c:pt idx="7">
                    <c:v>#NAME?</c:v>
                  </c:pt>
                  <c:pt idx="8">
                    <c:v>#NAME?</c:v>
                  </c:pt>
                  <c:pt idx="9">
                    <c:v>#NAME?</c:v>
                  </c:pt>
                  <c:pt idx="10">
                    <c:v>#NAME?</c:v>
                  </c:pt>
                  <c:pt idx="11">
                    <c:v>#NAME?</c:v>
                  </c:pt>
                  <c:pt idx="12">
                    <c:v>#NAME?</c:v>
                  </c:pt>
                  <c:pt idx="13">
                    <c:v>#NAME?</c:v>
                  </c:pt>
                  <c:pt idx="14">
                    <c:v>#NAME?</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3288"/>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Prochloraz-0,13mg/L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Prochloraz-0,13mg/L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Prochloraz-0,13mg/L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280E7436-ED8B-4B24-827C-C7F8A88D847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1D844E20-5DD2-4316-9E93-F4D7E0DF398F}" type="CELLRANGE">
                      <a:rPr lang="fr-FR"/>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2.0255552020591774E-2</c:v>
                  </c:pt>
                </c:numCache>
              </c:numRef>
            </c:plus>
            <c:minus>
              <c:numRef>
                <c:f>'Graph format rapport CHG 1éch'!$E$4:$G$4</c:f>
                <c:numCache>
                  <c:formatCode>General</c:formatCode>
                  <c:ptCount val="3"/>
                  <c:pt idx="1">
                    <c:v>2.0255552020591774E-2</c:v>
                  </c:pt>
                </c:numCache>
              </c:numRef>
            </c:minus>
          </c:errBars>
          <c:cat>
            <c:strRef>
              <c:f>'Graph format rapport CHG 1éch'!$E$2:$G$2</c:f>
              <c:strCache>
                <c:ptCount val="2"/>
                <c:pt idx="1">
                  <c:v>Prochloraz-0,13mg/L</c:v>
                </c:pt>
              </c:strCache>
            </c:strRef>
          </c:cat>
          <c:val>
            <c:numRef>
              <c:f>'Graph format rapport CHG 1éch'!$E$3:$G$3</c:f>
              <c:numCache>
                <c:formatCode>General</c:formatCode>
                <c:ptCount val="3"/>
                <c:pt idx="1">
                  <c:v>0.15288605642303019</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0.1761917729053305</c:v>
                </c:pt>
                <c:pt idx="1">
                  <c:v>0.1761917729053305</c:v>
                </c:pt>
                <c:pt idx="2">
                  <c:v>0.1761917729053305</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4464"/>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Prochloraz-0.063mg/L + Testostérone</c:v>
                </c:pt>
              </c:strCache>
            </c:strRef>
          </c:cat>
          <c:val>
            <c:numRef>
              <c:f>'Graph format rapport CHG 1éch'!$H$8:$J$8</c:f>
              <c:numCache>
                <c:formatCode>General</c:formatCode>
                <c:ptCount val="3"/>
                <c:pt idx="0">
                  <c:v>0.13346629850774602</c:v>
                </c:pt>
                <c:pt idx="1">
                  <c:v>0.13346629850774602</c:v>
                </c:pt>
                <c:pt idx="2">
                  <c:v>0.13346629850774602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Prochloraz-0.063mg/L + Testostérone</c:v>
                </c:pt>
              </c:strCache>
            </c:strRef>
          </c:cat>
          <c:val>
            <c:numRef>
              <c:f>'Graph format rapport CHG 1éch'!$H$9:$J$9</c:f>
              <c:numCache>
                <c:formatCode>General</c:formatCode>
                <c:ptCount val="3"/>
                <c:pt idx="0">
                  <c:v>2.7047451901011632</c:v>
                </c:pt>
                <c:pt idx="1">
                  <c:v>2.7047451901011632</c:v>
                </c:pt>
                <c:pt idx="2">
                  <c:v>2.7047451901011632</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Prochloraz-0.063mg/L + Testostérone</c:v>
                </c:pt>
              </c:strCache>
            </c:strRef>
          </c:cat>
          <c:val>
            <c:numRef>
              <c:f>'Graph format rapport CHG 1éch'!$H$10:$J$10</c:f>
              <c:numCache>
                <c:formatCode>General</c:formatCode>
                <c:ptCount val="3"/>
                <c:pt idx="0">
                  <c:v>-0.20474519010116321</c:v>
                </c:pt>
                <c:pt idx="1">
                  <c:v>-0.20474519010116321</c:v>
                </c:pt>
                <c:pt idx="2">
                  <c:v>-0.20474519010116321</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A61F560A-3B78-4F21-83A3-1ECA2D42A3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DE3DE4AA-74EC-4097-9F9D-3ECF7E12BEBB}" type="CELLRANGE">
                      <a:rPr lang="fr-FR"/>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0.20221060178736505</c:v>
                  </c:pt>
                </c:numCache>
              </c:numRef>
            </c:plus>
            <c:minus>
              <c:numRef>
                <c:f>'Graph format rapport CHG 1éch'!$H$4:$J$4</c:f>
                <c:numCache>
                  <c:formatCode>General</c:formatCode>
                  <c:ptCount val="3"/>
                  <c:pt idx="1">
                    <c:v>0.20221060178736505</c:v>
                  </c:pt>
                </c:numCache>
              </c:numRef>
            </c:minus>
          </c:errBars>
          <c:cat>
            <c:strRef>
              <c:f>'Graph format rapport CHG 1éch'!$H$2:$J$2</c:f>
              <c:strCache>
                <c:ptCount val="2"/>
                <c:pt idx="1">
                  <c:v>Prochloraz-0.063mg/L + Testostérone</c:v>
                </c:pt>
              </c:strCache>
            </c:strRef>
          </c:cat>
          <c:val>
            <c:numRef>
              <c:f>'Graph format rapport CHG 1éch'!$H$3:$J$3</c:f>
              <c:numCache>
                <c:formatCode>General</c:formatCode>
                <c:ptCount val="3"/>
                <c:pt idx="1">
                  <c:v>1.0724905773816678</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Prochloraz-0.063mg/L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564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Prochloraz-0,13mg/L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Prochloraz-0,13mg/L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Prochloraz-0,13mg/L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E0C1A0D5-854F-42CE-BD13-536994FA10D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F85C5E94-C308-4779-87E2-8E5BC6CF2C8F}" type="CELLRANGE">
                      <a:rPr lang="fr-FR"/>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2.0255552020591774E-2</c:v>
                  </c:pt>
                </c:numCache>
              </c:numRef>
            </c:plus>
            <c:minus>
              <c:numRef>
                <c:f>'Graph format rapport CHG 1éch'!$E$4:$G$4</c:f>
                <c:numCache>
                  <c:formatCode>General</c:formatCode>
                  <c:ptCount val="3"/>
                  <c:pt idx="1">
                    <c:v>2.0255552020591774E-2</c:v>
                  </c:pt>
                </c:numCache>
              </c:numRef>
            </c:minus>
          </c:errBars>
          <c:cat>
            <c:strRef>
              <c:f>'Graph format rapport CHG 1éch'!$E$2:$G$2</c:f>
              <c:strCache>
                <c:ptCount val="2"/>
                <c:pt idx="1">
                  <c:v>Prochloraz-0,13mg/L</c:v>
                </c:pt>
              </c:strCache>
            </c:strRef>
          </c:cat>
          <c:val>
            <c:numRef>
              <c:f>'Graph format rapport CHG 1éch'!$E$3:$G$3</c:f>
              <c:numCache>
                <c:formatCode>General</c:formatCode>
                <c:ptCount val="3"/>
                <c:pt idx="1">
                  <c:v>0.15288605642303019</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0.1761917729053305</c:v>
                </c:pt>
                <c:pt idx="1">
                  <c:v>0.1761917729053305</c:v>
                </c:pt>
                <c:pt idx="2">
                  <c:v>0.1761917729053305</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681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Prochloraz-0.063mg/L + Testostérone</c:v>
                </c:pt>
              </c:strCache>
            </c:strRef>
          </c:cat>
          <c:val>
            <c:numRef>
              <c:f>'Graph format rapport CHG 1éch'!$H$8:$J$8</c:f>
              <c:numCache>
                <c:formatCode>General</c:formatCode>
                <c:ptCount val="3"/>
                <c:pt idx="0">
                  <c:v>0.13346629850774602</c:v>
                </c:pt>
                <c:pt idx="1">
                  <c:v>0.13346629850774602</c:v>
                </c:pt>
                <c:pt idx="2">
                  <c:v>0.13346629850774602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Prochloraz-0.063mg/L + Testostérone</c:v>
                </c:pt>
              </c:strCache>
            </c:strRef>
          </c:cat>
          <c:val>
            <c:numRef>
              <c:f>'Graph format rapport CHG 1éch'!$H$9:$J$9</c:f>
              <c:numCache>
                <c:formatCode>General</c:formatCode>
                <c:ptCount val="3"/>
                <c:pt idx="0">
                  <c:v>2.7047451901011632</c:v>
                </c:pt>
                <c:pt idx="1">
                  <c:v>2.7047451901011632</c:v>
                </c:pt>
                <c:pt idx="2">
                  <c:v>2.7047451901011632</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Prochloraz-0.063mg/L + Testostérone</c:v>
                </c:pt>
              </c:strCache>
            </c:strRef>
          </c:cat>
          <c:val>
            <c:numRef>
              <c:f>'Graph format rapport CHG 1éch'!$H$10:$J$10</c:f>
              <c:numCache>
                <c:formatCode>General</c:formatCode>
                <c:ptCount val="3"/>
                <c:pt idx="0">
                  <c:v>-0.20474519010116321</c:v>
                </c:pt>
                <c:pt idx="1">
                  <c:v>-0.20474519010116321</c:v>
                </c:pt>
                <c:pt idx="2">
                  <c:v>-0.20474519010116321</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1C1C684D-8F41-4329-B2F9-7A069C8267B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DE12AED1-03A1-45E7-8079-DA601D542AAE}" type="CELLRANGE">
                      <a:rPr lang="fr-FR"/>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0.20221060178736505</c:v>
                  </c:pt>
                </c:numCache>
              </c:numRef>
            </c:plus>
            <c:minus>
              <c:numRef>
                <c:f>'Graph format rapport CHG 1éch'!$H$4:$J$4</c:f>
                <c:numCache>
                  <c:formatCode>General</c:formatCode>
                  <c:ptCount val="3"/>
                  <c:pt idx="1">
                    <c:v>0.20221060178736505</c:v>
                  </c:pt>
                </c:numCache>
              </c:numRef>
            </c:minus>
          </c:errBars>
          <c:cat>
            <c:strRef>
              <c:f>'Graph format rapport CHG 1éch'!$H$2:$J$2</c:f>
              <c:strCache>
                <c:ptCount val="2"/>
                <c:pt idx="1">
                  <c:v>Prochloraz-0.063mg/L + Testostérone</c:v>
                </c:pt>
              </c:strCache>
            </c:strRef>
          </c:cat>
          <c:val>
            <c:numRef>
              <c:f>'Graph format rapport CHG 1éch'!$H$3:$J$3</c:f>
              <c:numCache>
                <c:formatCode>General</c:formatCode>
                <c:ptCount val="3"/>
                <c:pt idx="1">
                  <c:v>1.0724905773816678</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Prochloraz-0.063mg/L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799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1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1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1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76"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6875" cy="6040855"/>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19448319" y="10275875"/>
          <a:ext cx="8012986" cy="1097383"/>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19611795" y="3904262"/>
          <a:ext cx="8012986" cy="1097383"/>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8343680" y="10275875"/>
          <a:ext cx="8012986" cy="1097383"/>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8507156" y="3904262"/>
          <a:ext cx="8012986" cy="1097383"/>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87.655558796294" createdVersion="6" refreshedVersion="7" minRefreshableVersion="3" recordCount="52" xr:uid="{8DEF666A-6C7D-4C16-AD6D-82242760D5D9}">
  <cacheSource type="worksheet">
    <worksheetSource name="liste_groupe"/>
  </cacheSource>
  <cacheFields count="6">
    <cacheField name="Nom sur le graphique" numFmtId="0">
      <sharedItems count="23">
        <s v="Témoin solvant"/>
        <s v="EE2-22,5ng/L"/>
        <s v="EE2-33,8ng/L"/>
        <s v="EE2-50,6ng/L"/>
        <s v="EE2-76ng/L"/>
        <s v="EE2-114ng/L"/>
        <s v="EE2-170,9ng/L"/>
        <s v="EE2-488ng/L"/>
        <s v="Prochloraz-0,063mg/L"/>
        <s v="Prochloraz-0,13mg/L"/>
        <s v="Prochloraz-0,25mg/L"/>
        <s v="Prochloraz-0,5mg/L"/>
        <s v="Prochloraz-1mg/L"/>
        <s v=" "/>
        <s v="Testo -30µg/L"/>
        <s v="Testo 30µg/L + EE2 -64ng/L"/>
        <s v="Testo 30µg/L + FAD-10mg/L"/>
        <s v="Prochloraz-0,063mg/L + Testostérone"/>
        <s v="Prochloraz-0,13mg/L + Testostérone"/>
        <s v="Prochloraz-0,25mg/L + Testostérone"/>
        <s v="Prochloraz-0,5mg/L + Testostérone"/>
        <s v="Prochloraz-1mg/L + Testostérone"/>
        <s v="0-00 + Testostérone"/>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87.655559143517" createdVersion="5" refreshedVersion="7" minRefreshableVersion="3" recordCount="1710" xr:uid="{00000000-000A-0000-FFFF-FFFF14000000}">
  <cacheSource type="worksheet">
    <worksheetSource name="Tableau467"/>
  </cacheSource>
  <cacheFields count="10">
    <cacheField name="Nom groupe" numFmtId="0">
      <sharedItems count="22">
        <s v="1"/>
        <s v=""/>
        <s v="13"/>
        <s v="14"/>
        <s v="15"/>
        <s v="16"/>
        <s v="2"/>
        <s v="3"/>
        <s v="4"/>
        <s v="5"/>
        <s v="6"/>
        <s v="7"/>
        <s v="10"/>
        <s v="11"/>
        <s v="12"/>
        <s v="17"/>
        <s v="18"/>
        <s v="19"/>
        <s v="20"/>
        <s v="21"/>
        <s v="8"/>
        <s v="9"/>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4"/>
    </cacheField>
    <cacheField name=" " numFmtId="0">
      <sharedItems containsBlank="1" count="24">
        <s v=" "/>
        <m/>
        <s v=" SD mean fluo "/>
        <s v=" 12.0452 "/>
        <s v=" 3.1774 "/>
        <s v=" 3.9561 "/>
        <s v=" 5.498 "/>
        <s v=" 12.2936 "/>
        <s v=" 12.4045 "/>
        <s v=" 9.748 "/>
        <s v=" 2.8811 "/>
        <s v=" 8.5493 "/>
        <s v=" 3.5886 "/>
        <s v=" 12.403 "/>
        <s v=" 14.3012 "/>
        <s v=" 17.6739 "/>
        <s v=" 13.2079 "/>
        <s v=" 12.4605 "/>
        <s v=" 9.4026 "/>
        <s v=" 4.6657 "/>
        <s v=" 3.688 "/>
        <s v=" 4.7205 "/>
        <s v=" 11.2714 "/>
        <s v=" 9.4266 "/>
      </sharedItems>
    </cacheField>
    <cacheField name=" total fluorescence" numFmtId="0">
      <sharedItems containsBlank="1" containsMixedTypes="1" containsNumber="1" containsInteger="1" minValue="0" maxValue="6266007"/>
    </cacheField>
    <cacheField name="         " numFmtId="0">
      <sharedItems containsBlank="1"/>
    </cacheField>
    <cacheField name="nbre de larves" numFmtId="0">
      <sharedItems containsBlank="1" containsMixedTypes="1" containsNumber="1" containsInteger="1" minValue="24" maxValue="32"/>
    </cacheField>
    <cacheField name="Colonne1" numFmtId="0">
      <sharedItems containsBlank="1" containsMixedTypes="1" containsNumber="1" containsInteger="1" minValue="32" maxValue="3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87.65555949074" createdVersion="5" refreshedVersion="7" minRefreshableVersion="3" recordCount="1530" xr:uid="{00000000-000A-0000-FFFF-FFFF10000000}">
  <cacheSource type="worksheet">
    <worksheetSource name="Tableau46"/>
  </cacheSource>
  <cacheFields count="10">
    <cacheField name="Nom groupe" numFmtId="0">
      <sharedItems count="22">
        <s v="1"/>
        <s v=""/>
        <s v="13"/>
        <s v="14"/>
        <s v="15"/>
        <s v="16"/>
        <s v="2"/>
        <s v="3"/>
        <s v="4"/>
        <s v="5"/>
        <s v="6"/>
        <s v="7"/>
        <s v="10"/>
        <s v="11"/>
        <s v="12"/>
        <s v="17"/>
        <s v="18"/>
        <s v="19"/>
        <s v="20"/>
        <s v="21"/>
        <s v="8"/>
        <s v="9"/>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8"/>
    </cacheField>
    <cacheField name=" " numFmtId="0">
      <sharedItems containsBlank="1" count="45">
        <s v=" "/>
        <m/>
        <s v=" SD mean fluo "/>
        <s v=" 16.0025 "/>
        <s v=" 3.9433 "/>
        <s v=" 5.0494 "/>
        <s v=" 5.3066 "/>
        <s v=" 8.3269 "/>
        <s v=" 14.3091 "/>
        <s v=" 12.3743 "/>
        <s v=" 12.3707 "/>
        <s v=" 15.9608 "/>
        <s v=" 2.6848 "/>
        <s v=" 3.0301 "/>
        <s v=" 12.0326 "/>
        <s v=" 16.2537 "/>
        <s v=" 9.177 "/>
        <s v=" 1.9344 "/>
        <s v=" 4.3278 "/>
        <s v=" 2.7774 "/>
        <s v=" 5.2244 "/>
        <s v=" 9.1279 "/>
        <s v=" 5.2247 "/>
        <s v=" 8.9851 "/>
        <s v=" 7.8314 "/>
        <s v=" 3.2528 "/>
        <s v=" 4.2308 "/>
        <s v=" 3.4122 "/>
        <s v=" 8.9437 "/>
        <s v=" 13.4468 "/>
        <s v=" 12.2299 "/>
        <s v=" 9.7464 "/>
        <s v=" 4.6312 "/>
        <s v=" 3.7964 "/>
        <s v=" 5.0179 "/>
        <s v=" 7.7555 "/>
        <s v=" 12.1288 "/>
        <s v=" 9.5738 "/>
        <s v=" 4.454 "/>
        <s v=" 4.2775 "/>
        <s v=" 3.4009 "/>
        <s v=" 9.6355 "/>
        <s v=" 2.947 "/>
        <s v=" 7.4575 "/>
        <s v=" 4.1796 "/>
      </sharedItems>
    </cacheField>
    <cacheField name=" total fluorescence" numFmtId="0">
      <sharedItems containsBlank="1" containsMixedTypes="1" containsNumber="1" containsInteger="1" minValue="0" maxValue="5676766"/>
    </cacheField>
    <cacheField name="         " numFmtId="0">
      <sharedItems containsBlank="1"/>
    </cacheField>
    <cacheField name="nbre de larves" numFmtId="0">
      <sharedItems containsBlank="1" containsMixedTypes="1" containsNumber="1" containsInteger="1" minValue="16" maxValue="32"/>
    </cacheField>
    <cacheField name="Colonne1" numFmtId="0">
      <sharedItems containsBlank="1" containsMixedTypes="1" containsNumber="1" containsInteger="1" minValue="16" maxValue="3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87.655559606479" createdVersion="5" refreshedVersion="7" minRefreshableVersion="3" recordCount="1556" xr:uid="{00000000-000A-0000-FFFF-FFFF0C000000}">
  <cacheSource type="worksheet">
    <worksheetSource name="Tableau4"/>
  </cacheSource>
  <cacheFields count="10">
    <cacheField name="Nom groupe" numFmtId="0">
      <sharedItems containsBlank="1" count="23">
        <s v="1"/>
        <s v=""/>
        <s v="13"/>
        <s v="14"/>
        <s v="15"/>
        <s v="16"/>
        <s v="2"/>
        <s v="3"/>
        <s v="4"/>
        <s v="5"/>
        <s v="6"/>
        <s v="7"/>
        <s v="10"/>
        <s v="11"/>
        <s v="12"/>
        <s v="17"/>
        <s v="18"/>
        <s v="19"/>
        <s v="20"/>
        <s v="21"/>
        <s v="8"/>
        <s v="9"/>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5"/>
    </cacheField>
    <cacheField name=" " numFmtId="0">
      <sharedItems containsBlank="1" count="24">
        <s v=" "/>
        <m/>
        <s v=" SD mean fluo "/>
        <s v=" 3.4538 "/>
        <s v=" 3.3678 "/>
        <s v=" 2.9528 "/>
        <s v=" 3.8636 "/>
        <s v=" 7.6125 "/>
        <s v=" 10.7565 "/>
        <s v=" 7.1955 "/>
        <s v=" 3.3163 "/>
        <s v=" 3.1456 "/>
        <s v=" 7.1074 "/>
        <s v=" 3.8432 "/>
        <s v=" 15.4413 "/>
        <s v=" 3.1296 "/>
        <s v=" 8.9247 "/>
        <s v=" 3.4703 "/>
        <s v=" 4.0585 "/>
        <s v=" 5.0768 "/>
        <s v=" 9.8803 "/>
        <s v=" 2.3094 "/>
        <s v=" 3.4695 "/>
        <s v=" 3.4968 "/>
      </sharedItems>
    </cacheField>
    <cacheField name=" total fluorescence" numFmtId="0">
      <sharedItems containsBlank="1" containsMixedTypes="1" containsNumber="1" containsInteger="1" minValue="0" maxValue="5420992"/>
    </cacheField>
    <cacheField name="         " numFmtId="0">
      <sharedItems containsBlank="1"/>
    </cacheField>
    <cacheField name="nbre de larves" numFmtId="0">
      <sharedItems containsBlank="1" containsMixedTypes="1" containsNumber="1" containsInteger="1" minValue="19"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n v="6.3E-2"/>
    <s v="mg/L"/>
    <s v="Prochloraz"/>
    <x v="0"/>
  </r>
  <r>
    <x v="9"/>
    <x v="1"/>
    <n v="0.13"/>
    <s v="mg/L"/>
    <s v="Prochloraz"/>
    <x v="0"/>
  </r>
  <r>
    <x v="10"/>
    <x v="1"/>
    <n v="0.25"/>
    <s v="mg/L"/>
    <s v="Prochloraz"/>
    <x v="0"/>
  </r>
  <r>
    <x v="11"/>
    <x v="1"/>
    <n v="0.5"/>
    <s v="mg/L"/>
    <s v="Prochloraz"/>
    <x v="0"/>
  </r>
  <r>
    <x v="12"/>
    <x v="1"/>
    <n v="1"/>
    <s v="mg/L"/>
    <s v="Prochloraz"/>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4"/>
    <x v="0"/>
    <n v="30"/>
    <s v="µg/L"/>
    <s v="Testo "/>
    <x v="0"/>
  </r>
  <r>
    <x v="15"/>
    <x v="0"/>
    <n v="64"/>
    <s v="ng/L"/>
    <s v="Testo 30µg/L + EE2 "/>
    <x v="0"/>
  </r>
  <r>
    <x v="16"/>
    <x v="0"/>
    <n v="10"/>
    <s v="mg/L"/>
    <s v="Testo 30µg/L + FAD"/>
    <x v="0"/>
  </r>
  <r>
    <x v="17"/>
    <x v="2"/>
    <n v="6.3E-2"/>
    <s v="mg/L"/>
    <s v="Prochloraz"/>
    <x v="1"/>
  </r>
  <r>
    <x v="18"/>
    <x v="2"/>
    <n v="0.13"/>
    <s v="mg/L"/>
    <s v="Prochloraz"/>
    <x v="1"/>
  </r>
  <r>
    <x v="19"/>
    <x v="2"/>
    <n v="0.25"/>
    <s v="mg/L"/>
    <s v="Prochloraz"/>
    <x v="1"/>
  </r>
  <r>
    <x v="20"/>
    <x v="2"/>
    <n v="0.5"/>
    <s v="mg/L"/>
    <s v="Prochloraz"/>
    <x v="1"/>
  </r>
  <r>
    <x v="21"/>
    <x v="2"/>
    <n v="1"/>
    <s v="mg/L"/>
    <s v="Prochloraz"/>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C:\Users\andre\Desktop\REACTIV CEFAS\Prochloraz\Prochloraz/20201210_Cefas_Test9_Run3/Plate 1/@1/A10_01.tif "/>
    <s v=" 64.8897 "/>
    <n v="30"/>
    <x v="0"/>
    <n v="1947"/>
    <m/>
    <m/>
    <m/>
  </r>
  <r>
    <x v="0"/>
    <x v="0"/>
    <s v="C:\Users\andre\Desktop\REACTIV CEFAS\Prochloraz\Prochloraz/20201210_Cefas_Test9_Run3/Plate 1/@1/A10_02.tif "/>
    <s v=" 194.6691 "/>
    <s v=" 31.3333 "/>
    <x v="0"/>
    <n v="6100"/>
    <m/>
    <m/>
    <m/>
  </r>
  <r>
    <x v="0"/>
    <x v="0"/>
    <s v="C:\Users\andre\Desktop\REACTIV CEFAS\Prochloraz\Prochloraz/20201210_Cefas_Test9_Run3/Plate 1/@1/A10_03.tif "/>
    <s v=" 173.0392 "/>
    <s v=" 30.375 "/>
    <x v="0"/>
    <n v="5256"/>
    <m/>
    <m/>
    <m/>
  </r>
  <r>
    <x v="0"/>
    <x v="0"/>
    <s v="C:\Users\andre\Desktop\REACTIV CEFAS\Prochloraz\Prochloraz/20201210_Cefas_Test9_Run3/Plate 1/@1/A10_04.tif "/>
    <s v=" 43.2598 "/>
    <s v=" 31.5 "/>
    <x v="0"/>
    <n v="1363"/>
    <m/>
    <m/>
    <m/>
  </r>
  <r>
    <x v="0"/>
    <x v="1"/>
    <s v="C:\Users\andre\Desktop\REACTIV CEFAS\Prochloraz\Prochloraz/20201210_Cefas_Test9_Run3/Plate 1/@1/B10_01.tif "/>
    <s v=" 5883.3313 "/>
    <s v=" 40.8346 "/>
    <x v="0"/>
    <n v="240243"/>
    <m/>
    <m/>
    <m/>
  </r>
  <r>
    <x v="0"/>
    <x v="1"/>
    <s v="C:\Users\andre\Desktop\REACTIV CEFAS\Prochloraz\Prochloraz/20201210_Cefas_Test9_Run3/Plate 1/@1/B10_02.tif "/>
    <s v=" 9235.965 "/>
    <s v=" 43.3981 "/>
    <x v="0"/>
    <n v="400824"/>
    <m/>
    <m/>
    <m/>
  </r>
  <r>
    <x v="0"/>
    <x v="1"/>
    <s v="C:\Users\andre\Desktop\REACTIV CEFAS\Prochloraz\Prochloraz/20201210_Cefas_Test9_Run3/Plate 1/@1/B10_03.tif "/>
    <s v=" 3915.0109 "/>
    <s v=" 44.7459 "/>
    <x v="0"/>
    <n v="175181"/>
    <m/>
    <m/>
    <m/>
  </r>
  <r>
    <x v="0"/>
    <x v="1"/>
    <s v="C:\Users\andre\Desktop\REACTIV CEFAS\Prochloraz\Prochloraz/20201210_Cefas_Test9_Run3/Plate 1/@1/B10_04.tif "/>
    <s v=" 8760.1073 "/>
    <s v=" 43.1111 "/>
    <x v="0"/>
    <n v="377658"/>
    <m/>
    <m/>
    <m/>
  </r>
  <r>
    <x v="0"/>
    <x v="2"/>
    <s v="C:\Users\andre\Desktop\REACTIV CEFAS\Prochloraz\Prochloraz/20201210_Cefas_Test9_Run3/Plate 1/@1/C10_01.tif "/>
    <s v=" 1405.9432 "/>
    <s v=" 34.1077 "/>
    <x v="0"/>
    <n v="47953"/>
    <m/>
    <m/>
    <m/>
  </r>
  <r>
    <x v="0"/>
    <x v="2"/>
    <s v="C:\Users\andre\Desktop\REACTIV CEFAS\Prochloraz\Prochloraz/20201210_Cefas_Test9_Run3/Plate 1/@1/C10_02.tif "/>
    <s v=" 1168.0143 "/>
    <s v=" 32.7778 "/>
    <x v="0"/>
    <n v="38285"/>
    <m/>
    <m/>
    <m/>
  </r>
  <r>
    <x v="0"/>
    <x v="2"/>
    <s v="C:\Users\andre\Desktop\REACTIV CEFAS\Prochloraz\Prochloraz/20201210_Cefas_Test9_Run3/Plate 1/@1/C10_03.tif "/>
    <n v="0"/>
    <n v="0"/>
    <x v="0"/>
    <n v="0"/>
    <m/>
    <m/>
    <m/>
  </r>
  <r>
    <x v="0"/>
    <x v="2"/>
    <s v="C:\Users\andre\Desktop\REACTIV CEFAS\Prochloraz\Prochloraz/20201210_Cefas_Test9_Run3/Plate 1/@1/C10_04.tif "/>
    <s v=" 1600.6122 "/>
    <s v=" 32.8784 "/>
    <x v="0"/>
    <n v="52626"/>
    <m/>
    <m/>
    <m/>
  </r>
  <r>
    <x v="0"/>
    <x v="3"/>
    <s v="C:\Users\andre\Desktop\REACTIV CEFAS\Prochloraz\Prochloraz/20201210_Cefas_Test9_Run3/Plate 1/@1/D10_01.tif "/>
    <s v=" 9690.1928 "/>
    <s v=" 38.1161 "/>
    <x v="0"/>
    <n v="369352"/>
    <m/>
    <m/>
    <m/>
  </r>
  <r>
    <x v="0"/>
    <x v="3"/>
    <s v="C:\Users\andre\Desktop\REACTIV CEFAS\Prochloraz\Prochloraz/20201210_Cefas_Test9_Run3/Plate 1/@1/D10_02.tif "/>
    <s v=" 9517.1536 "/>
    <s v=" 38.8455 "/>
    <x v="0"/>
    <n v="369698"/>
    <m/>
    <m/>
    <m/>
  </r>
  <r>
    <x v="0"/>
    <x v="3"/>
    <s v="C:\Users\andre\Desktop\REACTIV CEFAS\Prochloraz\Prochloraz/20201210_Cefas_Test9_Run3/Plate 1/@1/D10_03.tif "/>
    <s v=" 5883.3313 "/>
    <s v=" 36.2206 "/>
    <x v="0"/>
    <n v="213098"/>
    <m/>
    <m/>
    <m/>
  </r>
  <r>
    <x v="0"/>
    <x v="3"/>
    <s v="C:\Users\andre\Desktop\REACTIV CEFAS\Prochloraz\Prochloraz/20201210_Cefas_Test9_Run3/Plate 1/@1/D10_04.tif "/>
    <s v=" 4239.4593 "/>
    <s v=" 38.4082 "/>
    <x v="0"/>
    <n v="162830"/>
    <m/>
    <m/>
    <m/>
  </r>
  <r>
    <x v="0"/>
    <x v="4"/>
    <s v="C:\Users\andre\Desktop\REACTIV CEFAS\Prochloraz\Prochloraz/20201210_Cefas_Test9_Run3/Plate 1/@1/E10_01.tif "/>
    <s v=" 4282.7191 "/>
    <s v=" 35.3434 "/>
    <x v="0"/>
    <n v="151366"/>
    <m/>
    <m/>
    <m/>
  </r>
  <r>
    <x v="0"/>
    <x v="4"/>
    <s v="C:\Users\andre\Desktop\REACTIV CEFAS\Prochloraz\Prochloraz/20201210_Cefas_Test9_Run3/Plate 1/@1/E10_02.tif "/>
    <n v="0"/>
    <n v="0"/>
    <x v="0"/>
    <n v="0"/>
    <m/>
    <m/>
    <m/>
  </r>
  <r>
    <x v="0"/>
    <x v="4"/>
    <s v="C:\Users\andre\Desktop\REACTIV CEFAS\Prochloraz\Prochloraz/20201210_Cefas_Test9_Run3/Plate 1/@1/E10_03.tif "/>
    <n v="0"/>
    <n v="0"/>
    <x v="0"/>
    <n v="0"/>
    <m/>
    <m/>
    <m/>
  </r>
  <r>
    <x v="0"/>
    <x v="4"/>
    <s v="C:\Users\andre\Desktop\REACTIV CEFAS\Prochloraz\Prochloraz/20201210_Cefas_Test9_Run3/Plate 1/@1/E10_04.tif "/>
    <s v=" 3655.4522 "/>
    <s v=" 35.7751 "/>
    <x v="0"/>
    <n v="130774"/>
    <m/>
    <m/>
    <m/>
  </r>
  <r>
    <x v="0"/>
    <x v="5"/>
    <s v="C:\Users\andre\Desktop\REACTIV CEFAS\Prochloraz\Prochloraz/20201210_Cefas_Test9_Run3/Plate 1/@1/F10_01.tif "/>
    <s v=" 1362.6834 "/>
    <s v=" 33.9365 "/>
    <x v="0"/>
    <n v="46245"/>
    <m/>
    <m/>
    <m/>
  </r>
  <r>
    <x v="0"/>
    <x v="5"/>
    <s v="C:\Users\andre\Desktop\REACTIV CEFAS\Prochloraz\Prochloraz/20201210_Cefas_Test9_Run3/Plate 1/@1/F10_02.tif "/>
    <s v=" 4088.0501 "/>
    <s v=" 34.2116 "/>
    <x v="0"/>
    <n v="139859"/>
    <m/>
    <m/>
    <m/>
  </r>
  <r>
    <x v="0"/>
    <x v="5"/>
    <s v="C:\Users\andre\Desktop\REACTIV CEFAS\Prochloraz\Prochloraz/20201210_Cefas_Test9_Run3/Plate 1/@1/F10_03.tif "/>
    <s v=" 5342.584 "/>
    <s v=" 36.4332 "/>
    <x v="0"/>
    <n v="194647"/>
    <m/>
    <m/>
    <m/>
  </r>
  <r>
    <x v="0"/>
    <x v="5"/>
    <s v="C:\Users\andre\Desktop\REACTIV CEFAS\Prochloraz\Prochloraz/20201210_Cefas_Test9_Run3/Plate 1/@1/F10_04.tif "/>
    <s v=" 5515.6231 "/>
    <s v=" 35.0078 "/>
    <x v="0"/>
    <n v="193090"/>
    <m/>
    <m/>
    <m/>
  </r>
  <r>
    <x v="0"/>
    <x v="6"/>
    <s v="C:\Users\andre\Desktop\REACTIV CEFAS\Prochloraz\Prochloraz/20201210_Cefas_Test9_Run3/Plate 1/@1/G10_01.tif "/>
    <s v=" 21.6299 "/>
    <n v="30"/>
    <x v="0"/>
    <n v="649"/>
    <m/>
    <m/>
    <m/>
  </r>
  <r>
    <x v="0"/>
    <x v="6"/>
    <s v="C:\Users\andre\Desktop\REACTIV CEFAS\Prochloraz\Prochloraz/20201210_Cefas_Test9_Run3/Plate 1/@1/G10_02.tif "/>
    <s v=" 11507.1039 "/>
    <s v=" 40.5414 "/>
    <x v="0"/>
    <n v="466514"/>
    <m/>
    <m/>
    <m/>
  </r>
  <r>
    <x v="0"/>
    <x v="6"/>
    <s v="C:\Users\andre\Desktop\REACTIV CEFAS\Prochloraz\Prochloraz/20201210_Cefas_Test9_Run3/Plate 1/@1/G10_03.tif "/>
    <s v=" 6294.2993 "/>
    <s v=" 39.8144 "/>
    <x v="0"/>
    <n v="250604"/>
    <m/>
    <m/>
    <m/>
  </r>
  <r>
    <x v="0"/>
    <x v="6"/>
    <s v="C:\Users\andre\Desktop\REACTIV CEFAS\Prochloraz\Prochloraz/20201210_Cefas_Test9_Run3/Plate 1/@1/G10_04.tif "/>
    <s v=" 2530.6977 "/>
    <s v=" 37.188 "/>
    <x v="0"/>
    <n v="94112"/>
    <m/>
    <m/>
    <m/>
  </r>
  <r>
    <x v="0"/>
    <x v="7"/>
    <s v="C:\Users\andre\Desktop\REACTIV CEFAS\Prochloraz\Prochloraz/20201210_Cefas_Test9_Run3/Plate 1/@1/H10_01- exclu.tif"/>
    <m/>
    <m/>
    <x v="1"/>
    <m/>
    <m/>
    <m/>
    <m/>
  </r>
  <r>
    <x v="0"/>
    <x v="7"/>
    <s v="C:\Users\andre\Desktop\REACTIV CEFAS\Prochloraz\Prochloraz/20201210_Cefas_Test9_Run3/Plate 1/@1/H10_02- exclu.tif"/>
    <m/>
    <m/>
    <x v="1"/>
    <m/>
    <m/>
    <m/>
    <m/>
  </r>
  <r>
    <x v="0"/>
    <x v="7"/>
    <s v="C:\Users\andre\Desktop\REACTIV CEFAS\Prochloraz\Prochloraz/20201210_Cefas_Test9_Run3/Plate 1/@1/H10_03.tif "/>
    <s v=" 12220.8905 "/>
    <s v=" 43.0354 "/>
    <x v="0"/>
    <n v="525931"/>
    <m/>
    <m/>
    <m/>
  </r>
  <r>
    <x v="0"/>
    <x v="7"/>
    <s v="C:\Users\andre\Desktop\REACTIV CEFAS\Prochloraz\Prochloraz/20201210_Cefas_Test9_Run3/Plate 1/@1/H10_04.tif "/>
    <s v=" 11290.805 "/>
    <s v=" 45.136 "/>
    <x v="0"/>
    <n v="509622"/>
    <m/>
    <m/>
    <m/>
  </r>
  <r>
    <x v="1"/>
    <x v="8"/>
    <s v=" "/>
    <m/>
    <m/>
    <x v="1"/>
    <m/>
    <m/>
    <m/>
    <m/>
  </r>
  <r>
    <x v="1"/>
    <x v="8"/>
    <s v="group "/>
    <s v=" "/>
    <s v=" mean of mean fluo "/>
    <x v="2"/>
    <s v=" mean of total fluo "/>
    <s v=" SD total fluo "/>
    <s v=" n fluorescent "/>
    <s v=" n total"/>
  </r>
  <r>
    <x v="0"/>
    <x v="9"/>
    <s v="C:\Users\andre\Desktop\REACTIV CEFAS\Prochloraz\Prochloraz/20201210_Cefas_Test9_Run3/Plate 1/@1/ "/>
    <s v=" "/>
    <s v=" 33.8654 "/>
    <x v="3"/>
    <s v=" 197537.125 "/>
    <s v=" 193076.567 "/>
    <n v="29"/>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C:\Users\andre\Desktop\REACTIV CEFAS\Prochloraz\Prochloraz/20201210_Cefas_Test9_Run3/Plate 1/@13/A8_01.tif "/>
    <s v=" 56540.5446 "/>
    <s v=" 40.9197 "/>
    <x v="0"/>
    <n v="2313620"/>
    <m/>
    <m/>
    <m/>
  </r>
  <r>
    <x v="2"/>
    <x v="0"/>
    <s v="C:\Users\andre\Desktop\REACTIV CEFAS\Prochloraz\Prochloraz/20201210_Cefas_Test9_Run3/Plate 1/@13/A8_02.tif "/>
    <s v=" 69042.6237 "/>
    <s v=" 41.3916 "/>
    <x v="0"/>
    <n v="2857785"/>
    <m/>
    <m/>
    <m/>
  </r>
  <r>
    <x v="2"/>
    <x v="0"/>
    <s v="C:\Users\andre\Desktop\REACTIV CEFAS\Prochloraz\Prochloraz/20201210_Cefas_Test9_Run3/Plate 1/@13/A8_03.tif "/>
    <s v=" 57946.4877 "/>
    <s v=" 37.1146 "/>
    <x v="0"/>
    <n v="2150660"/>
    <m/>
    <m/>
    <m/>
  </r>
  <r>
    <x v="2"/>
    <x v="0"/>
    <s v="C:\Users\andre\Desktop\REACTIV CEFAS\Prochloraz\Prochloraz/20201210_Cefas_Test9_Run3/Plate 1/@13/A8_04.tif "/>
    <s v=" 72525.0367 "/>
    <s v=" 41.9675 "/>
    <x v="0"/>
    <n v="3043694"/>
    <m/>
    <m/>
    <m/>
  </r>
  <r>
    <x v="2"/>
    <x v="1"/>
    <s v="C:\Users\andre\Desktop\REACTIV CEFAS\Prochloraz\Prochloraz/20201210_Cefas_Test9_Run3/Plate 1/@13/B8_01- exclu.tif"/>
    <m/>
    <m/>
    <x v="1"/>
    <m/>
    <m/>
    <m/>
    <m/>
  </r>
  <r>
    <x v="2"/>
    <x v="1"/>
    <s v="C:\Users\andre\Desktop\REACTIV CEFAS\Prochloraz\Prochloraz/20201210_Cefas_Test9_Run3/Plate 1/@13/B8_02.tif "/>
    <s v=" 79576.3823 "/>
    <s v=" 44.3881 "/>
    <x v="0"/>
    <n v="3532248"/>
    <m/>
    <m/>
    <m/>
  </r>
  <r>
    <x v="2"/>
    <x v="1"/>
    <s v="C:\Users\andre\Desktop\REACTIV CEFAS\Prochloraz\Prochloraz/20201210_Cefas_Test9_Run3/Plate 1/@13/B8_03- exclu.tif"/>
    <m/>
    <m/>
    <x v="1"/>
    <m/>
    <m/>
    <m/>
    <m/>
  </r>
  <r>
    <x v="2"/>
    <x v="1"/>
    <s v="C:\Users\andre\Desktop\REACTIV CEFAS\Prochloraz\Prochloraz/20201210_Cefas_Test9_Run3/Plate 1/@13/B8_04- exclu.tif"/>
    <m/>
    <m/>
    <x v="1"/>
    <m/>
    <m/>
    <m/>
    <m/>
  </r>
  <r>
    <x v="2"/>
    <x v="2"/>
    <s v="C:\Users\andre\Desktop\REACTIV CEFAS\Prochloraz\Prochloraz/20201210_Cefas_Test9_Run3/Plate 1/@13/C8_01.tif "/>
    <s v=" 26691.29 "/>
    <s v=" 33.6613 "/>
    <x v="0"/>
    <n v="898463"/>
    <m/>
    <m/>
    <m/>
  </r>
  <r>
    <x v="2"/>
    <x v="2"/>
    <s v="C:\Users\andre\Desktop\REACTIV CEFAS\Prochloraz\Prochloraz/20201210_Cefas_Test9_Run3/Plate 1/@13/C8_02.tif "/>
    <s v=" 14448.7696 "/>
    <s v=" 33.4087 "/>
    <x v="0"/>
    <n v="482714"/>
    <m/>
    <m/>
    <m/>
  </r>
  <r>
    <x v="2"/>
    <x v="2"/>
    <s v="C:\Users\andre\Desktop\REACTIV CEFAS\Prochloraz\Prochloraz/20201210_Cefas_Test9_Run3/Plate 1/@13/C8_03.tif "/>
    <s v=" 20829.5885 "/>
    <s v=" 34.4444 "/>
    <x v="0"/>
    <n v="717464"/>
    <m/>
    <m/>
    <m/>
  </r>
  <r>
    <x v="2"/>
    <x v="2"/>
    <s v="C:\Users\andre\Desktop\REACTIV CEFAS\Prochloraz\Prochloraz/20201210_Cefas_Test9_Run3/Plate 1/@13/C8_04.tif "/>
    <s v=" 21110.7772 "/>
    <s v=" 34.7152 "/>
    <x v="0"/>
    <n v="732864"/>
    <m/>
    <m/>
    <m/>
  </r>
  <r>
    <x v="2"/>
    <x v="3"/>
    <s v="C:\Users\andre\Desktop\REACTIV CEFAS\Prochloraz\Prochloraz/20201210_Cefas_Test9_Run3/Plate 1/@13/D8_01.tif "/>
    <s v=" 28789.3898 "/>
    <s v=" 38.0015 "/>
    <x v="0"/>
    <n v="1094040"/>
    <m/>
    <m/>
    <m/>
  </r>
  <r>
    <x v="2"/>
    <x v="3"/>
    <s v="C:\Users\andre\Desktop\REACTIV CEFAS\Prochloraz\Prochloraz/20201210_Cefas_Test9_Run3/Plate 1/@13/D8_02.tif "/>
    <s v=" 35559.5468 "/>
    <s v=" 39.4264 "/>
    <x v="0"/>
    <n v="1401985"/>
    <m/>
    <m/>
    <m/>
  </r>
  <r>
    <x v="2"/>
    <x v="3"/>
    <s v="C:\Users\andre\Desktop\REACTIV CEFAS\Prochloraz\Prochloraz/20201210_Cefas_Test9_Run3/Plate 1/@13/D8_03.tif "/>
    <s v=" 34240.1232 "/>
    <s v=" 40.1396 "/>
    <x v="0"/>
    <n v="1374385"/>
    <m/>
    <m/>
    <m/>
  </r>
  <r>
    <x v="2"/>
    <x v="3"/>
    <s v="C:\Users\andre\Desktop\REACTIV CEFAS\Prochloraz\Prochloraz/20201210_Cefas_Test9_Run3/Plate 1/@13/D8_04.tif "/>
    <s v=" 30065.5535 "/>
    <s v=" 41.523 "/>
    <x v="0"/>
    <n v="1248413"/>
    <m/>
    <m/>
    <m/>
  </r>
  <r>
    <x v="2"/>
    <x v="4"/>
    <s v="C:\Users\andre\Desktop\REACTIV CEFAS\Prochloraz\Prochloraz/20201210_Cefas_Test9_Run3/Plate 1/@13/E8_01.tif "/>
    <s v=" 47282.9497 "/>
    <s v=" 44.7132 "/>
    <x v="0"/>
    <n v="2114171"/>
    <m/>
    <m/>
    <m/>
  </r>
  <r>
    <x v="2"/>
    <x v="4"/>
    <s v="C:\Users\andre\Desktop\REACTIV CEFAS\Prochloraz\Prochloraz/20201210_Cefas_Test9_Run3/Plate 1/@13/E8_02.tif "/>
    <s v=" 51998.2667 "/>
    <s v=" 42.7646 "/>
    <x v="0"/>
    <n v="2223683"/>
    <m/>
    <m/>
    <m/>
  </r>
  <r>
    <x v="2"/>
    <x v="4"/>
    <s v="C:\Users\andre\Desktop\REACTIV CEFAS\Prochloraz\Prochloraz/20201210_Cefas_Test9_Run3/Plate 1/@13/E8_03.tif "/>
    <s v=" 64932.9437 "/>
    <s v=" 41.3877 "/>
    <x v="0"/>
    <n v="2687428"/>
    <m/>
    <m/>
    <m/>
  </r>
  <r>
    <x v="2"/>
    <x v="4"/>
    <s v="C:\Users\andre\Desktop\REACTIV CEFAS\Prochloraz\Prochloraz/20201210_Cefas_Test9_Run3/Plate 1/@13/E8_04.tif "/>
    <s v=" 54875.0427 "/>
    <s v=" 44.162 "/>
    <x v="0"/>
    <n v="2423392"/>
    <m/>
    <m/>
    <m/>
  </r>
  <r>
    <x v="2"/>
    <x v="5"/>
    <s v="C:\Users\andre\Desktop\REACTIV CEFAS\Prochloraz\Prochloraz/20201210_Cefas_Test9_Run3/Plate 1/@13/F8_01.tif "/>
    <s v=" 50960.0317 "/>
    <s v=" 39.7513 "/>
    <x v="0"/>
    <n v="2025726"/>
    <m/>
    <m/>
    <m/>
  </r>
  <r>
    <x v="2"/>
    <x v="5"/>
    <s v="C:\Users\andre\Desktop\REACTIV CEFAS\Prochloraz\Prochloraz/20201210_Cefas_Test9_Run3/Plate 1/@13/F8_02.tif "/>
    <s v=" 54377.5551 "/>
    <s v=" 40.6189 "/>
    <x v="0"/>
    <n v="2208758"/>
    <m/>
    <m/>
    <m/>
  </r>
  <r>
    <x v="2"/>
    <x v="5"/>
    <s v="C:\Users\andre\Desktop\REACTIV CEFAS\Prochloraz\Prochloraz/20201210_Cefas_Test9_Run3/Plate 1/@13/F8_03.tif "/>
    <s v=" 40707.4617 "/>
    <s v=" 37.7582 "/>
    <x v="0"/>
    <n v="1537042"/>
    <m/>
    <m/>
    <m/>
  </r>
  <r>
    <x v="2"/>
    <x v="5"/>
    <s v="C:\Users\andre\Desktop\REACTIV CEFAS\Prochloraz\Prochloraz/20201210_Cefas_Test9_Run3/Plate 1/@13/F8_04.tif "/>
    <s v=" 45163.22 "/>
    <s v=" 38.5967 "/>
    <x v="0"/>
    <n v="1743153"/>
    <m/>
    <m/>
    <m/>
  </r>
  <r>
    <x v="2"/>
    <x v="6"/>
    <s v="C:\Users\andre\Desktop\REACTIV CEFAS\Prochloraz\Prochloraz/20201210_Cefas_Test9_Run3/Plate 1/@13/G8_01.tif "/>
    <s v=" 45509.2983 "/>
    <s v=" 41.25 "/>
    <x v="0"/>
    <n v="1877259"/>
    <m/>
    <m/>
    <m/>
  </r>
  <r>
    <x v="2"/>
    <x v="6"/>
    <s v="C:\Users\andre\Desktop\REACTIV CEFAS\Prochloraz\Prochloraz/20201210_Cefas_Test9_Run3/Plate 1/@13/G8_02.tif "/>
    <s v=" 48234.665 "/>
    <s v=" 39.2426 "/>
    <x v="0"/>
    <n v="1892854"/>
    <m/>
    <m/>
    <m/>
  </r>
  <r>
    <x v="2"/>
    <x v="6"/>
    <s v="C:\Users\andre\Desktop\REACTIV CEFAS\Prochloraz\Prochloraz/20201210_Cefas_Test9_Run3/Plate 1/@13/G8_03.tif "/>
    <s v=" 47542.5084 "/>
    <s v=" 38.9841 "/>
    <x v="0"/>
    <n v="1853401"/>
    <m/>
    <m/>
    <m/>
  </r>
  <r>
    <x v="2"/>
    <x v="6"/>
    <s v="C:\Users\andre\Desktop\REACTIV CEFAS\Prochloraz\Prochloraz/20201210_Cefas_Test9_Run3/Plate 1/@13/G8_04.tif "/>
    <s v=" 45941.8962 "/>
    <s v=" 39.2505 "/>
    <x v="0"/>
    <n v="1803241"/>
    <m/>
    <m/>
    <m/>
  </r>
  <r>
    <x v="2"/>
    <x v="7"/>
    <s v="C:\Users\andre\Desktop\REACTIV CEFAS\Prochloraz\Prochloraz/20201210_Cefas_Test9_Run3/Plate 1/@13/H8_01.tif "/>
    <s v=" 47693.9177 "/>
    <s v=" 41.4653 "/>
    <x v="0"/>
    <n v="1977643"/>
    <m/>
    <m/>
    <m/>
  </r>
  <r>
    <x v="2"/>
    <x v="7"/>
    <s v="C:\Users\andre\Desktop\REACTIV CEFAS\Prochloraz\Prochloraz/20201210_Cefas_Test9_Run3/Plate 1/@13/H8_02.tif "/>
    <s v=" 49510.8288 "/>
    <s v=" 41.6811 "/>
    <x v="0"/>
    <n v="2063665"/>
    <m/>
    <m/>
    <m/>
  </r>
  <r>
    <x v="2"/>
    <x v="7"/>
    <s v="C:\Users\andre\Desktop\REACTIV CEFAS\Prochloraz\Prochloraz/20201210_Cefas_Test9_Run3/Plate 1/@13/H8_03.tif "/>
    <s v=" 49705.4979 "/>
    <s v=" 42.2781 "/>
    <x v="0"/>
    <n v="2101452"/>
    <m/>
    <m/>
    <m/>
  </r>
  <r>
    <x v="2"/>
    <x v="7"/>
    <s v="C:\Users\andre\Desktop\REACTIV CEFAS\Prochloraz\Prochloraz/20201210_Cefas_Test9_Run3/Plate 1/@13/H8_04.tif "/>
    <s v=" 51500.7791 "/>
    <s v=" 44.6161 "/>
    <x v="0"/>
    <n v="2297765"/>
    <m/>
    <m/>
    <m/>
  </r>
  <r>
    <x v="1"/>
    <x v="8"/>
    <s v=" "/>
    <m/>
    <m/>
    <x v="1"/>
    <m/>
    <m/>
    <m/>
    <m/>
  </r>
  <r>
    <x v="1"/>
    <x v="8"/>
    <s v="group "/>
    <s v=" "/>
    <s v=" mean of mean fluo "/>
    <x v="2"/>
    <s v=" mean of total fluo "/>
    <s v=" SD total fluo "/>
    <s v=" n fluorescent "/>
    <s v=" n total"/>
  </r>
  <r>
    <x v="2"/>
    <x v="9"/>
    <s v="C:\Users\andre\Desktop\REACTIV CEFAS\Prochloraz\Prochloraz/20201210_Cefas_Test9_Run3/Plate 1/@13/ "/>
    <s v=" "/>
    <s v=" 40.3355 "/>
    <x v="4"/>
    <s v=" 1963382.03 "/>
    <s v=" 720059.046 "/>
    <n v="32"/>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C:\Users\andre\Desktop\REACTIV CEFAS\Prochloraz\Prochloraz/20201210_Cefas_Test9_Run3/Plate 1/@14/A9_01.tif "/>
    <s v=" 48559.1134 "/>
    <s v=" 37.8143 "/>
    <x v="0"/>
    <n v="1836227"/>
    <m/>
    <m/>
    <m/>
  </r>
  <r>
    <x v="3"/>
    <x v="0"/>
    <s v="C:\Users\andre\Desktop\REACTIV CEFAS\Prochloraz\Prochloraz/20201210_Cefas_Test9_Run3/Plate 1/@14/A9_02.tif "/>
    <s v=" 55134.6014 "/>
    <s v=" 41.4602 "/>
    <x v="0"/>
    <n v="2285891"/>
    <m/>
    <m/>
    <m/>
  </r>
  <r>
    <x v="3"/>
    <x v="0"/>
    <s v="C:\Users\andre\Desktop\REACTIV CEFAS\Prochloraz\Prochloraz/20201210_Cefas_Test9_Run3/Plate 1/@14/A9_03.tif "/>
    <s v=" 53944.9572 "/>
    <s v=" 42.8336 "/>
    <x v="0"/>
    <n v="2310657"/>
    <m/>
    <m/>
    <m/>
  </r>
  <r>
    <x v="3"/>
    <x v="0"/>
    <s v="C:\Users\andre\Desktop\REACTIV CEFAS\Prochloraz\Prochloraz/20201210_Cefas_Test9_Run3/Plate 1/@14/A9_04.tif "/>
    <s v=" 58790.0536 "/>
    <s v=" 43.4963 "/>
    <x v="0"/>
    <n v="2557151"/>
    <m/>
    <m/>
    <m/>
  </r>
  <r>
    <x v="3"/>
    <x v="1"/>
    <s v="C:\Users\andre\Desktop\REACTIV CEFAS\Prochloraz\Prochloraz/20201210_Cefas_Test9_Run3/Plate 1/@14/B9_01.tif "/>
    <s v=" 47369.4692 "/>
    <s v=" 40.6055 "/>
    <x v="0"/>
    <n v="1923460"/>
    <m/>
    <m/>
    <m/>
  </r>
  <r>
    <x v="3"/>
    <x v="1"/>
    <s v="C:\Users\andre\Desktop\REACTIV CEFAS\Prochloraz\Prochloraz/20201210_Cefas_Test9_Run3/Plate 1/@14/B9_02.tif "/>
    <s v=" 54420.8149 "/>
    <s v=" 43.7424 "/>
    <x v="0"/>
    <n v="2380500"/>
    <m/>
    <m/>
    <m/>
  </r>
  <r>
    <x v="3"/>
    <x v="1"/>
    <s v="C:\Users\andre\Desktop\REACTIV CEFAS\Prochloraz\Prochloraz/20201210_Cefas_Test9_Run3/Plate 1/@14/B9_03.tif "/>
    <s v=" 54139.6263 "/>
    <s v=" 45.1067 "/>
    <x v="0"/>
    <n v="2442058"/>
    <m/>
    <m/>
    <m/>
  </r>
  <r>
    <x v="3"/>
    <x v="1"/>
    <s v="C:\Users\andre\Desktop\REACTIV CEFAS\Prochloraz\Prochloraz/20201210_Cefas_Test9_Run3/Plate 1/@14/B9_04.tif "/>
    <s v=" 52365.9749 "/>
    <s v=" 43.646 "/>
    <x v="0"/>
    <n v="2285566"/>
    <m/>
    <m/>
    <m/>
  </r>
  <r>
    <x v="3"/>
    <x v="2"/>
    <s v="C:\Users\andre\Desktop\REACTIV CEFAS\Prochloraz\Prochloraz/20201210_Cefas_Test9_Run3/Plate 1/@14/C9_01.tif "/>
    <s v=" 29762.735 "/>
    <s v=" 34.1948 "/>
    <x v="0"/>
    <n v="1017730"/>
    <m/>
    <m/>
    <m/>
  </r>
  <r>
    <x v="3"/>
    <x v="2"/>
    <s v="C:\Users\andre\Desktop\REACTIV CEFAS\Prochloraz\Prochloraz/20201210_Cefas_Test9_Run3/Plate 1/@14/C9_02.tif "/>
    <s v=" 23598.215 "/>
    <s v=" 34.2548 "/>
    <x v="0"/>
    <n v="808352"/>
    <m/>
    <m/>
    <m/>
  </r>
  <r>
    <x v="3"/>
    <x v="2"/>
    <s v="C:\Users\andre\Desktop\REACTIV CEFAS\Prochloraz\Prochloraz/20201210_Cefas_Test9_Run3/Plate 1/@14/C9_03.tif "/>
    <s v=" 27469.9662 "/>
    <s v=" 35.0386 "/>
    <x v="0"/>
    <n v="962509"/>
    <m/>
    <m/>
    <m/>
  </r>
  <r>
    <x v="3"/>
    <x v="2"/>
    <s v="C:\Users\andre\Desktop\REACTIV CEFAS\Prochloraz\Prochloraz/20201210_Cefas_Test9_Run3/Plate 1/@14/C9_04.tif "/>
    <s v=" 24960.8984 "/>
    <s v=" 33.5433 "/>
    <x v="0"/>
    <n v="837272"/>
    <m/>
    <m/>
    <m/>
  </r>
  <r>
    <x v="3"/>
    <x v="3"/>
    <s v="C:\Users\andre\Desktop\REACTIV CEFAS\Prochloraz\Prochloraz/20201210_Cefas_Test9_Run3/Plate 1/@14/D9_01.tif "/>
    <s v=" 41572.6575 "/>
    <s v=" 37.5869 "/>
    <x v="0"/>
    <n v="1562587"/>
    <m/>
    <m/>
    <m/>
  </r>
  <r>
    <x v="3"/>
    <x v="3"/>
    <s v="C:\Users\andre\Desktop\REACTIV CEFAS\Prochloraz\Prochloraz/20201210_Cefas_Test9_Run3/Plate 1/@14/D9_02.tif "/>
    <s v=" 39323.1484 "/>
    <s v=" 36.3894 "/>
    <x v="0"/>
    <n v="1430947"/>
    <m/>
    <m/>
    <m/>
  </r>
  <r>
    <x v="3"/>
    <x v="3"/>
    <s v="C:\Users\andre\Desktop\REACTIV CEFAS\Prochloraz\Prochloraz/20201210_Cefas_Test9_Run3/Plate 1/@14/D9_03.tif "/>
    <s v=" 47196.4301 "/>
    <s v=" 37.5655 "/>
    <x v="0"/>
    <n v="1772959"/>
    <m/>
    <m/>
    <m/>
  </r>
  <r>
    <x v="3"/>
    <x v="3"/>
    <s v="C:\Users\andre\Desktop\REACTIV CEFAS\Prochloraz\Prochloraz/20201210_Cefas_Test9_Run3/Plate 1/@14/D9_04.tif "/>
    <s v=" 49251.2701 "/>
    <s v=" 39.5604 "/>
    <x v="0"/>
    <n v="1948399"/>
    <m/>
    <m/>
    <m/>
  </r>
  <r>
    <x v="3"/>
    <x v="4"/>
    <s v="C:\Users\andre\Desktop\REACTIV CEFAS\Prochloraz\Prochloraz/20201210_Cefas_Test9_Run3/Plate 1/@14/E9_01.tif "/>
    <s v=" 44773.8819 "/>
    <s v=" 40.7657 "/>
    <x v="0"/>
    <n v="1825239"/>
    <m/>
    <m/>
    <m/>
  </r>
  <r>
    <x v="3"/>
    <x v="4"/>
    <s v="C:\Users\andre\Desktop\REACTIV CEFAS\Prochloraz\Prochloraz/20201210_Cefas_Test9_Run3/Plate 1/@14/E9_02.tif "/>
    <s v=" 38717.5114 "/>
    <s v=" 40.5179 "/>
    <x v="0"/>
    <n v="1568751"/>
    <m/>
    <m/>
    <m/>
  </r>
  <r>
    <x v="3"/>
    <x v="4"/>
    <s v="C:\Users\andre\Desktop\REACTIV CEFAS\Prochloraz\Prochloraz/20201210_Cefas_Test9_Run3/Plate 1/@14/E9_03.tif "/>
    <s v=" 46525.9033 "/>
    <s v=" 41.5904 "/>
    <x v="0"/>
    <n v="1935032"/>
    <m/>
    <m/>
    <m/>
  </r>
  <r>
    <x v="3"/>
    <x v="4"/>
    <s v="C:\Users\andre\Desktop\REACTIV CEFAS\Prochloraz\Prochloraz/20201210_Cefas_Test9_Run3/Plate 1/@14/E9_04.tif "/>
    <s v=" 49943.4267 "/>
    <s v=" 42.9602 "/>
    <x v="0"/>
    <n v="2145577"/>
    <m/>
    <m/>
    <m/>
  </r>
  <r>
    <x v="3"/>
    <x v="5"/>
    <s v="C:\Users\andre\Desktop\REACTIV CEFAS\Prochloraz\Prochloraz/20201210_Cefas_Test9_Run3/Plate 1/@14/F9_01.tif "/>
    <s v=" 28400.0516 "/>
    <s v=" 35.0221 "/>
    <x v="0"/>
    <n v="994629"/>
    <m/>
    <m/>
    <m/>
  </r>
  <r>
    <x v="3"/>
    <x v="5"/>
    <s v="C:\Users\andre\Desktop\REACTIV CEFAS\Prochloraz\Prochloraz/20201210_Cefas_Test9_Run3/Plate 1/@14/F9_02.tif "/>
    <s v=" 22451.8306 "/>
    <s v=" 35.8719 "/>
    <x v="0"/>
    <n v="805389"/>
    <m/>
    <m/>
    <m/>
  </r>
  <r>
    <x v="3"/>
    <x v="5"/>
    <s v="C:\Users\andre\Desktop\REACTIV CEFAS\Prochloraz\Prochloraz/20201210_Cefas_Test9_Run3/Plate 1/@14/F9_03.tif "/>
    <s v=" 23057.4677 "/>
    <s v=" 36.2702 "/>
    <x v="0"/>
    <n v="836298"/>
    <m/>
    <m/>
    <m/>
  </r>
  <r>
    <x v="3"/>
    <x v="5"/>
    <s v="C:\Users\andre\Desktop\REACTIV CEFAS\Prochloraz\Prochloraz/20201210_Cefas_Test9_Run3/Plate 1/@14/F9_04.tif "/>
    <s v=" 32163.6533 "/>
    <s v=" 38.039 "/>
    <x v="0"/>
    <n v="1223473"/>
    <m/>
    <m/>
    <m/>
  </r>
  <r>
    <x v="3"/>
    <x v="6"/>
    <s v="C:\Users\andre\Desktop\REACTIV CEFAS\Prochloraz\Prochloraz/20201210_Cefas_Test9_Run3/Plate 1/@14/G9_01.tif "/>
    <s v=" 19488.5351 "/>
    <s v=" 34.576 "/>
    <x v="0"/>
    <n v="673836"/>
    <m/>
    <m/>
    <m/>
  </r>
  <r>
    <x v="3"/>
    <x v="6"/>
    <s v="C:\Users\andre\Desktop\REACTIV CEFAS\Prochloraz\Prochloraz/20201210_Cefas_Test9_Run3/Plate 1/@14/G9_02.tif "/>
    <s v=" 20786.3287 "/>
    <s v=" 35.1707 "/>
    <x v="0"/>
    <n v="731069"/>
    <m/>
    <m/>
    <m/>
  </r>
  <r>
    <x v="3"/>
    <x v="6"/>
    <s v="C:\Users\andre\Desktop\REACTIV CEFAS\Prochloraz\Prochloraz/20201210_Cefas_Test9_Run3/Plate 1/@14/G9_03.tif "/>
    <s v=" 27664.6352 "/>
    <s v=" 37.233 "/>
    <x v="0"/>
    <n v="1030037"/>
    <m/>
    <m/>
    <m/>
  </r>
  <r>
    <x v="3"/>
    <x v="6"/>
    <s v="C:\Users\andre\Desktop\REACTIV CEFAS\Prochloraz\Prochloraz/20201210_Cefas_Test9_Run3/Plate 1/@14/G9_04- exclu.tif"/>
    <m/>
    <m/>
    <x v="1"/>
    <m/>
    <m/>
    <m/>
    <m/>
  </r>
  <r>
    <x v="3"/>
    <x v="7"/>
    <s v="C:\Users\andre\Desktop\REACTIV CEFAS\Prochloraz\Prochloraz/20201210_Cefas_Test9_Run3/Plate 1/@14/H9_01.tif "/>
    <s v=" 4152.9398 "/>
    <s v=" 31.599 "/>
    <x v="0"/>
    <n v="131229"/>
    <m/>
    <m/>
    <m/>
  </r>
  <r>
    <x v="3"/>
    <x v="7"/>
    <s v="C:\Users\andre\Desktop\REACTIV CEFAS\Prochloraz\Prochloraz/20201210_Cefas_Test9_Run3/Plate 1/@14/H9_02.tif "/>
    <s v=" 10685.1679 "/>
    <s v=" 32.496 "/>
    <x v="0"/>
    <n v="347225"/>
    <m/>
    <m/>
    <m/>
  </r>
  <r>
    <x v="3"/>
    <x v="7"/>
    <s v="C:\Users\andre\Desktop\REACTIV CEFAS\Prochloraz\Prochloraz/20201210_Cefas_Test9_Run3/Plate 1/@14/H9_03.tif "/>
    <s v=" 2963.2956 "/>
    <s v=" 32.2555 "/>
    <x v="0"/>
    <n v="95583"/>
    <m/>
    <m/>
    <m/>
  </r>
  <r>
    <x v="3"/>
    <x v="7"/>
    <s v="C:\Users\andre\Desktop\REACTIV CEFAS\Prochloraz\Prochloraz/20201210_Cefas_Test9_Run3/Plate 1/@14/H9_04.tif "/>
    <s v=" 12069.4812 "/>
    <s v=" 32.4624 "/>
    <x v="0"/>
    <n v="391804"/>
    <m/>
    <m/>
    <m/>
  </r>
  <r>
    <x v="1"/>
    <x v="8"/>
    <s v=" "/>
    <m/>
    <m/>
    <x v="1"/>
    <m/>
    <m/>
    <m/>
    <m/>
  </r>
  <r>
    <x v="1"/>
    <x v="8"/>
    <s v="group "/>
    <s v=" "/>
    <s v=" mean of mean fluo "/>
    <x v="2"/>
    <s v=" mean of total fluo "/>
    <s v=" SD total fluo "/>
    <s v=" n fluorescent "/>
    <s v=" n total"/>
  </r>
  <r>
    <x v="3"/>
    <x v="9"/>
    <s v="C:\Users\andre\Desktop\REACTIV CEFAS\Prochloraz\Prochloraz/20201210_Cefas_Test9_Run3/Plate 1/@14/ "/>
    <s v=" "/>
    <s v=" 37.9721 "/>
    <x v="5"/>
    <s v=" 1373291.5 "/>
    <s v=" 728860.219 "/>
    <n v="32"/>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C:\Users\andre\Desktop\REACTIV CEFAS\Prochloraz\Prochloraz/20201210_Cefas_Test9_Run3/Plate 1/@15/A11_01.tif "/>
    <s v=" 63548.6304 "/>
    <s v=" 47.0092 "/>
    <x v="0"/>
    <n v="2987370"/>
    <m/>
    <m/>
    <m/>
  </r>
  <r>
    <x v="4"/>
    <x v="0"/>
    <s v="C:\Users\andre\Desktop\REACTIV CEFAS\Prochloraz\Prochloraz/20201210_Cefas_Test9_Run3/Plate 1/@15/A11_02.tif "/>
    <s v=" 68393.7268 "/>
    <s v=" 47.7562 "/>
    <x v="0"/>
    <n v="3266222"/>
    <m/>
    <m/>
    <m/>
  </r>
  <r>
    <x v="4"/>
    <x v="0"/>
    <s v="C:\Users\andre\Desktop\REACTIV CEFAS\Prochloraz\Prochloraz/20201210_Cefas_Test9_Run3/Plate 1/@15/A11_03.tif "/>
    <s v=" 72287.1078 "/>
    <s v=" 49.0078 "/>
    <x v="0"/>
    <n v="3542631"/>
    <m/>
    <m/>
    <m/>
  </r>
  <r>
    <x v="4"/>
    <x v="0"/>
    <s v="C:\Users\andre\Desktop\REACTIV CEFAS\Prochloraz\Prochloraz/20201210_Cefas_Test9_Run3/Plate 1/@15/A11_04.tif "/>
    <s v=" 67788.0898 "/>
    <s v=" 45.2565 "/>
    <x v="0"/>
    <n v="3067854"/>
    <m/>
    <m/>
    <m/>
  </r>
  <r>
    <x v="4"/>
    <x v="1"/>
    <s v="C:\Users\andre\Desktop\REACTIV CEFAS\Prochloraz\Prochloraz/20201210_Cefas_Test9_Run3/Plate 1/@15/B11_01.tif "/>
    <s v=" 34110.3438 "/>
    <s v=" 40.2682 "/>
    <x v="0"/>
    <n v="1373563"/>
    <m/>
    <m/>
    <m/>
  </r>
  <r>
    <x v="4"/>
    <x v="1"/>
    <s v="C:\Users\andre\Desktop\REACTIV CEFAS\Prochloraz\Prochloraz/20201210_Cefas_Test9_Run3/Plate 1/@15/B11_02.tif "/>
    <s v=" 39669.2267 "/>
    <s v=" 44.2426 "/>
    <x v="0"/>
    <n v="1755071"/>
    <m/>
    <m/>
    <m/>
  </r>
  <r>
    <x v="4"/>
    <x v="1"/>
    <s v="C:\Users\andre\Desktop\REACTIV CEFAS\Prochloraz\Prochloraz/20201210_Cefas_Test9_Run3/Plate 1/@15/B11_03.tif "/>
    <s v=" 40815.6112 "/>
    <s v=" 44.5284 "/>
    <x v="0"/>
    <n v="1817452"/>
    <m/>
    <m/>
    <m/>
  </r>
  <r>
    <x v="4"/>
    <x v="1"/>
    <s v="C:\Users\andre\Desktop\REACTIV CEFAS\Prochloraz\Prochloraz/20201210_Cefas_Test9_Run3/Plate 1/@15/B11_04.tif "/>
    <s v=" 38566.1021 "/>
    <s v=" 43.0869 "/>
    <x v="0"/>
    <n v="1661695"/>
    <m/>
    <m/>
    <m/>
  </r>
  <r>
    <x v="4"/>
    <x v="2"/>
    <s v="C:\Users\andre\Desktop\REACTIV CEFAS\Prochloraz\Prochloraz/20201210_Cefas_Test9_Run3/Plate 1/@15/C11_01.tif "/>
    <s v=" 81652.8522 "/>
    <s v=" 46.903 "/>
    <x v="0"/>
    <n v="3829768"/>
    <m/>
    <m/>
    <m/>
  </r>
  <r>
    <x v="4"/>
    <x v="2"/>
    <s v="C:\Users\andre\Desktop\REACTIV CEFAS\Prochloraz\Prochloraz/20201210_Cefas_Test9_Run3/Plate 1/@15/C11_02.tif "/>
    <s v=" 80268.539 "/>
    <s v=" 49.8354 "/>
    <x v="0"/>
    <n v="4000211"/>
    <m/>
    <m/>
    <m/>
  </r>
  <r>
    <x v="4"/>
    <x v="2"/>
    <s v="C:\Users\andre\Desktop\REACTIV CEFAS\Prochloraz\Prochloraz/20201210_Cefas_Test9_Run3/Plate 1/@15/C11_03.tif "/>
    <s v=" 82842.4964 "/>
    <s v=" 48.8394 "/>
    <x v="0"/>
    <n v="4045980"/>
    <m/>
    <m/>
    <m/>
  </r>
  <r>
    <x v="4"/>
    <x v="2"/>
    <s v="C:\Users\andre\Desktop\REACTIV CEFAS\Prochloraz\Prochloraz/20201210_Cefas_Test9_Run3/Plate 1/@15/C11_04.tif "/>
    <s v=" 82777.6067 "/>
    <s v=" 48.5171 "/>
    <x v="0"/>
    <n v="4016131"/>
    <m/>
    <m/>
    <m/>
  </r>
  <r>
    <x v="4"/>
    <x v="3"/>
    <s v="C:\Users\andre\Desktop\REACTIV CEFAS\Prochloraz\Prochloraz/20201210_Cefas_Test9_Run3/Plate 1/@15/D11_01.tif "/>
    <s v=" 69864.5597 "/>
    <s v=" 42.3638 "/>
    <x v="0"/>
    <n v="2959727"/>
    <m/>
    <m/>
    <m/>
  </r>
  <r>
    <x v="4"/>
    <x v="3"/>
    <s v="C:\Users\andre\Desktop\REACTIV CEFAS\Prochloraz\Prochloraz/20201210_Cefas_Test9_Run3/Plate 1/@15/D11_02.tif "/>
    <s v=" 68545.1361 "/>
    <s v=" 43.0953 "/>
    <x v="0"/>
    <n v="2953973"/>
    <m/>
    <m/>
    <m/>
  </r>
  <r>
    <x v="4"/>
    <x v="3"/>
    <s v="C:\Users\andre\Desktop\REACTIV CEFAS\Prochloraz\Prochloraz/20201210_Cefas_Test9_Run3/Plate 1/@15/D11_03.tif "/>
    <s v=" 58465.6052 "/>
    <s v=" 40.1465 "/>
    <x v="0"/>
    <n v="2347190"/>
    <m/>
    <m/>
    <m/>
  </r>
  <r>
    <x v="4"/>
    <x v="3"/>
    <s v="C:\Users\andre\Desktop\REACTIV CEFAS\Prochloraz\Prochloraz/20201210_Cefas_Test9_Run3/Plate 1/@15/D11_04.tif "/>
    <s v=" 55978.1673 "/>
    <s v=" 39.2257 "/>
    <x v="0"/>
    <n v="2195780"/>
    <m/>
    <m/>
    <m/>
  </r>
  <r>
    <x v="4"/>
    <x v="4"/>
    <s v="C:\Users\andre\Desktop\REACTIV CEFAS\Prochloraz\Prochloraz/20201210_Cefas_Test9_Run3/Plate 1/@15/E11_01.tif "/>
    <s v=" 76548.1971 "/>
    <s v=" 51.0167 "/>
    <x v="0"/>
    <n v="3905234"/>
    <m/>
    <m/>
    <m/>
  </r>
  <r>
    <x v="4"/>
    <x v="4"/>
    <s v="C:\Users\andre\Desktop\REACTIV CEFAS\Prochloraz\Prochloraz/20201210_Cefas_Test9_Run3/Plate 1/@15/E11_02.tif "/>
    <s v=" 83231.8345 "/>
    <s v=" 55.8828 "/>
    <x v="0"/>
    <n v="4651228"/>
    <m/>
    <m/>
    <m/>
  </r>
  <r>
    <x v="4"/>
    <x v="4"/>
    <s v="C:\Users\andre\Desktop\REACTIV CEFAS\Prochloraz\Prochloraz/20201210_Cefas_Test9_Run3/Plate 1/@15/E11_03.tif "/>
    <s v=" 80268.539 "/>
    <s v=" 53.6492 "/>
    <x v="0"/>
    <n v="4306339"/>
    <m/>
    <m/>
    <m/>
  </r>
  <r>
    <x v="4"/>
    <x v="4"/>
    <s v="C:\Users\andre\Desktop\REACTIV CEFAS\Prochloraz\Prochloraz/20201210_Cefas_Test9_Run3/Plate 1/@15/E11_04.tif "/>
    <s v=" 78127.1794 "/>
    <s v=" 52.2793 "/>
    <x v="0"/>
    <n v="4084438"/>
    <m/>
    <m/>
    <m/>
  </r>
  <r>
    <x v="4"/>
    <x v="5"/>
    <s v="C:\Users\andre\Desktop\REACTIV CEFAS\Prochloraz\Prochloraz/20201210_Cefas_Test9_Run3/Plate 1/@15/F11_01- exclu.tif"/>
    <m/>
    <m/>
    <x v="1"/>
    <m/>
    <m/>
    <m/>
    <m/>
  </r>
  <r>
    <x v="4"/>
    <x v="5"/>
    <s v="C:\Users\andre\Desktop\REACTIV CEFAS\Prochloraz\Prochloraz/20201210_Cefas_Test9_Run3/Plate 1/@15/F11_02- exclu.tif"/>
    <m/>
    <m/>
    <x v="1"/>
    <m/>
    <m/>
    <m/>
    <m/>
  </r>
  <r>
    <x v="4"/>
    <x v="5"/>
    <s v="C:\Users\andre\Desktop\REACTIV CEFAS\Prochloraz\Prochloraz/20201210_Cefas_Test9_Run3/Plate 1/@15/F11_03- exclu.tif"/>
    <m/>
    <m/>
    <x v="1"/>
    <m/>
    <m/>
    <m/>
    <m/>
  </r>
  <r>
    <x v="4"/>
    <x v="5"/>
    <s v="C:\Users\andre\Desktop\REACTIV CEFAS\Prochloraz\Prochloraz/20201210_Cefas_Test9_Run3/Plate 1/@15/F11_04- exclu.tif"/>
    <m/>
    <m/>
    <x v="1"/>
    <m/>
    <m/>
    <m/>
    <m/>
  </r>
  <r>
    <x v="4"/>
    <x v="6"/>
    <s v="C:\Users\andre\Desktop\REACTIV CEFAS\Prochloraz\Prochloraz/20201210_Cefas_Test9_Run3/Plate 1/@15/G11_01.tif "/>
    <s v=" 64002.8582 "/>
    <s v=" 42.5657 "/>
    <x v="0"/>
    <n v="2724328"/>
    <m/>
    <m/>
    <m/>
  </r>
  <r>
    <x v="4"/>
    <x v="6"/>
    <s v="C:\Users\andre\Desktop\REACTIV CEFAS\Prochloraz\Prochloraz/20201210_Cefas_Test9_Run3/Plate 1/@15/G11_02.tif "/>
    <s v=" 56107.9467 "/>
    <s v=" 43.7255 "/>
    <x v="0"/>
    <n v="2453349"/>
    <m/>
    <m/>
    <m/>
  </r>
  <r>
    <x v="4"/>
    <x v="6"/>
    <s v="C:\Users\andre\Desktop\REACTIV CEFAS\Prochloraz\Prochloraz/20201210_Cefas_Test9_Run3/Plate 1/@15/G11_03.tif "/>
    <s v=" 51890.1172 "/>
    <s v=" 42.3022 "/>
    <x v="0"/>
    <n v="2195067"/>
    <m/>
    <m/>
    <m/>
  </r>
  <r>
    <x v="4"/>
    <x v="6"/>
    <s v="C:\Users\andre\Desktop\REACTIV CEFAS\Prochloraz\Prochloraz/20201210_Cefas_Test9_Run3/Plate 1/@15/G11_04.tif "/>
    <s v=" 46980.1311 "/>
    <s v=" 43.2937 "/>
    <x v="0"/>
    <n v="2033946"/>
    <m/>
    <m/>
    <m/>
  </r>
  <r>
    <x v="4"/>
    <x v="7"/>
    <s v="C:\Users\andre\Desktop\REACTIV CEFAS\Prochloraz\Prochloraz/20201210_Cefas_Test9_Run3/Plate 1/@15/H11_01- exclu.tif"/>
    <m/>
    <m/>
    <x v="1"/>
    <m/>
    <m/>
    <m/>
    <m/>
  </r>
  <r>
    <x v="4"/>
    <x v="7"/>
    <s v="C:\Users\andre\Desktop\REACTIV CEFAS\Prochloraz\Prochloraz/20201210_Cefas_Test9_Run3/Plate 1/@15/H11_02- exclu.tif"/>
    <m/>
    <m/>
    <x v="1"/>
    <m/>
    <m/>
    <m/>
    <m/>
  </r>
  <r>
    <x v="4"/>
    <x v="7"/>
    <s v="C:\Users\andre\Desktop\REACTIV CEFAS\Prochloraz\Prochloraz/20201210_Cefas_Test9_Run3/Plate 1/@15/H11_03.tif "/>
    <s v=" 38501.2124 "/>
    <s v=" 41.2837 "/>
    <x v="0"/>
    <n v="1589473"/>
    <m/>
    <m/>
    <m/>
  </r>
  <r>
    <x v="4"/>
    <x v="7"/>
    <s v="C:\Users\andre\Desktop\REACTIV CEFAS\Prochloraz\Prochloraz/20201210_Cefas_Test9_Run3/Plate 1/@15/H11_04.tif "/>
    <s v=" 36922.2301 "/>
    <s v=" 40.3749 "/>
    <x v="0"/>
    <n v="1490732"/>
    <m/>
    <m/>
    <m/>
  </r>
  <r>
    <x v="1"/>
    <x v="8"/>
    <s v=" "/>
    <m/>
    <m/>
    <x v="1"/>
    <m/>
    <m/>
    <m/>
    <m/>
  </r>
  <r>
    <x v="1"/>
    <x v="8"/>
    <s v="group "/>
    <s v=" "/>
    <s v=" mean of mean fluo "/>
    <x v="2"/>
    <s v=" mean of total fluo "/>
    <s v=" SD total fluo "/>
    <s v=" n fluorescent "/>
    <s v=" n total"/>
  </r>
  <r>
    <x v="4"/>
    <x v="9"/>
    <s v="C:\Users\andre\Desktop\REACTIV CEFAS\Prochloraz\Prochloraz/20201210_Cefas_Test9_Run3/Plate 1/@15/ "/>
    <s v=" "/>
    <s v=" 44.3554 "/>
    <x v="6"/>
    <s v=" 2536426.22 "/>
    <s v=" 1264019.33 "/>
    <n v="32"/>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C:\Users\andre\Desktop\REACTIV CEFAS\Prochloraz\Prochloraz/20201210_Cefas_Test9_Run3/Plate 1/@16/A12_01.tif "/>
    <s v=" 2292.7688 "/>
    <s v=" 32.717 "/>
    <x v="0"/>
    <n v="75012"/>
    <m/>
    <m/>
    <m/>
  </r>
  <r>
    <x v="5"/>
    <x v="0"/>
    <s v="C:\Users\andre\Desktop\REACTIV CEFAS\Prochloraz\Prochloraz/20201210_Cefas_Test9_Run3/Plate 1/@16/A12_02.tif "/>
    <s v=" 1427.573 "/>
    <s v=" 33.2424 "/>
    <x v="0"/>
    <n v="47456"/>
    <m/>
    <m/>
    <m/>
  </r>
  <r>
    <x v="5"/>
    <x v="0"/>
    <s v="C:\Users\andre\Desktop\REACTIV CEFAS\Prochloraz\Prochloraz/20201210_Cefas_Test9_Run3/Plate 1/@16/A12_03.tif "/>
    <n v="0"/>
    <n v="0"/>
    <x v="0"/>
    <n v="0"/>
    <m/>
    <m/>
    <m/>
  </r>
  <r>
    <x v="5"/>
    <x v="0"/>
    <s v="C:\Users\andre\Desktop\REACTIV CEFAS\Prochloraz\Prochloraz/20201210_Cefas_Test9_Run3/Plate 1/@16/A12_04.tif "/>
    <s v=" 4217.8295 "/>
    <s v=" 35.5231 "/>
    <x v="0"/>
    <n v="149830"/>
    <m/>
    <m/>
    <m/>
  </r>
  <r>
    <x v="5"/>
    <x v="1"/>
    <s v="C:\Users\andre\Desktop\REACTIV CEFAS\Prochloraz\Prochloraz/20201210_Cefas_Test9_Run3/Plate 1/@16/B12_01.tif "/>
    <s v=" 7375.7941 "/>
    <s v=" 37.5543 "/>
    <x v="0"/>
    <n v="276992"/>
    <m/>
    <m/>
    <m/>
  </r>
  <r>
    <x v="5"/>
    <x v="1"/>
    <s v="C:\Users\andre\Desktop\REACTIV CEFAS\Prochloraz\Prochloraz/20201210_Cefas_Test9_Run3/Plate 1/@16/B12_02.tif "/>
    <s v=" 7116.2353 "/>
    <s v=" 39.8723 "/>
    <x v="0"/>
    <n v="283741"/>
    <m/>
    <m/>
    <m/>
  </r>
  <r>
    <x v="5"/>
    <x v="1"/>
    <s v="C:\Users\andre\Desktop\REACTIV CEFAS\Prochloraz\Prochloraz/20201210_Cefas_Test9_Run3/Plate 1/@16/B12_03.tif "/>
    <s v=" 9127.8155 "/>
    <s v=" 39.5308 "/>
    <x v="0"/>
    <n v="360830"/>
    <m/>
    <m/>
    <m/>
  </r>
  <r>
    <x v="5"/>
    <x v="1"/>
    <s v="C:\Users\andre\Desktop\REACTIV CEFAS\Prochloraz\Prochloraz/20201210_Cefas_Test9_Run3/Plate 1/@16/B12_04.tif "/>
    <s v=" 8197.7301 "/>
    <s v=" 39.2111 "/>
    <x v="0"/>
    <n v="321442"/>
    <m/>
    <m/>
    <m/>
  </r>
  <r>
    <x v="5"/>
    <x v="2"/>
    <s v="C:\Users\andre\Desktop\REACTIV CEFAS\Prochloraz\Prochloraz/20201210_Cefas_Test9_Run3/Plate 1/@16/C12_01.tif "/>
    <s v=" 627.2669 "/>
    <s v=" 31.1034 "/>
    <x v="0"/>
    <n v="19510"/>
    <m/>
    <m/>
    <m/>
  </r>
  <r>
    <x v="5"/>
    <x v="2"/>
    <s v="C:\Users\andre\Desktop\REACTIV CEFAS\Prochloraz\Prochloraz/20201210_Cefas_Test9_Run3/Plate 1/@16/C12_02.tif "/>
    <s v=" 194.6691 "/>
    <s v=" 30.5556 "/>
    <x v="0"/>
    <n v="5948"/>
    <m/>
    <m/>
    <m/>
  </r>
  <r>
    <x v="5"/>
    <x v="2"/>
    <s v="C:\Users\andre\Desktop\REACTIV CEFAS\Prochloraz\Prochloraz/20201210_Cefas_Test9_Run3/Plate 1/@16/C12_03.tif "/>
    <s v=" 3244.4842 "/>
    <s v=" 33.1333 "/>
    <x v="0"/>
    <n v="107501"/>
    <m/>
    <m/>
    <m/>
  </r>
  <r>
    <x v="5"/>
    <x v="2"/>
    <s v="C:\Users\andre\Desktop\REACTIV CEFAS\Prochloraz\Prochloraz/20201210_Cefas_Test9_Run3/Plate 1/@16/C12_04.tif "/>
    <s v=" 2227.8791 "/>
    <s v=" 31.7282 "/>
    <x v="0"/>
    <n v="70686"/>
    <m/>
    <m/>
    <m/>
  </r>
  <r>
    <x v="5"/>
    <x v="3"/>
    <s v="C:\Users\andre\Desktop\REACTIV CEFAS\Prochloraz\Prochloraz/20201210_Cefas_Test9_Run3/Plate 1/@16/D12_01.tif "/>
    <s v=" 4736.9469 "/>
    <s v=" 37.758 "/>
    <x v="0"/>
    <n v="178858"/>
    <m/>
    <m/>
    <m/>
  </r>
  <r>
    <x v="5"/>
    <x v="3"/>
    <s v="C:\Users\andre\Desktop\REACTIV CEFAS\Prochloraz\Prochloraz/20201210_Cefas_Test9_Run3/Plate 1/@16/D12_02.tif "/>
    <s v=" 5667.0324 "/>
    <s v=" 34.2366 "/>
    <x v="0"/>
    <n v="194020"/>
    <m/>
    <m/>
    <m/>
  </r>
  <r>
    <x v="5"/>
    <x v="3"/>
    <s v="C:\Users\andre\Desktop\REACTIV CEFAS\Prochloraz\Prochloraz/20201210_Cefas_Test9_Run3/Plate 1/@16/D12_03.tif "/>
    <s v=" 4693.6871 "/>
    <s v=" 35.3318 "/>
    <x v="0"/>
    <n v="165836"/>
    <m/>
    <m/>
    <m/>
  </r>
  <r>
    <x v="5"/>
    <x v="3"/>
    <s v="C:\Users\andre\Desktop\REACTIV CEFAS\Prochloraz\Prochloraz/20201210_Cefas_Test9_Run3/Plate 1/@16/D12_04.tif "/>
    <s v=" 4845.0964 "/>
    <s v=" 34.5804 "/>
    <x v="0"/>
    <n v="167545"/>
    <m/>
    <m/>
    <m/>
  </r>
  <r>
    <x v="5"/>
    <x v="4"/>
    <s v="C:\Users\andre\Desktop\REACTIV CEFAS\Prochloraz\Prochloraz/20201210_Cefas_Test9_Run3/Plate 1/@16/E12_01.tif "/>
    <s v=" 12242.5204 "/>
    <s v=" 39.6625 "/>
    <x v="0"/>
    <n v="485570"/>
    <m/>
    <m/>
    <m/>
  </r>
  <r>
    <x v="5"/>
    <x v="4"/>
    <s v="C:\Users\andre\Desktop\REACTIV CEFAS\Prochloraz\Prochloraz/20201210_Cefas_Test9_Run3/Plate 1/@16/E12_02.tif "/>
    <s v=" 6683.6374 "/>
    <s v=" 35.6311 "/>
    <x v="0"/>
    <n v="238145"/>
    <m/>
    <m/>
    <m/>
  </r>
  <r>
    <x v="5"/>
    <x v="4"/>
    <s v="C:\Users\andre\Desktop\REACTIV CEFAS\Prochloraz\Prochloraz/20201210_Cefas_Test9_Run3/Plate 1/@16/E12_03.tif "/>
    <s v=" 13497.0542 "/>
    <s v=" 42.226 "/>
    <x v="0"/>
    <n v="569926"/>
    <m/>
    <m/>
    <m/>
  </r>
  <r>
    <x v="5"/>
    <x v="4"/>
    <s v="C:\Users\andre\Desktop\REACTIV CEFAS\Prochloraz\Prochloraz/20201210_Cefas_Test9_Run3/Plate 1/@16/E12_04- exclu.tif"/>
    <m/>
    <m/>
    <x v="1"/>
    <m/>
    <m/>
    <m/>
    <m/>
  </r>
  <r>
    <x v="5"/>
    <x v="5"/>
    <s v="C:\Users\andre\Desktop\REACTIV CEFAS\Prochloraz\Prochloraz/20201210_Cefas_Test9_Run3/Plate 1/@16/F12_01.tif "/>
    <s v=" 8651.9579 "/>
    <s v=" 42.8125 "/>
    <x v="0"/>
    <n v="370412"/>
    <m/>
    <m/>
    <m/>
  </r>
  <r>
    <x v="5"/>
    <x v="5"/>
    <s v="C:\Users\andre\Desktop\REACTIV CEFAS\Prochloraz\Prochloraz/20201210_Cefas_Test9_Run3/Plate 1/@16/F12_02- exclu.tif"/>
    <m/>
    <m/>
    <x v="1"/>
    <m/>
    <m/>
    <m/>
    <m/>
  </r>
  <r>
    <x v="5"/>
    <x v="5"/>
    <s v="C:\Users\andre\Desktop\REACTIV CEFAS\Prochloraz\Prochloraz/20201210_Cefas_Test9_Run3/Plate 1/@16/F12_03- exclu.tif"/>
    <m/>
    <m/>
    <x v="1"/>
    <m/>
    <m/>
    <m/>
    <m/>
  </r>
  <r>
    <x v="5"/>
    <x v="5"/>
    <s v="C:\Users\andre\Desktop\REACTIV CEFAS\Prochloraz\Prochloraz/20201210_Cefas_Test9_Run3/Plate 1/@16/F12_04- exclu.tif"/>
    <m/>
    <m/>
    <x v="1"/>
    <m/>
    <m/>
    <m/>
    <m/>
  </r>
  <r>
    <x v="5"/>
    <x v="6"/>
    <s v="C:\Users\andre\Desktop\REACTIV CEFAS\Prochloraz\Prochloraz/20201210_Cefas_Test9_Run3/Plate 1/@16/G12_01.tif "/>
    <s v=" 540.7474 "/>
    <s v=" 32.16 "/>
    <x v="0"/>
    <n v="17390"/>
    <m/>
    <m/>
    <m/>
  </r>
  <r>
    <x v="5"/>
    <x v="6"/>
    <s v="C:\Users\andre\Desktop\REACTIV CEFAS\Prochloraz\Prochloraz/20201210_Cefas_Test9_Run3/Plate 1/@16/G12_02.tif "/>
    <n v="0"/>
    <n v="0"/>
    <x v="0"/>
    <n v="0"/>
    <m/>
    <m/>
    <m/>
  </r>
  <r>
    <x v="5"/>
    <x v="6"/>
    <s v="C:\Users\andre\Desktop\REACTIV CEFAS\Prochloraz\Prochloraz/20201210_Cefas_Test9_Run3/Plate 1/@16/G12_03.tif "/>
    <s v=" 151.4093 "/>
    <s v=" 32.1429 "/>
    <x v="0"/>
    <n v="4867"/>
    <m/>
    <m/>
    <m/>
  </r>
  <r>
    <x v="5"/>
    <x v="6"/>
    <s v="C:\Users\andre\Desktop\REACTIV CEFAS\Prochloraz\Prochloraz/20201210_Cefas_Test9_Run3/Plate 1/@16/G12_04.tif "/>
    <s v=" 930.0855 "/>
    <s v=" 33.9767 "/>
    <x v="0"/>
    <n v="31601"/>
    <m/>
    <m/>
    <m/>
  </r>
  <r>
    <x v="5"/>
    <x v="7"/>
    <s v="C:\Users\andre\Desktop\REACTIV CEFAS\Prochloraz\Prochloraz/20201210_Cefas_Test9_Run3/Plate 1/@16/H12_01.tif "/>
    <s v=" 3698.712 "/>
    <s v=" 38.0702 "/>
    <x v="0"/>
    <n v="140811"/>
    <m/>
    <m/>
    <m/>
  </r>
  <r>
    <x v="5"/>
    <x v="7"/>
    <s v="C:\Users\andre\Desktop\REACTIV CEFAS\Prochloraz\Prochloraz/20201210_Cefas_Test9_Run3/Plate 1/@16/H12_02.tif "/>
    <s v=" 10014.6412 "/>
    <s v=" 39.4989 "/>
    <x v="0"/>
    <n v="395568"/>
    <m/>
    <m/>
    <m/>
  </r>
  <r>
    <x v="5"/>
    <x v="7"/>
    <s v="C:\Users\andre\Desktop\REACTIV CEFAS\Prochloraz\Prochloraz/20201210_Cefas_Test9_Run3/Plate 1/@16/H12_03.tif "/>
    <n v="0"/>
    <n v="0"/>
    <x v="0"/>
    <n v="0"/>
    <m/>
    <m/>
    <m/>
  </r>
  <r>
    <x v="5"/>
    <x v="7"/>
    <s v="C:\Users\andre\Desktop\REACTIV CEFAS\Prochloraz\Prochloraz/20201210_Cefas_Test9_Run3/Plate 1/@16/H12_04.tif "/>
    <s v=" 5212.8046 "/>
    <s v=" 39.0913 "/>
    <x v="0"/>
    <n v="203775"/>
    <m/>
    <m/>
    <m/>
  </r>
  <r>
    <x v="1"/>
    <x v="8"/>
    <s v=" "/>
    <m/>
    <m/>
    <x v="1"/>
    <m/>
    <m/>
    <m/>
    <m/>
  </r>
  <r>
    <x v="1"/>
    <x v="8"/>
    <s v="group "/>
    <s v=" "/>
    <s v=" mean of mean fluo "/>
    <x v="2"/>
    <s v=" mean of total fluo "/>
    <s v=" SD total fluo "/>
    <s v=" n fluorescent "/>
    <s v=" n total"/>
  </r>
  <r>
    <x v="5"/>
    <x v="9"/>
    <s v="C:\Users\andre\Desktop\REACTIV CEFAS\Prochloraz\Prochloraz/20201210_Cefas_Test9_Run3/Plate 1/@16/ "/>
    <s v=" "/>
    <s v=" 34.1732 "/>
    <x v="7"/>
    <s v=" 233703.531 "/>
    <s v=" 219019.115 "/>
    <n v="29"/>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C:\Users\andre\Desktop\REACTIV CEFAS\Prochloraz\Prochloraz/20201210_Cefas_Test9_Run3/Plate 1/@2/A2_01.tif "/>
    <s v=" 2487.4379 "/>
    <s v=" 33.0261 "/>
    <x v="0"/>
    <n v="82150"/>
    <m/>
    <m/>
    <m/>
  </r>
  <r>
    <x v="6"/>
    <x v="0"/>
    <s v="C:\Users\andre\Desktop\REACTIV CEFAS\Prochloraz\Prochloraz/20201210_Cefas_Test9_Run3/Plate 1/@2/A2_02.tif "/>
    <s v=" 1665.5019 "/>
    <n v="34"/>
    <x v="0"/>
    <n v="56627"/>
    <m/>
    <m/>
    <m/>
  </r>
  <r>
    <x v="6"/>
    <x v="0"/>
    <s v="C:\Users\andre\Desktop\REACTIV CEFAS\Prochloraz\Prochloraz/20201210_Cefas_Test9_Run3/Plate 1/@2/A2_03.tif "/>
    <s v=" 108.1495 "/>
    <s v=" 32.4 "/>
    <x v="0"/>
    <n v="3504"/>
    <m/>
    <m/>
    <m/>
  </r>
  <r>
    <x v="6"/>
    <x v="0"/>
    <s v="C:\Users\andre\Desktop\REACTIV CEFAS\Prochloraz\Prochloraz/20201210_Cefas_Test9_Run3/Plate 1/@2/A2_04.tif "/>
    <s v=" 1600.6122 "/>
    <s v=" 34.4865 "/>
    <x v="0"/>
    <n v="55199"/>
    <m/>
    <m/>
    <m/>
  </r>
  <r>
    <x v="6"/>
    <x v="1"/>
    <s v="C:\Users\andre\Desktop\REACTIV CEFAS\Prochloraz\Prochloraz/20201210_Cefas_Test9_Run3/Plate 1/@2/B2_01.tif "/>
    <s v=" 3893.381 "/>
    <s v=" 33.5444 "/>
    <x v="0"/>
    <n v="130601"/>
    <m/>
    <m/>
    <m/>
  </r>
  <r>
    <x v="6"/>
    <x v="1"/>
    <s v="C:\Users\andre\Desktop\REACTIV CEFAS\Prochloraz\Prochloraz/20201210_Cefas_Test9_Run3/Plate 1/@2/B2_02.tif "/>
    <s v=" 367.7082 "/>
    <s v=" 32.2353 "/>
    <x v="0"/>
    <n v="11853"/>
    <m/>
    <m/>
    <m/>
  </r>
  <r>
    <x v="6"/>
    <x v="1"/>
    <s v="C:\Users\andre\Desktop\REACTIV CEFAS\Prochloraz\Prochloraz/20201210_Cefas_Test9_Run3/Plate 1/@2/B2_03.tif "/>
    <s v=" 7051.3456 "/>
    <s v=" 40.8067 "/>
    <x v="0"/>
    <n v="287742"/>
    <m/>
    <m/>
    <m/>
  </r>
  <r>
    <x v="6"/>
    <x v="1"/>
    <s v="C:\Users\andre\Desktop\REACTIV CEFAS\Prochloraz\Prochloraz/20201210_Cefas_Test9_Run3/Plate 1/@2/B2_04.tif "/>
    <s v=" 2725.3667 "/>
    <s v=" 35.127 "/>
    <x v="0"/>
    <n v="95734"/>
    <m/>
    <m/>
    <m/>
  </r>
  <r>
    <x v="6"/>
    <x v="2"/>
    <s v="C:\Users\andre\Desktop\REACTIV CEFAS\Prochloraz\Prochloraz/20201210_Cefas_Test9_Run3/Plate 1/@2/C2_01.tif "/>
    <s v=" 1578.9823 "/>
    <s v=" 32.0959 "/>
    <x v="0"/>
    <n v="50679"/>
    <m/>
    <m/>
    <m/>
  </r>
  <r>
    <x v="6"/>
    <x v="2"/>
    <s v="C:\Users\andre\Desktop\REACTIV CEFAS\Prochloraz\Prochloraz/20201210_Cefas_Test9_Run3/Plate 1/@2/C2_02.tif "/>
    <s v=" 1989.9503 "/>
    <s v=" 34.8261 "/>
    <x v="0"/>
    <n v="69302"/>
    <m/>
    <m/>
    <m/>
  </r>
  <r>
    <x v="6"/>
    <x v="2"/>
    <s v="C:\Users\andre\Desktop\REACTIV CEFAS\Prochloraz\Prochloraz/20201210_Cefas_Test9_Run3/Plate 1/@2/C2_03.tif "/>
    <s v=" 259.5587 "/>
    <s v=" 30.5833 "/>
    <x v="0"/>
    <n v="7938"/>
    <m/>
    <m/>
    <m/>
  </r>
  <r>
    <x v="6"/>
    <x v="2"/>
    <s v="C:\Users\andre\Desktop\REACTIV CEFAS\Prochloraz\Prochloraz/20201210_Cefas_Test9_Run3/Plate 1/@2/C2_04.tif "/>
    <s v=" 2206.2493 "/>
    <s v=" 34.2843 "/>
    <x v="0"/>
    <n v="75640"/>
    <m/>
    <m/>
    <m/>
  </r>
  <r>
    <x v="6"/>
    <x v="3"/>
    <s v="C:\Users\andre\Desktop\REACTIV CEFAS\Prochloraz\Prochloraz/20201210_Cefas_Test9_Run3/Plate 1/@2/D2_01.tif "/>
    <s v=" 2573.9575 "/>
    <s v=" 32.8571 "/>
    <x v="0"/>
    <n v="84573"/>
    <m/>
    <m/>
    <m/>
  </r>
  <r>
    <x v="6"/>
    <x v="3"/>
    <s v="C:\Users\andre\Desktop\REACTIV CEFAS\Prochloraz\Prochloraz/20201210_Cefas_Test9_Run3/Plate 1/@2/D2_02.tif "/>
    <s v=" 1405.9432 "/>
    <s v=" 32.4615 "/>
    <x v="0"/>
    <n v="45639"/>
    <m/>
    <m/>
    <m/>
  </r>
  <r>
    <x v="6"/>
    <x v="3"/>
    <s v="C:\Users\andre\Desktop\REACTIV CEFAS\Prochloraz\Prochloraz/20201210_Cefas_Test9_Run3/Plate 1/@2/D2_03.tif "/>
    <s v=" 4607.1676 "/>
    <s v=" 36.5869 "/>
    <x v="0"/>
    <n v="168562"/>
    <m/>
    <m/>
    <m/>
  </r>
  <r>
    <x v="6"/>
    <x v="3"/>
    <s v="C:\Users\andre\Desktop\REACTIV CEFAS\Prochloraz\Prochloraz/20201210_Cefas_Test9_Run3/Plate 1/@2/D2_04.tif "/>
    <s v=" 108.1495 "/>
    <s v=" 30.6 "/>
    <x v="0"/>
    <n v="3309"/>
    <m/>
    <m/>
    <m/>
  </r>
  <r>
    <x v="6"/>
    <x v="4"/>
    <s v="C:\Users\andre\Desktop\REACTIV CEFAS\Prochloraz\Prochloraz/20201210_Cefas_Test9_Run3/Plate 1/@2/E2_01.tif "/>
    <s v=" 21.6299 "/>
    <n v="30"/>
    <x v="0"/>
    <n v="649"/>
    <m/>
    <m/>
    <m/>
  </r>
  <r>
    <x v="6"/>
    <x v="4"/>
    <s v="C:\Users\andre\Desktop\REACTIV CEFAS\Prochloraz\Prochloraz/20201210_Cefas_Test9_Run3/Plate 1/@2/E2_02.tif "/>
    <s v=" 43.2598 "/>
    <n v="30"/>
    <x v="0"/>
    <n v="1298"/>
    <m/>
    <m/>
    <m/>
  </r>
  <r>
    <x v="6"/>
    <x v="4"/>
    <s v="C:\Users\andre\Desktop\REACTIV CEFAS\Prochloraz\Prochloraz/20201210_Cefas_Test9_Run3/Plate 1/@2/E2_03.tif "/>
    <s v=" 64.8897 "/>
    <n v="30"/>
    <x v="0"/>
    <n v="1947"/>
    <m/>
    <m/>
    <m/>
  </r>
  <r>
    <x v="6"/>
    <x v="4"/>
    <s v="C:\Users\andre\Desktop\REACTIV CEFAS\Prochloraz\Prochloraz/20201210_Cefas_Test9_Run3/Plate 1/@2/E2_04.tif "/>
    <n v="0"/>
    <n v="0"/>
    <x v="0"/>
    <n v="0"/>
    <m/>
    <m/>
    <m/>
  </r>
  <r>
    <x v="6"/>
    <x v="5"/>
    <s v="C:\Users\andre\Desktop\REACTIV CEFAS\Prochloraz\Prochloraz/20201210_Cefas_Test9_Run3/Plate 1/@2/F2_01- exclu.tif"/>
    <m/>
    <m/>
    <x v="1"/>
    <m/>
    <m/>
    <m/>
    <m/>
  </r>
  <r>
    <x v="6"/>
    <x v="5"/>
    <s v="C:\Users\andre\Desktop\REACTIV CEFAS\Prochloraz\Prochloraz/20201210_Cefas_Test9_Run3/Plate 1/@2/F2_02- exclu.tif"/>
    <m/>
    <m/>
    <x v="1"/>
    <m/>
    <m/>
    <m/>
    <m/>
  </r>
  <r>
    <x v="6"/>
    <x v="5"/>
    <s v="C:\Users\andre\Desktop\REACTIV CEFAS\Prochloraz\Prochloraz/20201210_Cefas_Test9_Run3/Plate 1/@2/F2_03- exclu.tif"/>
    <m/>
    <m/>
    <x v="1"/>
    <m/>
    <m/>
    <m/>
    <m/>
  </r>
  <r>
    <x v="6"/>
    <x v="5"/>
    <s v="C:\Users\andre\Desktop\REACTIV CEFAS\Prochloraz\Prochloraz/20201210_Cefas_Test9_Run3/Plate 1/@2/F2_04- exclu.tif"/>
    <m/>
    <m/>
    <x v="1"/>
    <m/>
    <m/>
    <m/>
    <m/>
  </r>
  <r>
    <x v="6"/>
    <x v="6"/>
    <s v="C:\Users\andre\Desktop\REACTIV CEFAS\Prochloraz\Prochloraz/20201210_Cefas_Test9_Run3/Plate 1/@2/G2_01.tif "/>
    <s v=" 1384.3133 "/>
    <s v=" 33.2812 "/>
    <x v="0"/>
    <n v="46072"/>
    <m/>
    <m/>
    <m/>
  </r>
  <r>
    <x v="6"/>
    <x v="6"/>
    <s v="C:\Users\andre\Desktop\REACTIV CEFAS\Prochloraz\Prochloraz/20201210_Cefas_Test9_Run3/Plate 1/@2/G2_02.tif "/>
    <s v=" 2703.7368 "/>
    <s v=" 35.216 "/>
    <x v="0"/>
    <n v="95215"/>
    <m/>
    <m/>
    <m/>
  </r>
  <r>
    <x v="6"/>
    <x v="6"/>
    <s v="C:\Users\andre\Desktop\REACTIV CEFAS\Prochloraz\Prochloraz/20201210_Cefas_Test9_Run3/Plate 1/@2/G2_03.tif "/>
    <s v=" 3612.1924 "/>
    <s v=" 35.7605 "/>
    <x v="0"/>
    <n v="129174"/>
    <m/>
    <m/>
    <m/>
  </r>
  <r>
    <x v="6"/>
    <x v="6"/>
    <s v="C:\Users\andre\Desktop\REACTIV CEFAS\Prochloraz\Prochloraz/20201210_Cefas_Test9_Run3/Plate 1/@2/G2_04- exclu.tif"/>
    <m/>
    <m/>
    <x v="1"/>
    <m/>
    <m/>
    <m/>
    <m/>
  </r>
  <r>
    <x v="6"/>
    <x v="7"/>
    <s v="C:\Users\andre\Desktop\REACTIV CEFAS\Prochloraz\Prochloraz/20201210_Cefas_Test9_Run3/Plate 1/@2/H2_01.tif "/>
    <s v=" 7765.1322 "/>
    <s v=" 37.5682 "/>
    <x v="0"/>
    <n v="291722"/>
    <m/>
    <m/>
    <m/>
  </r>
  <r>
    <x v="6"/>
    <x v="7"/>
    <s v="C:\Users\andre\Desktop\REACTIV CEFAS\Prochloraz\Prochloraz/20201210_Cefas_Test9_Run3/Plate 1/@2/H2_02.tif "/>
    <s v=" 6726.8972 "/>
    <s v=" 35.8296 "/>
    <x v="0"/>
    <n v="241022"/>
    <m/>
    <m/>
    <m/>
  </r>
  <r>
    <x v="6"/>
    <x v="7"/>
    <s v="C:\Users\andre\Desktop\REACTIV CEFAS\Prochloraz\Prochloraz/20201210_Cefas_Test9_Run3/Plate 1/@2/H2_03.tif "/>
    <n v="0"/>
    <n v="0"/>
    <x v="0"/>
    <n v="0"/>
    <m/>
    <m/>
    <m/>
  </r>
  <r>
    <x v="6"/>
    <x v="7"/>
    <s v="C:\Users\andre\Desktop\REACTIV CEFAS\Prochloraz\Prochloraz/20201210_Cefas_Test9_Run3/Plate 1/@2/H2_04.tif "/>
    <s v=" 6186.1499 "/>
    <s v=" 37.6748 "/>
    <x v="0"/>
    <n v="233062"/>
    <m/>
    <m/>
    <m/>
  </r>
  <r>
    <x v="1"/>
    <x v="8"/>
    <s v=" "/>
    <m/>
    <m/>
    <x v="1"/>
    <m/>
    <m/>
    <m/>
    <m/>
  </r>
  <r>
    <x v="1"/>
    <x v="8"/>
    <s v="group "/>
    <s v=" "/>
    <s v=" mean of mean fluo "/>
    <x v="2"/>
    <s v=" mean of total fluo "/>
    <s v=" SD total fluo "/>
    <s v=" n fluorescent "/>
    <s v=" n total"/>
  </r>
  <r>
    <x v="6"/>
    <x v="9"/>
    <s v="C:\Users\andre\Desktop\REACTIV CEFAS\Prochloraz\Prochloraz/20201210_Cefas_Test9_Run3/Plate 1/@2/ "/>
    <s v=" "/>
    <s v=" 32.7899 "/>
    <x v="8"/>
    <s v=" 185895.375 "/>
    <s v=" 295092.582 "/>
    <n v="29"/>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C:\Users\andre\Desktop\REACTIV CEFAS\Prochloraz\Prochloraz/20201210_Cefas_Test9_Run3/Plate 1/@3/A3_01.tif "/>
    <s v=" 281.1886 "/>
    <n v="31"/>
    <x v="0"/>
    <n v="8717"/>
    <m/>
    <m/>
    <m/>
  </r>
  <r>
    <x v="7"/>
    <x v="0"/>
    <s v="C:\Users\andre\Desktop\REACTIV CEFAS\Prochloraz\Prochloraz/20201210_Cefas_Test9_Run3/Plate 1/@3/A3_02.tif "/>
    <s v=" 64.8897 "/>
    <n v="31"/>
    <x v="0"/>
    <n v="2012"/>
    <m/>
    <m/>
    <m/>
  </r>
  <r>
    <x v="7"/>
    <x v="0"/>
    <s v="C:\Users\andre\Desktop\REACTIV CEFAS\Prochloraz\Prochloraz/20201210_Cefas_Test9_Run3/Plate 1/@3/A3_03.tif "/>
    <s v=" 2162.9895 "/>
    <s v=" 32.63 "/>
    <x v="0"/>
    <n v="70578"/>
    <m/>
    <m/>
    <m/>
  </r>
  <r>
    <x v="7"/>
    <x v="0"/>
    <s v="C:\Users\andre\Desktop\REACTIV CEFAS\Prochloraz\Prochloraz/20201210_Cefas_Test9_Run3/Plate 1/@3/A3_04.tif "/>
    <s v=" 151.4093 "/>
    <s v=" 30.5714 "/>
    <x v="0"/>
    <n v="4629"/>
    <m/>
    <m/>
    <m/>
  </r>
  <r>
    <x v="7"/>
    <x v="1"/>
    <s v="C:\Users\andre\Desktop\REACTIV CEFAS\Prochloraz\Prochloraz/20201210_Cefas_Test9_Run3/Plate 1/@3/B3_01.tif "/>
    <s v=" 25047.418 "/>
    <s v=" 33.2392 "/>
    <x v="0"/>
    <n v="832556"/>
    <m/>
    <m/>
    <m/>
  </r>
  <r>
    <x v="7"/>
    <x v="1"/>
    <s v="C:\Users\andre\Desktop\REACTIV CEFAS\Prochloraz\Prochloraz/20201210_Cefas_Test9_Run3/Plate 1/@3/B3_02.tif "/>
    <s v=" 33915.6748 "/>
    <s v=" 36.5204 "/>
    <x v="0"/>
    <n v="1238614"/>
    <m/>
    <m/>
    <m/>
  </r>
  <r>
    <x v="7"/>
    <x v="1"/>
    <s v="C:\Users\andre\Desktop\REACTIV CEFAS\Prochloraz\Prochloraz/20201210_Cefas_Test9_Run3/Plate 1/@3/B3_03.tif "/>
    <s v=" 29676.2154 "/>
    <s v=" 33.9599 "/>
    <x v="0"/>
    <n v="1007802"/>
    <m/>
    <m/>
    <m/>
  </r>
  <r>
    <x v="7"/>
    <x v="1"/>
    <s v="C:\Users\andre\Desktop\REACTIV CEFAS\Prochloraz\Prochloraz/20201210_Cefas_Test9_Run3/Plate 1/@3/B3_04.tif "/>
    <s v=" 31471.4967 "/>
    <s v=" 35.3155 "/>
    <x v="0"/>
    <n v="1111431"/>
    <m/>
    <m/>
    <m/>
  </r>
  <r>
    <x v="7"/>
    <x v="2"/>
    <s v="C:\Users\andre\Desktop\REACTIV CEFAS\Prochloraz\Prochloraz/20201210_Cefas_Test9_Run3/Plate 1/@3/C3_01.tif "/>
    <s v=" 7419.0539 "/>
    <s v=" 34.4198 "/>
    <x v="0"/>
    <n v="255363"/>
    <m/>
    <m/>
    <m/>
  </r>
  <r>
    <x v="7"/>
    <x v="2"/>
    <s v="C:\Users\andre\Desktop\REACTIV CEFAS\Prochloraz\Prochloraz/20201210_Cefas_Test9_Run3/Plate 1/@3/C3_02.tif "/>
    <s v=" 1989.9503 "/>
    <s v=" 32.1087 "/>
    <x v="0"/>
    <n v="63895"/>
    <m/>
    <m/>
    <m/>
  </r>
  <r>
    <x v="7"/>
    <x v="2"/>
    <s v="C:\Users\andre\Desktop\REACTIV CEFAS\Prochloraz\Prochloraz/20201210_Cefas_Test9_Run3/Plate 1/@3/C3_03.tif "/>
    <s v=" 5126.285 "/>
    <s v=" 34.5738 "/>
    <x v="0"/>
    <n v="177235"/>
    <m/>
    <m/>
    <m/>
  </r>
  <r>
    <x v="7"/>
    <x v="2"/>
    <s v="C:\Users\andre\Desktop\REACTIV CEFAS\Prochloraz\Prochloraz/20201210_Cefas_Test9_Run3/Plate 1/@3/C3_04.tif "/>
    <s v=" 6294.2993 "/>
    <s v=" 34.7216 "/>
    <x v="0"/>
    <n v="218548"/>
    <m/>
    <m/>
    <m/>
  </r>
  <r>
    <x v="7"/>
    <x v="3"/>
    <s v="C:\Users\andre\Desktop\REACTIV CEFAS\Prochloraz\Prochloraz/20201210_Cefas_Test9_Run3/Plate 1/@3/D3_01.tif "/>
    <s v=" 7440.6838 "/>
    <s v=" 38.0988 "/>
    <x v="0"/>
    <n v="283481"/>
    <m/>
    <m/>
    <m/>
  </r>
  <r>
    <x v="7"/>
    <x v="3"/>
    <s v="C:\Users\andre\Desktop\REACTIV CEFAS\Prochloraz\Prochloraz/20201210_Cefas_Test9_Run3/Plate 1/@3/D3_02- exclu.tif"/>
    <m/>
    <m/>
    <x v="1"/>
    <m/>
    <m/>
    <m/>
    <m/>
  </r>
  <r>
    <x v="7"/>
    <x v="3"/>
    <s v="C:\Users\andre\Desktop\REACTIV CEFAS\Prochloraz\Prochloraz/20201210_Cefas_Test9_Run3/Plate 1/@3/D3_03- exclu.tif"/>
    <m/>
    <m/>
    <x v="1"/>
    <m/>
    <m/>
    <m/>
    <m/>
  </r>
  <r>
    <x v="7"/>
    <x v="3"/>
    <s v="C:\Users\andre\Desktop\REACTIV CEFAS\Prochloraz\Prochloraz/20201210_Cefas_Test9_Run3/Plate 1/@3/D3_04- exclu.tif"/>
    <m/>
    <m/>
    <x v="1"/>
    <m/>
    <m/>
    <m/>
    <m/>
  </r>
  <r>
    <x v="7"/>
    <x v="4"/>
    <s v="C:\Users\andre\Desktop\REACTIV CEFAS\Prochloraz\Prochloraz/20201210_Cefas_Test9_Run3/Plate 1/@3/E3_01.tif "/>
    <s v=" 1384.3133 "/>
    <s v=" 31.0156 "/>
    <x v="0"/>
    <n v="42935"/>
    <m/>
    <m/>
    <m/>
  </r>
  <r>
    <x v="7"/>
    <x v="4"/>
    <s v="C:\Users\andre\Desktop\REACTIV CEFAS\Prochloraz\Prochloraz/20201210_Cefas_Test9_Run3/Plate 1/@3/E3_02.tif "/>
    <s v=" 5991.4808 "/>
    <s v=" 39.2383 "/>
    <x v="0"/>
    <n v="235095"/>
    <m/>
    <m/>
    <m/>
  </r>
  <r>
    <x v="7"/>
    <x v="4"/>
    <s v="C:\Users\andre\Desktop\REACTIV CEFAS\Prochloraz\Prochloraz/20201210_Cefas_Test9_Run3/Plate 1/@3/E3_03.tif "/>
    <s v=" 3741.9718 "/>
    <s v=" 35.5087 "/>
    <x v="0"/>
    <n v="132872"/>
    <m/>
    <m/>
    <m/>
  </r>
  <r>
    <x v="7"/>
    <x v="4"/>
    <s v="C:\Users\andre\Desktop\REACTIV CEFAS\Prochloraz\Prochloraz/20201210_Cefas_Test9_Run3/Plate 1/@3/E3_04.tif "/>
    <s v=" 5407.4737 "/>
    <s v=" 39.468 "/>
    <x v="0"/>
    <n v="213422"/>
    <m/>
    <m/>
    <m/>
  </r>
  <r>
    <x v="7"/>
    <x v="5"/>
    <s v="C:\Users\andre\Desktop\REACTIV CEFAS\Prochloraz\Prochloraz/20201210_Cefas_Test9_Run3/Plate 1/@3/F3_01.tif "/>
    <s v=" 4563.9078 "/>
    <s v=" 34.872 "/>
    <x v="0"/>
    <n v="159153"/>
    <m/>
    <m/>
    <m/>
  </r>
  <r>
    <x v="7"/>
    <x v="5"/>
    <s v="C:\Users\andre\Desktop\REACTIV CEFAS\Prochloraz\Prochloraz/20201210_Cefas_Test9_Run3/Plate 1/@3/F3_02.tif "/>
    <s v=" 1384.3133 "/>
    <s v=" 33.5781 "/>
    <x v="0"/>
    <n v="46483"/>
    <m/>
    <m/>
    <m/>
  </r>
  <r>
    <x v="7"/>
    <x v="5"/>
    <s v="C:\Users\andre\Desktop\REACTIV CEFAS\Prochloraz\Prochloraz/20201210_Cefas_Test9_Run3/Plate 1/@3/F3_03.tif "/>
    <s v=" 4499.0181 "/>
    <s v=" 37.1298 "/>
    <x v="0"/>
    <n v="167048"/>
    <m/>
    <m/>
    <m/>
  </r>
  <r>
    <x v="7"/>
    <x v="5"/>
    <s v="C:\Users\andre\Desktop\REACTIV CEFAS\Prochloraz\Prochloraz/20201210_Cefas_Test9_Run3/Plate 1/@3/F3_04.tif "/>
    <n v="0"/>
    <n v="0"/>
    <x v="0"/>
    <n v="0"/>
    <m/>
    <m/>
    <m/>
  </r>
  <r>
    <x v="7"/>
    <x v="6"/>
    <s v="C:\Users\andre\Desktop\REACTIV CEFAS\Prochloraz\Prochloraz/20201210_Cefas_Test9_Run3/Plate 1/@3/G3_01.tif "/>
    <n v="0"/>
    <n v="0"/>
    <x v="0"/>
    <n v="0"/>
    <m/>
    <m/>
    <m/>
  </r>
  <r>
    <x v="7"/>
    <x v="6"/>
    <s v="C:\Users\andre\Desktop\REACTIV CEFAS\Prochloraz\Prochloraz/20201210_Cefas_Test9_Run3/Plate 1/@3/G3_02.tif "/>
    <s v=" 9582.0433 "/>
    <s v=" 38.7946 "/>
    <x v="0"/>
    <n v="371731"/>
    <m/>
    <m/>
    <m/>
  </r>
  <r>
    <x v="7"/>
    <x v="6"/>
    <s v="C:\Users\andre\Desktop\REACTIV CEFAS\Prochloraz\Prochloraz/20201210_Cefas_Test9_Run3/Plate 1/@3/G3_03- exclu.tif"/>
    <m/>
    <m/>
    <x v="1"/>
    <m/>
    <m/>
    <m/>
    <m/>
  </r>
  <r>
    <x v="7"/>
    <x v="6"/>
    <s v="C:\Users\andre\Desktop\REACTIV CEFAS\Prochloraz\Prochloraz/20201210_Cefas_Test9_Run3/Plate 1/@3/G3_04.tif "/>
    <s v=" 8954.7764 "/>
    <s v=" 40.4324 "/>
    <x v="0"/>
    <n v="362063"/>
    <m/>
    <m/>
    <m/>
  </r>
  <r>
    <x v="7"/>
    <x v="7"/>
    <s v="C:\Users\andre\Desktop\REACTIV CEFAS\Prochloraz\Prochloraz/20201210_Cefas_Test9_Run3/Plate 1/@3/H3_01.tif "/>
    <s v=" 2530.6977 "/>
    <s v=" 35.1368 "/>
    <x v="0"/>
    <n v="88920"/>
    <m/>
    <m/>
    <m/>
  </r>
  <r>
    <x v="7"/>
    <x v="7"/>
    <s v="C:\Users\andre\Desktop\REACTIV CEFAS\Prochloraz\Prochloraz/20201210_Cefas_Test9_Run3/Plate 1/@3/H3_02.tif "/>
    <s v=" 1925.0606 "/>
    <s v=" 34.4045 "/>
    <x v="0"/>
    <n v="66231"/>
    <m/>
    <m/>
    <m/>
  </r>
  <r>
    <x v="7"/>
    <x v="7"/>
    <s v="C:\Users\andre\Desktop\REACTIV CEFAS\Prochloraz\Prochloraz/20201210_Cefas_Test9_Run3/Plate 1/@3/H3_03.tif "/>
    <s v=" 2422.5482 "/>
    <s v=" 33.7321 "/>
    <x v="0"/>
    <n v="81718"/>
    <m/>
    <m/>
    <m/>
  </r>
  <r>
    <x v="7"/>
    <x v="7"/>
    <s v="C:\Users\andre\Desktop\REACTIV CEFAS\Prochloraz\Prochloraz/20201210_Cefas_Test9_Run3/Plate 1/@3/H3_04- exclu.tif"/>
    <m/>
    <m/>
    <x v="1"/>
    <m/>
    <m/>
    <m/>
    <m/>
  </r>
  <r>
    <x v="1"/>
    <x v="8"/>
    <s v=" "/>
    <m/>
    <m/>
    <x v="1"/>
    <m/>
    <m/>
    <m/>
    <m/>
  </r>
  <r>
    <x v="1"/>
    <x v="8"/>
    <s v="group "/>
    <s v=" "/>
    <s v=" mean of mean fluo "/>
    <x v="2"/>
    <s v=" mean of total fluo "/>
    <s v=" SD total fluo "/>
    <s v=" n fluorescent "/>
    <s v=" n total"/>
  </r>
  <r>
    <x v="7"/>
    <x v="9"/>
    <s v="C:\Users\andre\Desktop\REACTIV CEFAS\Prochloraz\Prochloraz/20201210_Cefas_Test9_Run3/Plate 1/@3/ "/>
    <s v=" "/>
    <s v=" 33.4889 "/>
    <x v="9"/>
    <n v="271735"/>
    <s v=" 346719.666 "/>
    <n v="30"/>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C:\Users\andre\Desktop\REACTIV CEFAS\Prochloraz\Prochloraz/20201210_Cefas_Test9_Run3/Plate 1/@4/A4_01.tif "/>
    <s v=" 29805.9948 "/>
    <s v=" 33.5914 "/>
    <x v="0"/>
    <n v="1001226"/>
    <m/>
    <m/>
    <m/>
  </r>
  <r>
    <x v="8"/>
    <x v="0"/>
    <s v="C:\Users\andre\Desktop\REACTIV CEFAS\Prochloraz\Prochloraz/20201210_Cefas_Test9_Run3/Plate 1/@4/A4_02.tif "/>
    <s v=" 33915.6748 "/>
    <s v=" 35.7034 "/>
    <x v="0"/>
    <n v="1210906"/>
    <m/>
    <m/>
    <m/>
  </r>
  <r>
    <x v="8"/>
    <x v="0"/>
    <s v="C:\Users\andre\Desktop\REACTIV CEFAS\Prochloraz\Prochloraz/20201210_Cefas_Test9_Run3/Plate 1/@4/A4_03- exclu.tif"/>
    <m/>
    <m/>
    <x v="1"/>
    <m/>
    <m/>
    <m/>
    <m/>
  </r>
  <r>
    <x v="8"/>
    <x v="0"/>
    <s v="C:\Users\andre\Desktop\REACTIV CEFAS\Prochloraz\Prochloraz/20201210_Cefas_Test9_Run3/Plate 1/@4/A4_04- exclu.tif"/>
    <m/>
    <m/>
    <x v="1"/>
    <m/>
    <m/>
    <m/>
    <m/>
  </r>
  <r>
    <x v="8"/>
    <x v="1"/>
    <s v="C:\Users\andre\Desktop\REACTIV CEFAS\Prochloraz\Prochloraz/20201210_Cefas_Test9_Run3/Plate 1/@4/B4_01.tif "/>
    <s v=" 2422.5482 "/>
    <s v=" 31.3125 "/>
    <x v="0"/>
    <n v="75856"/>
    <m/>
    <m/>
    <m/>
  </r>
  <r>
    <x v="8"/>
    <x v="1"/>
    <s v="C:\Users\andre\Desktop\REACTIV CEFAS\Prochloraz\Prochloraz/20201210_Cefas_Test9_Run3/Plate 1/@4/B4_02- exclu.tif"/>
    <m/>
    <m/>
    <x v="1"/>
    <m/>
    <m/>
    <m/>
    <m/>
  </r>
  <r>
    <x v="8"/>
    <x v="1"/>
    <s v="C:\Users\andre\Desktop\REACTIV CEFAS\Prochloraz\Prochloraz/20201210_Cefas_Test9_Run3/Plate 1/@4/B4_03.tif "/>
    <s v=" 5580.5128 "/>
    <s v=" 33.7287 "/>
    <x v="0"/>
    <n v="188223"/>
    <m/>
    <m/>
    <m/>
  </r>
  <r>
    <x v="8"/>
    <x v="1"/>
    <s v="C:\Users\andre\Desktop\REACTIV CEFAS\Prochloraz\Prochloraz/20201210_Cefas_Test9_Run3/Plate 1/@4/B4_04- exclu.tif"/>
    <m/>
    <m/>
    <x v="1"/>
    <m/>
    <m/>
    <m/>
    <m/>
  </r>
  <r>
    <x v="8"/>
    <x v="2"/>
    <s v="C:\Users\andre\Desktop\REACTIV CEFAS\Prochloraz\Prochloraz/20201210_Cefas_Test9_Run3/Plate 1/@4/C4_01.tif "/>
    <s v=" 2984.9255 "/>
    <s v=" 31.9928 "/>
    <x v="0"/>
    <n v="95496"/>
    <m/>
    <m/>
    <m/>
  </r>
  <r>
    <x v="8"/>
    <x v="2"/>
    <s v="C:\Users\andre\Desktop\REACTIV CEFAS\Prochloraz\Prochloraz/20201210_Cefas_Test9_Run3/Plate 1/@4/C4_02.tif "/>
    <s v=" 2941.6657 "/>
    <s v=" 32.7647 "/>
    <x v="0"/>
    <n v="96383"/>
    <m/>
    <m/>
    <m/>
  </r>
  <r>
    <x v="8"/>
    <x v="2"/>
    <s v="C:\Users\andre\Desktop\REACTIV CEFAS\Prochloraz\Prochloraz/20201210_Cefas_Test9_Run3/Plate 1/@4/C4_03.tif "/>
    <s v=" 5623.7726 "/>
    <s v=" 31.9423 "/>
    <x v="0"/>
    <n v="179636"/>
    <m/>
    <m/>
    <m/>
  </r>
  <r>
    <x v="8"/>
    <x v="2"/>
    <s v="C:\Users\andre\Desktop\REACTIV CEFAS\Prochloraz\Prochloraz/20201210_Cefas_Test9_Run3/Plate 1/@4/C4_04.tif "/>
    <s v=" 3266.1141 "/>
    <s v=" 33.2649 "/>
    <x v="0"/>
    <n v="108647"/>
    <m/>
    <m/>
    <m/>
  </r>
  <r>
    <x v="8"/>
    <x v="3"/>
    <s v="C:\Users\andre\Desktop\REACTIV CEFAS\Prochloraz\Prochloraz/20201210_Cefas_Test9_Run3/Plate 1/@4/D4_01- exclu.tif"/>
    <m/>
    <m/>
    <x v="1"/>
    <m/>
    <m/>
    <m/>
    <m/>
  </r>
  <r>
    <x v="8"/>
    <x v="3"/>
    <s v="C:\Users\andre\Desktop\REACTIV CEFAS\Prochloraz\Prochloraz/20201210_Cefas_Test9_Run3/Plate 1/@4/D4_02.tif "/>
    <s v=" 4650.4273 "/>
    <s v=" 34.1163 "/>
    <x v="0"/>
    <n v="158655"/>
    <m/>
    <m/>
    <m/>
  </r>
  <r>
    <x v="8"/>
    <x v="3"/>
    <s v="C:\Users\andre\Desktop\REACTIV CEFAS\Prochloraz\Prochloraz/20201210_Cefas_Test9_Run3/Plate 1/@4/D4_03.tif "/>
    <s v=" 3157.9646 "/>
    <s v=" 34.1918 "/>
    <x v="0"/>
    <n v="107976"/>
    <m/>
    <m/>
    <m/>
  </r>
  <r>
    <x v="8"/>
    <x v="3"/>
    <s v="C:\Users\andre\Desktop\REACTIV CEFAS\Prochloraz\Prochloraz/20201210_Cefas_Test9_Run3/Plate 1/@4/D4_04.tif "/>
    <s v=" 281.1886 "/>
    <s v=" 34.0769 "/>
    <x v="0"/>
    <n v="9582"/>
    <m/>
    <m/>
    <m/>
  </r>
  <r>
    <x v="8"/>
    <x v="4"/>
    <s v="C:\Users\andre\Desktop\REACTIV CEFAS\Prochloraz\Prochloraz/20201210_Cefas_Test9_Run3/Plate 1/@4/E4_01.tif "/>
    <s v=" 3244.4842 "/>
    <s v=" 33.5733 "/>
    <x v="0"/>
    <n v="108928"/>
    <m/>
    <m/>
    <m/>
  </r>
  <r>
    <x v="8"/>
    <x v="4"/>
    <s v="C:\Users\andre\Desktop\REACTIV CEFAS\Prochloraz\Prochloraz/20201210_Cefas_Test9_Run3/Plate 1/@4/E4_02.tif "/>
    <s v=" 1838.541 "/>
    <s v=" 31.6353 "/>
    <x v="0"/>
    <n v="58163"/>
    <m/>
    <m/>
    <m/>
  </r>
  <r>
    <x v="8"/>
    <x v="4"/>
    <s v="C:\Users\andre\Desktop\REACTIV CEFAS\Prochloraz\Prochloraz/20201210_Cefas_Test9_Run3/Plate 1/@4/E4_03.tif "/>
    <s v=" 14383.8799 "/>
    <s v=" 33.6286 "/>
    <x v="0"/>
    <n v="483709"/>
    <m/>
    <m/>
    <m/>
  </r>
  <r>
    <x v="8"/>
    <x v="4"/>
    <s v="C:\Users\andre\Desktop\REACTIV CEFAS\Prochloraz\Prochloraz/20201210_Cefas_Test9_Run3/Plate 1/@4/E4_04.tif "/>
    <s v=" 17866.293 "/>
    <s v=" 35.3644 "/>
    <x v="0"/>
    <n v="631831"/>
    <m/>
    <m/>
    <m/>
  </r>
  <r>
    <x v="8"/>
    <x v="5"/>
    <s v="C:\Users\andre\Desktop\REACTIV CEFAS\Prochloraz\Prochloraz/20201210_Cefas_Test9_Run3/Plate 1/@4/F4_01.tif "/>
    <s v=" 8197.7301 "/>
    <s v=" 38.533 "/>
    <x v="0"/>
    <n v="315883"/>
    <m/>
    <m/>
    <m/>
  </r>
  <r>
    <x v="8"/>
    <x v="5"/>
    <s v="C:\Users\andre\Desktop\REACTIV CEFAS\Prochloraz\Prochloraz/20201210_Cefas_Test9_Run3/Plate 1/@4/F4_02.tif "/>
    <s v=" 8889.8867 "/>
    <s v=" 40.3187 "/>
    <x v="0"/>
    <n v="358429"/>
    <m/>
    <m/>
    <m/>
  </r>
  <r>
    <x v="8"/>
    <x v="5"/>
    <s v="C:\Users\andre\Desktop\REACTIV CEFAS\Prochloraz\Prochloraz/20201210_Cefas_Test9_Run3/Plate 1/@4/F4_03.tif "/>
    <s v=" 11528.7338 "/>
    <s v=" 37.5197 "/>
    <x v="0"/>
    <n v="432555"/>
    <m/>
    <m/>
    <m/>
  </r>
  <r>
    <x v="8"/>
    <x v="5"/>
    <s v="C:\Users\andre\Desktop\REACTIV CEFAS\Prochloraz\Prochloraz/20201210_Cefas_Test9_Run3/Plate 1/@4/F4_04.tif "/>
    <s v=" 12458.8193 "/>
    <s v=" 39.2622 "/>
    <x v="0"/>
    <n v="489160"/>
    <m/>
    <m/>
    <m/>
  </r>
  <r>
    <x v="8"/>
    <x v="6"/>
    <s v="C:\Users\andre\Desktop\REACTIV CEFAS\Prochloraz\Prochloraz/20201210_Cefas_Test9_Run3/Plate 1/@4/G4_01.tif "/>
    <s v=" 13021.1966 "/>
    <s v=" 33.2326 "/>
    <x v="0"/>
    <n v="432728"/>
    <m/>
    <m/>
    <m/>
  </r>
  <r>
    <x v="8"/>
    <x v="6"/>
    <s v="C:\Users\andre\Desktop\REACTIV CEFAS\Prochloraz\Prochloraz/20201210_Cefas_Test9_Run3/Plate 1/@4/G4_02.tif "/>
    <s v=" 16525.2395 "/>
    <s v=" 33.8835 "/>
    <x v="0"/>
    <n v="559933"/>
    <m/>
    <m/>
    <m/>
  </r>
  <r>
    <x v="8"/>
    <x v="6"/>
    <s v="C:\Users\andre\Desktop\REACTIV CEFAS\Prochloraz\Prochloraz/20201210_Cefas_Test9_Run3/Plate 1/@4/G4_03.tif "/>
    <s v=" 23771.2542 "/>
    <s v=" 35.2129 "/>
    <x v="0"/>
    <n v="837055"/>
    <m/>
    <m/>
    <m/>
  </r>
  <r>
    <x v="8"/>
    <x v="6"/>
    <s v="C:\Users\andre\Desktop\REACTIV CEFAS\Prochloraz\Prochloraz/20201210_Cefas_Test9_Run3/Plate 1/@4/G4_04.tif "/>
    <s v=" 26885.959 "/>
    <s v=" 36.1553 "/>
    <x v="0"/>
    <n v="972069"/>
    <m/>
    <m/>
    <m/>
  </r>
  <r>
    <x v="8"/>
    <x v="7"/>
    <s v="C:\Users\andre\Desktop\REACTIV CEFAS\Prochloraz\Prochloraz/20201210_Cefas_Test9_Run3/Plate 1/@4/H4_01.tif "/>
    <s v=" 13237.4955 "/>
    <s v=" 32.1977 "/>
    <x v="0"/>
    <n v="426217"/>
    <m/>
    <m/>
    <m/>
  </r>
  <r>
    <x v="8"/>
    <x v="7"/>
    <s v="C:\Users\andre\Desktop\REACTIV CEFAS\Prochloraz\Prochloraz/20201210_Cefas_Test9_Run3/Plate 1/@4/H4_02.tif "/>
    <s v=" 16611.7591 "/>
    <s v=" 33.8646 "/>
    <x v="0"/>
    <n v="562550"/>
    <m/>
    <m/>
    <m/>
  </r>
  <r>
    <x v="8"/>
    <x v="7"/>
    <s v="C:\Users\andre\Desktop\REACTIV CEFAS\Prochloraz\Prochloraz/20201210_Cefas_Test9_Run3/Plate 1/@4/H4_03.tif "/>
    <s v=" 12502.0791 "/>
    <s v=" 34.7612 "/>
    <x v="0"/>
    <n v="434588"/>
    <m/>
    <m/>
    <m/>
  </r>
  <r>
    <x v="8"/>
    <x v="7"/>
    <s v="C:\Users\andre\Desktop\REACTIV CEFAS\Prochloraz\Prochloraz/20201210_Cefas_Test9_Run3/Plate 1/@4/H4_04.tif "/>
    <s v=" 15097.6665 "/>
    <s v=" 34.2235 "/>
    <x v="0"/>
    <n v="516695"/>
    <m/>
    <m/>
    <m/>
  </r>
  <r>
    <x v="1"/>
    <x v="8"/>
    <s v=" "/>
    <m/>
    <m/>
    <x v="1"/>
    <m/>
    <m/>
    <m/>
    <m/>
  </r>
  <r>
    <x v="1"/>
    <x v="8"/>
    <s v="group "/>
    <s v=" "/>
    <s v=" mean of mean fluo "/>
    <x v="2"/>
    <s v=" mean of total fluo "/>
    <s v=" SD total fluo "/>
    <s v=" n fluorescent "/>
    <s v=" n total"/>
  </r>
  <r>
    <x v="8"/>
    <x v="9"/>
    <s v="C:\Users\andre\Desktop\REACTIV CEFAS\Prochloraz\Prochloraz/20201210_Cefas_Test9_Run3/Plate 1/@4/ "/>
    <s v=" "/>
    <s v=" 34.9403 "/>
    <x v="10"/>
    <s v=" 479724.625 "/>
    <s v=" 505727.661 "/>
    <n v="32"/>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C:\Users\andre\Desktop\REACTIV CEFAS\Prochloraz\Prochloraz/20201210_Cefas_Test9_Run3/Plate 1/@5/A5_01- exclu.tif"/>
    <m/>
    <m/>
    <x v="1"/>
    <m/>
    <m/>
    <m/>
    <m/>
  </r>
  <r>
    <x v="9"/>
    <x v="0"/>
    <s v="C:\Users\andre\Desktop\REACTIV CEFAS\Prochloraz\Prochloraz/20201210_Cefas_Test9_Run3/Plate 1/@5/A5_02.tif "/>
    <s v=" 23338.6563 "/>
    <s v=" 33.7414 "/>
    <x v="0"/>
    <n v="787480"/>
    <m/>
    <m/>
    <m/>
  </r>
  <r>
    <x v="9"/>
    <x v="0"/>
    <s v="C:\Users\andre\Desktop\REACTIV CEFAS\Prochloraz\Prochloraz/20201210_Cefas_Test9_Run3/Plate 1/@5/A5_03- exclu.tif"/>
    <m/>
    <m/>
    <x v="1"/>
    <m/>
    <m/>
    <m/>
    <m/>
  </r>
  <r>
    <x v="9"/>
    <x v="0"/>
    <s v="C:\Users\andre\Desktop\REACTIV CEFAS\Prochloraz\Prochloraz/20201210_Cefas_Test9_Run3/Plate 1/@5/A5_04- exclu.tif"/>
    <m/>
    <m/>
    <x v="1"/>
    <m/>
    <m/>
    <m/>
    <m/>
  </r>
  <r>
    <x v="9"/>
    <x v="1"/>
    <s v="C:\Users\andre\Desktop\REACTIV CEFAS\Prochloraz\Prochloraz/20201210_Cefas_Test9_Run3/Plate 1/@5/B5_01.tif "/>
    <s v=" 58249.3062 "/>
    <s v=" 44.6896 "/>
    <x v="0"/>
    <n v="2603136"/>
    <m/>
    <m/>
    <m/>
  </r>
  <r>
    <x v="9"/>
    <x v="1"/>
    <s v="C:\Users\andre\Desktop\REACTIV CEFAS\Prochloraz\Prochloraz/20201210_Cefas_Test9_Run3/Plate 1/@5/B5_02.tif "/>
    <s v=" 51717.0781 "/>
    <s v=" 41.3756 "/>
    <x v="0"/>
    <n v="2139824"/>
    <m/>
    <m/>
    <m/>
  </r>
  <r>
    <x v="9"/>
    <x v="1"/>
    <s v="C:\Users\andre\Desktop\REACTIV CEFAS\Prochloraz\Prochloraz/20201210_Cefas_Test9_Run3/Plate 1/@5/B5_03.tif "/>
    <s v=" 52344.345 "/>
    <s v=" 41.3236 "/>
    <x v="0"/>
    <n v="2163054"/>
    <m/>
    <m/>
    <m/>
  </r>
  <r>
    <x v="9"/>
    <x v="1"/>
    <s v="C:\Users\andre\Desktop\REACTIV CEFAS\Prochloraz\Prochloraz/20201210_Cefas_Test9_Run3/Plate 1/@5/B5_04.tif "/>
    <s v=" 51760.3378 "/>
    <s v=" 42.2043 "/>
    <x v="0"/>
    <n v="2184511"/>
    <m/>
    <m/>
    <m/>
  </r>
  <r>
    <x v="9"/>
    <x v="2"/>
    <s v="C:\Users\andre\Desktop\REACTIV CEFAS\Prochloraz\Prochloraz/20201210_Cefas_Test9_Run3/Plate 1/@5/C5_01.tif "/>
    <s v=" 66533.5559 "/>
    <s v=" 48.251 "/>
    <x v="0"/>
    <n v="3210309"/>
    <m/>
    <m/>
    <m/>
  </r>
  <r>
    <x v="9"/>
    <x v="2"/>
    <s v="C:\Users\andre\Desktop\REACTIV CEFAS\Prochloraz\Prochloraz/20201210_Cefas_Test9_Run3/Plate 1/@5/C5_02.tif "/>
    <s v=" 61537.0502 "/>
    <s v=" 45.6699 "/>
    <x v="0"/>
    <n v="2810394"/>
    <m/>
    <m/>
    <m/>
  </r>
  <r>
    <x v="9"/>
    <x v="2"/>
    <s v="C:\Users\andre\Desktop\REACTIV CEFAS\Prochloraz\Prochloraz/20201210_Cefas_Test9_Run3/Plate 1/@5/C5_03.tif "/>
    <s v=" 63700.0397 "/>
    <s v=" 48.2808 "/>
    <x v="0"/>
    <n v="3075490"/>
    <m/>
    <m/>
    <m/>
  </r>
  <r>
    <x v="9"/>
    <x v="2"/>
    <s v="C:\Users\andre\Desktop\REACTIV CEFAS\Prochloraz\Prochloraz/20201210_Cefas_Test9_Run3/Plate 1/@5/C5_04.tif "/>
    <s v=" 60044.5875 "/>
    <s v=" 47.2471 "/>
    <x v="0"/>
    <n v="2836934"/>
    <m/>
    <m/>
    <m/>
  </r>
  <r>
    <x v="9"/>
    <x v="3"/>
    <s v="C:\Users\andre\Desktop\REACTIV CEFAS\Prochloraz\Prochloraz/20201210_Cefas_Test9_Run3/Plate 1/@5/D5_01.tif "/>
    <s v=" 3720.3419 "/>
    <s v=" 31.7209 "/>
    <x v="0"/>
    <n v="118013"/>
    <m/>
    <m/>
    <m/>
  </r>
  <r>
    <x v="9"/>
    <x v="3"/>
    <s v="C:\Users\andre\Desktop\REACTIV CEFAS\Prochloraz\Prochloraz/20201210_Cefas_Test9_Run3/Plate 1/@5/D5_02.tif "/>
    <s v=" 24636.45 "/>
    <s v=" 34.6664 "/>
    <x v="0"/>
    <n v="854056"/>
    <m/>
    <m/>
    <m/>
  </r>
  <r>
    <x v="9"/>
    <x v="3"/>
    <s v="C:\Users\andre\Desktop\REACTIV CEFAS\Prochloraz\Prochloraz/20201210_Cefas_Test9_Run3/Plate 1/@5/D5_03.tif "/>
    <s v=" 3114.7048 "/>
    <s v=" 31.8264 "/>
    <x v="0"/>
    <n v="99130"/>
    <m/>
    <m/>
    <m/>
  </r>
  <r>
    <x v="9"/>
    <x v="3"/>
    <s v="C:\Users\andre\Desktop\REACTIV CEFAS\Prochloraz\Prochloraz/20201210_Cefas_Test9_Run3/Plate 1/@5/D5_04.tif "/>
    <s v=" 17412.0652 "/>
    <s v=" 33.328 "/>
    <x v="0"/>
    <n v="580308"/>
    <m/>
    <m/>
    <m/>
  </r>
  <r>
    <x v="9"/>
    <x v="4"/>
    <s v="C:\Users\andre\Desktop\REACTIV CEFAS\Prochloraz\Prochloraz/20201210_Cefas_Test9_Run3/Plate 1/@5/E5_01.tif "/>
    <s v=" 62856.4738 "/>
    <s v=" 41.2577 "/>
    <x v="0"/>
    <n v="2593316"/>
    <m/>
    <m/>
    <m/>
  </r>
  <r>
    <x v="9"/>
    <x v="4"/>
    <s v="C:\Users\andre\Desktop\REACTIV CEFAS\Prochloraz\Prochloraz/20201210_Cefas_Test9_Run3/Plate 1/@5/E5_02.tif "/>
    <s v=" 73325.3428 "/>
    <s v=" 41.8209 "/>
    <x v="0"/>
    <n v="3066535"/>
    <m/>
    <m/>
    <m/>
  </r>
  <r>
    <x v="9"/>
    <x v="4"/>
    <s v="C:\Users\andre\Desktop\REACTIV CEFAS\Prochloraz\Prochloraz/20201210_Cefas_Test9_Run3/Plate 1/@5/E5_03.tif "/>
    <s v=" 58487.2351 "/>
    <s v=" 37.7899 "/>
    <x v="0"/>
    <n v="2210229"/>
    <m/>
    <m/>
    <m/>
  </r>
  <r>
    <x v="9"/>
    <x v="4"/>
    <s v="C:\Users\andre\Desktop\REACTIV CEFAS\Prochloraz\Prochloraz/20201210_Cefas_Test9_Run3/Plate 1/@5/E5_04.tif "/>
    <s v=" 63764.9294 "/>
    <s v=" 39.5543 "/>
    <x v="0"/>
    <n v="2522175"/>
    <m/>
    <m/>
    <m/>
  </r>
  <r>
    <x v="9"/>
    <x v="5"/>
    <s v="C:\Users\andre\Desktop\REACTIV CEFAS\Prochloraz\Prochloraz/20201210_Cefas_Test9_Run3/Plate 1/@5/F5_01- exclu.tif"/>
    <m/>
    <m/>
    <x v="1"/>
    <m/>
    <m/>
    <m/>
    <m/>
  </r>
  <r>
    <x v="9"/>
    <x v="5"/>
    <s v="C:\Users\andre\Desktop\REACTIV CEFAS\Prochloraz\Prochloraz/20201210_Cefas_Test9_Run3/Plate 1/@5/F5_02.tif "/>
    <s v=" 13021.1966 "/>
    <s v=" 35.2591 "/>
    <x v="0"/>
    <n v="459116"/>
    <m/>
    <m/>
    <m/>
  </r>
  <r>
    <x v="9"/>
    <x v="5"/>
    <s v="C:\Users\andre\Desktop\REACTIV CEFAS\Prochloraz\Prochloraz/20201210_Cefas_Test9_Run3/Plate 1/@5/F5_03- exclu.tif"/>
    <m/>
    <m/>
    <x v="1"/>
    <m/>
    <m/>
    <m/>
    <m/>
  </r>
  <r>
    <x v="9"/>
    <x v="5"/>
    <s v="C:\Users\andre\Desktop\REACTIV CEFAS\Prochloraz\Prochloraz/20201210_Cefas_Test9_Run3/Plate 1/@5/F5_04.tif "/>
    <s v=" 5969.8509 "/>
    <s v=" 33.0543 "/>
    <x v="0"/>
    <n v="197330"/>
    <m/>
    <m/>
    <m/>
  </r>
  <r>
    <x v="9"/>
    <x v="6"/>
    <s v="C:\Users\andre\Desktop\REACTIV CEFAS\Prochloraz\Prochloraz/20201210_Cefas_Test9_Run3/Plate 1/@5/G5_01.tif "/>
    <s v=" 44925.2911 "/>
    <s v=" 35.0289 "/>
    <x v="0"/>
    <n v="1573683"/>
    <m/>
    <m/>
    <m/>
  </r>
  <r>
    <x v="9"/>
    <x v="6"/>
    <s v="C:\Users\andre\Desktop\REACTIV CEFAS\Prochloraz\Prochloraz/20201210_Cefas_Test9_Run3/Plate 1/@5/G5_02- exclu.tif"/>
    <m/>
    <m/>
    <x v="1"/>
    <m/>
    <m/>
    <m/>
    <m/>
  </r>
  <r>
    <x v="9"/>
    <x v="6"/>
    <s v="C:\Users\andre\Desktop\REACTIV CEFAS\Prochloraz\Prochloraz/20201210_Cefas_Test9_Run3/Plate 1/@5/G5_03- exclu.tif"/>
    <m/>
    <m/>
    <x v="1"/>
    <m/>
    <m/>
    <m/>
    <m/>
  </r>
  <r>
    <x v="9"/>
    <x v="6"/>
    <s v="C:\Users\andre\Desktop\REACTIV CEFAS\Prochloraz\Prochloraz/20201210_Cefas_Test9_Run3/Plate 1/@5/G5_04- exclu.tif"/>
    <m/>
    <m/>
    <x v="1"/>
    <m/>
    <m/>
    <m/>
    <m/>
  </r>
  <r>
    <x v="9"/>
    <x v="7"/>
    <s v="C:\Users\andre\Desktop\REACTIV CEFAS\Prochloraz\Prochloraz/20201210_Cefas_Test9_Run3/Plate 1/@5/H5_01.tif "/>
    <s v=" 47088.2806 "/>
    <s v=" 38.158 "/>
    <x v="0"/>
    <n v="1796795"/>
    <m/>
    <m/>
    <m/>
  </r>
  <r>
    <x v="9"/>
    <x v="7"/>
    <s v="C:\Users\andre\Desktop\REACTIV CEFAS\Prochloraz\Prochloraz/20201210_Cefas_Test9_Run3/Plate 1/@5/H5_02.tif "/>
    <s v=" 39150.1093 "/>
    <s v=" 35.5757 "/>
    <x v="0"/>
    <n v="1392792"/>
    <m/>
    <m/>
    <m/>
  </r>
  <r>
    <x v="9"/>
    <x v="7"/>
    <s v="C:\Users\andre\Desktop\REACTIV CEFAS\Prochloraz\Prochloraz/20201210_Cefas_Test9_Run3/Plate 1/@5/H5_03.tif "/>
    <s v=" 40534.4225 "/>
    <s v=" 36.1499 "/>
    <x v="0"/>
    <n v="1465317"/>
    <m/>
    <m/>
    <m/>
  </r>
  <r>
    <x v="9"/>
    <x v="7"/>
    <s v="C:\Users\andre\Desktop\REACTIV CEFAS\Prochloraz\Prochloraz/20201210_Cefas_Test9_Run3/Plate 1/@5/H5_04.tif "/>
    <s v=" 46504.2735 "/>
    <s v=" 39.6512 "/>
    <x v="0"/>
    <n v="1843949"/>
    <m/>
    <m/>
    <m/>
  </r>
  <r>
    <x v="1"/>
    <x v="8"/>
    <s v=" "/>
    <m/>
    <m/>
    <x v="1"/>
    <m/>
    <m/>
    <m/>
    <m/>
  </r>
  <r>
    <x v="1"/>
    <x v="8"/>
    <s v="group "/>
    <s v=" "/>
    <s v=" mean of mean fluo "/>
    <x v="2"/>
    <s v=" mean of total fluo "/>
    <s v=" SD total fluo "/>
    <s v=" n fluorescent "/>
    <s v=" n total"/>
  </r>
  <r>
    <x v="9"/>
    <x v="9"/>
    <s v="C:\Users\andre\Desktop\REACTIV CEFAS\Prochloraz\Prochloraz/20201210_Cefas_Test9_Run3/Plate 1/@5/ "/>
    <s v=" "/>
    <s v=" 37.9896 "/>
    <x v="11"/>
    <s v=" 1605178.75 "/>
    <s v=" 1017758.56 "/>
    <n v="31"/>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C:\Users\andre\Desktop\REACTIV CEFAS\Prochloraz\Prochloraz/20201210_Cefas_Test9_Run3/Plate 1/@6/A6_01.tif "/>
    <s v=" 75466.7024 "/>
    <s v=" 48.4821 "/>
    <x v="0"/>
    <n v="3658783"/>
    <m/>
    <m/>
    <m/>
  </r>
  <r>
    <x v="10"/>
    <x v="0"/>
    <s v="C:\Users\andre\Desktop\REACTIV CEFAS\Prochloraz\Prochloraz/20201210_Cefas_Test9_Run3/Plate 1/@6/A6_02.tif "/>
    <s v=" 66663.3352 "/>
    <s v=" 47.9977 "/>
    <x v="0"/>
    <n v="3199689"/>
    <m/>
    <m/>
    <m/>
  </r>
  <r>
    <x v="10"/>
    <x v="0"/>
    <s v="C:\Users\andre\Desktop\REACTIV CEFAS\Prochloraz\Prochloraz/20201210_Cefas_Test9_Run3/Plate 1/@6/A6_03.tif "/>
    <s v=" 72351.9975 "/>
    <s v=" 46.2404 "/>
    <x v="0"/>
    <n v="3345582"/>
    <m/>
    <m/>
    <m/>
  </r>
  <r>
    <x v="10"/>
    <x v="0"/>
    <s v="C:\Users\andre\Desktop\REACTIV CEFAS\Prochloraz\Prochloraz/20201210_Cefas_Test9_Run3/Plate 1/@6/A6_04.tif "/>
    <s v=" 78559.7773 "/>
    <s v=" 50.2566 "/>
    <x v="0"/>
    <n v="3948148"/>
    <m/>
    <m/>
    <m/>
  </r>
  <r>
    <x v="10"/>
    <x v="1"/>
    <s v="C:\Users\andre\Desktop\REACTIV CEFAS\Prochloraz\Prochloraz/20201210_Cefas_Test9_Run3/Plate 1/@6/B6_01- exclu.tif"/>
    <m/>
    <m/>
    <x v="1"/>
    <m/>
    <m/>
    <m/>
    <m/>
  </r>
  <r>
    <x v="10"/>
    <x v="1"/>
    <s v="C:\Users\andre\Desktop\REACTIV CEFAS\Prochloraz\Prochloraz/20201210_Cefas_Test9_Run3/Plate 1/@6/B6_02- exclu.tif"/>
    <m/>
    <m/>
    <x v="1"/>
    <m/>
    <m/>
    <m/>
    <m/>
  </r>
  <r>
    <x v="10"/>
    <x v="1"/>
    <s v="C:\Users\andre\Desktop\REACTIV CEFAS\Prochloraz\Prochloraz/20201210_Cefas_Test9_Run3/Plate 1/@6/B6_03- exclu.tif"/>
    <m/>
    <m/>
    <x v="1"/>
    <m/>
    <m/>
    <m/>
    <m/>
  </r>
  <r>
    <x v="10"/>
    <x v="1"/>
    <s v="C:\Users\andre\Desktop\REACTIV CEFAS\Prochloraz\Prochloraz/20201210_Cefas_Test9_Run3/Plate 1/@6/B6_04- exclu.tif"/>
    <m/>
    <m/>
    <x v="1"/>
    <m/>
    <m/>
    <m/>
    <m/>
  </r>
  <r>
    <x v="10"/>
    <x v="2"/>
    <s v="C:\Users\andre\Desktop\REACTIV CEFAS\Prochloraz\Prochloraz/20201210_Cefas_Test9_Run3/Plate 1/@6/C6_01.tif "/>
    <s v=" 83945.6211 "/>
    <s v=" 46.7016 "/>
    <x v="0"/>
    <n v="3920397"/>
    <m/>
    <m/>
    <m/>
  </r>
  <r>
    <x v="10"/>
    <x v="2"/>
    <s v="C:\Users\andre\Desktop\REACTIV CEFAS\Prochloraz\Prochloraz/20201210_Cefas_Test9_Run3/Plate 1/@6/C6_02.tif "/>
    <s v=" 84724.2973 "/>
    <s v=" 47.4271 "/>
    <x v="0"/>
    <n v="4018229"/>
    <m/>
    <m/>
    <m/>
  </r>
  <r>
    <x v="10"/>
    <x v="2"/>
    <s v="C:\Users\andre\Desktop\REACTIV CEFAS\Prochloraz\Prochloraz/20201210_Cefas_Test9_Run3/Plate 1/@6/C6_03.tif "/>
    <s v=" 84659.4076 "/>
    <s v=" 46.4683 "/>
    <x v="0"/>
    <n v="3933980"/>
    <m/>
    <m/>
    <m/>
  </r>
  <r>
    <x v="10"/>
    <x v="2"/>
    <s v="C:\Users\andre\Desktop\REACTIV CEFAS\Prochloraz\Prochloraz/20201210_Cefas_Test9_Run3/Plate 1/@6/C6_04.tif "/>
    <s v=" 89071.9061 "/>
    <s v=" 49.6508 "/>
    <x v="0"/>
    <n v="4422492"/>
    <m/>
    <m/>
    <m/>
  </r>
  <r>
    <x v="10"/>
    <x v="3"/>
    <s v="C:\Users\andre\Desktop\REACTIV CEFAS\Prochloraz\Prochloraz/20201210_Cefas_Test9_Run3/Plate 1/@6/D6_01.tif "/>
    <s v=" 66598.4456 "/>
    <s v=" 49.1095 "/>
    <x v="0"/>
    <n v="3270613"/>
    <m/>
    <m/>
    <m/>
  </r>
  <r>
    <x v="10"/>
    <x v="3"/>
    <s v="C:\Users\andre\Desktop\REACTIV CEFAS\Prochloraz\Prochloraz/20201210_Cefas_Test9_Run3/Plate 1/@6/D6_02.tif "/>
    <s v=" 70816.275 "/>
    <s v=" 53.7443 "/>
    <x v="0"/>
    <n v="3805975"/>
    <m/>
    <m/>
    <m/>
  </r>
  <r>
    <x v="10"/>
    <x v="3"/>
    <s v="C:\Users\andre\Desktop\REACTIV CEFAS\Prochloraz\Prochloraz/20201210_Cefas_Test9_Run3/Plate 1/@6/D6_03.tif "/>
    <s v=" 65408.8014 "/>
    <s v=" 55.1567 "/>
    <x v="0"/>
    <n v="3607737"/>
    <m/>
    <m/>
    <m/>
  </r>
  <r>
    <x v="10"/>
    <x v="3"/>
    <s v="C:\Users\andre\Desktop\REACTIV CEFAS\Prochloraz\Prochloraz/20201210_Cefas_Test9_Run3/Plate 1/@6/D6_04.tif "/>
    <s v=" 70621.606 "/>
    <s v=" 53.7538 "/>
    <x v="0"/>
    <n v="3796176"/>
    <m/>
    <m/>
    <m/>
  </r>
  <r>
    <x v="10"/>
    <x v="4"/>
    <s v="C:\Users\andre\Desktop\REACTIV CEFAS\Prochloraz\Prochloraz/20201210_Cefas_Test9_Run3/Plate 1/@6/E6_01.tif "/>
    <s v=" 22213.9018 "/>
    <s v=" 44.2084 "/>
    <x v="0"/>
    <n v="982040"/>
    <m/>
    <m/>
    <m/>
  </r>
  <r>
    <x v="10"/>
    <x v="4"/>
    <s v="C:\Users\andre\Desktop\REACTIV CEFAS\Prochloraz\Prochloraz/20201210_Cefas_Test9_Run3/Plate 1/@6/E6_02.tif "/>
    <s v=" 31687.7956 "/>
    <s v=" 44.4833 "/>
    <x v="0"/>
    <n v="1409577"/>
    <m/>
    <m/>
    <m/>
  </r>
  <r>
    <x v="10"/>
    <x v="4"/>
    <s v="C:\Users\andre\Desktop\REACTIV CEFAS\Prochloraz\Prochloraz/20201210_Cefas_Test9_Run3/Plate 1/@6/E6_03.tif "/>
    <s v=" 31233.5678 "/>
    <s v=" 43.5506 "/>
    <x v="0"/>
    <n v="1360239"/>
    <m/>
    <m/>
    <m/>
  </r>
  <r>
    <x v="10"/>
    <x v="4"/>
    <s v="C:\Users\andre\Desktop\REACTIV CEFAS\Prochloraz\Prochloraz/20201210_Cefas_Test9_Run3/Plate 1/@6/E6_04.tif "/>
    <s v=" 17433.6951 "/>
    <s v=" 43.0831 "/>
    <x v="0"/>
    <n v="751098"/>
    <m/>
    <m/>
    <m/>
  </r>
  <r>
    <x v="10"/>
    <x v="5"/>
    <s v="C:\Users\andre\Desktop\REACTIV CEFAS\Prochloraz\Prochloraz/20201210_Cefas_Test9_Run3/Plate 1/@6/F6_01.tif "/>
    <s v=" 41313.0987 "/>
    <s v=" 44.6037 "/>
    <x v="0"/>
    <n v="1842716"/>
    <m/>
    <m/>
    <m/>
  </r>
  <r>
    <x v="10"/>
    <x v="5"/>
    <s v="C:\Users\andre\Desktop\REACTIV CEFAS\Prochloraz\Prochloraz/20201210_Cefas_Test9_Run3/Plate 1/@6/F6_02.tif "/>
    <s v=" 43757.2768 "/>
    <s v=" 45.522 "/>
    <x v="0"/>
    <n v="1991919"/>
    <m/>
    <m/>
    <m/>
  </r>
  <r>
    <x v="10"/>
    <x v="5"/>
    <s v="C:\Users\andre\Desktop\REACTIV CEFAS\Prochloraz\Prochloraz/20201210_Cefas_Test9_Run3/Plate 1/@6/F6_03.tif "/>
    <s v=" 42264.8141 "/>
    <s v=" 49.2385 "/>
    <x v="0"/>
    <n v="2081055"/>
    <m/>
    <m/>
    <m/>
  </r>
  <r>
    <x v="10"/>
    <x v="5"/>
    <s v="C:\Users\andre\Desktop\REACTIV CEFAS\Prochloraz\Prochloraz/20201210_Cefas_Test9_Run3/Plate 1/@6/F6_04.tif "/>
    <s v=" 42805.5615 "/>
    <s v=" 46.3133 "/>
    <x v="0"/>
    <n v="1982466"/>
    <m/>
    <m/>
    <m/>
  </r>
  <r>
    <x v="10"/>
    <x v="6"/>
    <s v="C:\Users\andre\Desktop\REACTIV CEFAS\Prochloraz\Prochloraz/20201210_Cefas_Test9_Run3/Plate 1/@6/G6_01.tif "/>
    <s v=" 60931.4132 "/>
    <s v=" 49.8122 "/>
    <x v="0"/>
    <n v="3035128"/>
    <m/>
    <m/>
    <m/>
  </r>
  <r>
    <x v="10"/>
    <x v="6"/>
    <s v="C:\Users\andre\Desktop\REACTIV CEFAS\Prochloraz\Prochloraz/20201210_Cefas_Test9_Run3/Plate 1/@6/G6_02.tif "/>
    <s v=" 48926.8217 "/>
    <s v=" 48.1631 "/>
    <x v="0"/>
    <n v="2356469"/>
    <m/>
    <m/>
    <m/>
  </r>
  <r>
    <x v="10"/>
    <x v="6"/>
    <s v="C:\Users\andre\Desktop\REACTIV CEFAS\Prochloraz\Prochloraz/20201210_Cefas_Test9_Run3/Plate 1/@6/G6_03.tif "/>
    <s v=" 55091.3416 "/>
    <s v=" 51.1327 "/>
    <x v="0"/>
    <n v="2816969"/>
    <m/>
    <m/>
    <m/>
  </r>
  <r>
    <x v="10"/>
    <x v="6"/>
    <s v="C:\Users\andre\Desktop\REACTIV CEFAS\Prochloraz\Prochloraz/20201210_Cefas_Test9_Run3/Plate 1/@6/G6_04- exclu.tif"/>
    <m/>
    <m/>
    <x v="1"/>
    <m/>
    <m/>
    <m/>
    <m/>
  </r>
  <r>
    <x v="10"/>
    <x v="7"/>
    <s v="C:\Users\andre\Desktop\REACTIV CEFAS\Prochloraz\Prochloraz/20201210_Cefas_Test9_Run3/Plate 1/@6/H6_01.tif "/>
    <s v=" 55307.6406 "/>
    <s v=" 46.9312 "/>
    <x v="0"/>
    <n v="2595652"/>
    <m/>
    <m/>
    <m/>
  </r>
  <r>
    <x v="10"/>
    <x v="7"/>
    <s v="C:\Users\andre\Desktop\REACTIV CEFAS\Prochloraz\Prochloraz/20201210_Cefas_Test9_Run3/Plate 1/@6/H6_02.tif "/>
    <s v=" 57600.4094 "/>
    <s v=" 46.6538 "/>
    <x v="0"/>
    <n v="2687276"/>
    <m/>
    <m/>
    <m/>
  </r>
  <r>
    <x v="10"/>
    <x v="7"/>
    <s v="C:\Users\andre\Desktop\REACTIV CEFAS\Prochloraz\Prochloraz/20201210_Cefas_Test9_Run3/Plate 1/@6/H6_03.tif "/>
    <s v=" 55696.9787 "/>
    <s v=" 47.1864 "/>
    <x v="0"/>
    <n v="2628140"/>
    <m/>
    <m/>
    <m/>
  </r>
  <r>
    <x v="10"/>
    <x v="7"/>
    <s v="C:\Users\andre\Desktop\REACTIV CEFAS\Prochloraz\Prochloraz/20201210_Cefas_Test9_Run3/Plate 1/@6/H6_04.tif "/>
    <s v=" 60520.4452 "/>
    <s v=" 47.6762 "/>
    <x v="0"/>
    <n v="2885385"/>
    <m/>
    <m/>
    <m/>
  </r>
  <r>
    <x v="1"/>
    <x v="8"/>
    <s v=" "/>
    <m/>
    <m/>
    <x v="1"/>
    <m/>
    <m/>
    <m/>
    <m/>
  </r>
  <r>
    <x v="1"/>
    <x v="8"/>
    <s v="group "/>
    <s v=" "/>
    <s v=" mean of mean fluo "/>
    <x v="2"/>
    <s v=" mean of total fluo "/>
    <s v=" SD total fluo "/>
    <s v=" n fluorescent "/>
    <s v=" n total"/>
  </r>
  <r>
    <x v="10"/>
    <x v="9"/>
    <s v="C:\Users\andre\Desktop\REACTIV CEFAS\Prochloraz\Prochloraz/20201210_Cefas_Test9_Run3/Plate 1/@6/ "/>
    <s v=" "/>
    <s v=" 47.4847 "/>
    <x v="12"/>
    <s v=" 2669827.22 "/>
    <s v=" 1018763.13 "/>
    <n v="32"/>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C:\Users\andre\Desktop\REACTIV CEFAS\Prochloraz\Prochloraz/20201210_Cefas_Test9_Run3/Plate 1/@7/A7_01.tif "/>
    <s v=" 92294.7604 "/>
    <s v=" 60.4978 "/>
    <x v="0"/>
    <n v="5583628"/>
    <m/>
    <m/>
    <m/>
  </r>
  <r>
    <x v="11"/>
    <x v="0"/>
    <s v="C:\Users\andre\Desktop\REACTIV CEFAS\Prochloraz\Prochloraz/20201210_Cefas_Test9_Run3/Plate 1/@7/A7_02.tif "/>
    <s v=" 92748.9882 "/>
    <s v=" 62.2038 "/>
    <x v="0"/>
    <n v="5769342"/>
    <m/>
    <m/>
    <m/>
  </r>
  <r>
    <x v="11"/>
    <x v="0"/>
    <s v="C:\Users\andre\Desktop\REACTIV CEFAS\Prochloraz\Prochloraz/20201210_Cefas_Test9_Run3/Plate 1/@7/A7_03.tif "/>
    <s v=" 94284.7107 "/>
    <s v=" 62.4079 "/>
    <x v="0"/>
    <n v="5884110"/>
    <m/>
    <m/>
    <m/>
  </r>
  <r>
    <x v="11"/>
    <x v="0"/>
    <s v="C:\Users\andre\Desktop\REACTIV CEFAS\Prochloraz\Prochloraz/20201210_Cefas_Test9_Run3/Plate 1/@7/A7_04.tif "/>
    <s v=" 92597.5789 "/>
    <s v=" 59.9923 "/>
    <x v="0"/>
    <n v="5555141"/>
    <m/>
    <m/>
    <m/>
  </r>
  <r>
    <x v="11"/>
    <x v="1"/>
    <s v="C:\Users\andre\Desktop\REACTIV CEFAS\Prochloraz\Prochloraz/20201210_Cefas_Test9_Run3/Plate 1/@7/B7_01- exclu.tif"/>
    <m/>
    <m/>
    <x v="1"/>
    <m/>
    <m/>
    <m/>
    <m/>
  </r>
  <r>
    <x v="11"/>
    <x v="1"/>
    <s v="C:\Users\andre\Desktop\REACTIV CEFAS\Prochloraz\Prochloraz/20201210_Cefas_Test9_Run3/Plate 1/@7/B7_02- exclu.tif"/>
    <m/>
    <m/>
    <x v="1"/>
    <m/>
    <m/>
    <m/>
    <m/>
  </r>
  <r>
    <x v="11"/>
    <x v="1"/>
    <s v="C:\Users\andre\Desktop\REACTIV CEFAS\Prochloraz\Prochloraz/20201210_Cefas_Test9_Run3/Plate 1/@7/B7_03- exclu.tif"/>
    <m/>
    <m/>
    <x v="1"/>
    <m/>
    <m/>
    <m/>
    <m/>
  </r>
  <r>
    <x v="11"/>
    <x v="1"/>
    <s v="C:\Users\andre\Desktop\REACTIV CEFAS\Prochloraz\Prochloraz/20201210_Cefas_Test9_Run3/Plate 1/@7/B7_04.tif "/>
    <s v=" 96901.9279 "/>
    <s v=" 64.6634 "/>
    <x v="0"/>
    <n v="6266007"/>
    <m/>
    <m/>
    <m/>
  </r>
  <r>
    <x v="11"/>
    <x v="2"/>
    <s v="C:\Users\andre\Desktop\REACTIV CEFAS\Prochloraz\Prochloraz/20201210_Cefas_Test9_Run3/Plate 1/@7/C7_01.tif "/>
    <s v=" 66706.595 "/>
    <s v=" 53.2348 "/>
    <x v="0"/>
    <n v="3551110"/>
    <m/>
    <m/>
    <m/>
  </r>
  <r>
    <x v="11"/>
    <x v="2"/>
    <s v="C:\Users\andre\Desktop\REACTIV CEFAS\Prochloraz\Prochloraz/20201210_Cefas_Test9_Run3/Plate 1/@7/C7_02.tif "/>
    <s v=" 69194.0329 "/>
    <s v=" 59.2682 "/>
    <x v="0"/>
    <n v="4101006"/>
    <m/>
    <m/>
    <m/>
  </r>
  <r>
    <x v="11"/>
    <x v="2"/>
    <s v="C:\Users\andre\Desktop\REACTIV CEFAS\Prochloraz\Prochloraz/20201210_Cefas_Test9_Run3/Plate 1/@7/C7_03.tif "/>
    <s v=" 64976.2035 "/>
    <s v=" 54.2706 "/>
    <x v="0"/>
    <n v="3526300"/>
    <m/>
    <m/>
    <m/>
  </r>
  <r>
    <x v="11"/>
    <x v="2"/>
    <s v="C:\Users\andre\Desktop\REACTIV CEFAS\Prochloraz\Prochloraz/20201210_Cefas_Test9_Run3/Plate 1/@7/C7_04.tif "/>
    <s v=" 63353.9614 "/>
    <s v=" 54.0731 "/>
    <x v="0"/>
    <n v="3425743"/>
    <m/>
    <m/>
    <m/>
  </r>
  <r>
    <x v="11"/>
    <x v="3"/>
    <s v="C:\Users\andre\Desktop\REACTIV CEFAS\Prochloraz\Prochloraz/20201210_Cefas_Test9_Run3/Plate 1/@7/D7_01.tif "/>
    <s v=" 82734.347 "/>
    <s v=" 61.4952 "/>
    <x v="0"/>
    <n v="5087762"/>
    <m/>
    <m/>
    <m/>
  </r>
  <r>
    <x v="11"/>
    <x v="3"/>
    <s v="C:\Users\andre\Desktop\REACTIV CEFAS\Prochloraz\Prochloraz/20201210_Cefas_Test9_Run3/Plate 1/@7/D7_02.tif "/>
    <s v=" 78559.7773 "/>
    <s v=" 61.3345 "/>
    <x v="0"/>
    <n v="4818427"/>
    <m/>
    <m/>
    <m/>
  </r>
  <r>
    <x v="11"/>
    <x v="3"/>
    <s v="C:\Users\andre\Desktop\REACTIV CEFAS\Prochloraz\Prochloraz/20201210_Cefas_Test9_Run3/Plate 1/@7/D7_03.tif "/>
    <s v=" 80355.0585 "/>
    <s v=" 64.5133 "/>
    <x v="0"/>
    <n v="5183972"/>
    <m/>
    <m/>
    <m/>
  </r>
  <r>
    <x v="11"/>
    <x v="3"/>
    <s v="C:\Users\andre\Desktop\REACTIV CEFAS\Prochloraz\Prochloraz/20201210_Cefas_Test9_Run3/Plate 1/@7/D7_04.tif "/>
    <s v=" 80441.5781 "/>
    <s v=" 59.2423 "/>
    <x v="0"/>
    <n v="4765542"/>
    <m/>
    <m/>
    <m/>
  </r>
  <r>
    <x v="11"/>
    <x v="4"/>
    <s v="C:\Users\andre\Desktop\REACTIV CEFAS\Prochloraz\Prochloraz/20201210_Cefas_Test9_Run3/Plate 1/@7/E7_01.tif "/>
    <s v=" 68501.8763 "/>
    <s v=" 56.8137 "/>
    <x v="0"/>
    <n v="3891845"/>
    <m/>
    <m/>
    <m/>
  </r>
  <r>
    <x v="11"/>
    <x v="4"/>
    <s v="C:\Users\andre\Desktop\REACTIV CEFAS\Prochloraz\Prochloraz/20201210_Cefas_Test9_Run3/Plate 1/@7/E7_02.tif "/>
    <s v=" 69129.1432 "/>
    <s v=" 55.0391 "/>
    <x v="0"/>
    <n v="3804807"/>
    <m/>
    <m/>
    <m/>
  </r>
  <r>
    <x v="11"/>
    <x v="4"/>
    <s v="C:\Users\andre\Desktop\REACTIV CEFAS\Prochloraz\Prochloraz/20201210_Cefas_Test9_Run3/Plate 1/@7/E7_03.tif "/>
    <s v=" 68761.435 "/>
    <s v=" 58.8761 "/>
    <x v="0"/>
    <n v="4048402"/>
    <m/>
    <m/>
    <m/>
  </r>
  <r>
    <x v="11"/>
    <x v="4"/>
    <s v="C:\Users\andre\Desktop\REACTIV CEFAS\Prochloraz\Prochloraz/20201210_Cefas_Test9_Run3/Plate 1/@7/E7_04.tif "/>
    <s v=" 70751.3853 "/>
    <s v=" 57.1804 "/>
    <x v="0"/>
    <n v="4045591"/>
    <m/>
    <m/>
    <m/>
  </r>
  <r>
    <x v="11"/>
    <x v="5"/>
    <s v="C:\Users\andre\Desktop\REACTIV CEFAS\Prochloraz\Prochloraz/20201210_Cefas_Test9_Run3/Plate 1/@7/F7_01- exclu.tif"/>
    <m/>
    <m/>
    <x v="1"/>
    <m/>
    <m/>
    <m/>
    <m/>
  </r>
  <r>
    <x v="11"/>
    <x v="5"/>
    <s v="C:\Users\andre\Desktop\REACTIV CEFAS\Prochloraz\Prochloraz/20201210_Cefas_Test9_Run3/Plate 1/@7/F7_02- exclu.tif"/>
    <m/>
    <m/>
    <x v="1"/>
    <m/>
    <m/>
    <m/>
    <m/>
  </r>
  <r>
    <x v="11"/>
    <x v="5"/>
    <s v="C:\Users\andre\Desktop\REACTIV CEFAS\Prochloraz\Prochloraz/20201210_Cefas_Test9_Run3/Plate 1/@7/F7_03- exclu.tif"/>
    <m/>
    <m/>
    <x v="1"/>
    <m/>
    <m/>
    <m/>
    <m/>
  </r>
  <r>
    <x v="11"/>
    <x v="5"/>
    <s v="C:\Users\andre\Desktop\REACTIV CEFAS\Prochloraz\Prochloraz/20201210_Cefas_Test9_Run3/Plate 1/@7/F7_04- exclu.tif"/>
    <m/>
    <m/>
    <x v="1"/>
    <m/>
    <m/>
    <m/>
    <m/>
  </r>
  <r>
    <x v="11"/>
    <x v="6"/>
    <s v="C:\Users\andre\Desktop\REACTIV CEFAS\Prochloraz\Prochloraz/20201210_Cefas_Test9_Run3/Plate 1/@7/G7_01.tif "/>
    <s v=" 73649.7912 "/>
    <s v=" 44.2511 "/>
    <x v="0"/>
    <n v="3259084"/>
    <m/>
    <m/>
    <m/>
  </r>
  <r>
    <x v="11"/>
    <x v="6"/>
    <s v="C:\Users\andre\Desktop\REACTIV CEFAS\Prochloraz\Prochloraz/20201210_Cefas_Test9_Run3/Plate 1/@7/G7_02.tif "/>
    <s v=" 69367.0721 "/>
    <s v=" 43.8575 "/>
    <x v="0"/>
    <n v="3042266"/>
    <m/>
    <m/>
    <m/>
  </r>
  <r>
    <x v="11"/>
    <x v="6"/>
    <s v="C:\Users\andre\Desktop\REACTIV CEFAS\Prochloraz\Prochloraz/20201210_Cefas_Test9_Run3/Plate 1/@7/G7_03.tif "/>
    <s v=" 69237.2927 "/>
    <s v=" 43.7545 "/>
    <x v="0"/>
    <n v="3029440"/>
    <m/>
    <m/>
    <m/>
  </r>
  <r>
    <x v="11"/>
    <x v="6"/>
    <s v="C:\Users\andre\Desktop\REACTIV CEFAS\Prochloraz\Prochloraz/20201210_Cefas_Test9_Run3/Plate 1/@7/G7_04.tif "/>
    <s v=" 73022.5243 "/>
    <s v=" 48.0702 "/>
    <x v="0"/>
    <n v="3510207"/>
    <m/>
    <m/>
    <m/>
  </r>
  <r>
    <x v="11"/>
    <x v="7"/>
    <s v="C:\Users\andre\Desktop\REACTIV CEFAS\Prochloraz\Prochloraz/20201210_Cefas_Test9_Run3/Plate 1/@7/H7_01- exclu.tif"/>
    <m/>
    <m/>
    <x v="1"/>
    <m/>
    <m/>
    <m/>
    <m/>
  </r>
  <r>
    <x v="11"/>
    <x v="7"/>
    <s v="C:\Users\andre\Desktop\REACTIV CEFAS\Prochloraz\Prochloraz/20201210_Cefas_Test9_Run3/Plate 1/@7/H7_02- exclu.tif"/>
    <m/>
    <m/>
    <x v="1"/>
    <m/>
    <m/>
    <m/>
    <m/>
  </r>
  <r>
    <x v="11"/>
    <x v="7"/>
    <s v="C:\Users\andre\Desktop\REACTIV CEFAS\Prochloraz\Prochloraz/20201210_Cefas_Test9_Run3/Plate 1/@7/H7_03- exclu.tif"/>
    <m/>
    <m/>
    <x v="1"/>
    <m/>
    <m/>
    <m/>
    <m/>
  </r>
  <r>
    <x v="11"/>
    <x v="7"/>
    <s v="C:\Users\andre\Desktop\REACTIV CEFAS\Prochloraz\Prochloraz/20201210_Cefas_Test9_Run3/Plate 1/@7/H7_04- exclu.tif"/>
    <m/>
    <m/>
    <x v="1"/>
    <m/>
    <m/>
    <m/>
    <m/>
  </r>
  <r>
    <x v="1"/>
    <x v="8"/>
    <s v=" "/>
    <m/>
    <m/>
    <x v="1"/>
    <m/>
    <m/>
    <m/>
    <m/>
  </r>
  <r>
    <x v="1"/>
    <x v="8"/>
    <s v="group "/>
    <s v=" "/>
    <s v=" mean of mean fluo "/>
    <x v="2"/>
    <s v=" mean of total fluo "/>
    <s v=" SD total fluo "/>
    <s v=" n fluorescent "/>
    <s v=" n total"/>
  </r>
  <r>
    <x v="11"/>
    <x v="9"/>
    <s v="C:\Users\andre\Desktop\REACTIV CEFAS\Prochloraz\Prochloraz/20201210_Cefas_Test9_Run3/Plate 1/@7/ "/>
    <s v=" "/>
    <s v=" 50.559 "/>
    <x v="13"/>
    <s v=" 3345979.06 "/>
    <s v=" 2129631.33 "/>
    <n v="32"/>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C:\Users\andre\Desktop\REACTIV CEFAS\Prochloraz\Prochloraz/20201210_Cefas_Test9_Run3/Plate 4/@10/A4_01- exclu.tif"/>
    <m/>
    <m/>
    <x v="1"/>
    <m/>
    <m/>
    <m/>
    <m/>
  </r>
  <r>
    <x v="12"/>
    <x v="0"/>
    <s v="C:\Users\andre\Desktop\REACTIV CEFAS\Prochloraz\Prochloraz/20201210_Cefas_Test9_Run3/Plate 4/@10/A4_02.tif "/>
    <s v=" 6575.488 "/>
    <s v=" 37.3191 "/>
    <x v="0"/>
    <n v="245391"/>
    <m/>
    <m/>
    <m/>
  </r>
  <r>
    <x v="12"/>
    <x v="0"/>
    <s v="C:\Users\andre\Desktop\REACTIV CEFAS\Prochloraz\Prochloraz/20201210_Cefas_Test9_Run3/Plate 4/@10/A4_03.tif "/>
    <s v=" 129.7794 "/>
    <n v="32"/>
    <x v="0"/>
    <n v="4153"/>
    <m/>
    <m/>
    <m/>
  </r>
  <r>
    <x v="12"/>
    <x v="0"/>
    <s v="C:\Users\andre\Desktop\REACTIV CEFAS\Prochloraz\Prochloraz/20201210_Cefas_Test9_Run3/Plate 4/@10/A4_04.tif "/>
    <s v=" 302.8185 "/>
    <s v=" 31.2143 "/>
    <x v="0"/>
    <n v="9452"/>
    <m/>
    <m/>
    <m/>
  </r>
  <r>
    <x v="12"/>
    <x v="1"/>
    <s v="C:\Users\andre\Desktop\REACTIV CEFAS\Prochloraz\Prochloraz/20201210_Cefas_Test9_Run3/Plate 4/@10/B4_01- exclu.tif"/>
    <m/>
    <m/>
    <x v="1"/>
    <m/>
    <m/>
    <m/>
    <m/>
  </r>
  <r>
    <x v="12"/>
    <x v="1"/>
    <s v="C:\Users\andre\Desktop\REACTIV CEFAS\Prochloraz\Prochloraz/20201210_Cefas_Test9_Run3/Plate 4/@10/B4_02- exclu.tif"/>
    <m/>
    <m/>
    <x v="1"/>
    <m/>
    <m/>
    <m/>
    <m/>
  </r>
  <r>
    <x v="12"/>
    <x v="1"/>
    <s v="C:\Users\andre\Desktop\REACTIV CEFAS\Prochloraz\Prochloraz/20201210_Cefas_Test9_Run3/Plate 4/@10/B4_03- exclu.tif"/>
    <m/>
    <m/>
    <x v="1"/>
    <m/>
    <m/>
    <m/>
    <m/>
  </r>
  <r>
    <x v="12"/>
    <x v="1"/>
    <s v="C:\Users\andre\Desktop\REACTIV CEFAS\Prochloraz\Prochloraz/20201210_Cefas_Test9_Run3/Plate 4/@10/B4_04- exclu.tif"/>
    <m/>
    <m/>
    <x v="1"/>
    <m/>
    <m/>
    <m/>
    <m/>
  </r>
  <r>
    <x v="12"/>
    <x v="2"/>
    <s v="C:\Users\andre\Desktop\REACTIV CEFAS\Prochloraz\Prochloraz/20201210_Cefas_Test9_Run3/Plate 4/@10/C4_01.tif "/>
    <s v=" 9538.7835 "/>
    <s v=" 43.3583 "/>
    <x v="0"/>
    <n v="413585"/>
    <m/>
    <m/>
    <m/>
  </r>
  <r>
    <x v="12"/>
    <x v="2"/>
    <s v="C:\Users\andre\Desktop\REACTIV CEFAS\Prochloraz\Prochloraz/20201210_Cefas_Test9_Run3/Plate 4/@10/C4_02.tif "/>
    <s v=" 9538.7835 "/>
    <s v=" 42.1066 "/>
    <x v="0"/>
    <n v="401646"/>
    <m/>
    <m/>
    <m/>
  </r>
  <r>
    <x v="12"/>
    <x v="2"/>
    <s v="C:\Users\andre\Desktop\REACTIV CEFAS\Prochloraz\Prochloraz/20201210_Cefas_Test9_Run3/Plate 4/@10/C4_03.tif "/>
    <s v=" 6121.2602 "/>
    <s v=" 37.9929 "/>
    <x v="0"/>
    <n v="232565"/>
    <m/>
    <m/>
    <m/>
  </r>
  <r>
    <x v="12"/>
    <x v="2"/>
    <s v="C:\Users\andre\Desktop\REACTIV CEFAS\Prochloraz\Prochloraz/20201210_Cefas_Test9_Run3/Plate 4/@10/C4_04.tif "/>
    <s v=" 11247.5452 "/>
    <s v=" 42.4712 "/>
    <x v="0"/>
    <n v="477696"/>
    <m/>
    <m/>
    <m/>
  </r>
  <r>
    <x v="12"/>
    <x v="3"/>
    <s v="C:\Users\andre\Desktop\REACTIV CEFAS\Prochloraz\Prochloraz/20201210_Cefas_Test9_Run3/Plate 4/@10/D4_01.tif "/>
    <s v=" 6380.8189 "/>
    <s v=" 40.6203 "/>
    <x v="0"/>
    <n v="259191"/>
    <m/>
    <m/>
    <m/>
  </r>
  <r>
    <x v="12"/>
    <x v="3"/>
    <s v="C:\Users\andre\Desktop\REACTIV CEFAS\Prochloraz\Prochloraz/20201210_Cefas_Test9_Run3/Plate 4/@10/D4_02.tif "/>
    <s v=" 6943.1962 "/>
    <s v=" 41.8723 "/>
    <x v="0"/>
    <n v="290727"/>
    <m/>
    <m/>
    <m/>
  </r>
  <r>
    <x v="12"/>
    <x v="3"/>
    <s v="C:\Users\andre\Desktop\REACTIV CEFAS\Prochloraz\Prochloraz/20201210_Cefas_Test9_Run3/Plate 4/@10/D4_03.tif "/>
    <s v=" 5796.8118 "/>
    <s v=" 39.1343 "/>
    <x v="0"/>
    <n v="226854"/>
    <m/>
    <m/>
    <m/>
  </r>
  <r>
    <x v="12"/>
    <x v="3"/>
    <s v="C:\Users\andre\Desktop\REACTIV CEFAS\Prochloraz\Prochloraz/20201210_Cefas_Test9_Run3/Plate 4/@10/D4_04.tif "/>
    <s v=" 5580.5128 "/>
    <s v=" 38.9845 "/>
    <x v="0"/>
    <n v="217553"/>
    <m/>
    <m/>
    <m/>
  </r>
  <r>
    <x v="12"/>
    <x v="4"/>
    <s v="C:\Users\andre\Desktop\REACTIV CEFAS\Prochloraz\Prochloraz/20201210_Cefas_Test9_Run3/Plate 4/@10/E4_01.tif "/>
    <s v=" 10014.6412 "/>
    <s v=" 37.8445 "/>
    <x v="0"/>
    <n v="378999"/>
    <m/>
    <m/>
    <m/>
  </r>
  <r>
    <x v="12"/>
    <x v="4"/>
    <s v="C:\Users\andre\Desktop\REACTIV CEFAS\Prochloraz\Prochloraz/20201210_Cefas_Test9_Run3/Plate 4/@10/E4_02.tif "/>
    <s v=" 10122.7907 "/>
    <s v=" 38.5641 "/>
    <x v="0"/>
    <n v="390376"/>
    <m/>
    <m/>
    <m/>
  </r>
  <r>
    <x v="12"/>
    <x v="4"/>
    <s v="C:\Users\andre\Desktop\REACTIV CEFAS\Prochloraz\Prochloraz/20201210_Cefas_Test9_Run3/Plate 4/@10/E4_03.tif "/>
    <s v=" 9452.264 "/>
    <s v=" 38.1556 "/>
    <x v="0"/>
    <n v="360657"/>
    <m/>
    <m/>
    <m/>
  </r>
  <r>
    <x v="12"/>
    <x v="4"/>
    <s v="C:\Users\andre\Desktop\REACTIV CEFAS\Prochloraz\Prochloraz/20201210_Cefas_Test9_Run3/Plate 4/@10/E4_04.tif "/>
    <s v=" 8327.5094 "/>
    <s v=" 40.5792 "/>
    <x v="0"/>
    <n v="337924"/>
    <m/>
    <m/>
    <m/>
  </r>
  <r>
    <x v="12"/>
    <x v="5"/>
    <s v="C:\Users\andre\Desktop\REACTIV CEFAS\Prochloraz\Prochloraz/20201210_Cefas_Test9_Run3/Plate 4/@10/F4_01- exclu.tif"/>
    <m/>
    <m/>
    <x v="1"/>
    <m/>
    <m/>
    <m/>
    <m/>
  </r>
  <r>
    <x v="12"/>
    <x v="5"/>
    <s v="C:\Users\andre\Desktop\REACTIV CEFAS\Prochloraz\Prochloraz/20201210_Cefas_Test9_Run3/Plate 4/@10/F4_02.tif "/>
    <s v=" 4866.7263 "/>
    <s v=" 36.2844 "/>
    <x v="0"/>
    <n v="176586"/>
    <m/>
    <m/>
    <m/>
  </r>
  <r>
    <x v="12"/>
    <x v="5"/>
    <s v="C:\Users\andre\Desktop\REACTIV CEFAS\Prochloraz\Prochloraz/20201210_Cefas_Test9_Run3/Plate 4/@10/F4_03- exclu.tif"/>
    <m/>
    <m/>
    <x v="1"/>
    <m/>
    <m/>
    <m/>
    <m/>
  </r>
  <r>
    <x v="12"/>
    <x v="5"/>
    <s v="C:\Users\andre\Desktop\REACTIV CEFAS\Prochloraz\Prochloraz/20201210_Cefas_Test9_Run3/Plate 4/@10/F4_04- exclu.tif"/>
    <m/>
    <m/>
    <x v="1"/>
    <m/>
    <m/>
    <m/>
    <m/>
  </r>
  <r>
    <x v="12"/>
    <x v="6"/>
    <s v="C:\Users\andre\Desktop\REACTIV CEFAS\Prochloraz\Prochloraz/20201210_Cefas_Test9_Run3/Plate 4/@10/G4_01.tif "/>
    <s v=" 2336.0286 "/>
    <s v=" 33.9074 "/>
    <x v="0"/>
    <n v="79209"/>
    <m/>
    <m/>
    <m/>
  </r>
  <r>
    <x v="12"/>
    <x v="6"/>
    <s v="C:\Users\andre\Desktop\REACTIV CEFAS\Prochloraz\Prochloraz/20201210_Cefas_Test9_Run3/Plate 4/@10/G4_02.tif "/>
    <s v=" 4369.2387 "/>
    <s v=" 36.7574 "/>
    <x v="0"/>
    <n v="160602"/>
    <m/>
    <m/>
    <m/>
  </r>
  <r>
    <x v="12"/>
    <x v="6"/>
    <s v="C:\Users\andre\Desktop\REACTIV CEFAS\Prochloraz\Prochloraz/20201210_Cefas_Test9_Run3/Plate 4/@10/G4_03.tif "/>
    <s v=" 8824.997 "/>
    <s v=" 38.1152 "/>
    <x v="0"/>
    <n v="336366"/>
    <m/>
    <m/>
    <m/>
  </r>
  <r>
    <x v="12"/>
    <x v="6"/>
    <s v="C:\Users\andre\Desktop\REACTIV CEFAS\Prochloraz\Prochloraz/20201210_Cefas_Test9_Run3/Plate 4/@10/G4_04.tif "/>
    <n v="0"/>
    <n v="0"/>
    <x v="0"/>
    <n v="0"/>
    <m/>
    <m/>
    <m/>
  </r>
  <r>
    <x v="12"/>
    <x v="7"/>
    <s v="C:\Users\andre\Desktop\REACTIV CEFAS\Prochloraz\Prochloraz/20201210_Cefas_Test9_Run3/Plate 4/@10/H4_01.tif "/>
    <s v=" 5212.8046 "/>
    <s v=" 35.0539 "/>
    <x v="0"/>
    <n v="182729"/>
    <m/>
    <m/>
    <m/>
  </r>
  <r>
    <x v="12"/>
    <x v="7"/>
    <s v="C:\Users\andre\Desktop\REACTIV CEFAS\Prochloraz\Prochloraz/20201210_Cefas_Test9_Run3/Plate 4/@10/H4_02.tif "/>
    <s v=" 4282.7191 "/>
    <s v=" 37.0859 "/>
    <x v="0"/>
    <n v="158828"/>
    <m/>
    <m/>
    <m/>
  </r>
  <r>
    <x v="12"/>
    <x v="7"/>
    <s v="C:\Users\andre\Desktop\REACTIV CEFAS\Prochloraz\Prochloraz/20201210_Cefas_Test9_Run3/Plate 4/@10/H4_03.tif "/>
    <s v=" 7765.1322 "/>
    <s v=" 40.8496 "/>
    <x v="0"/>
    <n v="317202"/>
    <m/>
    <m/>
    <m/>
  </r>
  <r>
    <x v="12"/>
    <x v="7"/>
    <s v="C:\Users\andre\Desktop\REACTIV CEFAS\Prochloraz\Prochloraz/20201210_Cefas_Test9_Run3/Plate 4/@10/H4_04.tif "/>
    <s v=" 6553.8581 "/>
    <s v=" 37.2343 "/>
    <x v="0"/>
    <n v="244028"/>
    <m/>
    <m/>
    <m/>
  </r>
  <r>
    <x v="1"/>
    <x v="8"/>
    <s v=" "/>
    <m/>
    <m/>
    <x v="1"/>
    <m/>
    <m/>
    <m/>
    <m/>
  </r>
  <r>
    <x v="1"/>
    <x v="8"/>
    <s v="group "/>
    <s v=" "/>
    <s v=" mean of mean fluo "/>
    <x v="2"/>
    <s v=" mean of total fluo "/>
    <s v=" SD total fluo "/>
    <s v=" n fluorescent "/>
    <s v=" n total"/>
  </r>
  <r>
    <x v="12"/>
    <x v="9"/>
    <s v="C:\Users\andre\Desktop\REACTIV CEFAS\Prochloraz\Prochloraz/20201210_Cefas_Test9_Run3/Plate 4/@10/ "/>
    <s v=" "/>
    <s v=" 34.9758 "/>
    <x v="14"/>
    <s v=" 285507.094 "/>
    <s v=" 224843.375 "/>
    <n v="28"/>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C:\Users\andre\Desktop\REACTIV CEFAS\Prochloraz\Prochloraz/20201210_Cefas_Test9_Run3/Plate 4/@11/A5_01.tif "/>
    <s v=" 2617.2173 "/>
    <s v=" 33.6033 "/>
    <x v="0"/>
    <n v="87947"/>
    <m/>
    <m/>
    <m/>
  </r>
  <r>
    <x v="13"/>
    <x v="0"/>
    <s v="C:\Users\andre\Desktop\REACTIV CEFAS\Prochloraz\Prochloraz/20201210_Cefas_Test9_Run3/Plate 4/@11/A5_02.tif "/>
    <s v=" 14340.6201 "/>
    <s v=" 46.7587 "/>
    <x v="0"/>
    <n v="670548"/>
    <m/>
    <m/>
    <m/>
  </r>
  <r>
    <x v="13"/>
    <x v="0"/>
    <s v="C:\Users\andre\Desktop\REACTIV CEFAS\Prochloraz\Prochloraz/20201210_Cefas_Test9_Run3/Plate 4/@11/A5_03.tif "/>
    <s v=" 12415.5595 "/>
    <s v=" 44.4286 "/>
    <x v="0"/>
    <n v="551606"/>
    <m/>
    <m/>
    <m/>
  </r>
  <r>
    <x v="13"/>
    <x v="0"/>
    <s v="C:\Users\andre\Desktop\REACTIV CEFAS\Prochloraz\Prochloraz/20201210_Cefas_Test9_Run3/Plate 4/@11/A5_04.tif "/>
    <s v=" 13908.0222 "/>
    <s v=" 48.3033 "/>
    <x v="0"/>
    <n v="671803"/>
    <m/>
    <m/>
    <m/>
  </r>
  <r>
    <x v="13"/>
    <x v="1"/>
    <s v="C:\Users\andre\Desktop\REACTIV CEFAS\Prochloraz\Prochloraz/20201210_Cefas_Test9_Run3/Plate 4/@11/B5_01.tif "/>
    <s v=" 2076.4699 "/>
    <s v=" 32.5208 "/>
    <x v="0"/>
    <n v="67529"/>
    <m/>
    <m/>
    <m/>
  </r>
  <r>
    <x v="13"/>
    <x v="1"/>
    <s v="C:\Users\andre\Desktop\REACTIV CEFAS\Prochloraz\Prochloraz/20201210_Cefas_Test9_Run3/Plate 4/@11/B5_02.tif "/>
    <s v=" 5320.9541 "/>
    <s v=" 35.2805 "/>
    <x v="0"/>
    <n v="187726"/>
    <m/>
    <m/>
    <m/>
  </r>
  <r>
    <x v="13"/>
    <x v="1"/>
    <s v="C:\Users\andre\Desktop\REACTIV CEFAS\Prochloraz\Prochloraz/20201210_Cefas_Test9_Run3/Plate 4/@11/B5_03.tif "/>
    <s v=" 4239.4593 "/>
    <s v=" 35.0255 "/>
    <x v="0"/>
    <n v="148489"/>
    <m/>
    <m/>
    <m/>
  </r>
  <r>
    <x v="13"/>
    <x v="1"/>
    <s v="C:\Users\andre\Desktop\REACTIV CEFAS\Prochloraz\Prochloraz/20201210_Cefas_Test9_Run3/Plate 4/@11/B5_04.tif "/>
    <s v=" 6705.2673 "/>
    <s v=" 39.8677 "/>
    <x v="0"/>
    <n v="267324"/>
    <m/>
    <m/>
    <m/>
  </r>
  <r>
    <x v="13"/>
    <x v="2"/>
    <s v="C:\Users\andre\Desktop\REACTIV CEFAS\Prochloraz\Prochloraz/20201210_Cefas_Test9_Run3/Plate 4/@11/C5_01.tif "/>
    <s v=" 6164.52 "/>
    <s v=" 34.1404 "/>
    <x v="0"/>
    <n v="210459"/>
    <m/>
    <m/>
    <m/>
  </r>
  <r>
    <x v="13"/>
    <x v="2"/>
    <s v="C:\Users\andre\Desktop\REACTIV CEFAS\Prochloraz\Prochloraz/20201210_Cefas_Test9_Run3/Plate 4/@11/C5_02.tif "/>
    <n v="0"/>
    <n v="0"/>
    <x v="0"/>
    <n v="0"/>
    <m/>
    <m/>
    <m/>
  </r>
  <r>
    <x v="13"/>
    <x v="2"/>
    <s v="C:\Users\andre\Desktop\REACTIV CEFAS\Prochloraz\Prochloraz/20201210_Cefas_Test9_Run3/Plate 4/@11/C5_03.tif "/>
    <s v=" 8716.8475 "/>
    <s v=" 37.4467 "/>
    <x v="0"/>
    <n v="326417"/>
    <m/>
    <m/>
    <m/>
  </r>
  <r>
    <x v="13"/>
    <x v="2"/>
    <s v="C:\Users\andre\Desktop\REACTIV CEFAS\Prochloraz\Prochloraz/20201210_Cefas_Test9_Run3/Plate 4/@11/C5_04.tif "/>
    <s v=" 10966.3566 "/>
    <s v=" 42.7318 "/>
    <x v="0"/>
    <n v="468612"/>
    <m/>
    <m/>
    <m/>
  </r>
  <r>
    <x v="13"/>
    <x v="3"/>
    <s v="C:\Users\andre\Desktop\REACTIV CEFAS\Prochloraz\Prochloraz/20201210_Cefas_Test9_Run3/Plate 4/@11/D5_01.tif "/>
    <s v=" 8803.3671 "/>
    <s v=" 42.9975 "/>
    <x v="0"/>
    <n v="378523"/>
    <m/>
    <m/>
    <m/>
  </r>
  <r>
    <x v="13"/>
    <x v="3"/>
    <s v="C:\Users\andre\Desktop\REACTIV CEFAS\Prochloraz\Prochloraz/20201210_Cefas_Test9_Run3/Plate 4/@11/D5_02.tif "/>
    <s v=" 5753.552 "/>
    <s v=" 38.4511 "/>
    <x v="0"/>
    <n v="221231"/>
    <m/>
    <m/>
    <m/>
  </r>
  <r>
    <x v="13"/>
    <x v="3"/>
    <s v="C:\Users\andre\Desktop\REACTIV CEFAS\Prochloraz\Prochloraz/20201210_Cefas_Test9_Run3/Plate 4/@11/D5_03.tif "/>
    <s v=" 6251.0395 "/>
    <s v=" 38.8339 "/>
    <x v="0"/>
    <n v="242752"/>
    <m/>
    <m/>
    <m/>
  </r>
  <r>
    <x v="13"/>
    <x v="3"/>
    <s v="C:\Users\andre\Desktop\REACTIV CEFAS\Prochloraz\Prochloraz/20201210_Cefas_Test9_Run3/Plate 4/@11/D5_04.tif "/>
    <s v=" 5926.5911 "/>
    <s v=" 38.7956 "/>
    <x v="0"/>
    <n v="229926"/>
    <m/>
    <m/>
    <m/>
  </r>
  <r>
    <x v="13"/>
    <x v="4"/>
    <s v="C:\Users\andre\Desktop\REACTIV CEFAS\Prochloraz\Prochloraz/20201210_Cefas_Test9_Run3/Plate 4/@11/E5_01.tif "/>
    <n v="0"/>
    <n v="0"/>
    <x v="0"/>
    <n v="0"/>
    <m/>
    <m/>
    <m/>
  </r>
  <r>
    <x v="13"/>
    <x v="4"/>
    <s v="C:\Users\andre\Desktop\REACTIV CEFAS\Prochloraz\Prochloraz/20201210_Cefas_Test9_Run3/Plate 4/@11/E5_02.tif "/>
    <n v="0"/>
    <n v="0"/>
    <x v="0"/>
    <n v="0"/>
    <m/>
    <m/>
    <m/>
  </r>
  <r>
    <x v="13"/>
    <x v="4"/>
    <s v="C:\Users\andre\Desktop\REACTIV CEFAS\Prochloraz\Prochloraz/20201210_Cefas_Test9_Run3/Plate 4/@11/E5_03.tif "/>
    <n v="0"/>
    <n v="0"/>
    <x v="0"/>
    <n v="0"/>
    <m/>
    <m/>
    <m/>
  </r>
  <r>
    <x v="13"/>
    <x v="4"/>
    <s v="C:\Users\andre\Desktop\REACTIV CEFAS\Prochloraz\Prochloraz/20201210_Cefas_Test9_Run3/Plate 4/@11/E5_04.tif "/>
    <n v="0"/>
    <n v="0"/>
    <x v="0"/>
    <n v="0"/>
    <m/>
    <m/>
    <m/>
  </r>
  <r>
    <x v="13"/>
    <x v="5"/>
    <s v="C:\Users\andre\Desktop\REACTIV CEFAS\Prochloraz\Prochloraz/20201210_Cefas_Test9_Run3/Plate 4/@11/F5_01- exclu.tif"/>
    <m/>
    <m/>
    <x v="1"/>
    <m/>
    <m/>
    <m/>
    <m/>
  </r>
  <r>
    <x v="13"/>
    <x v="5"/>
    <s v="C:\Users\andre\Desktop\REACTIV CEFAS\Prochloraz\Prochloraz/20201210_Cefas_Test9_Run3/Plate 4/@11/F5_02- exclu.tif"/>
    <m/>
    <m/>
    <x v="1"/>
    <m/>
    <m/>
    <m/>
    <m/>
  </r>
  <r>
    <x v="13"/>
    <x v="5"/>
    <s v="C:\Users\andre\Desktop\REACTIV CEFAS\Prochloraz\Prochloraz/20201210_Cefas_Test9_Run3/Plate 4/@11/F5_03- exclu.tif"/>
    <m/>
    <m/>
    <x v="1"/>
    <m/>
    <m/>
    <m/>
    <m/>
  </r>
  <r>
    <x v="13"/>
    <x v="5"/>
    <s v="C:\Users\andre\Desktop\REACTIV CEFAS\Prochloraz\Prochloraz/20201210_Cefas_Test9_Run3/Plate 4/@11/F5_04- exclu.tif"/>
    <m/>
    <m/>
    <x v="1"/>
    <m/>
    <m/>
    <m/>
    <m/>
  </r>
  <r>
    <x v="13"/>
    <x v="6"/>
    <s v="C:\Users\andre\Desktop\REACTIV CEFAS\Prochloraz\Prochloraz/20201210_Cefas_Test9_Run3/Plate 4/@11/G5_01.tif "/>
    <s v=" 3871.7511 "/>
    <s v=" 37.4525 "/>
    <x v="0"/>
    <n v="145007"/>
    <m/>
    <m/>
    <m/>
  </r>
  <r>
    <x v="13"/>
    <x v="6"/>
    <s v="C:\Users\andre\Desktop\REACTIV CEFAS\Prochloraz\Prochloraz/20201210_Cefas_Test9_Run3/Plate 4/@11/G5_02.tif "/>
    <s v=" 9625.3031 "/>
    <s v=" 39.5236 "/>
    <x v="0"/>
    <n v="380427"/>
    <m/>
    <m/>
    <m/>
  </r>
  <r>
    <x v="13"/>
    <x v="6"/>
    <s v="C:\Users\andre\Desktop\REACTIV CEFAS\Prochloraz\Prochloraz/20201210_Cefas_Test9_Run3/Plate 4/@11/G5_03.tif "/>
    <s v=" 9430.6341 "/>
    <s v=" 39.0046 "/>
    <x v="0"/>
    <n v="367838"/>
    <m/>
    <m/>
    <m/>
  </r>
  <r>
    <x v="13"/>
    <x v="6"/>
    <s v="C:\Users\andre\Desktop\REACTIV CEFAS\Prochloraz\Prochloraz/20201210_Cefas_Test9_Run3/Plate 4/@11/G5_04.tif "/>
    <s v=" 7635.3528 "/>
    <s v=" 37.4901 "/>
    <x v="0"/>
    <n v="286250"/>
    <m/>
    <m/>
    <m/>
  </r>
  <r>
    <x v="13"/>
    <x v="7"/>
    <s v="C:\Users\andre\Desktop\REACTIV CEFAS\Prochloraz\Prochloraz/20201210_Cefas_Test9_Run3/Plate 4/@11/H5_01- exclu.tif"/>
    <m/>
    <m/>
    <x v="1"/>
    <m/>
    <m/>
    <m/>
    <m/>
  </r>
  <r>
    <x v="13"/>
    <x v="7"/>
    <s v="C:\Users\andre\Desktop\REACTIV CEFAS\Prochloraz\Prochloraz/20201210_Cefas_Test9_Run3/Plate 4/@11/H5_02- exclu.tif"/>
    <m/>
    <m/>
    <x v="1"/>
    <m/>
    <m/>
    <m/>
    <m/>
  </r>
  <r>
    <x v="13"/>
    <x v="7"/>
    <s v="C:\Users\andre\Desktop\REACTIV CEFAS\Prochloraz\Prochloraz/20201210_Cefas_Test9_Run3/Plate 4/@11/H5_03- exclu.tif"/>
    <m/>
    <m/>
    <x v="1"/>
    <m/>
    <m/>
    <m/>
    <m/>
  </r>
  <r>
    <x v="13"/>
    <x v="7"/>
    <s v="C:\Users\andre\Desktop\REACTIV CEFAS\Prochloraz\Prochloraz/20201210_Cefas_Test9_Run3/Plate 4/@11/H5_04- exclu.tif"/>
    <m/>
    <m/>
    <x v="1"/>
    <m/>
    <m/>
    <m/>
    <m/>
  </r>
  <r>
    <x v="1"/>
    <x v="8"/>
    <s v=" "/>
    <m/>
    <m/>
    <x v="1"/>
    <m/>
    <m/>
    <m/>
    <m/>
  </r>
  <r>
    <x v="1"/>
    <x v="8"/>
    <s v="group "/>
    <s v=" "/>
    <s v=" mean of mean fluo "/>
    <x v="2"/>
    <s v=" mean of total fluo "/>
    <s v=" SD total fluo "/>
    <s v=" n fluorescent "/>
    <s v=" n total"/>
  </r>
  <r>
    <x v="13"/>
    <x v="9"/>
    <s v="C:\Users\andre\Desktop\REACTIV CEFAS\Prochloraz\Prochloraz/20201210_Cefas_Test9_Run3/Plate 4/@11/ "/>
    <s v=" "/>
    <s v=" 29.154 "/>
    <x v="15"/>
    <s v=" 221534.812 "/>
    <s v=" 213125.808 "/>
    <n v="24"/>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C:\Users\andre\Desktop\REACTIV CEFAS\Prochloraz\Prochloraz/20201210_Cefas_Test9_Run3/Plate 4/@12/A6_01.tif "/>
    <s v=" 10360.7195 "/>
    <s v=" 42.238 "/>
    <x v="0"/>
    <n v="437616"/>
    <m/>
    <m/>
    <m/>
  </r>
  <r>
    <x v="14"/>
    <x v="0"/>
    <s v="C:\Users\andre\Desktop\REACTIV CEFAS\Prochloraz\Prochloraz/20201210_Cefas_Test9_Run3/Plate 4/@12/A6_02.tif "/>
    <s v=" 12869.7873 "/>
    <s v=" 41.9815 "/>
    <x v="0"/>
    <n v="540293"/>
    <m/>
    <m/>
    <m/>
  </r>
  <r>
    <x v="14"/>
    <x v="0"/>
    <s v="C:\Users\andre\Desktop\REACTIV CEFAS\Prochloraz\Prochloraz/20201210_Cefas_Test9_Run3/Plate 4/@12/A6_03.tif "/>
    <s v=" 9733.4526 "/>
    <s v=" 38.4089 "/>
    <x v="0"/>
    <n v="373851"/>
    <m/>
    <m/>
    <m/>
  </r>
  <r>
    <x v="14"/>
    <x v="0"/>
    <s v="C:\Users\andre\Desktop\REACTIV CEFAS\Prochloraz\Prochloraz/20201210_Cefas_Test9_Run3/Plate 4/@12/A6_04.tif "/>
    <s v=" 12718.378 "/>
    <s v=" 42.7483 "/>
    <x v="0"/>
    <n v="543689"/>
    <m/>
    <m/>
    <m/>
  </r>
  <r>
    <x v="14"/>
    <x v="1"/>
    <s v="C:\Users\andre\Desktop\REACTIV CEFAS\Prochloraz\Prochloraz/20201210_Cefas_Test9_Run3/Plate 4/@12/B6_01.tif "/>
    <s v=" 9127.8155 "/>
    <s v=" 41.1754 "/>
    <x v="0"/>
    <n v="375841"/>
    <m/>
    <m/>
    <m/>
  </r>
  <r>
    <x v="14"/>
    <x v="1"/>
    <s v="C:\Users\andre\Desktop\REACTIV CEFAS\Prochloraz\Prochloraz/20201210_Cefas_Test9_Run3/Plate 4/@12/B6_02.tif "/>
    <s v=" 5385.8438 "/>
    <s v=" 38.5502 "/>
    <x v="0"/>
    <n v="207625"/>
    <m/>
    <m/>
    <m/>
  </r>
  <r>
    <x v="14"/>
    <x v="1"/>
    <s v="C:\Users\andre\Desktop\REACTIV CEFAS\Prochloraz\Prochloraz/20201210_Cefas_Test9_Run3/Plate 4/@12/B6_03.tif "/>
    <s v=" 11096.1359 "/>
    <s v=" 46.5692 "/>
    <x v="0"/>
    <n v="516738"/>
    <m/>
    <m/>
    <m/>
  </r>
  <r>
    <x v="14"/>
    <x v="1"/>
    <s v="C:\Users\andre\Desktop\REACTIV CEFAS\Prochloraz\Prochloraz/20201210_Cefas_Test9_Run3/Plate 4/@12/B6_04.tif "/>
    <s v=" 9819.9722 "/>
    <s v=" 42.8062 "/>
    <x v="0"/>
    <n v="420355"/>
    <m/>
    <m/>
    <m/>
  </r>
  <r>
    <x v="14"/>
    <x v="2"/>
    <s v="C:\Users\andre\Desktop\REACTIV CEFAS\Prochloraz\Prochloraz/20201210_Cefas_Test9_Run3/Plate 4/@12/C6_01.tif "/>
    <s v=" 12718.378 "/>
    <s v=" 44.1735 "/>
    <x v="0"/>
    <n v="561815"/>
    <m/>
    <m/>
    <m/>
  </r>
  <r>
    <x v="14"/>
    <x v="2"/>
    <s v="C:\Users\andre\Desktop\REACTIV CEFAS\Prochloraz\Prochloraz/20201210_Cefas_Test9_Run3/Plate 4/@12/C6_02.tif "/>
    <s v=" 13150.9759 "/>
    <s v=" 43.8553 "/>
    <x v="0"/>
    <n v="576740"/>
    <m/>
    <m/>
    <m/>
  </r>
  <r>
    <x v="14"/>
    <x v="2"/>
    <s v="C:\Users\andre\Desktop\REACTIV CEFAS\Prochloraz\Prochloraz/20201210_Cefas_Test9_Run3/Plate 4/@12/C6_03- exclu.tif"/>
    <m/>
    <m/>
    <x v="1"/>
    <m/>
    <m/>
    <m/>
    <m/>
  </r>
  <r>
    <x v="14"/>
    <x v="2"/>
    <s v="C:\Users\andre\Desktop\REACTIV CEFAS\Prochloraz\Prochloraz/20201210_Cefas_Test9_Run3/Plate 4/@12/C6_04- exclu.tif"/>
    <m/>
    <m/>
    <x v="1"/>
    <m/>
    <m/>
    <m/>
    <m/>
  </r>
  <r>
    <x v="14"/>
    <x v="3"/>
    <s v="C:\Users\andre\Desktop\REACTIV CEFAS\Prochloraz\Prochloraz/20201210_Cefas_Test9_Run3/Plate 4/@12/D6_01.tif "/>
    <s v=" 8846.6269 "/>
    <s v=" 38.1809 "/>
    <x v="0"/>
    <n v="337772"/>
    <m/>
    <m/>
    <m/>
  </r>
  <r>
    <x v="14"/>
    <x v="3"/>
    <s v="C:\Users\andre\Desktop\REACTIV CEFAS\Prochloraz\Prochloraz/20201210_Cefas_Test9_Run3/Plate 4/@12/D6_02.tif "/>
    <s v=" 8868.2568 "/>
    <s v=" 36.7805 "/>
    <x v="0"/>
    <n v="326179"/>
    <m/>
    <m/>
    <m/>
  </r>
  <r>
    <x v="14"/>
    <x v="3"/>
    <s v="C:\Users\andre\Desktop\REACTIV CEFAS\Prochloraz\Prochloraz/20201210_Cefas_Test9_Run3/Plate 4/@12/D6_03.tif "/>
    <s v=" 9560.4134 "/>
    <s v=" 38.491 "/>
    <x v="0"/>
    <n v="367989"/>
    <m/>
    <m/>
    <m/>
  </r>
  <r>
    <x v="14"/>
    <x v="3"/>
    <s v="C:\Users\andre\Desktop\REACTIV CEFAS\Prochloraz\Prochloraz/20201210_Cefas_Test9_Run3/Plate 4/@12/D6_04- exclu.tif"/>
    <m/>
    <m/>
    <x v="1"/>
    <m/>
    <m/>
    <m/>
    <m/>
  </r>
  <r>
    <x v="14"/>
    <x v="4"/>
    <s v="C:\Users\andre\Desktop\REACTIV CEFAS\Prochloraz\Prochloraz/20201210_Cefas_Test9_Run3/Plate 4/@12/E6_01.tif "/>
    <s v=" 10577.0185 "/>
    <s v=" 41.2352 "/>
    <x v="0"/>
    <n v="436145"/>
    <m/>
    <m/>
    <m/>
  </r>
  <r>
    <x v="14"/>
    <x v="4"/>
    <s v="C:\Users\andre\Desktop\REACTIV CEFAS\Prochloraz\Prochloraz/20201210_Cefas_Test9_Run3/Plate 4/@12/E6_02.tif "/>
    <s v=" 13929.6521 "/>
    <s v=" 43.9876 "/>
    <x v="0"/>
    <n v="612732"/>
    <m/>
    <m/>
    <m/>
  </r>
  <r>
    <x v="14"/>
    <x v="4"/>
    <s v="C:\Users\andre\Desktop\REACTIV CEFAS\Prochloraz\Prochloraz/20201210_Cefas_Test9_Run3/Plate 4/@12/E6_03- exclu.tif"/>
    <m/>
    <m/>
    <x v="1"/>
    <m/>
    <m/>
    <m/>
    <m/>
  </r>
  <r>
    <x v="14"/>
    <x v="4"/>
    <s v="C:\Users\andre\Desktop\REACTIV CEFAS\Prochloraz\Prochloraz/20201210_Cefas_Test9_Run3/Plate 4/@12/E6_04- exclu.tif"/>
    <m/>
    <m/>
    <x v="1"/>
    <m/>
    <m/>
    <m/>
    <m/>
  </r>
  <r>
    <x v="14"/>
    <x v="5"/>
    <s v="C:\Users\andre\Desktop\REACTIV CEFAS\Prochloraz\Prochloraz/20201210_Cefas_Test9_Run3/Plate 4/@12/F6_01.tif "/>
    <s v=" 5147.9149 "/>
    <s v=" 38.4664 "/>
    <x v="0"/>
    <n v="198022"/>
    <m/>
    <m/>
    <m/>
  </r>
  <r>
    <x v="14"/>
    <x v="5"/>
    <s v="C:\Users\andre\Desktop\REACTIV CEFAS\Prochloraz\Prochloraz/20201210_Cefas_Test9_Run3/Plate 4/@12/F6_02.tif "/>
    <s v=" 8111.2105 "/>
    <s v=" 39.8187 "/>
    <x v="0"/>
    <n v="322978"/>
    <m/>
    <m/>
    <m/>
  </r>
  <r>
    <x v="14"/>
    <x v="5"/>
    <s v="C:\Users\andre\Desktop\REACTIV CEFAS\Prochloraz\Prochloraz/20201210_Cefas_Test9_Run3/Plate 4/@12/F6_03.tif "/>
    <s v=" 5667.0324 "/>
    <s v=" 38.2481 "/>
    <x v="0"/>
    <n v="216753"/>
    <m/>
    <m/>
    <m/>
  </r>
  <r>
    <x v="14"/>
    <x v="5"/>
    <s v="C:\Users\andre\Desktop\REACTIV CEFAS\Prochloraz\Prochloraz/20201210_Cefas_Test9_Run3/Plate 4/@12/F6_04.tif "/>
    <s v=" 5818.4417 "/>
    <s v=" 39.9219 "/>
    <x v="0"/>
    <n v="232283"/>
    <m/>
    <m/>
    <m/>
  </r>
  <r>
    <x v="14"/>
    <x v="6"/>
    <s v="C:\Users\andre\Desktop\REACTIV CEFAS\Prochloraz\Prochloraz/20201210_Cefas_Test9_Run3/Plate 4/@12/G6_01- exclu.tif"/>
    <m/>
    <m/>
    <x v="1"/>
    <m/>
    <m/>
    <m/>
    <m/>
  </r>
  <r>
    <x v="14"/>
    <x v="6"/>
    <s v="C:\Users\andre\Desktop\REACTIV CEFAS\Prochloraz\Prochloraz/20201210_Cefas_Test9_Run3/Plate 4/@12/G6_02- exclu.tif"/>
    <m/>
    <m/>
    <x v="1"/>
    <m/>
    <m/>
    <m/>
    <m/>
  </r>
  <r>
    <x v="14"/>
    <x v="6"/>
    <s v="C:\Users\andre\Desktop\REACTIV CEFAS\Prochloraz\Prochloraz/20201210_Cefas_Test9_Run3/Plate 4/@12/G6_03- exclu.tif"/>
    <m/>
    <m/>
    <x v="1"/>
    <m/>
    <m/>
    <m/>
    <m/>
  </r>
  <r>
    <x v="14"/>
    <x v="6"/>
    <s v="C:\Users\andre\Desktop\REACTIV CEFAS\Prochloraz\Prochloraz/20201210_Cefas_Test9_Run3/Plate 4/@12/G6_04- exclu.tif"/>
    <m/>
    <m/>
    <x v="1"/>
    <m/>
    <m/>
    <m/>
    <m/>
  </r>
  <r>
    <x v="14"/>
    <x v="7"/>
    <s v="C:\Users\andre\Desktop\REACTIV CEFAS\Prochloraz\Prochloraz/20201210_Cefas_Test9_Run3/Plate 4/@12/H6_01- exclu.tif"/>
    <m/>
    <m/>
    <x v="1"/>
    <m/>
    <m/>
    <m/>
    <m/>
  </r>
  <r>
    <x v="14"/>
    <x v="7"/>
    <s v="C:\Users\andre\Desktop\REACTIV CEFAS\Prochloraz\Prochloraz/20201210_Cefas_Test9_Run3/Plate 4/@12/H6_02- exclu.tif"/>
    <m/>
    <m/>
    <x v="1"/>
    <m/>
    <m/>
    <m/>
    <m/>
  </r>
  <r>
    <x v="14"/>
    <x v="7"/>
    <s v="C:\Users\andre\Desktop\REACTIV CEFAS\Prochloraz\Prochloraz/20201210_Cefas_Test9_Run3/Plate 4/@12/H6_03- exclu.tif"/>
    <m/>
    <m/>
    <x v="1"/>
    <m/>
    <m/>
    <m/>
    <m/>
  </r>
  <r>
    <x v="14"/>
    <x v="7"/>
    <s v="C:\Users\andre\Desktop\REACTIV CEFAS\Prochloraz\Prochloraz/20201210_Cefas_Test9_Run3/Plate 4/@12/H6_04- exclu.tif"/>
    <m/>
    <m/>
    <x v="1"/>
    <m/>
    <m/>
    <m/>
    <m/>
  </r>
  <r>
    <x v="1"/>
    <x v="8"/>
    <s v=" "/>
    <m/>
    <m/>
    <x v="1"/>
    <m/>
    <m/>
    <m/>
    <m/>
  </r>
  <r>
    <x v="1"/>
    <x v="8"/>
    <s v="group "/>
    <s v=" "/>
    <s v=" mean of mean fluo "/>
    <x v="2"/>
    <s v=" mean of total fluo "/>
    <s v=" SD total fluo "/>
    <s v=" n fluorescent "/>
    <s v=" n total"/>
  </r>
  <r>
    <x v="14"/>
    <x v="9"/>
    <s v="C:\Users\andre\Desktop\REACTIV CEFAS\Prochloraz\Prochloraz/20201210_Cefas_Test9_Run3/Plate 4/@12/ "/>
    <s v=" "/>
    <s v=" 38.9901 "/>
    <x v="16"/>
    <s v=" 449463.781 "/>
    <s v=" 221190.99 "/>
    <n v="29"/>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C:\Users\andre\Desktop\REACTIV CEFAS\Prochloraz\Prochloraz/20201210_Cefas_Test9_Run3/Plate 4/@17/A8_01- exclu.tif"/>
    <m/>
    <m/>
    <x v="1"/>
    <m/>
    <m/>
    <m/>
    <m/>
  </r>
  <r>
    <x v="15"/>
    <x v="0"/>
    <s v="C:\Users\andre\Desktop\REACTIV CEFAS\Prochloraz\Prochloraz/20201210_Cefas_Test9_Run3/Plate 4/@17/A8_02- exclu.tif"/>
    <m/>
    <m/>
    <x v="1"/>
    <m/>
    <m/>
    <m/>
    <m/>
  </r>
  <r>
    <x v="15"/>
    <x v="0"/>
    <s v="C:\Users\andre\Desktop\REACTIV CEFAS\Prochloraz\Prochloraz/20201210_Cefas_Test9_Run3/Plate 4/@17/A8_03- exclu.tif"/>
    <m/>
    <m/>
    <x v="1"/>
    <m/>
    <m/>
    <m/>
    <m/>
  </r>
  <r>
    <x v="15"/>
    <x v="0"/>
    <s v="C:\Users\andre\Desktop\REACTIV CEFAS\Prochloraz\Prochloraz/20201210_Cefas_Test9_Run3/Plate 4/@17/A8_04- exclu.tif"/>
    <m/>
    <m/>
    <x v="1"/>
    <m/>
    <m/>
    <m/>
    <m/>
  </r>
  <r>
    <x v="15"/>
    <x v="1"/>
    <s v="C:\Users\andre\Desktop\REACTIV CEFAS\Prochloraz\Prochloraz/20201210_Cefas_Test9_Run3/Plate 4/@17/B8_01.tif "/>
    <s v=" 13648.4635 "/>
    <s v=" 35.0903 "/>
    <x v="0"/>
    <n v="478929"/>
    <m/>
    <m/>
    <m/>
  </r>
  <r>
    <x v="15"/>
    <x v="1"/>
    <s v="C:\Users\andre\Desktop\REACTIV CEFAS\Prochloraz\Prochloraz/20201210_Cefas_Test9_Run3/Plate 4/@17/B8_02.tif "/>
    <s v=" 19510.165 "/>
    <s v=" 35.8958 "/>
    <x v="0"/>
    <n v="700333"/>
    <m/>
    <m/>
    <m/>
  </r>
  <r>
    <x v="15"/>
    <x v="1"/>
    <s v="C:\Users\andre\Desktop\REACTIV CEFAS\Prochloraz\Prochloraz/20201210_Cefas_Test9_Run3/Plate 4/@17/B8_03.tif "/>
    <s v=" 22668.1296 "/>
    <s v=" 37.104 "/>
    <x v="0"/>
    <n v="841078"/>
    <m/>
    <m/>
    <m/>
  </r>
  <r>
    <x v="15"/>
    <x v="1"/>
    <s v="C:\Users\andre\Desktop\REACTIV CEFAS\Prochloraz\Prochloraz/20201210_Cefas_Test9_Run3/Plate 4/@17/B8_04.tif "/>
    <s v=" 12220.8905 "/>
    <s v=" 35.3752 "/>
    <x v="0"/>
    <n v="432317"/>
    <m/>
    <m/>
    <m/>
  </r>
  <r>
    <x v="15"/>
    <x v="2"/>
    <s v="C:\Users\andre\Desktop\REACTIV CEFAS\Prochloraz\Prochloraz/20201210_Cefas_Test9_Run3/Plate 4/@17/C8_01.tif "/>
    <s v=" 11615.2534 "/>
    <s v=" 41.6369 "/>
    <x v="0"/>
    <n v="483623"/>
    <m/>
    <m/>
    <m/>
  </r>
  <r>
    <x v="15"/>
    <x v="2"/>
    <s v="C:\Users\andre\Desktop\REACTIV CEFAS\Prochloraz\Prochloraz/20201210_Cefas_Test9_Run3/Plate 4/@17/C8_02- exclu.tif"/>
    <m/>
    <m/>
    <x v="1"/>
    <m/>
    <m/>
    <m/>
    <m/>
  </r>
  <r>
    <x v="15"/>
    <x v="2"/>
    <s v="C:\Users\andre\Desktop\REACTIV CEFAS\Prochloraz\Prochloraz/20201210_Cefas_Test9_Run3/Plate 4/@17/C8_03.tif "/>
    <s v=" 14492.0294 "/>
    <s v=" 43.2433 "/>
    <x v="0"/>
    <n v="626683"/>
    <m/>
    <m/>
    <m/>
  </r>
  <r>
    <x v="15"/>
    <x v="2"/>
    <s v="C:\Users\andre\Desktop\REACTIV CEFAS\Prochloraz\Prochloraz/20201210_Cefas_Test9_Run3/Plate 4/@17/C8_04- exclu.tif"/>
    <m/>
    <m/>
    <x v="1"/>
    <m/>
    <m/>
    <m/>
    <m/>
  </r>
  <r>
    <x v="15"/>
    <x v="3"/>
    <s v="C:\Users\andre\Desktop\REACTIV CEFAS\Prochloraz\Prochloraz/20201210_Cefas_Test9_Run3/Plate 4/@17/D8_01.tif "/>
    <s v=" 9603.6732 "/>
    <s v=" 43.25 "/>
    <x v="0"/>
    <n v="415359"/>
    <m/>
    <m/>
    <m/>
  </r>
  <r>
    <x v="15"/>
    <x v="3"/>
    <s v="C:\Users\andre\Desktop\REACTIV CEFAS\Prochloraz\Prochloraz/20201210_Cefas_Test9_Run3/Plate 4/@17/D8_02.tif "/>
    <s v=" 15357.2252 "/>
    <s v=" 44.5479 "/>
    <x v="0"/>
    <n v="684132"/>
    <m/>
    <m/>
    <m/>
  </r>
  <r>
    <x v="15"/>
    <x v="3"/>
    <s v="C:\Users\andre\Desktop\REACTIV CEFAS\Prochloraz\Prochloraz/20201210_Cefas_Test9_Run3/Plate 4/@17/D8_03.tif "/>
    <s v=" 14210.8408 "/>
    <s v=" 41.9863 "/>
    <x v="0"/>
    <n v="596661"/>
    <m/>
    <m/>
    <m/>
  </r>
  <r>
    <x v="15"/>
    <x v="3"/>
    <s v="C:\Users\andre\Desktop\REACTIV CEFAS\Prochloraz\Prochloraz/20201210_Cefas_Test9_Run3/Plate 4/@17/D8_04.tif "/>
    <s v=" 13086.0863 "/>
    <s v=" 41.0645 "/>
    <x v="0"/>
    <n v="537373"/>
    <m/>
    <m/>
    <m/>
  </r>
  <r>
    <x v="15"/>
    <x v="4"/>
    <s v="C:\Users\andre\Desktop\REACTIV CEFAS\Prochloraz\Prochloraz/20201210_Cefas_Test9_Run3/Plate 4/@17/E8_01.tif "/>
    <s v=" 76267.0085 "/>
    <s v=" 43.7198 "/>
    <x v="0"/>
    <n v="3334378"/>
    <m/>
    <m/>
    <m/>
  </r>
  <r>
    <x v="15"/>
    <x v="4"/>
    <s v="C:\Users\andre\Desktop\REACTIV CEFAS\Prochloraz\Prochloraz/20201210_Cefas_Test9_Run3/Plate 4/@17/E8_02.tif "/>
    <s v=" 78840.9659 "/>
    <s v=" 46.3753 "/>
    <x v="0"/>
    <n v="3656274"/>
    <m/>
    <m/>
    <m/>
  </r>
  <r>
    <x v="15"/>
    <x v="4"/>
    <s v="C:\Users\andre\Desktop\REACTIV CEFAS\Prochloraz\Prochloraz/20201210_Cefas_Test9_Run3/Plate 4/@17/E8_03.tif "/>
    <s v=" 79122.1546 "/>
    <s v=" 44.6919 "/>
    <x v="0"/>
    <n v="3536120"/>
    <m/>
    <m/>
    <m/>
  </r>
  <r>
    <x v="15"/>
    <x v="4"/>
    <s v="C:\Users\andre\Desktop\REACTIV CEFAS\Prochloraz\Prochloraz/20201210_Cefas_Test9_Run3/Plate 4/@17/E8_04.tif "/>
    <s v=" 87211.7351 "/>
    <s v=" 45.5637 "/>
    <x v="0"/>
    <n v="3973693"/>
    <m/>
    <m/>
    <m/>
  </r>
  <r>
    <x v="15"/>
    <x v="5"/>
    <s v="C:\Users\andre\Desktop\REACTIV CEFAS\Prochloraz\Prochloraz/20201210_Cefas_Test9_Run3/Plate 4/@17/F8_01.tif "/>
    <s v=" 6899.9364 "/>
    <s v=" 35.5643 "/>
    <x v="0"/>
    <n v="245391"/>
    <m/>
    <m/>
    <m/>
  </r>
  <r>
    <x v="15"/>
    <x v="5"/>
    <s v="C:\Users\andre\Desktop\REACTIV CEFAS\Prochloraz\Prochloraz/20201210_Cefas_Test9_Run3/Plate 4/@17/F8_02.tif "/>
    <s v=" 2422.5482 "/>
    <s v=" 34.2589 "/>
    <x v="0"/>
    <n v="82994"/>
    <m/>
    <m/>
    <m/>
  </r>
  <r>
    <x v="15"/>
    <x v="5"/>
    <s v="C:\Users\andre\Desktop\REACTIV CEFAS\Prochloraz\Prochloraz/20201210_Cefas_Test9_Run3/Plate 4/@17/F8_03.tif "/>
    <s v=" 9300.8547 "/>
    <s v=" 39.1837 "/>
    <x v="0"/>
    <n v="364442"/>
    <m/>
    <m/>
    <m/>
  </r>
  <r>
    <x v="15"/>
    <x v="5"/>
    <s v="C:\Users\andre\Desktop\REACTIV CEFAS\Prochloraz\Prochloraz/20201210_Cefas_Test9_Run3/Plate 4/@17/F8_04.tif "/>
    <s v=" 6467.3385 "/>
    <s v=" 36.7057 "/>
    <x v="0"/>
    <n v="237388"/>
    <m/>
    <m/>
    <m/>
  </r>
  <r>
    <x v="15"/>
    <x v="6"/>
    <s v="C:\Users\andre\Desktop\REACTIV CEFAS\Prochloraz\Prochloraz/20201210_Cefas_Test9_Run3/Plate 4/@17/G8_01.tif "/>
    <s v=" 5126.285 "/>
    <s v=" 36.7848 "/>
    <x v="0"/>
    <n v="188569"/>
    <m/>
    <m/>
    <m/>
  </r>
  <r>
    <x v="15"/>
    <x v="6"/>
    <s v="C:\Users\andre\Desktop\REACTIV CEFAS\Prochloraz\Prochloraz/20201210_Cefas_Test9_Run3/Plate 4/@17/G8_02.tif "/>
    <s v=" 8003.061 "/>
    <s v=" 40.6838 "/>
    <x v="0"/>
    <n v="325595"/>
    <m/>
    <m/>
    <m/>
  </r>
  <r>
    <x v="15"/>
    <x v="6"/>
    <s v="C:\Users\andre\Desktop\REACTIV CEFAS\Prochloraz\Prochloraz/20201210_Cefas_Test9_Run3/Plate 4/@17/G8_03.tif "/>
    <s v=" 17087.6168 "/>
    <s v=" 39.2937 "/>
    <x v="0"/>
    <n v="671435"/>
    <m/>
    <m/>
    <m/>
  </r>
  <r>
    <x v="15"/>
    <x v="6"/>
    <s v="C:\Users\andre\Desktop\REACTIV CEFAS\Prochloraz\Prochloraz/20201210_Cefas_Test9_Run3/Plate 4/@17/G8_04.tif "/>
    <s v=" 16330.5704 "/>
    <s v=" 42.4464 "/>
    <x v="0"/>
    <n v="693173"/>
    <m/>
    <m/>
    <m/>
  </r>
  <r>
    <x v="15"/>
    <x v="7"/>
    <s v="C:\Users\andre\Desktop\REACTIV CEFAS\Prochloraz\Prochloraz/20201210_Cefas_Test9_Run3/Plate 4/@17/H8_01.tif "/>
    <s v=" 9344.1145 "/>
    <s v=" 44.4167 "/>
    <x v="0"/>
    <n v="415034"/>
    <m/>
    <m/>
    <m/>
  </r>
  <r>
    <x v="15"/>
    <x v="7"/>
    <s v="C:\Users\andre\Desktop\REACTIV CEFAS\Prochloraz\Prochloraz/20201210_Cefas_Test9_Run3/Plate 4/@17/H8_02.tif "/>
    <s v=" 12588.5987 "/>
    <s v=" 41.1838 "/>
    <x v="0"/>
    <n v="518447"/>
    <m/>
    <m/>
    <m/>
  </r>
  <r>
    <x v="15"/>
    <x v="7"/>
    <s v="C:\Users\andre\Desktop\REACTIV CEFAS\Prochloraz\Prochloraz/20201210_Cefas_Test9_Run3/Plate 4/@17/H8_03.tif "/>
    <s v=" 10923.0968 "/>
    <s v=" 38.895 "/>
    <x v="0"/>
    <n v="424854"/>
    <m/>
    <m/>
    <m/>
  </r>
  <r>
    <x v="15"/>
    <x v="7"/>
    <s v="C:\Users\andre\Desktop\REACTIV CEFAS\Prochloraz\Prochloraz/20201210_Cefas_Test9_Run3/Plate 4/@17/H8_04.tif "/>
    <s v=" 12761.6378 "/>
    <s v=" 41.9525 "/>
    <x v="0"/>
    <n v="535383"/>
    <m/>
    <m/>
    <m/>
  </r>
  <r>
    <x v="1"/>
    <x v="8"/>
    <s v=" "/>
    <m/>
    <m/>
    <x v="1"/>
    <m/>
    <m/>
    <m/>
    <m/>
  </r>
  <r>
    <x v="1"/>
    <x v="8"/>
    <s v="group "/>
    <s v=" "/>
    <s v=" mean of mean fluo "/>
    <x v="2"/>
    <s v=" mean of total fluo "/>
    <s v=" SD total fluo "/>
    <s v=" n fluorescent "/>
    <s v=" n total"/>
  </r>
  <r>
    <x v="15"/>
    <x v="9"/>
    <s v="C:\Users\andre\Desktop\REACTIV CEFAS\Prochloraz\Prochloraz/20201210_Cefas_Test9_Run3/Plate 4/@17/ "/>
    <s v=" "/>
    <s v=" 36.4271 "/>
    <x v="17"/>
    <s v=" 810241.625 "/>
    <s v=" 1106820.17 "/>
    <n v="29"/>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C:\Users\andre\Desktop\REACTIV CEFAS\Prochloraz\Prochloraz/20201210_Cefas_Test9_Run3/Plate 4/@18/A9_01- exclu.tif"/>
    <m/>
    <m/>
    <x v="1"/>
    <m/>
    <m/>
    <m/>
    <m/>
  </r>
  <r>
    <x v="16"/>
    <x v="0"/>
    <s v="C:\Users\andre\Desktop\REACTIV CEFAS\Prochloraz\Prochloraz/20201210_Cefas_Test9_Run3/Plate 4/@18/A9_02.tif "/>
    <s v=" 52279.4553 "/>
    <s v=" 38.7758 "/>
    <x v="0"/>
    <n v="2027175"/>
    <m/>
    <m/>
    <m/>
  </r>
  <r>
    <x v="16"/>
    <x v="0"/>
    <s v="C:\Users\andre\Desktop\REACTIV CEFAS\Prochloraz\Prochloraz/20201210_Cefas_Test9_Run3/Plate 4/@18/A9_03- exclu.tif"/>
    <m/>
    <m/>
    <x v="1"/>
    <m/>
    <m/>
    <m/>
    <m/>
  </r>
  <r>
    <x v="16"/>
    <x v="0"/>
    <s v="C:\Users\andre\Desktop\REACTIV CEFAS\Prochloraz\Prochloraz/20201210_Cefas_Test9_Run3/Plate 4/@18/A9_04.tif "/>
    <s v=" 59006.3525 "/>
    <s v=" 38.2005 "/>
    <x v="0"/>
    <n v="2254073"/>
    <m/>
    <m/>
    <m/>
  </r>
  <r>
    <x v="16"/>
    <x v="1"/>
    <s v="C:\Users\andre\Desktop\REACTIV CEFAS\Prochloraz\Prochloraz/20201210_Cefas_Test9_Run3/Plate 4/@18/B9_01.tif "/>
    <s v=" 13497.0542 "/>
    <s v=" 35.633 "/>
    <x v="0"/>
    <n v="480941"/>
    <m/>
    <m/>
    <m/>
  </r>
  <r>
    <x v="16"/>
    <x v="1"/>
    <s v="C:\Users\andre\Desktop\REACTIV CEFAS\Prochloraz\Prochloraz/20201210_Cefas_Test9_Run3/Plate 4/@18/B9_02.tif "/>
    <s v=" 14729.9582 "/>
    <s v=" 34.6109 "/>
    <x v="0"/>
    <n v="509817"/>
    <m/>
    <m/>
    <m/>
  </r>
  <r>
    <x v="16"/>
    <x v="1"/>
    <s v="C:\Users\andre\Desktop\REACTIV CEFAS\Prochloraz\Prochloraz/20201210_Cefas_Test9_Run3/Plate 4/@18/B9_03- exclu.tif"/>
    <m/>
    <m/>
    <x v="1"/>
    <m/>
    <m/>
    <m/>
    <m/>
  </r>
  <r>
    <x v="16"/>
    <x v="1"/>
    <s v="C:\Users\andre\Desktop\REACTIV CEFAS\Prochloraz\Prochloraz/20201210_Cefas_Test9_Run3/Plate 4/@18/B9_04.tif "/>
    <s v=" 14946.2572 "/>
    <s v=" 42.6758 "/>
    <x v="0"/>
    <n v="637844"/>
    <m/>
    <m/>
    <m/>
  </r>
  <r>
    <x v="16"/>
    <x v="2"/>
    <s v="C:\Users\andre\Desktop\REACTIV CEFAS\Prochloraz\Prochloraz/20201210_Cefas_Test9_Run3/Plate 4/@18/C9_01.tif "/>
    <s v=" 35689.3261 "/>
    <s v=" 36.9206 "/>
    <x v="0"/>
    <n v="1317672"/>
    <m/>
    <m/>
    <m/>
  </r>
  <r>
    <x v="16"/>
    <x v="2"/>
    <s v="C:\Users\andre\Desktop\REACTIV CEFAS\Prochloraz\Prochloraz/20201210_Cefas_Test9_Run3/Plate 4/@18/C9_02.tif "/>
    <s v=" 28378.4218 "/>
    <s v=" 37.1372 "/>
    <x v="0"/>
    <n v="1053895"/>
    <m/>
    <m/>
    <m/>
  </r>
  <r>
    <x v="16"/>
    <x v="2"/>
    <s v="C:\Users\andre\Desktop\REACTIV CEFAS\Prochloraz\Prochloraz/20201210_Cefas_Test9_Run3/Plate 4/@18/C9_03.tif "/>
    <s v=" 33439.8171 "/>
    <s v=" 38.6889 "/>
    <x v="0"/>
    <n v="1293749"/>
    <m/>
    <m/>
    <m/>
  </r>
  <r>
    <x v="16"/>
    <x v="2"/>
    <s v="C:\Users\andre\Desktop\REACTIV CEFAS\Prochloraz\Prochloraz/20201210_Cefas_Test9_Run3/Plate 4/@18/C9_04.tif "/>
    <s v=" 38371.4331 "/>
    <s v=" 39.2672 "/>
    <x v="0"/>
    <n v="1506738"/>
    <m/>
    <m/>
    <m/>
  </r>
  <r>
    <x v="16"/>
    <x v="3"/>
    <s v="C:\Users\andre\Desktop\REACTIV CEFAS\Prochloraz\Prochloraz/20201210_Cefas_Test9_Run3/Plate 4/@18/D9_01.tif "/>
    <s v=" 31622.9059 "/>
    <s v=" 35.1334 "/>
    <x v="0"/>
    <n v="1111020"/>
    <m/>
    <m/>
    <m/>
  </r>
  <r>
    <x v="16"/>
    <x v="3"/>
    <s v="C:\Users\andre\Desktop\REACTIV CEFAS\Prochloraz\Prochloraz/20201210_Cefas_Test9_Run3/Plate 4/@18/D9_02.tif "/>
    <s v=" 29243.6175 "/>
    <s v=" 34.5732 "/>
    <x v="0"/>
    <n v="1011046"/>
    <m/>
    <m/>
    <m/>
  </r>
  <r>
    <x v="16"/>
    <x v="3"/>
    <s v="C:\Users\andre\Desktop\REACTIV CEFAS\Prochloraz\Prochloraz/20201210_Cefas_Test9_Run3/Plate 4/@18/D9_03.tif "/>
    <s v=" 43995.2057 "/>
    <s v=" 37.6932 "/>
    <x v="0"/>
    <n v="1658321"/>
    <m/>
    <m/>
    <m/>
  </r>
  <r>
    <x v="16"/>
    <x v="3"/>
    <s v="C:\Users\andre\Desktop\REACTIV CEFAS\Prochloraz\Prochloraz/20201210_Cefas_Test9_Run3/Plate 4/@18/D9_04.tif "/>
    <s v=" 41053.54 "/>
    <s v=" 35.8188 "/>
    <x v="0"/>
    <n v="1470487"/>
    <m/>
    <m/>
    <m/>
  </r>
  <r>
    <x v="16"/>
    <x v="4"/>
    <s v="C:\Users\andre\Desktop\REACTIV CEFAS\Prochloraz\Prochloraz/20201210_Cefas_Test9_Run3/Plate 4/@18/E9_01.tif "/>
    <s v=" 28789.3898 "/>
    <s v=" 35.6273 "/>
    <x v="0"/>
    <n v="1025690"/>
    <m/>
    <m/>
    <m/>
  </r>
  <r>
    <x v="16"/>
    <x v="4"/>
    <s v="C:\Users\andre\Desktop\REACTIV CEFAS\Prochloraz\Prochloraz/20201210_Cefas_Test9_Run3/Plate 4/@18/E9_02.tif "/>
    <s v=" 40902.1307 "/>
    <s v=" 38.6118 "/>
    <x v="0"/>
    <n v="1579307"/>
    <m/>
    <m/>
    <m/>
  </r>
  <r>
    <x v="16"/>
    <x v="4"/>
    <s v="C:\Users\andre\Desktop\REACTIV CEFAS\Prochloraz\Prochloraz/20201210_Cefas_Test9_Run3/Plate 4/@18/E9_03.tif "/>
    <s v=" 28811.0196 "/>
    <s v=" 35.6659 "/>
    <x v="0"/>
    <n v="1027571"/>
    <m/>
    <m/>
    <m/>
  </r>
  <r>
    <x v="16"/>
    <x v="4"/>
    <s v="C:\Users\andre\Desktop\REACTIV CEFAS\Prochloraz\Prochloraz/20201210_Cefas_Test9_Run3/Plate 4/@18/E9_04.tif "/>
    <s v=" 36100.2941 "/>
    <s v=" 36.9599 "/>
    <x v="0"/>
    <n v="1334262"/>
    <m/>
    <m/>
    <m/>
  </r>
  <r>
    <x v="16"/>
    <x v="5"/>
    <s v="C:\Users\andre\Desktop\REACTIV CEFAS\Prochloraz\Prochloraz/20201210_Cefas_Test9_Run3/Plate 4/@18/F9_01.tif "/>
    <s v=" 1578.9823 "/>
    <s v=" 35.6986 "/>
    <x v="0"/>
    <n v="56368"/>
    <m/>
    <m/>
    <m/>
  </r>
  <r>
    <x v="16"/>
    <x v="5"/>
    <s v="C:\Users\andre\Desktop\REACTIV CEFAS\Prochloraz\Prochloraz/20201210_Cefas_Test9_Run3/Plate 4/@18/F9_02.tif "/>
    <n v="0"/>
    <n v="0"/>
    <x v="0"/>
    <n v="0"/>
    <m/>
    <m/>
    <m/>
  </r>
  <r>
    <x v="16"/>
    <x v="5"/>
    <s v="C:\Users\andre\Desktop\REACTIV CEFAS\Prochloraz\Prochloraz/20201210_Cefas_Test9_Run3/Plate 4/@18/F9_03.tif "/>
    <s v=" 3439.1532 "/>
    <s v=" 33.8742 "/>
    <x v="0"/>
    <n v="116499"/>
    <m/>
    <m/>
    <m/>
  </r>
  <r>
    <x v="16"/>
    <x v="5"/>
    <s v="C:\Users\andre\Desktop\REACTIV CEFAS\Prochloraz\Prochloraz/20201210_Cefas_Test9_Run3/Plate 4/@18/F9_04.tif "/>
    <s v=" 3612.1924 "/>
    <s v=" 37.6108 "/>
    <x v="0"/>
    <n v="135857"/>
    <m/>
    <m/>
    <m/>
  </r>
  <r>
    <x v="16"/>
    <x v="6"/>
    <s v="C:\Users\andre\Desktop\REACTIV CEFAS\Prochloraz\Prochloraz/20201210_Cefas_Test9_Run3/Plate 4/@18/G9_01.tif "/>
    <s v=" 12631.8585 "/>
    <s v=" 32.3955 "/>
    <x v="0"/>
    <n v="409216"/>
    <m/>
    <m/>
    <m/>
  </r>
  <r>
    <x v="16"/>
    <x v="6"/>
    <s v="C:\Users\andre\Desktop\REACTIV CEFAS\Prochloraz\Prochloraz/20201210_Cefas_Test9_Run3/Plate 4/@18/G9_02.tif "/>
    <s v=" 15335.5953 "/>
    <s v=" 32.7236 "/>
    <x v="0"/>
    <n v="501835"/>
    <m/>
    <m/>
    <m/>
  </r>
  <r>
    <x v="16"/>
    <x v="6"/>
    <s v="C:\Users\andre\Desktop\REACTIV CEFAS\Prochloraz\Prochloraz/20201210_Cefas_Test9_Run3/Plate 4/@18/G9_03.tif "/>
    <s v=" 15292.3355 "/>
    <s v=" 33.1839 "/>
    <x v="0"/>
    <n v="507459"/>
    <m/>
    <m/>
    <m/>
  </r>
  <r>
    <x v="16"/>
    <x v="6"/>
    <s v="C:\Users\andre\Desktop\REACTIV CEFAS\Prochloraz\Prochloraz/20201210_Cefas_Test9_Run3/Plate 4/@18/G9_04.tif "/>
    <s v=" 17390.4353 "/>
    <s v=" 33.4279 "/>
    <x v="0"/>
    <n v="581325"/>
    <m/>
    <m/>
    <m/>
  </r>
  <r>
    <x v="16"/>
    <x v="7"/>
    <s v="C:\Users\andre\Desktop\REACTIV CEFAS\Prochloraz\Prochloraz/20201210_Cefas_Test9_Run3/Plate 4/@18/H9_01.tif "/>
    <s v=" 59806.6586 "/>
    <s v=" 38.6307 "/>
    <x v="0"/>
    <n v="2310376"/>
    <m/>
    <m/>
    <m/>
  </r>
  <r>
    <x v="16"/>
    <x v="7"/>
    <s v="C:\Users\andre\Desktop\REACTIV CEFAS\Prochloraz\Prochloraz/20201210_Cefas_Test9_Run3/Plate 4/@18/H9_02.tif "/>
    <s v=" 58703.534 "/>
    <s v=" 39.6201 "/>
    <x v="0"/>
    <n v="2325841"/>
    <m/>
    <m/>
    <m/>
  </r>
  <r>
    <x v="16"/>
    <x v="7"/>
    <s v="C:\Users\andre\Desktop\REACTIV CEFAS\Prochloraz\Prochloraz/20201210_Cefas_Test9_Run3/Plate 4/@18/H9_03.tif "/>
    <s v=" 64759.9045 "/>
    <s v=" 39.6039 "/>
    <x v="0"/>
    <n v="2564743"/>
    <m/>
    <m/>
    <m/>
  </r>
  <r>
    <x v="16"/>
    <x v="7"/>
    <s v="C:\Users\andre\Desktop\REACTIV CEFAS\Prochloraz\Prochloraz/20201210_Cefas_Test9_Run3/Plate 4/@18/H9_04.tif "/>
    <s v=" 65906.2889 "/>
    <s v=" 40.3032 "/>
    <x v="0"/>
    <n v="2656238"/>
    <m/>
    <m/>
    <m/>
  </r>
  <r>
    <x v="1"/>
    <x v="8"/>
    <s v=" "/>
    <m/>
    <m/>
    <x v="1"/>
    <m/>
    <m/>
    <m/>
    <m/>
  </r>
  <r>
    <x v="1"/>
    <x v="8"/>
    <s v="group "/>
    <s v=" "/>
    <s v=" mean of mean fluo "/>
    <x v="2"/>
    <s v=" mean of total fluo "/>
    <s v=" SD total fluo "/>
    <s v=" n fluorescent "/>
    <s v=" n total"/>
  </r>
  <r>
    <x v="16"/>
    <x v="9"/>
    <s v="C:\Users\andre\Desktop\REACTIV CEFAS\Prochloraz\Prochloraz/20201210_Cefas_Test9_Run3/Plate 4/@18/ "/>
    <s v=" "/>
    <s v=" 34.5557 "/>
    <x v="18"/>
    <s v=" 1107988.06 "/>
    <s v=" 776705.084 "/>
    <n v="30"/>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C:\Users\andre\Desktop\REACTIV CEFAS\Prochloraz\Prochloraz/20201210_Cefas_Test9_Run3/Plate 4/@19/A10_01.tif "/>
    <s v=" 40837.2411 "/>
    <s v=" 35.1404 "/>
    <x v="0"/>
    <n v="1435035"/>
    <m/>
    <m/>
    <m/>
  </r>
  <r>
    <x v="17"/>
    <x v="0"/>
    <s v="C:\Users\andre\Desktop\REACTIV CEFAS\Prochloraz\Prochloraz/20201210_Cefas_Test9_Run3/Plate 4/@19/A10_02.tif "/>
    <s v=" 49510.8288 "/>
    <s v=" 35.948 "/>
    <x v="0"/>
    <n v="1779816"/>
    <m/>
    <m/>
    <m/>
  </r>
  <r>
    <x v="17"/>
    <x v="0"/>
    <s v="C:\Users\andre\Desktop\REACTIV CEFAS\Prochloraz\Prochloraz/20201210_Cefas_Test9_Run3/Plate 4/@19/A10_03.tif "/>
    <s v=" 44795.5118 "/>
    <s v=" 35.9324 "/>
    <x v="0"/>
    <n v="1609610"/>
    <m/>
    <m/>
    <m/>
  </r>
  <r>
    <x v="17"/>
    <x v="0"/>
    <s v="C:\Users\andre\Desktop\REACTIV CEFAS\Prochloraz\Prochloraz/20201210_Cefas_Test9_Run3/Plate 4/@19/A10_04.tif "/>
    <s v=" 40296.4937 "/>
    <s v=" 34.3902 "/>
    <x v="0"/>
    <n v="1385806"/>
    <m/>
    <m/>
    <m/>
  </r>
  <r>
    <x v="17"/>
    <x v="1"/>
    <s v="C:\Users\andre\Desktop\REACTIV CEFAS\Prochloraz\Prochloraz/20201210_Cefas_Test9_Run3/Plate 4/@19/B10_01.tif "/>
    <s v=" 20959.3679 "/>
    <s v=" 33.8194 "/>
    <x v="0"/>
    <n v="708833"/>
    <m/>
    <m/>
    <m/>
  </r>
  <r>
    <x v="17"/>
    <x v="1"/>
    <s v="C:\Users\andre\Desktop\REACTIV CEFAS\Prochloraz\Prochloraz/20201210_Cefas_Test9_Run3/Plate 4/@19/B10_02.tif "/>
    <s v=" 22495.0904 "/>
    <s v=" 37.2067 "/>
    <x v="0"/>
    <n v="836969"/>
    <m/>
    <m/>
    <m/>
  </r>
  <r>
    <x v="17"/>
    <x v="1"/>
    <s v="C:\Users\andre\Desktop\REACTIV CEFAS\Prochloraz\Prochloraz/20201210_Cefas_Test9_Run3/Plate 4/@19/B10_03- exclu.tif"/>
    <m/>
    <m/>
    <x v="1"/>
    <m/>
    <m/>
    <m/>
    <m/>
  </r>
  <r>
    <x v="17"/>
    <x v="1"/>
    <s v="C:\Users\andre\Desktop\REACTIV CEFAS\Prochloraz\Prochloraz/20201210_Cefas_Test9_Run3/Plate 4/@19/B10_04- exclu.tif"/>
    <m/>
    <m/>
    <x v="1"/>
    <m/>
    <m/>
    <m/>
    <m/>
  </r>
  <r>
    <x v="17"/>
    <x v="2"/>
    <s v="C:\Users\andre\Desktop\REACTIV CEFAS\Prochloraz\Prochloraz/20201210_Cefas_Test9_Run3/Plate 4/@19/C10_01.tif "/>
    <s v=" 3979.9006 "/>
    <s v=" 32.5543 "/>
    <x v="0"/>
    <n v="129563"/>
    <m/>
    <m/>
    <m/>
  </r>
  <r>
    <x v="17"/>
    <x v="2"/>
    <s v="C:\Users\andre\Desktop\REACTIV CEFAS\Prochloraz\Prochloraz/20201210_Cefas_Test9_Run3/Plate 4/@19/C10_02.tif "/>
    <s v=" 843.5659 "/>
    <s v=" 30.4872 "/>
    <x v="0"/>
    <n v="25718"/>
    <m/>
    <m/>
    <m/>
  </r>
  <r>
    <x v="17"/>
    <x v="2"/>
    <s v="C:\Users\andre\Desktop\REACTIV CEFAS\Prochloraz\Prochloraz/20201210_Cefas_Test9_Run3/Plate 4/@19/C10_03- exclu.tif"/>
    <m/>
    <m/>
    <x v="1"/>
    <m/>
    <m/>
    <m/>
    <m/>
  </r>
  <r>
    <x v="17"/>
    <x v="2"/>
    <s v="C:\Users\andre\Desktop\REACTIV CEFAS\Prochloraz\Prochloraz/20201210_Cefas_Test9_Run3/Plate 4/@19/C10_04.tif "/>
    <s v=" 7397.424 "/>
    <s v=" 33.5965 "/>
    <x v="0"/>
    <n v="248527"/>
    <m/>
    <m/>
    <m/>
  </r>
  <r>
    <x v="17"/>
    <x v="3"/>
    <s v="C:\Users\andre\Desktop\REACTIV CEFAS\Prochloraz\Prochloraz/20201210_Cefas_Test9_Run3/Plate 4/@19/D10_01.tif "/>
    <s v=" 70470.1967 "/>
    <s v=" 39.861 "/>
    <x v="0"/>
    <n v="2809010"/>
    <m/>
    <m/>
    <m/>
  </r>
  <r>
    <x v="17"/>
    <x v="3"/>
    <s v="C:\Users\andre\Desktop\REACTIV CEFAS\Prochloraz\Prochloraz/20201210_Cefas_Test9_Run3/Plate 4/@19/D10_02.tif "/>
    <s v=" 73671.4211 "/>
    <s v=" 40.8826 "/>
    <x v="0"/>
    <n v="3011876"/>
    <m/>
    <m/>
    <m/>
  </r>
  <r>
    <x v="17"/>
    <x v="3"/>
    <s v="C:\Users\andre\Desktop\REACTIV CEFAS\Prochloraz\Prochloraz/20201210_Cefas_Test9_Run3/Plate 4/@19/D10_03.tif "/>
    <s v=" 83383.2438 "/>
    <s v=" 44.7673 "/>
    <x v="0"/>
    <n v="3732844"/>
    <m/>
    <m/>
    <m/>
  </r>
  <r>
    <x v="17"/>
    <x v="3"/>
    <s v="C:\Users\andre\Desktop\REACTIV CEFAS\Prochloraz\Prochloraz/20201210_Cefas_Test9_Run3/Plate 4/@19/D10_04.tif "/>
    <s v=" 69778.0401 "/>
    <s v=" 44.801 "/>
    <x v="0"/>
    <n v="3126125"/>
    <m/>
    <m/>
    <m/>
  </r>
  <r>
    <x v="17"/>
    <x v="4"/>
    <s v="C:\Users\andre\Desktop\REACTIV CEFAS\Prochloraz\Prochloraz/20201210_Cefas_Test9_Run3/Plate 4/@19/E10_01.tif "/>
    <s v=" 16719.9085 "/>
    <s v=" 32.3713 "/>
    <x v="0"/>
    <n v="541245"/>
    <m/>
    <m/>
    <m/>
  </r>
  <r>
    <x v="17"/>
    <x v="4"/>
    <s v="C:\Users\andre\Desktop\REACTIV CEFAS\Prochloraz\Prochloraz/20201210_Cefas_Test9_Run3/Plate 4/@19/E10_02.tif "/>
    <s v=" 10101.1608 "/>
    <s v=" 32.2248 "/>
    <x v="0"/>
    <n v="325508"/>
    <m/>
    <m/>
    <m/>
  </r>
  <r>
    <x v="17"/>
    <x v="4"/>
    <s v="C:\Users\andre\Desktop\REACTIV CEFAS\Prochloraz\Prochloraz/20201210_Cefas_Test9_Run3/Plate 4/@19/E10_03.tif "/>
    <s v=" 13778.2429 "/>
    <s v=" 32.6593 "/>
    <x v="0"/>
    <n v="449988"/>
    <m/>
    <m/>
    <m/>
  </r>
  <r>
    <x v="17"/>
    <x v="4"/>
    <s v="C:\Users\andre\Desktop\REACTIV CEFAS\Prochloraz\Prochloraz/20201210_Cefas_Test9_Run3/Plate 4/@19/E10_04.tif "/>
    <s v=" 13605.2037 "/>
    <s v=" 32.275 "/>
    <x v="0"/>
    <n v="439108"/>
    <m/>
    <m/>
    <m/>
  </r>
  <r>
    <x v="17"/>
    <x v="5"/>
    <s v="C:\Users\andre\Desktop\REACTIV CEFAS\Prochloraz\Prochloraz/20201210_Cefas_Test9_Run3/Plate 4/@19/F10_01.tif "/>
    <s v=" 24160.5923 "/>
    <s v=" 37.4682 "/>
    <x v="0"/>
    <n v="905254"/>
    <m/>
    <m/>
    <m/>
  </r>
  <r>
    <x v="17"/>
    <x v="5"/>
    <s v="C:\Users\andre\Desktop\REACTIV CEFAS\Prochloraz\Prochloraz/20201210_Cefas_Test9_Run3/Plate 4/@19/F10_02.tif "/>
    <s v=" 22495.0904 "/>
    <s v=" 39.825 "/>
    <x v="0"/>
    <n v="895867"/>
    <m/>
    <m/>
    <m/>
  </r>
  <r>
    <x v="17"/>
    <x v="5"/>
    <s v="C:\Users\andre\Desktop\REACTIV CEFAS\Prochloraz\Prochloraz/20201210_Cefas_Test9_Run3/Plate 4/@19/F10_03.tif "/>
    <s v=" 21889.4534 "/>
    <s v=" 35.6828 "/>
    <x v="0"/>
    <n v="781077"/>
    <m/>
    <m/>
    <m/>
  </r>
  <r>
    <x v="17"/>
    <x v="5"/>
    <s v="C:\Users\andre\Desktop\REACTIV CEFAS\Prochloraz\Prochloraz/20201210_Cefas_Test9_Run3/Plate 4/@19/F10_04.tif "/>
    <s v=" 25047.418 "/>
    <s v=" 39.3653 "/>
    <x v="0"/>
    <n v="985999"/>
    <m/>
    <m/>
    <m/>
  </r>
  <r>
    <x v="17"/>
    <x v="6"/>
    <s v="C:\Users\andre\Desktop\REACTIV CEFAS\Prochloraz\Prochloraz/20201210_Cefas_Test9_Run3/Plate 4/@19/G10_01.tif "/>
    <s v=" 41313.0987 "/>
    <s v=" 37.288 "/>
    <x v="0"/>
    <n v="1540481"/>
    <m/>
    <m/>
    <m/>
  </r>
  <r>
    <x v="17"/>
    <x v="6"/>
    <s v="C:\Users\andre\Desktop\REACTIV CEFAS\Prochloraz\Prochloraz/20201210_Cefas_Test9_Run3/Plate 4/@19/G10_02.tif "/>
    <s v=" 45033.4406 "/>
    <s v=" 38.5096 "/>
    <x v="0"/>
    <n v="1734220"/>
    <m/>
    <m/>
    <m/>
  </r>
  <r>
    <x v="17"/>
    <x v="6"/>
    <s v="C:\Users\andre\Desktop\REACTIV CEFAS\Prochloraz\Prochloraz/20201210_Cefas_Test9_Run3/Plate 4/@19/G10_03.tif "/>
    <s v=" 45552.5581 "/>
    <s v=" 38.4967 "/>
    <x v="0"/>
    <n v="1753622"/>
    <m/>
    <m/>
    <m/>
  </r>
  <r>
    <x v="17"/>
    <x v="6"/>
    <s v="C:\Users\andre\Desktop\REACTIV CEFAS\Prochloraz\Prochloraz/20201210_Cefas_Test9_Run3/Plate 4/@19/G10_04.tif "/>
    <s v=" 42870.4512 "/>
    <s v=" 39.1372 "/>
    <x v="0"/>
    <n v="1677831"/>
    <m/>
    <m/>
    <m/>
  </r>
  <r>
    <x v="17"/>
    <x v="7"/>
    <s v="C:\Users\andre\Desktop\REACTIV CEFAS\Prochloraz\Prochloraz/20201210_Cefas_Test9_Run3/Plate 4/@19/H10_01- exclu.tif"/>
    <m/>
    <m/>
    <x v="1"/>
    <m/>
    <m/>
    <m/>
    <m/>
  </r>
  <r>
    <x v="17"/>
    <x v="7"/>
    <s v="C:\Users\andre\Desktop\REACTIV CEFAS\Prochloraz\Prochloraz/20201210_Cefas_Test9_Run3/Plate 4/@19/H10_02- exclu.tif"/>
    <m/>
    <m/>
    <x v="1"/>
    <m/>
    <m/>
    <m/>
    <m/>
  </r>
  <r>
    <x v="17"/>
    <x v="7"/>
    <s v="C:\Users\andre\Desktop\REACTIV CEFAS\Prochloraz\Prochloraz/20201210_Cefas_Test9_Run3/Plate 4/@19/H10_03.tif "/>
    <s v=" 5299.3242 "/>
    <s v=" 34.6082 "/>
    <x v="0"/>
    <n v="183400"/>
    <m/>
    <m/>
    <m/>
  </r>
  <r>
    <x v="17"/>
    <x v="7"/>
    <s v="C:\Users\andre\Desktop\REACTIV CEFAS\Prochloraz\Prochloraz/20201210_Cefas_Test9_Run3/Plate 4/@19/H10_04.tif "/>
    <s v=" 4823.4665 "/>
    <s v=" 34.6009 "/>
    <x v="0"/>
    <n v="166896"/>
    <m/>
    <m/>
    <m/>
  </r>
  <r>
    <x v="1"/>
    <x v="8"/>
    <s v=" "/>
    <m/>
    <m/>
    <x v="1"/>
    <m/>
    <m/>
    <m/>
    <m/>
  </r>
  <r>
    <x v="1"/>
    <x v="8"/>
    <s v="group "/>
    <s v=" "/>
    <s v=" mean of mean fluo "/>
    <x v="2"/>
    <s v=" mean of total fluo "/>
    <s v=" SD total fluo "/>
    <s v=" n fluorescent "/>
    <s v=" n total"/>
  </r>
  <r>
    <x v="17"/>
    <x v="9"/>
    <s v="C:\Users\andre\Desktop\REACTIV CEFAS\Prochloraz\Prochloraz/20201210_Cefas_Test9_Run3/Plate 4/@19/ "/>
    <s v=" "/>
    <s v=" 37.251 "/>
    <x v="19"/>
    <s v=" 1150165.5 "/>
    <s v=" 946078.836 "/>
    <n v="32"/>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C:\Users\andre\Desktop\REACTIV CEFAS\Prochloraz\Prochloraz/20201210_Cefas_Test9_Run3/Plate 4/@20/A11_01.tif "/>
    <s v=" 75293.6632 "/>
    <s v=" 45.0842 "/>
    <x v="0"/>
    <n v="3394552"/>
    <m/>
    <m/>
    <m/>
  </r>
  <r>
    <x v="18"/>
    <x v="0"/>
    <s v="C:\Users\andre\Desktop\REACTIV CEFAS\Prochloraz\Prochloraz/20201210_Cefas_Test9_Run3/Plate 4/@20/A11_02.tif "/>
    <s v=" 74320.3179 "/>
    <s v=" 42.5148 "/>
    <x v="0"/>
    <n v="3159717"/>
    <m/>
    <m/>
    <m/>
  </r>
  <r>
    <x v="18"/>
    <x v="0"/>
    <s v="C:\Users\andre\Desktop\REACTIV CEFAS\Prochloraz\Prochloraz/20201210_Cefas_Test9_Run3/Plate 4/@20/A11_03.tif "/>
    <s v=" 68458.6165 "/>
    <s v=" 41.4945 "/>
    <x v="0"/>
    <n v="2840654"/>
    <m/>
    <m/>
    <m/>
  </r>
  <r>
    <x v="18"/>
    <x v="0"/>
    <s v="C:\Users\andre\Desktop\REACTIV CEFAS\Prochloraz\Prochloraz/20201210_Cefas_Test9_Run3/Plate 4/@20/A11_04.tif "/>
    <s v=" 75639.7415 "/>
    <s v=" 42.9597 "/>
    <x v="0"/>
    <n v="3249459"/>
    <m/>
    <m/>
    <m/>
  </r>
  <r>
    <x v="18"/>
    <x v="1"/>
    <s v="C:\Users\andre\Desktop\REACTIV CEFAS\Prochloraz\Prochloraz/20201210_Cefas_Test9_Run3/Plate 4/@20/B11_01.tif "/>
    <s v=" 63635.15 "/>
    <s v=" 40.9494 "/>
    <x v="0"/>
    <n v="2605818"/>
    <m/>
    <m/>
    <m/>
  </r>
  <r>
    <x v="18"/>
    <x v="1"/>
    <s v="C:\Users\andre\Desktop\REACTIV CEFAS\Prochloraz\Prochloraz/20201210_Cefas_Test9_Run3/Plate 4/@20/B11_02.tif "/>
    <s v=" 68523.5062 "/>
    <s v=" 47.1556 "/>
    <x v="0"/>
    <n v="3231268"/>
    <m/>
    <m/>
    <m/>
  </r>
  <r>
    <x v="18"/>
    <x v="1"/>
    <s v="C:\Users\andre\Desktop\REACTIV CEFAS\Prochloraz\Prochloraz/20201210_Cefas_Test9_Run3/Plate 4/@20/B11_03.tif "/>
    <s v=" 71270.5028 "/>
    <s v=" 42.8103 "/>
    <x v="0"/>
    <n v="3051113"/>
    <m/>
    <m/>
    <m/>
  </r>
  <r>
    <x v="18"/>
    <x v="1"/>
    <s v="C:\Users\andre\Desktop\REACTIV CEFAS\Prochloraz\Prochloraz/20201210_Cefas_Test9_Run3/Plate 4/@20/B11_04.tif "/>
    <s v=" 77781.1011 "/>
    <s v=" 46.6001 "/>
    <x v="0"/>
    <n v="3624608"/>
    <m/>
    <m/>
    <m/>
  </r>
  <r>
    <x v="18"/>
    <x v="2"/>
    <s v="C:\Users\andre\Desktop\REACTIV CEFAS\Prochloraz\Prochloraz/20201210_Cefas_Test9_Run3/Plate 4/@20/C11_01.tif "/>
    <s v=" 46201.4549 "/>
    <s v=" 37.1058 "/>
    <x v="0"/>
    <n v="1714342"/>
    <m/>
    <m/>
    <m/>
  </r>
  <r>
    <x v="18"/>
    <x v="2"/>
    <s v="C:\Users\andre\Desktop\REACTIV CEFAS\Prochloraz\Prochloraz/20201210_Cefas_Test9_Run3/Plate 4/@20/C11_02.tif "/>
    <s v=" 43908.6861 "/>
    <s v=" 36.3315 "/>
    <x v="0"/>
    <n v="1595270"/>
    <m/>
    <m/>
    <m/>
  </r>
  <r>
    <x v="18"/>
    <x v="2"/>
    <s v="C:\Users\andre\Desktop\REACTIV CEFAS\Prochloraz\Prochloraz/20201210_Cefas_Test9_Run3/Plate 4/@20/C11_03.tif "/>
    <s v=" 46136.5652 "/>
    <s v=" 36.5298 "/>
    <x v="0"/>
    <n v="1685358"/>
    <m/>
    <m/>
    <m/>
  </r>
  <r>
    <x v="18"/>
    <x v="2"/>
    <s v="C:\Users\andre\Desktop\REACTIV CEFAS\Prochloraz\Prochloraz/20201210_Cefas_Test9_Run3/Plate 4/@20/C11_04.tif "/>
    <s v=" 52798.5728 "/>
    <s v=" 39.329 "/>
    <x v="0"/>
    <n v="2076513"/>
    <m/>
    <m/>
    <m/>
  </r>
  <r>
    <x v="18"/>
    <x v="3"/>
    <s v="C:\Users\andre\Desktop\REACTIV CEFAS\Prochloraz\Prochloraz/20201210_Cefas_Test9_Run3/Plate 4/@20/D11_01.tif "/>
    <s v=" 48580.7433 "/>
    <s v=" 36.6536 "/>
    <x v="0"/>
    <n v="1780659"/>
    <m/>
    <m/>
    <m/>
  </r>
  <r>
    <x v="18"/>
    <x v="3"/>
    <s v="C:\Users\andre\Desktop\REACTIV CEFAS\Prochloraz\Prochloraz/20201210_Cefas_Test9_Run3/Plate 4/@20/D11_02.tif "/>
    <s v=" 56021.4271 "/>
    <s v=" 38.8598 "/>
    <x v="0"/>
    <n v="2176984"/>
    <m/>
    <m/>
    <m/>
  </r>
  <r>
    <x v="18"/>
    <x v="3"/>
    <s v="C:\Users\andre\Desktop\REACTIV CEFAS\Prochloraz\Prochloraz/20201210_Cefas_Test9_Run3/Plate 4/@20/D11_03.tif "/>
    <s v=" 53123.0212 "/>
    <s v=" 39.6755 "/>
    <x v="0"/>
    <n v="2107682"/>
    <m/>
    <m/>
    <m/>
  </r>
  <r>
    <x v="18"/>
    <x v="3"/>
    <s v="C:\Users\andre\Desktop\REACTIV CEFAS\Prochloraz\Prochloraz/20201210_Cefas_Test9_Run3/Plate 4/@20/D11_04.tif "/>
    <s v=" 55632.089 "/>
    <s v=" 42.9075 "/>
    <x v="0"/>
    <n v="2387032"/>
    <m/>
    <m/>
    <m/>
  </r>
  <r>
    <x v="18"/>
    <x v="4"/>
    <s v="C:\Users\andre\Desktop\REACTIV CEFAS\Prochloraz\Prochloraz/20201210_Cefas_Test9_Run3/Plate 4/@20/E11_01.tif "/>
    <s v=" 24030.8129 "/>
    <s v=" 35.5059 "/>
    <x v="0"/>
    <n v="853234"/>
    <m/>
    <m/>
    <m/>
  </r>
  <r>
    <x v="18"/>
    <x v="4"/>
    <s v="C:\Users\andre\Desktop\REACTIV CEFAS\Prochloraz\Prochloraz/20201210_Cefas_Test9_Run3/Plate 4/@20/E11_02.tif "/>
    <s v=" 24247.1119 "/>
    <s v=" 35.4478 "/>
    <x v="0"/>
    <n v="859507"/>
    <m/>
    <m/>
    <m/>
  </r>
  <r>
    <x v="18"/>
    <x v="4"/>
    <s v="C:\Users\andre\Desktop\REACTIV CEFAS\Prochloraz\Prochloraz/20201210_Cefas_Test9_Run3/Plate 4/@20/E11_03.tif "/>
    <s v=" 19769.7237 "/>
    <s v=" 35.2823 "/>
    <x v="0"/>
    <n v="697521"/>
    <m/>
    <m/>
    <m/>
  </r>
  <r>
    <x v="18"/>
    <x v="4"/>
    <s v="C:\Users\andre\Desktop\REACTIV CEFAS\Prochloraz\Prochloraz/20201210_Cefas_Test9_Run3/Plate 4/@20/E11_04.tif "/>
    <s v=" 36878.9703 "/>
    <s v=" 40.9918 "/>
    <x v="0"/>
    <n v="1511735"/>
    <m/>
    <m/>
    <m/>
  </r>
  <r>
    <x v="18"/>
    <x v="5"/>
    <s v="C:\Users\andre\Desktop\REACTIV CEFAS\Prochloraz\Prochloraz/20201210_Cefas_Test9_Run3/Plate 4/@20/F11_01.tif "/>
    <s v=" 42416.2234 "/>
    <s v=" 40.4268 "/>
    <x v="0"/>
    <n v="1714753"/>
    <m/>
    <m/>
    <m/>
  </r>
  <r>
    <x v="18"/>
    <x v="5"/>
    <s v="C:\Users\andre\Desktop\REACTIV CEFAS\Prochloraz\Prochloraz/20201210_Cefas_Test9_Run3/Plate 4/@20/F11_02.tif "/>
    <s v=" 43151.6398 "/>
    <s v=" 40.7815 "/>
    <x v="0"/>
    <n v="1759787"/>
    <m/>
    <m/>
    <m/>
  </r>
  <r>
    <x v="18"/>
    <x v="5"/>
    <s v="C:\Users\andre\Desktop\REACTIV CEFAS\Prochloraz\Prochloraz/20201210_Cefas_Test9_Run3/Plate 4/@20/F11_03.tif "/>
    <s v=" 50613.9534 "/>
    <s v=" 39.1329 "/>
    <x v="0"/>
    <n v="1980671"/>
    <m/>
    <m/>
    <m/>
  </r>
  <r>
    <x v="18"/>
    <x v="5"/>
    <s v="C:\Users\andre\Desktop\REACTIV CEFAS\Prochloraz\Prochloraz/20201210_Cefas_Test9_Run3/Plate 4/@20/F11_04- exclu.tif"/>
    <m/>
    <m/>
    <x v="1"/>
    <m/>
    <m/>
    <m/>
    <m/>
  </r>
  <r>
    <x v="18"/>
    <x v="6"/>
    <s v="C:\Users\andre\Desktop\REACTIV CEFAS\Prochloraz\Prochloraz/20201210_Cefas_Test9_Run3/Plate 4/@20/G11_01.tif "/>
    <s v=" 34218.4933 "/>
    <s v=" 34.402 "/>
    <x v="0"/>
    <n v="1177185"/>
    <m/>
    <m/>
    <m/>
  </r>
  <r>
    <x v="18"/>
    <x v="6"/>
    <s v="C:\Users\andre\Desktop\REACTIV CEFAS\Prochloraz\Prochloraz/20201210_Cefas_Test9_Run3/Plate 4/@20/G11_02.tif "/>
    <s v=" 44189.8747 "/>
    <s v=" 35.1801 "/>
    <x v="0"/>
    <n v="1554605"/>
    <m/>
    <m/>
    <m/>
  </r>
  <r>
    <x v="18"/>
    <x v="6"/>
    <s v="C:\Users\andre\Desktop\REACTIV CEFAS\Prochloraz\Prochloraz/20201210_Cefas_Test9_Run3/Plate 4/@20/G11_03.tif "/>
    <s v=" 48429.3341 "/>
    <s v=" 35.7865 "/>
    <x v="0"/>
    <n v="1733117"/>
    <m/>
    <m/>
    <m/>
  </r>
  <r>
    <x v="18"/>
    <x v="6"/>
    <s v="C:\Users\andre\Desktop\REACTIV CEFAS\Prochloraz\Prochloraz/20201210_Cefas_Test9_Run3/Plate 4/@20/G11_04.tif "/>
    <s v=" 43281.4192 "/>
    <s v=" 34.2839 "/>
    <x v="0"/>
    <n v="1483854"/>
    <m/>
    <m/>
    <m/>
  </r>
  <r>
    <x v="18"/>
    <x v="7"/>
    <s v="C:\Users\andre\Desktop\REACTIV CEFAS\Prochloraz\Prochloraz/20201210_Cefas_Test9_Run3/Plate 4/@20/H11_01.tif "/>
    <s v=" 22841.1687 "/>
    <s v=" 34.4612 "/>
    <x v="0"/>
    <n v="787133"/>
    <m/>
    <m/>
    <m/>
  </r>
  <r>
    <x v="18"/>
    <x v="7"/>
    <s v="C:\Users\andre\Desktop\REACTIV CEFAS\Prochloraz\Prochloraz/20201210_Cefas_Test9_Run3/Plate 4/@20/H11_02.tif "/>
    <s v=" 24896.0087 "/>
    <s v=" 34.8202 "/>
    <x v="0"/>
    <n v="866883"/>
    <m/>
    <m/>
    <m/>
  </r>
  <r>
    <x v="18"/>
    <x v="7"/>
    <s v="C:\Users\andre\Desktop\REACTIV CEFAS\Prochloraz\Prochloraz/20201210_Cefas_Test9_Run3/Plate 4/@20/H11_03.tif "/>
    <s v=" 32574.6213 "/>
    <s v=" 36.0518 "/>
    <x v="0"/>
    <n v="1174373"/>
    <m/>
    <m/>
    <m/>
  </r>
  <r>
    <x v="18"/>
    <x v="7"/>
    <s v="C:\Users\andre\Desktop\REACTIV CEFAS\Prochloraz\Prochloraz/20201210_Cefas_Test9_Run3/Plate 4/@20/H11_04- exclu.tif"/>
    <m/>
    <m/>
    <x v="1"/>
    <m/>
    <m/>
    <m/>
    <m/>
  </r>
  <r>
    <x v="1"/>
    <x v="8"/>
    <s v=" "/>
    <m/>
    <m/>
    <x v="1"/>
    <m/>
    <m/>
    <m/>
    <m/>
  </r>
  <r>
    <x v="1"/>
    <x v="8"/>
    <s v="group "/>
    <s v=" "/>
    <s v=" mean of mean fluo "/>
    <x v="2"/>
    <s v=" mean of total fluo "/>
    <s v=" SD total fluo "/>
    <s v=" n fluorescent "/>
    <s v=" n total"/>
  </r>
  <r>
    <x v="18"/>
    <x v="9"/>
    <s v="C:\Users\andre\Desktop\REACTIV CEFAS\Prochloraz\Prochloraz/20201210_Cefas_Test9_Run3/Plate 4/@20/ "/>
    <s v=" "/>
    <s v=" 39.1015 "/>
    <x v="20"/>
    <s v=" 1941702.72 "/>
    <s v=" 834957.94 "/>
    <n v="32"/>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C:\Users\andre\Desktop\REACTIV CEFAS\Prochloraz\Prochloraz/20201210_Cefas_Test9_Run3/Plate 4/@21/A12_01.tif "/>
    <s v=" 12329.0399 "/>
    <s v=" 38.8105 "/>
    <x v="0"/>
    <n v="478497"/>
    <m/>
    <m/>
    <m/>
  </r>
  <r>
    <x v="19"/>
    <x v="0"/>
    <s v="C:\Users\andre\Desktop\REACTIV CEFAS\Prochloraz\Prochloraz/20201210_Cefas_Test9_Run3/Plate 4/@21/A12_02- exclu.tif"/>
    <m/>
    <m/>
    <x v="1"/>
    <m/>
    <m/>
    <m/>
    <m/>
  </r>
  <r>
    <x v="19"/>
    <x v="0"/>
    <s v="C:\Users\andre\Desktop\REACTIV CEFAS\Prochloraz\Prochloraz/20201210_Cefas_Test9_Run3/Plate 4/@21/A12_03.tif "/>
    <s v=" 17758.1435 "/>
    <s v=" 38.1206 "/>
    <x v="0"/>
    <n v="676951"/>
    <m/>
    <m/>
    <m/>
  </r>
  <r>
    <x v="19"/>
    <x v="0"/>
    <s v="C:\Users\andre\Desktop\REACTIV CEFAS\Prochloraz\Prochloraz/20201210_Cefas_Test9_Run3/Plate 4/@21/A12_04- exclu.tif"/>
    <m/>
    <m/>
    <x v="1"/>
    <m/>
    <m/>
    <m/>
    <m/>
  </r>
  <r>
    <x v="19"/>
    <x v="1"/>
    <s v="C:\Users\andre\Desktop\REACTIV CEFAS\Prochloraz\Prochloraz/20201210_Cefas_Test9_Run3/Plate 4/@21/B12_01.tif "/>
    <s v=" 27880.9342 "/>
    <s v=" 42.4057 "/>
    <x v="0"/>
    <n v="1182312"/>
    <m/>
    <m/>
    <m/>
  </r>
  <r>
    <x v="19"/>
    <x v="1"/>
    <s v="C:\Users\andre\Desktop\REACTIV CEFAS\Prochloraz\Prochloraz/20201210_Cefas_Test9_Run3/Plate 4/@21/B12_02- exclu.tif"/>
    <m/>
    <m/>
    <x v="1"/>
    <m/>
    <m/>
    <m/>
    <m/>
  </r>
  <r>
    <x v="19"/>
    <x v="1"/>
    <s v="C:\Users\andre\Desktop\REACTIV CEFAS\Prochloraz\Prochloraz/20201210_Cefas_Test9_Run3/Plate 4/@21/B12_03.tif "/>
    <s v=" 16503.6096 "/>
    <s v=" 45.3237 "/>
    <x v="0"/>
    <n v="748005"/>
    <m/>
    <m/>
    <m/>
  </r>
  <r>
    <x v="19"/>
    <x v="1"/>
    <s v="C:\Users\andre\Desktop\REACTIV CEFAS\Prochloraz\Prochloraz/20201210_Cefas_Test9_Run3/Plate 4/@21/B12_04.tif "/>
    <s v=" 34889.02 "/>
    <s v=" 42.9864 "/>
    <x v="0"/>
    <n v="1499752"/>
    <m/>
    <m/>
    <m/>
  </r>
  <r>
    <x v="19"/>
    <x v="2"/>
    <s v="C:\Users\andre\Desktop\REACTIV CEFAS\Prochloraz\Prochloraz/20201210_Cefas_Test9_Run3/Plate 4/@21/C12_01.tif "/>
    <s v=" 30563.0411 "/>
    <s v=" 36.2427 "/>
    <x v="0"/>
    <n v="1107689"/>
    <m/>
    <m/>
    <m/>
  </r>
  <r>
    <x v="19"/>
    <x v="2"/>
    <s v="C:\Users\andre\Desktop\REACTIV CEFAS\Prochloraz\Prochloraz/20201210_Cefas_Test9_Run3/Plate 4/@21/C12_02.tif "/>
    <s v=" 33850.7851 "/>
    <s v=" 36.777 "/>
    <x v="0"/>
    <n v="1244930"/>
    <m/>
    <m/>
    <m/>
  </r>
  <r>
    <x v="19"/>
    <x v="2"/>
    <s v="C:\Users\andre\Desktop\REACTIV CEFAS\Prochloraz\Prochloraz/20201210_Cefas_Test9_Run3/Plate 4/@21/C12_03.tif "/>
    <s v=" 43130.0099 "/>
    <s v=" 37.5712 "/>
    <x v="0"/>
    <n v="1620447"/>
    <m/>
    <m/>
    <m/>
  </r>
  <r>
    <x v="19"/>
    <x v="2"/>
    <s v="C:\Users\andre\Desktop\REACTIV CEFAS\Prochloraz\Prochloraz/20201210_Cefas_Test9_Run3/Plate 4/@21/C12_04.tif "/>
    <s v=" 38587.732 "/>
    <s v=" 37.9535 "/>
    <x v="0"/>
    <n v="1464539"/>
    <m/>
    <m/>
    <m/>
  </r>
  <r>
    <x v="19"/>
    <x v="3"/>
    <s v="C:\Users\andre\Desktop\REACTIV CEFAS\Prochloraz\Prochloraz/20201210_Cefas_Test9_Run3/Plate 4/@21/D12_01.tif "/>
    <s v=" 973.3453 "/>
    <s v=" 31.9111 "/>
    <x v="0"/>
    <n v="31061"/>
    <m/>
    <m/>
    <m/>
  </r>
  <r>
    <x v="19"/>
    <x v="3"/>
    <s v="C:\Users\andre\Desktop\REACTIV CEFAS\Prochloraz\Prochloraz/20201210_Cefas_Test9_Run3/Plate 4/@21/D12_02.tif "/>
    <s v=" 5083.0252 "/>
    <s v=" 36.3064 "/>
    <x v="0"/>
    <n v="184546"/>
    <m/>
    <m/>
    <m/>
  </r>
  <r>
    <x v="19"/>
    <x v="3"/>
    <s v="C:\Users\andre\Desktop\REACTIV CEFAS\Prochloraz\Prochloraz/20201210_Cefas_Test9_Run3/Plate 4/@21/D12_03.tif "/>
    <s v=" 5472.3633 "/>
    <s v=" 34.332 "/>
    <x v="0"/>
    <n v="187877"/>
    <m/>
    <m/>
    <m/>
  </r>
  <r>
    <x v="19"/>
    <x v="3"/>
    <s v="C:\Users\andre\Desktop\REACTIV CEFAS\Prochloraz\Prochloraz/20201210_Cefas_Test9_Run3/Plate 4/@21/D12_04.tif "/>
    <s v=" 13129.346 "/>
    <s v=" 41.6425 "/>
    <x v="0"/>
    <n v="546739"/>
    <m/>
    <m/>
    <m/>
  </r>
  <r>
    <x v="19"/>
    <x v="4"/>
    <s v="C:\Users\andre\Desktop\REACTIV CEFAS\Prochloraz\Prochloraz/20201210_Cefas_Test9_Run3/Plate 4/@21/E12_01.tif "/>
    <s v=" 37203.4188 "/>
    <s v=" 35.6651 "/>
    <x v="0"/>
    <n v="1326864"/>
    <m/>
    <m/>
    <m/>
  </r>
  <r>
    <x v="19"/>
    <x v="4"/>
    <s v="C:\Users\andre\Desktop\REACTIV CEFAS\Prochloraz\Prochloraz/20201210_Cefas_Test9_Run3/Plate 4/@21/E12_02.tif "/>
    <s v=" 25133.9376 "/>
    <s v=" 36.5628 "/>
    <x v="0"/>
    <n v="918968"/>
    <m/>
    <m/>
    <m/>
  </r>
  <r>
    <x v="19"/>
    <x v="4"/>
    <s v="C:\Users\andre\Desktop\REACTIV CEFAS\Prochloraz\Prochloraz/20201210_Cefas_Test9_Run3/Plate 4/@21/E12_03.tif "/>
    <s v=" 28832.6495 "/>
    <s v=" 35.8605 "/>
    <x v="0"/>
    <n v="1033952"/>
    <m/>
    <m/>
    <m/>
  </r>
  <r>
    <x v="19"/>
    <x v="4"/>
    <s v="C:\Users\andre\Desktop\REACTIV CEFAS\Prochloraz\Prochloraz/20201210_Cefas_Test9_Run3/Plate 4/@21/E12_04.tif "/>
    <s v=" 15205.8159 "/>
    <s v=" 32.074 "/>
    <x v="0"/>
    <n v="487711"/>
    <m/>
    <m/>
    <m/>
  </r>
  <r>
    <x v="19"/>
    <x v="5"/>
    <s v="C:\Users\andre\Desktop\REACTIV CEFAS\Prochloraz\Prochloraz/20201210_Cefas_Test9_Run3/Plate 4/@21/F12_01- exclu.tif"/>
    <m/>
    <m/>
    <x v="1"/>
    <m/>
    <m/>
    <m/>
    <m/>
  </r>
  <r>
    <x v="19"/>
    <x v="5"/>
    <s v="C:\Users\andre\Desktop\REACTIV CEFAS\Prochloraz\Prochloraz/20201210_Cefas_Test9_Run3/Plate 4/@21/F12_02.tif "/>
    <s v=" 23165.6171 "/>
    <s v=" 38.9468 "/>
    <x v="0"/>
    <n v="902226"/>
    <m/>
    <m/>
    <m/>
  </r>
  <r>
    <x v="19"/>
    <x v="5"/>
    <s v="C:\Users\andre\Desktop\REACTIV CEFAS\Prochloraz\Prochloraz/20201210_Cefas_Test9_Run3/Plate 4/@21/F12_03.tif "/>
    <s v=" 24614.8201 "/>
    <s v=" 39.7179 "/>
    <x v="0"/>
    <n v="977650"/>
    <m/>
    <m/>
    <m/>
  </r>
  <r>
    <x v="19"/>
    <x v="5"/>
    <s v="C:\Users\andre\Desktop\REACTIV CEFAS\Prochloraz\Prochloraz/20201210_Cefas_Test9_Run3/Plate 4/@21/F12_04.tif "/>
    <s v=" 21565.0049 "/>
    <s v=" 41.3059 "/>
    <x v="0"/>
    <n v="890762"/>
    <m/>
    <m/>
    <m/>
  </r>
  <r>
    <x v="19"/>
    <x v="6"/>
    <s v="C:\Users\andre\Desktop\REACTIV CEFAS\Prochloraz\Prochloraz/20201210_Cefas_Test9_Run3/Plate 4/@21/G12_01.tif "/>
    <s v=" 13215.8656 "/>
    <s v=" 47.4615 "/>
    <x v="0"/>
    <n v="627245"/>
    <m/>
    <m/>
    <m/>
  </r>
  <r>
    <x v="19"/>
    <x v="6"/>
    <s v="C:\Users\andre\Desktop\REACTIV CEFAS\Prochloraz\Prochloraz/20201210_Cefas_Test9_Run3/Plate 4/@21/G12_02.tif "/>
    <s v=" 12393.9296 "/>
    <s v=" 48.0977 "/>
    <x v="0"/>
    <n v="596120"/>
    <m/>
    <m/>
    <m/>
  </r>
  <r>
    <x v="19"/>
    <x v="6"/>
    <s v="C:\Users\andre\Desktop\REACTIV CEFAS\Prochloraz\Prochloraz/20201210_Cefas_Test9_Run3/Plate 4/@21/G12_03.tif "/>
    <s v=" 19466.9052 "/>
    <s v=" 46.0044 "/>
    <x v="0"/>
    <n v="895564"/>
    <m/>
    <m/>
    <m/>
  </r>
  <r>
    <x v="19"/>
    <x v="6"/>
    <s v="C:\Users\andre\Desktop\REACTIV CEFAS\Prochloraz\Prochloraz/20201210_Cefas_Test9_Run3/Plate 4/@21/G12_04.tif "/>
    <s v=" 17282.2858 "/>
    <s v=" 44.7372 "/>
    <x v="0"/>
    <n v="773161"/>
    <m/>
    <m/>
    <m/>
  </r>
  <r>
    <x v="19"/>
    <x v="7"/>
    <s v="C:\Users\andre\Desktop\REACTIV CEFAS\Prochloraz\Prochloraz/20201210_Cefas_Test9_Run3/Plate 4/@21/H12_01.tif "/>
    <s v=" 18320.5208 "/>
    <s v=" 33.9669 "/>
    <x v="0"/>
    <n v="622292"/>
    <m/>
    <m/>
    <m/>
  </r>
  <r>
    <x v="19"/>
    <x v="7"/>
    <s v="C:\Users\andre\Desktop\REACTIV CEFAS\Prochloraz\Prochloraz/20201210_Cefas_Test9_Run3/Plate 4/@21/H12_02.tif "/>
    <s v=" 19272.2361 "/>
    <s v=" 33.0516 "/>
    <x v="0"/>
    <n v="636979"/>
    <m/>
    <m/>
    <m/>
  </r>
  <r>
    <x v="19"/>
    <x v="7"/>
    <s v="C:\Users\andre\Desktop\REACTIV CEFAS\Prochloraz\Prochloraz/20201210_Cefas_Test9_Run3/Plate 4/@21/H12_03.tif "/>
    <s v=" 17087.6168 "/>
    <s v=" 32.9911 "/>
    <x v="0"/>
    <n v="563740"/>
    <m/>
    <m/>
    <m/>
  </r>
  <r>
    <x v="19"/>
    <x v="7"/>
    <s v="C:\Users\andre\Desktop\REACTIV CEFAS\Prochloraz\Prochloraz/20201210_Cefas_Test9_Run3/Plate 4/@21/H12_04.tif "/>
    <s v=" 26085.6529 "/>
    <s v=" 33.9842 "/>
    <x v="0"/>
    <n v="886501"/>
    <m/>
    <m/>
    <m/>
  </r>
  <r>
    <x v="1"/>
    <x v="8"/>
    <s v=" "/>
    <m/>
    <m/>
    <x v="1"/>
    <m/>
    <m/>
    <m/>
    <m/>
  </r>
  <r>
    <x v="1"/>
    <x v="8"/>
    <s v="group "/>
    <s v=" "/>
    <s v=" mean of mean fluo "/>
    <x v="2"/>
    <s v=" mean of total fluo "/>
    <s v=" SD total fluo "/>
    <s v=" n fluorescent "/>
    <s v=" n total"/>
  </r>
  <r>
    <x v="19"/>
    <x v="9"/>
    <s v="C:\Users\andre\Desktop\REACTIV CEFAS\Prochloraz\Prochloraz/20201210_Cefas_Test9_Run3/Plate 4/@21/ "/>
    <s v=" "/>
    <s v=" 38.5099 "/>
    <x v="21"/>
    <s v=" 803778.438 "/>
    <s v=" 421444.036 "/>
    <n v="32"/>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C:\Users\andre\Desktop\REACTIV CEFAS\Prochloraz\Prochloraz/20201210_Cefas_Test9_Run3/Plate 4/@8/A2_01.tif "/>
    <s v=" 8760.1073 "/>
    <s v=" 34.6568 "/>
    <x v="0"/>
    <n v="303597"/>
    <m/>
    <m/>
    <m/>
  </r>
  <r>
    <x v="20"/>
    <x v="0"/>
    <s v="C:\Users\andre\Desktop\REACTIV CEFAS\Prochloraz\Prochloraz/20201210_Cefas_Test9_Run3/Plate 4/@8/A2_02.tif "/>
    <s v=" 11485.474 "/>
    <s v=" 40.1601 "/>
    <x v="0"/>
    <n v="461258"/>
    <m/>
    <m/>
    <m/>
  </r>
  <r>
    <x v="20"/>
    <x v="0"/>
    <s v="C:\Users\andre\Desktop\REACTIV CEFAS\Prochloraz\Prochloraz/20201210_Cefas_Test9_Run3/Plate 4/@8/A2_03.tif "/>
    <s v=" 11961.3317 "/>
    <s v=" 45.4521 "/>
    <x v="0"/>
    <n v="543667"/>
    <m/>
    <m/>
    <m/>
  </r>
  <r>
    <x v="20"/>
    <x v="0"/>
    <s v="C:\Users\andre\Desktop\REACTIV CEFAS\Prochloraz\Prochloraz/20201210_Cefas_Test9_Run3/Plate 4/@8/A2_04- exclu.tif"/>
    <m/>
    <m/>
    <x v="1"/>
    <m/>
    <m/>
    <m/>
    <m/>
  </r>
  <r>
    <x v="20"/>
    <x v="1"/>
    <s v="C:\Users\andre\Desktop\REACTIV CEFAS\Prochloraz\Prochloraz/20201210_Cefas_Test9_Run3/Plate 4/@8/B2_01.tif "/>
    <s v=" 2573.9575 "/>
    <s v=" 32.2101 "/>
    <x v="0"/>
    <n v="82907"/>
    <m/>
    <m/>
    <m/>
  </r>
  <r>
    <x v="20"/>
    <x v="1"/>
    <s v="C:\Users\andre\Desktop\REACTIV CEFAS\Prochloraz\Prochloraz/20201210_Cefas_Test9_Run3/Plate 4/@8/B2_02.tif "/>
    <s v=" 540.7474 "/>
    <s v=" 32.24 "/>
    <x v="0"/>
    <n v="17434"/>
    <m/>
    <m/>
    <m/>
  </r>
  <r>
    <x v="20"/>
    <x v="1"/>
    <s v="C:\Users\andre\Desktop\REACTIV CEFAS\Prochloraz\Prochloraz/20201210_Cefas_Test9_Run3/Plate 4/@8/B2_03.tif "/>
    <s v=" 8738.4774 "/>
    <s v=" 40.3886 "/>
    <x v="0"/>
    <n v="352935"/>
    <m/>
    <m/>
    <m/>
  </r>
  <r>
    <x v="20"/>
    <x v="1"/>
    <s v="C:\Users\andre\Desktop\REACTIV CEFAS\Prochloraz\Prochloraz/20201210_Cefas_Test9_Run3/Plate 4/@8/B2_04.tif "/>
    <s v=" 8673.5877 "/>
    <s v=" 35.6035 "/>
    <x v="0"/>
    <n v="308810"/>
    <m/>
    <m/>
    <m/>
  </r>
  <r>
    <x v="20"/>
    <x v="2"/>
    <s v="C:\Users\andre\Desktop\REACTIV CEFAS\Prochloraz\Prochloraz/20201210_Cefas_Test9_Run3/Plate 4/@8/C2_01- exclu.tif"/>
    <m/>
    <m/>
    <x v="1"/>
    <m/>
    <m/>
    <m/>
    <m/>
  </r>
  <r>
    <x v="20"/>
    <x v="2"/>
    <s v="C:\Users\andre\Desktop\REACTIV CEFAS\Prochloraz\Prochloraz/20201210_Cefas_Test9_Run3/Plate 4/@8/C2_02.tif "/>
    <s v=" 6402.4488 "/>
    <s v=" 38.5169 "/>
    <x v="0"/>
    <n v="246602"/>
    <m/>
    <m/>
    <m/>
  </r>
  <r>
    <x v="20"/>
    <x v="2"/>
    <s v="C:\Users\andre\Desktop\REACTIV CEFAS\Prochloraz\Prochloraz/20201210_Cefas_Test9_Run3/Plate 4/@8/C2_03- exclu.tif"/>
    <m/>
    <m/>
    <x v="1"/>
    <m/>
    <m/>
    <m/>
    <m/>
  </r>
  <r>
    <x v="20"/>
    <x v="2"/>
    <s v="C:\Users\andre\Desktop\REACTIV CEFAS\Prochloraz\Prochloraz/20201210_Cefas_Test9_Run3/Plate 4/@8/C2_04.tif "/>
    <s v=" 108.1495 "/>
    <s v=" 30.2 "/>
    <x v="0"/>
    <n v="3266"/>
    <m/>
    <m/>
    <m/>
  </r>
  <r>
    <x v="20"/>
    <x v="3"/>
    <s v="C:\Users\andre\Desktop\REACTIV CEFAS\Prochloraz\Prochloraz/20201210_Cefas_Test9_Run3/Plate 4/@8/D2_01.tif "/>
    <s v=" 3460.7831 "/>
    <s v=" 35.2062 "/>
    <x v="0"/>
    <n v="121841"/>
    <m/>
    <m/>
    <m/>
  </r>
  <r>
    <x v="20"/>
    <x v="3"/>
    <s v="C:\Users\andre\Desktop\REACTIV CEFAS\Prochloraz\Prochloraz/20201210_Cefas_Test9_Run3/Plate 4/@8/D2_02.tif "/>
    <s v=" 6467.3385 "/>
    <s v=" 38.0569 "/>
    <x v="0"/>
    <n v="246127"/>
    <m/>
    <m/>
    <m/>
  </r>
  <r>
    <x v="20"/>
    <x v="3"/>
    <s v="C:\Users\andre\Desktop\REACTIV CEFAS\Prochloraz\Prochloraz/20201210_Cefas_Test9_Run3/Plate 4/@8/D2_03.tif "/>
    <s v=" 3439.1532 "/>
    <s v=" 35.6289 "/>
    <x v="0"/>
    <n v="122533"/>
    <m/>
    <m/>
    <m/>
  </r>
  <r>
    <x v="20"/>
    <x v="3"/>
    <s v="C:\Users\andre\Desktop\REACTIV CEFAS\Prochloraz\Prochloraz/20201210_Cefas_Test9_Run3/Plate 4/@8/D2_04.tif "/>
    <s v=" 886.8257 "/>
    <s v=" 32.9756 "/>
    <x v="0"/>
    <n v="29244"/>
    <m/>
    <m/>
    <m/>
  </r>
  <r>
    <x v="20"/>
    <x v="4"/>
    <s v="C:\Users\andre\Desktop\REACTIV CEFAS\Prochloraz\Prochloraz/20201210_Cefas_Test9_Run3/Plate 4/@8/E2_01.tif "/>
    <s v=" 129.7794 "/>
    <s v=" 30.1667 "/>
    <x v="0"/>
    <n v="3915"/>
    <m/>
    <m/>
    <m/>
  </r>
  <r>
    <x v="20"/>
    <x v="4"/>
    <s v="C:\Users\andre\Desktop\REACTIV CEFAS\Prochloraz\Prochloraz/20201210_Cefas_Test9_Run3/Plate 4/@8/E2_02.tif "/>
    <s v=" 9993.0113 "/>
    <s v=" 39.2143 "/>
    <x v="0"/>
    <n v="391869"/>
    <m/>
    <m/>
    <m/>
  </r>
  <r>
    <x v="20"/>
    <x v="4"/>
    <s v="C:\Users\andre\Desktop\REACTIV CEFAS\Prochloraz\Prochloraz/20201210_Cefas_Test9_Run3/Plate 4/@8/E2_03.tif "/>
    <s v=" 605.637 "/>
    <s v=" 31.3929 "/>
    <x v="0"/>
    <n v="19013"/>
    <m/>
    <m/>
    <m/>
  </r>
  <r>
    <x v="20"/>
    <x v="4"/>
    <s v="C:\Users\andre\Desktop\REACTIV CEFAS\Prochloraz\Prochloraz/20201210_Cefas_Test9_Run3/Plate 4/@8/E2_04.tif "/>
    <s v=" 7916.5414 "/>
    <s v=" 35.6913 "/>
    <x v="0"/>
    <n v="282551"/>
    <m/>
    <m/>
    <m/>
  </r>
  <r>
    <x v="20"/>
    <x v="5"/>
    <s v="C:\Users\andre\Desktop\REACTIV CEFAS\Prochloraz\Prochloraz/20201210_Cefas_Test9_Run3/Plate 4/@8/F2_01.tif "/>
    <s v=" 7419.0539 "/>
    <s v=" 41.7726 "/>
    <x v="0"/>
    <n v="309913"/>
    <m/>
    <m/>
    <m/>
  </r>
  <r>
    <x v="20"/>
    <x v="5"/>
    <s v="C:\Users\andre\Desktop\REACTIV CEFAS\Prochloraz\Prochloraz/20201210_Cefas_Test9_Run3/Plate 4/@8/F2_02.tif "/>
    <s v=" 8565.4383 "/>
    <s v=" 38.3081 "/>
    <x v="0"/>
    <n v="328126"/>
    <m/>
    <m/>
    <m/>
  </r>
  <r>
    <x v="20"/>
    <x v="5"/>
    <s v="C:\Users\andre\Desktop\REACTIV CEFAS\Prochloraz\Prochloraz/20201210_Cefas_Test9_Run3/Plate 4/@8/F2_03- exclu.tif"/>
    <m/>
    <m/>
    <x v="1"/>
    <m/>
    <m/>
    <m/>
    <m/>
  </r>
  <r>
    <x v="20"/>
    <x v="5"/>
    <s v="C:\Users\andre\Desktop\REACTIV CEFAS\Prochloraz\Prochloraz/20201210_Cefas_Test9_Run3/Plate 4/@8/F2_04.tif "/>
    <s v=" 562.3773 "/>
    <s v=" 31.7308 "/>
    <x v="0"/>
    <n v="17845"/>
    <m/>
    <m/>
    <m/>
  </r>
  <r>
    <x v="20"/>
    <x v="6"/>
    <s v="C:\Users\andre\Desktop\REACTIV CEFAS\Prochloraz\Prochloraz/20201210_Cefas_Test9_Run3/Plate 4/@8/G2_01.tif "/>
    <s v=" 2941.6657 "/>
    <s v=" 32.5956 "/>
    <x v="0"/>
    <n v="95885"/>
    <m/>
    <m/>
    <m/>
  </r>
  <r>
    <x v="20"/>
    <x v="6"/>
    <s v="C:\Users\andre\Desktop\REACTIV CEFAS\Prochloraz\Prochloraz/20201210_Cefas_Test9_Run3/Plate 4/@8/G2_02.tif "/>
    <s v=" 6683.6374 "/>
    <s v=" 35.0615 "/>
    <x v="0"/>
    <n v="234338"/>
    <m/>
    <m/>
    <m/>
  </r>
  <r>
    <x v="20"/>
    <x v="6"/>
    <s v="C:\Users\andre\Desktop\REACTIV CEFAS\Prochloraz\Prochloraz/20201210_Cefas_Test9_Run3/Plate 4/@8/G2_03.tif "/>
    <s v=" 8197.7301 "/>
    <s v=" 36.1187 "/>
    <x v="0"/>
    <n v="296092"/>
    <m/>
    <m/>
    <m/>
  </r>
  <r>
    <x v="20"/>
    <x v="6"/>
    <s v="C:\Users\andre\Desktop\REACTIV CEFAS\Prochloraz\Prochloraz/20201210_Cefas_Test9_Run3/Plate 4/@8/G2_04.tif "/>
    <s v=" 10360.7195 "/>
    <s v=" 37.9395 "/>
    <x v="0"/>
    <n v="393080"/>
    <m/>
    <m/>
    <m/>
  </r>
  <r>
    <x v="20"/>
    <x v="7"/>
    <s v="C:\Users\andre\Desktop\REACTIV CEFAS\Prochloraz\Prochloraz/20201210_Cefas_Test9_Run3/Plate 4/@8/H2_01.tif "/>
    <s v=" 6921.5663 "/>
    <s v=" 39.7531 "/>
    <x v="0"/>
    <n v="275154"/>
    <m/>
    <m/>
    <m/>
  </r>
  <r>
    <x v="20"/>
    <x v="7"/>
    <s v="C:\Users\andre\Desktop\REACTIV CEFAS\Prochloraz\Prochloraz/20201210_Cefas_Test9_Run3/Plate 4/@8/H2_02.tif "/>
    <n v="0"/>
    <n v="0"/>
    <x v="0"/>
    <n v="0"/>
    <m/>
    <m/>
    <m/>
  </r>
  <r>
    <x v="20"/>
    <x v="7"/>
    <s v="C:\Users\andre\Desktop\REACTIV CEFAS\Prochloraz\Prochloraz/20201210_Cefas_Test9_Run3/Plate 4/@8/H2_03.tif "/>
    <s v=" 3114.7048 "/>
    <s v=" 33.7292 "/>
    <x v="0"/>
    <n v="105056"/>
    <m/>
    <m/>
    <m/>
  </r>
  <r>
    <x v="20"/>
    <x v="7"/>
    <s v="C:\Users\andre\Desktop\REACTIV CEFAS\Prochloraz\Prochloraz/20201210_Cefas_Test9_Run3/Plate 4/@8/H2_04.tif "/>
    <s v=" 4607.1676 "/>
    <s v=" 34.1972 "/>
    <x v="0"/>
    <n v="157552"/>
    <m/>
    <m/>
    <m/>
  </r>
  <r>
    <x v="1"/>
    <x v="8"/>
    <s v=" "/>
    <m/>
    <m/>
    <x v="1"/>
    <m/>
    <m/>
    <m/>
    <m/>
  </r>
  <r>
    <x v="1"/>
    <x v="8"/>
    <s v="group "/>
    <s v=" "/>
    <s v=" mean of mean fluo "/>
    <x v="2"/>
    <s v=" mean of total fluo "/>
    <s v=" SD total fluo "/>
    <s v=" n fluorescent "/>
    <s v=" n total"/>
  </r>
  <r>
    <x v="20"/>
    <x v="9"/>
    <s v="C:\Users\andre\Desktop\REACTIV CEFAS\Prochloraz\Prochloraz/20201210_Cefas_Test9_Run3/Plate 4/@8/ "/>
    <s v=" "/>
    <s v=" 32.7261 "/>
    <x v="22"/>
    <s v=" 200420.562 "/>
    <s v=" 159225.455 "/>
    <n v="29"/>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C:\Users\andre\Desktop\REACTIV CEFAS\Prochloraz\Prochloraz/20201210_Cefas_Test9_Run3/Plate 4/@9/A3_01.tif "/>
    <s v=" 3244.4842 "/>
    <s v=" 33.94 "/>
    <x v="0"/>
    <n v="110118"/>
    <m/>
    <m/>
    <m/>
  </r>
  <r>
    <x v="21"/>
    <x v="0"/>
    <s v="C:\Users\andre\Desktop\REACTIV CEFAS\Prochloraz\Prochloraz/20201210_Cefas_Test9_Run3/Plate 4/@9/A3_02.tif "/>
    <s v=" 4109.68 "/>
    <s v=" 33.2842 "/>
    <x v="0"/>
    <n v="136787"/>
    <m/>
    <m/>
    <m/>
  </r>
  <r>
    <x v="21"/>
    <x v="0"/>
    <s v="C:\Users\andre\Desktop\REACTIV CEFAS\Prochloraz\Prochloraz/20201210_Cefas_Test9_Run3/Plate 4/@9/A3_03.tif "/>
    <s v=" 6553.8581 "/>
    <s v=" 37.4521 "/>
    <x v="0"/>
    <n v="245456"/>
    <m/>
    <m/>
    <m/>
  </r>
  <r>
    <x v="21"/>
    <x v="0"/>
    <s v="C:\Users\andre\Desktop\REACTIV CEFAS\Prochloraz\Prochloraz/20201210_Cefas_Test9_Run3/Plate 4/@9/A3_04- exclu.tif"/>
    <m/>
    <m/>
    <x v="1"/>
    <m/>
    <m/>
    <m/>
    <m/>
  </r>
  <r>
    <x v="21"/>
    <x v="1"/>
    <s v="C:\Users\andre\Desktop\REACTIV CEFAS\Prochloraz\Prochloraz/20201210_Cefas_Test9_Run3/Plate 4/@9/B3_01.tif "/>
    <s v=" 324.4484 "/>
    <s v=" 30.4667 "/>
    <x v="0"/>
    <n v="9885"/>
    <m/>
    <m/>
    <m/>
  </r>
  <r>
    <x v="21"/>
    <x v="1"/>
    <s v="C:\Users\andre\Desktop\REACTIV CEFAS\Prochloraz\Prochloraz/20201210_Cefas_Test9_Run3/Plate 4/@9/B3_02- exclu.tif"/>
    <m/>
    <m/>
    <x v="1"/>
    <m/>
    <m/>
    <m/>
    <m/>
  </r>
  <r>
    <x v="21"/>
    <x v="1"/>
    <s v="C:\Users\andre\Desktop\REACTIV CEFAS\Prochloraz\Prochloraz/20201210_Cefas_Test9_Run3/Plate 4/@9/B3_03- exclu.tif"/>
    <m/>
    <m/>
    <x v="1"/>
    <m/>
    <m/>
    <m/>
    <m/>
  </r>
  <r>
    <x v="21"/>
    <x v="1"/>
    <s v="C:\Users\andre\Desktop\REACTIV CEFAS\Prochloraz\Prochloraz/20201210_Cefas_Test9_Run3/Plate 4/@9/B3_04.tif "/>
    <s v=" 800.3061 "/>
    <s v=" 31.7027 "/>
    <x v="0"/>
    <n v="25372"/>
    <m/>
    <m/>
    <m/>
  </r>
  <r>
    <x v="21"/>
    <x v="2"/>
    <s v="C:\Users\andre\Desktop\REACTIV CEFAS\Prochloraz\Prochloraz/20201210_Cefas_Test9_Run3/Plate 4/@9/C3_01.tif "/>
    <s v=" 8738.4774 "/>
    <s v=" 39.8639 "/>
    <x v="0"/>
    <n v="348349"/>
    <m/>
    <m/>
    <m/>
  </r>
  <r>
    <x v="21"/>
    <x v="2"/>
    <s v="C:\Users\andre\Desktop\REACTIV CEFAS\Prochloraz\Prochloraz/20201210_Cefas_Test9_Run3/Plate 4/@9/C3_02.tif "/>
    <s v=" 7029.7158 "/>
    <s v=" 41.5938 "/>
    <x v="0"/>
    <n v="292393"/>
    <m/>
    <m/>
    <m/>
  </r>
  <r>
    <x v="21"/>
    <x v="2"/>
    <s v="C:\Users\andre\Desktop\REACTIV CEFAS\Prochloraz\Prochloraz/20201210_Cefas_Test9_Run3/Plate 4/@9/C3_03- exclu.tif"/>
    <m/>
    <m/>
    <x v="1"/>
    <m/>
    <m/>
    <m/>
    <m/>
  </r>
  <r>
    <x v="21"/>
    <x v="2"/>
    <s v="C:\Users\andre\Desktop\REACTIV CEFAS\Prochloraz\Prochloraz/20201210_Cefas_Test9_Run3/Plate 4/@9/C3_04- exclu.tif"/>
    <m/>
    <m/>
    <x v="1"/>
    <m/>
    <m/>
    <m/>
    <m/>
  </r>
  <r>
    <x v="21"/>
    <x v="3"/>
    <s v="C:\Users\andre\Desktop\REACTIV CEFAS\Prochloraz\Prochloraz/20201210_Cefas_Test9_Run3/Plate 4/@9/D3_01.tif "/>
    <s v=" 11442.2143 "/>
    <s v=" 40.5992 "/>
    <x v="0"/>
    <n v="464545"/>
    <m/>
    <m/>
    <m/>
  </r>
  <r>
    <x v="21"/>
    <x v="3"/>
    <s v="C:\Users\andre\Desktop\REACTIV CEFAS\Prochloraz\Prochloraz/20201210_Cefas_Test9_Run3/Plate 4/@9/D3_02.tif "/>
    <s v=" 10274.1999 "/>
    <s v=" 40.8253 "/>
    <x v="0"/>
    <n v="419447"/>
    <m/>
    <m/>
    <m/>
  </r>
  <r>
    <x v="21"/>
    <x v="3"/>
    <s v="C:\Users\andre\Desktop\REACTIV CEFAS\Prochloraz\Prochloraz/20201210_Cefas_Test9_Run3/Plate 4/@9/D3_03.tif "/>
    <s v=" 8673.5877 "/>
    <s v=" 41.7955 "/>
    <x v="0"/>
    <n v="362517"/>
    <m/>
    <m/>
    <m/>
  </r>
  <r>
    <x v="21"/>
    <x v="3"/>
    <s v="C:\Users\andre\Desktop\REACTIV CEFAS\Prochloraz\Prochloraz/20201210_Cefas_Test9_Run3/Plate 4/@9/D3_04.tif "/>
    <s v=" 13497.0542 "/>
    <s v=" 44.9135 "/>
    <x v="0"/>
    <n v="606199"/>
    <m/>
    <m/>
    <m/>
  </r>
  <r>
    <x v="21"/>
    <x v="4"/>
    <s v="C:\Users\andre\Desktop\REACTIV CEFAS\Prochloraz\Prochloraz/20201210_Cefas_Test9_Run3/Plate 4/@9/E3_01.tif "/>
    <s v=" 8608.6981 "/>
    <s v=" 33.9749 "/>
    <x v="0"/>
    <n v="292479"/>
    <m/>
    <m/>
    <m/>
  </r>
  <r>
    <x v="21"/>
    <x v="4"/>
    <s v="C:\Users\andre\Desktop\REACTIV CEFAS\Prochloraz\Prochloraz/20201210_Cefas_Test9_Run3/Plate 4/@9/E3_02- exclu.tif"/>
    <m/>
    <m/>
    <x v="1"/>
    <m/>
    <m/>
    <m/>
    <m/>
  </r>
  <r>
    <x v="21"/>
    <x v="4"/>
    <s v="C:\Users\andre\Desktop\REACTIV CEFAS\Prochloraz\Prochloraz/20201210_Cefas_Test9_Run3/Plate 4/@9/E3_03.tif "/>
    <s v=" 627.2669 "/>
    <s v=" 31.4483 "/>
    <x v="0"/>
    <n v="19726"/>
    <m/>
    <m/>
    <m/>
  </r>
  <r>
    <x v="21"/>
    <x v="4"/>
    <s v="C:\Users\andre\Desktop\REACTIV CEFAS\Prochloraz\Prochloraz/20201210_Cefas_Test9_Run3/Plate 4/@9/E3_04.tif "/>
    <s v=" 15573.5241 "/>
    <s v=" 47.1708 "/>
    <x v="0"/>
    <n v="734616"/>
    <m/>
    <m/>
    <m/>
  </r>
  <r>
    <x v="21"/>
    <x v="5"/>
    <s v="C:\Users\andre\Desktop\REACTIV CEFAS\Prochloraz\Prochloraz/20201210_Cefas_Test9_Run3/Plate 4/@9/F3_01.tif "/>
    <s v=" 1816.9111 "/>
    <s v=" 34.8095 "/>
    <x v="0"/>
    <n v="63246"/>
    <m/>
    <m/>
    <m/>
  </r>
  <r>
    <x v="21"/>
    <x v="5"/>
    <s v="C:\Users\andre\Desktop\REACTIV CEFAS\Prochloraz\Prochloraz/20201210_Cefas_Test9_Run3/Plate 4/@9/F3_02.tif "/>
    <s v=" 2855.1461 "/>
    <s v=" 36.8712 "/>
    <x v="0"/>
    <n v="105273"/>
    <m/>
    <m/>
    <m/>
  </r>
  <r>
    <x v="21"/>
    <x v="5"/>
    <s v="C:\Users\andre\Desktop\REACTIV CEFAS\Prochloraz\Prochloraz/20201210_Cefas_Test9_Run3/Plate 4/@9/F3_03.tif "/>
    <s v=" 2249.509 "/>
    <s v=" 34.4904 "/>
    <x v="0"/>
    <n v="77586"/>
    <m/>
    <m/>
    <m/>
  </r>
  <r>
    <x v="21"/>
    <x v="5"/>
    <s v="C:\Users\andre\Desktop\REACTIV CEFAS\Prochloraz\Prochloraz/20201210_Cefas_Test9_Run3/Plate 4/@9/F3_04.tif "/>
    <s v=" 7072.9755 "/>
    <s v=" 40.0734 "/>
    <x v="0"/>
    <n v="283438"/>
    <m/>
    <m/>
    <m/>
  </r>
  <r>
    <x v="21"/>
    <x v="6"/>
    <s v="C:\Users\andre\Desktop\REACTIV CEFAS\Prochloraz\Prochloraz/20201210_Cefas_Test9_Run3/Plate 4/@9/G3_01.tif "/>
    <s v=" 9062.9258 "/>
    <s v=" 44.0215 "/>
    <x v="0"/>
    <n v="398963"/>
    <m/>
    <m/>
    <m/>
  </r>
  <r>
    <x v="21"/>
    <x v="6"/>
    <s v="C:\Users\andre\Desktop\REACTIV CEFAS\Prochloraz\Prochloraz/20201210_Cefas_Test9_Run3/Plate 4/@9/G3_02.tif "/>
    <s v=" 3568.9326 "/>
    <s v=" 42.9818 "/>
    <x v="0"/>
    <n v="153399"/>
    <m/>
    <m/>
    <m/>
  </r>
  <r>
    <x v="21"/>
    <x v="6"/>
    <s v="C:\Users\andre\Desktop\REACTIV CEFAS\Prochloraz\Prochloraz/20201210_Cefas_Test9_Run3/Plate 4/@9/G3_03- exclu.tif"/>
    <m/>
    <m/>
    <x v="1"/>
    <m/>
    <m/>
    <m/>
    <m/>
  </r>
  <r>
    <x v="21"/>
    <x v="6"/>
    <s v="C:\Users\andre\Desktop\REACTIV CEFAS\Prochloraz\Prochloraz/20201210_Cefas_Test9_Run3/Plate 4/@9/G3_04- exclu.tif"/>
    <m/>
    <m/>
    <x v="1"/>
    <m/>
    <m/>
    <m/>
    <m/>
  </r>
  <r>
    <x v="21"/>
    <x v="7"/>
    <s v="C:\Users\andre\Desktop\REACTIV CEFAS\Prochloraz\Prochloraz/20201210_Cefas_Test9_Run3/Plate 4/@9/H3_01.tif "/>
    <s v=" 86.5196 "/>
    <s v=" 33.75 "/>
    <x v="0"/>
    <n v="2920"/>
    <m/>
    <m/>
    <m/>
  </r>
  <r>
    <x v="21"/>
    <x v="7"/>
    <s v="C:\Users\andre\Desktop\REACTIV CEFAS\Prochloraz\Prochloraz/20201210_Cefas_Test9_Run3/Plate 4/@9/H3_02.tif "/>
    <s v=" 1622.2421 "/>
    <s v=" 35.2933 "/>
    <x v="0"/>
    <n v="57254"/>
    <m/>
    <m/>
    <m/>
  </r>
  <r>
    <x v="21"/>
    <x v="7"/>
    <s v="C:\Users\andre\Desktop\REACTIV CEFAS\Prochloraz\Prochloraz/20201210_Cefas_Test9_Run3/Plate 4/@9/H3_03.tif "/>
    <n v="0"/>
    <n v="0"/>
    <x v="0"/>
    <n v="0"/>
    <m/>
    <m/>
    <m/>
  </r>
  <r>
    <x v="21"/>
    <x v="7"/>
    <s v="C:\Users\andre\Desktop\REACTIV CEFAS\Prochloraz\Prochloraz/20201210_Cefas_Test9_Run3/Plate 4/@9/H3_04.tif "/>
    <s v=" 21.6299 "/>
    <n v="32"/>
    <x v="0"/>
    <n v="692"/>
    <m/>
    <m/>
    <m/>
  </r>
  <r>
    <x v="1"/>
    <x v="8"/>
    <s v=" "/>
    <m/>
    <m/>
    <x v="1"/>
    <m/>
    <m/>
    <m/>
    <m/>
  </r>
  <r>
    <x v="1"/>
    <x v="8"/>
    <s v="group "/>
    <s v=" "/>
    <s v=" mean of mean fluo "/>
    <x v="2"/>
    <s v=" mean of total fluo "/>
    <s v=" SD total fluo "/>
    <s v=" n fluorescent "/>
    <s v=" n total"/>
  </r>
  <r>
    <x v="21"/>
    <x v="9"/>
    <s v="C:\Users\andre\Desktop\REACTIV CEFAS\Prochloraz\Prochloraz/20201210_Cefas_Test9_Run3/Plate 4/@9/ "/>
    <s v=" "/>
    <s v=" 38.6565 "/>
    <x v="23"/>
    <s v=" 289990.562 "/>
    <s v=" 247113.212 "/>
    <n v="31"/>
    <n v="32"/>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C:\Users\andre\Desktop\REACTIV CEFAS\Prochloraz\Prochloraz/20201117_Cefas_Test6-Run2/Plate 1/@1/A10_01.tif "/>
    <s v=" 43.2598 "/>
    <s v=" 30.5 "/>
    <x v="0"/>
    <n v="1319"/>
    <m/>
    <m/>
    <m/>
  </r>
  <r>
    <x v="0"/>
    <x v="0"/>
    <s v="C:\Users\andre\Desktop\REACTIV CEFAS\Prochloraz\Prochloraz/20201117_Cefas_Test6-Run2/Plate 1/@1/A10_02.tif "/>
    <s v=" 1319.4236 "/>
    <s v=" 34.2459 "/>
    <x v="0"/>
    <n v="45185"/>
    <m/>
    <m/>
    <m/>
  </r>
  <r>
    <x v="0"/>
    <x v="0"/>
    <s v="C:\Users\andre\Desktop\REACTIV CEFAS\Prochloraz\Prochloraz/20201117_Cefas_Test6-Run2/Plate 1/@1/A10_03.tif "/>
    <n v="0"/>
    <n v="0"/>
    <x v="0"/>
    <n v="0"/>
    <m/>
    <m/>
    <m/>
  </r>
  <r>
    <x v="0"/>
    <x v="1"/>
    <s v="C:\Users\andre\Desktop\REACTIV CEFAS\Prochloraz\Prochloraz/20201117_Cefas_Test6-Run2/Plate 1/@1/B10_01.tif "/>
    <s v=" 670.5267 "/>
    <s v=" 33.1935 "/>
    <x v="0"/>
    <n v="22257"/>
    <m/>
    <m/>
    <m/>
  </r>
  <r>
    <x v="0"/>
    <x v="1"/>
    <s v="C:\Users\andre\Desktop\REACTIV CEFAS\Prochloraz\Prochloraz/20201117_Cefas_Test6-Run2/Plate 1/@1/B10_02.tif "/>
    <n v="0"/>
    <n v="0"/>
    <x v="0"/>
    <n v="0"/>
    <m/>
    <m/>
    <m/>
  </r>
  <r>
    <x v="0"/>
    <x v="1"/>
    <s v="C:\Users\andre\Desktop\REACTIV CEFAS\Prochloraz\Prochloraz/20201117_Cefas_Test6-Run2/Plate 1/@1/B10_03.tif "/>
    <s v=" 9928.1216 "/>
    <s v=" 42.427 "/>
    <x v="0"/>
    <n v="421221"/>
    <m/>
    <m/>
    <m/>
  </r>
  <r>
    <x v="0"/>
    <x v="2"/>
    <s v="C:\Users\andre\Desktop\REACTIV CEFAS\Prochloraz\Prochloraz/20201117_Cefas_Test6-Run2/Plate 1/@1/C10_01.tif "/>
    <s v=" 194.6691 "/>
    <s v=" 34.1111 "/>
    <x v="0"/>
    <n v="6640"/>
    <m/>
    <m/>
    <m/>
  </r>
  <r>
    <x v="0"/>
    <x v="2"/>
    <s v="C:\Users\andre\Desktop\REACTIV CEFAS\Prochloraz\Prochloraz/20201117_Cefas_Test6-Run2/Plate 1/@1/C10_02.tif "/>
    <s v=" 475.8577 "/>
    <s v=" 32.9091 "/>
    <x v="0"/>
    <n v="15660"/>
    <m/>
    <m/>
    <m/>
  </r>
  <r>
    <x v="0"/>
    <x v="2"/>
    <s v="C:\Users\andre\Desktop\REACTIV CEFAS\Prochloraz\Prochloraz/20201117_Cefas_Test6-Run2/Plate 1/@1/C10_03.tif "/>
    <s v=" 6683.6374 "/>
    <s v=" 38.0906 "/>
    <x v="0"/>
    <n v="254584"/>
    <m/>
    <m/>
    <m/>
  </r>
  <r>
    <x v="0"/>
    <x v="3"/>
    <s v="C:\Users\andre\Desktop\REACTIV CEFAS\Prochloraz\Prochloraz/20201117_Cefas_Test6-Run2/Plate 1/@1/D10_01.tif "/>
    <s v=" 4672.0572 "/>
    <s v=" 34.7917 "/>
    <x v="0"/>
    <n v="162549"/>
    <m/>
    <m/>
    <m/>
  </r>
  <r>
    <x v="0"/>
    <x v="3"/>
    <s v="C:\Users\andre\Desktop\REACTIV CEFAS\Prochloraz\Prochloraz/20201117_Cefas_Test6-Run2/Plate 1/@1/D10_02.tif "/>
    <s v=" 4217.8295 "/>
    <s v=" 34.0513 "/>
    <x v="0"/>
    <n v="143623"/>
    <m/>
    <m/>
    <m/>
  </r>
  <r>
    <x v="0"/>
    <x v="3"/>
    <s v="C:\Users\andre\Desktop\REACTIV CEFAS\Prochloraz\Prochloraz/20201117_Cefas_Test6-Run2/Plate 1/@1/D10_03.tif "/>
    <s v=" 4931.616 "/>
    <s v=" 36.9211 "/>
    <x v="0"/>
    <n v="182080"/>
    <m/>
    <m/>
    <m/>
  </r>
  <r>
    <x v="0"/>
    <x v="4"/>
    <s v="C:\Users\andre\Desktop\REACTIV CEFAS\Prochloraz\Prochloraz/20201117_Cefas_Test6-Run2/Plate 1/@1/E10_01.tif "/>
    <s v=" 3655.4522 "/>
    <s v=" 39.2959 "/>
    <x v="0"/>
    <n v="143644"/>
    <m/>
    <m/>
    <m/>
  </r>
  <r>
    <x v="0"/>
    <x v="4"/>
    <s v="C:\Users\andre\Desktop\REACTIV CEFAS\Prochloraz\Prochloraz/20201117_Cefas_Test6-Run2/Plate 1/@1/E10_02.tif "/>
    <s v=" 3677.0821 "/>
    <s v=" 36.8529 "/>
    <x v="0"/>
    <n v="135511"/>
    <m/>
    <m/>
    <m/>
  </r>
  <r>
    <x v="0"/>
    <x v="4"/>
    <s v="C:\Users\andre\Desktop\REACTIV CEFAS\Prochloraz\Prochloraz/20201117_Cefas_Test6-Run2/Plate 1/@1/E10_03.tif "/>
    <s v=" 2379.2884 "/>
    <s v=" 33.5455 "/>
    <x v="0"/>
    <n v="79814"/>
    <m/>
    <m/>
    <m/>
  </r>
  <r>
    <x v="0"/>
    <x v="5"/>
    <s v="C:\Users\andre\Desktop\REACTIV CEFAS\Prochloraz\Prochloraz/20201117_Cefas_Test6-Run2/Plate 1/@1/F10_01.tif "/>
    <s v=" 21.6299 "/>
    <n v="30"/>
    <x v="0"/>
    <n v="649"/>
    <m/>
    <m/>
    <m/>
  </r>
  <r>
    <x v="0"/>
    <x v="5"/>
    <s v="C:\Users\andre\Desktop\REACTIV CEFAS\Prochloraz\Prochloraz/20201117_Cefas_Test6-Run2/Plate 1/@1/F10_02.tif "/>
    <n v="0"/>
    <n v="0"/>
    <x v="0"/>
    <n v="0"/>
    <m/>
    <m/>
    <m/>
  </r>
  <r>
    <x v="0"/>
    <x v="5"/>
    <s v="C:\Users\andre\Desktop\REACTIV CEFAS\Prochloraz\Prochloraz/20201117_Cefas_Test6-Run2/Plate 1/@1/F10_03.tif "/>
    <s v=" 64.8897 "/>
    <s v=" 30.6667 "/>
    <x v="0"/>
    <n v="1990"/>
    <m/>
    <m/>
    <m/>
  </r>
  <r>
    <x v="0"/>
    <x v="6"/>
    <s v="C:\Users\andre\Desktop\REACTIV CEFAS\Prochloraz\Prochloraz/20201117_Cefas_Test6-Run2/Plate 1/@1/G10_01.tif "/>
    <s v=" 3655.4522 "/>
    <s v=" 39.5799 "/>
    <x v="0"/>
    <n v="144682"/>
    <m/>
    <m/>
    <m/>
  </r>
  <r>
    <x v="0"/>
    <x v="6"/>
    <s v="C:\Users\andre\Desktop\REACTIV CEFAS\Prochloraz\Prochloraz/20201117_Cefas_Test6-Run2/Plate 1/@1/G10_02.tif "/>
    <s v=" 7721.8724 "/>
    <s v=" 39.395 "/>
    <x v="0"/>
    <n v="304203"/>
    <m/>
    <m/>
    <m/>
  </r>
  <r>
    <x v="0"/>
    <x v="6"/>
    <s v="C:\Users\andre\Desktop\REACTIV CEFAS\Prochloraz\Prochloraz/20201117_Cefas_Test6-Run2/Plate 1/@1/G10_03.tif "/>
    <s v=" 6251.0395 "/>
    <s v=" 38.6263 "/>
    <x v="0"/>
    <n v="241455"/>
    <m/>
    <m/>
    <m/>
  </r>
  <r>
    <x v="0"/>
    <x v="7"/>
    <s v="C:\Users\andre\Desktop\REACTIV CEFAS\Prochloraz\Prochloraz/20201117_Cefas_Test6-Run2/Plate 1/@1/H10_01- exclu.tif"/>
    <m/>
    <m/>
    <x v="1"/>
    <m/>
    <m/>
    <m/>
    <m/>
  </r>
  <r>
    <x v="0"/>
    <x v="7"/>
    <s v="C:\Users\andre\Desktop\REACTIV CEFAS\Prochloraz\Prochloraz/20201117_Cefas_Test6-Run2/Plate 1/@1/H10_02- exclu.tif"/>
    <m/>
    <m/>
    <x v="1"/>
    <m/>
    <m/>
    <m/>
    <m/>
  </r>
  <r>
    <x v="0"/>
    <x v="7"/>
    <s v="C:\Users\andre\Desktop\REACTIV CEFAS\Prochloraz\Prochloraz/20201117_Cefas_Test6-Run2/Plate 1/@1/H10_03- exclu.tif"/>
    <m/>
    <m/>
    <x v="1"/>
    <m/>
    <m/>
    <m/>
    <m/>
  </r>
  <r>
    <x v="1"/>
    <x v="8"/>
    <s v=" "/>
    <m/>
    <m/>
    <x v="1"/>
    <m/>
    <m/>
    <m/>
    <m/>
  </r>
  <r>
    <x v="1"/>
    <x v="8"/>
    <s v="group "/>
    <s v=" "/>
    <s v=" mean of mean fluo "/>
    <x v="2"/>
    <s v=" mean of total fluo "/>
    <s v=" SD total fluo "/>
    <s v=" n fluorescent "/>
    <s v=" n total"/>
  </r>
  <r>
    <x v="0"/>
    <x v="9"/>
    <s v="C:\Users\andre\Desktop\REACTIV CEFAS\Prochloraz\Prochloraz/20201117_Cefas_Test6-Run2/Plate 1/@1/ "/>
    <s v=" "/>
    <s v=" 26.6335 "/>
    <x v="3"/>
    <s v=" 96127.75 "/>
    <s v=" 118071.906 "/>
    <n v="18"/>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C:\Users\andre\Desktop\REACTIV CEFAS\Prochloraz\Prochloraz/20201117_Cefas_Test6-Run2/Plate 1/@13/A8_01.tif "/>
    <s v=" 28162.1228 "/>
    <s v=" 35.7427 "/>
    <x v="0"/>
    <n v="1006590"/>
    <m/>
    <m/>
    <m/>
  </r>
  <r>
    <x v="2"/>
    <x v="0"/>
    <s v="C:\Users\andre\Desktop\REACTIV CEFAS\Prochloraz\Prochloraz/20201117_Cefas_Test6-Run2/Plate 1/@13/A8_02.tif "/>
    <s v=" 31947.3544 "/>
    <s v=" 35.4028 "/>
    <x v="0"/>
    <n v="1131027"/>
    <m/>
    <m/>
    <m/>
  </r>
  <r>
    <x v="2"/>
    <x v="0"/>
    <s v="C:\Users\andre\Desktop\REACTIV CEFAS\Prochloraz\Prochloraz/20201117_Cefas_Test6-Run2/Plate 1/@13/A8_03.tif "/>
    <s v=" 31752.6853 "/>
    <s v=" 35.6199 "/>
    <x v="0"/>
    <n v="1131027"/>
    <m/>
    <m/>
    <m/>
  </r>
  <r>
    <x v="2"/>
    <x v="1"/>
    <s v="C:\Users\andre\Desktop\REACTIV CEFAS\Prochloraz\Prochloraz/20201117_Cefas_Test6-Run2/Plate 1/@13/B8_01.tif "/>
    <s v=" 62056.1677 "/>
    <s v=" 40.4333 "/>
    <x v="0"/>
    <n v="2509133"/>
    <m/>
    <m/>
    <m/>
  </r>
  <r>
    <x v="2"/>
    <x v="1"/>
    <s v="C:\Users\andre\Desktop\REACTIV CEFAS\Prochloraz\Prochloraz/20201117_Cefas_Test6-Run2/Plate 1/@13/B8_02.tif "/>
    <s v=" 71551.6914 "/>
    <s v=" 41.7288 "/>
    <x v="0"/>
    <n v="2985769"/>
    <m/>
    <m/>
    <m/>
  </r>
  <r>
    <x v="2"/>
    <x v="1"/>
    <s v="C:\Users\andre\Desktop\REACTIV CEFAS\Prochloraz\Prochloraz/20201117_Cefas_Test6-Run2/Plate 1/@13/B8_03.tif "/>
    <s v=" 62640.1748 "/>
    <s v=" 41.0915 "/>
    <x v="0"/>
    <n v="2573979"/>
    <m/>
    <m/>
    <m/>
  </r>
  <r>
    <x v="2"/>
    <x v="2"/>
    <s v="C:\Users\andre\Desktop\REACTIV CEFAS\Prochloraz\Prochloraz/20201117_Cefas_Test6-Run2/Plate 1/@13/C8_01.tif "/>
    <s v=" 16135.9014 "/>
    <s v=" 34.5965 "/>
    <x v="0"/>
    <n v="558246"/>
    <m/>
    <m/>
    <m/>
  </r>
  <r>
    <x v="2"/>
    <x v="2"/>
    <s v="C:\Users\andre\Desktop\REACTIV CEFAS\Prochloraz\Prochloraz/20201117_Cefas_Test6-Run2/Plate 1/@13/C8_02.tif "/>
    <s v=" 6986.456 "/>
    <s v=" 32.0836 "/>
    <x v="0"/>
    <n v="224151"/>
    <m/>
    <m/>
    <m/>
  </r>
  <r>
    <x v="2"/>
    <x v="2"/>
    <s v="C:\Users\andre\Desktop\REACTIV CEFAS\Prochloraz\Prochloraz/20201117_Cefas_Test6-Run2/Plate 1/@13/C8_03.tif "/>
    <s v=" 12610.2286 "/>
    <s v=" 33.8988 "/>
    <x v="0"/>
    <n v="427472"/>
    <m/>
    <m/>
    <m/>
  </r>
  <r>
    <x v="2"/>
    <x v="3"/>
    <s v="C:\Users\andre\Desktop\REACTIV CEFAS\Prochloraz\Prochloraz/20201117_Cefas_Test6-Run2/Plate 1/@13/D8_01.tif "/>
    <s v=" 30281.8525 "/>
    <s v=" 35.1586 "/>
    <x v="0"/>
    <n v="1064667"/>
    <m/>
    <m/>
    <m/>
  </r>
  <r>
    <x v="2"/>
    <x v="3"/>
    <s v="C:\Users\andre\Desktop\REACTIV CEFAS\Prochloraz\Prochloraz/20201117_Cefas_Test6-Run2/Plate 1/@13/D8_02.tif "/>
    <s v=" 38717.5114 "/>
    <s v=" 35.8877 "/>
    <x v="0"/>
    <n v="1389483"/>
    <m/>
    <m/>
    <m/>
  </r>
  <r>
    <x v="2"/>
    <x v="3"/>
    <s v="C:\Users\andre\Desktop\REACTIV CEFAS\Prochloraz\Prochloraz/20201117_Cefas_Test6-Run2/Plate 1/@13/D8_03.tif "/>
    <s v=" 29654.5855 "/>
    <s v=" 34.9555 "/>
    <x v="0"/>
    <n v="1036591"/>
    <m/>
    <m/>
    <m/>
  </r>
  <r>
    <x v="2"/>
    <x v="4"/>
    <s v="C:\Users\andre\Desktop\REACTIV CEFAS\Prochloraz\Prochloraz/20201117_Cefas_Test6-Run2/Plate 1/@13/E8_01.tif "/>
    <s v=" 46244.7147 "/>
    <s v=" 39.5776 "/>
    <x v="0"/>
    <n v="1830257"/>
    <m/>
    <m/>
    <m/>
  </r>
  <r>
    <x v="2"/>
    <x v="4"/>
    <s v="C:\Users\andre\Desktop\REACTIV CEFAS\Prochloraz\Prochloraz/20201117_Cefas_Test6-Run2/Plate 1/@13/E8_02.tif "/>
    <s v=" 63829.819 "/>
    <s v=" 43.0661 "/>
    <x v="0"/>
    <n v="2748900"/>
    <m/>
    <m/>
    <m/>
  </r>
  <r>
    <x v="2"/>
    <x v="4"/>
    <s v="C:\Users\andre\Desktop\REACTIV CEFAS\Prochloraz\Prochloraz/20201117_Cefas_Test6-Run2/Plate 1/@13/E8_03.tif "/>
    <s v=" 63548.6304 "/>
    <s v=" 42.0218 "/>
    <x v="0"/>
    <n v="2670427"/>
    <m/>
    <m/>
    <m/>
  </r>
  <r>
    <x v="2"/>
    <x v="5"/>
    <s v="C:\Users\andre\Desktop\REACTIV CEFAS\Prochloraz\Prochloraz/20201117_Cefas_Test6-Run2/Plate 1/@13/F8_01.tif "/>
    <s v=" 66187.4776 "/>
    <s v=" 44.6853 "/>
    <x v="0"/>
    <n v="2957607"/>
    <m/>
    <m/>
    <m/>
  </r>
  <r>
    <x v="2"/>
    <x v="5"/>
    <s v="C:\Users\andre\Desktop\REACTIV CEFAS\Prochloraz\Prochloraz/20201117_Cefas_Test6-Run2/Plate 1/@13/F8_02.tif "/>
    <s v=" 62207.577 "/>
    <s v=" 42.9503 "/>
    <x v="0"/>
    <n v="2671833"/>
    <m/>
    <m/>
    <m/>
  </r>
  <r>
    <x v="2"/>
    <x v="5"/>
    <s v="C:\Users\andre\Desktop\REACTIV CEFAS\Prochloraz\Prochloraz/20201117_Cefas_Test6-Run2/Plate 1/@13/F8_03.tif "/>
    <s v=" 60001.3277 "/>
    <s v=" 40.8983 "/>
    <x v="0"/>
    <n v="2453955"/>
    <m/>
    <m/>
    <m/>
  </r>
  <r>
    <x v="2"/>
    <x v="6"/>
    <s v="C:\Users\andre\Desktop\REACTIV CEFAS\Prochloraz\Prochloraz/20201117_Cefas_Test6-Run2/Plate 1/@13/G8_01.tif "/>
    <s v=" 32704.4007 "/>
    <s v=" 36.6806 "/>
    <x v="0"/>
    <n v="1199616"/>
    <m/>
    <m/>
    <m/>
  </r>
  <r>
    <x v="2"/>
    <x v="6"/>
    <s v="C:\Users\andre\Desktop\REACTIV CEFAS\Prochloraz\Prochloraz/20201117_Cefas_Test6-Run2/Plate 1/@13/G8_02.tif "/>
    <s v=" 40815.6112 "/>
    <s v=" 36.9565 "/>
    <x v="0"/>
    <n v="1508404"/>
    <m/>
    <m/>
    <m/>
  </r>
  <r>
    <x v="2"/>
    <x v="6"/>
    <s v="C:\Users\andre\Desktop\REACTIV CEFAS\Prochloraz\Prochloraz/20201117_Cefas_Test6-Run2/Plate 1/@13/G8_03.tif "/>
    <s v=" 27578.1157 "/>
    <s v=" 36.28 "/>
    <x v="0"/>
    <n v="1000534"/>
    <m/>
    <m/>
    <m/>
  </r>
  <r>
    <x v="2"/>
    <x v="7"/>
    <s v="C:\Users\andre\Desktop\REACTIV CEFAS\Prochloraz\Prochloraz/20201117_Cefas_Test6-Run2/Plate 1/@13/H8_01.tif "/>
    <s v=" 4780.2067 "/>
    <s v=" 31.4027 "/>
    <x v="0"/>
    <n v="150111"/>
    <m/>
    <m/>
    <m/>
  </r>
  <r>
    <x v="2"/>
    <x v="7"/>
    <s v="C:\Users\andre\Desktop\REACTIV CEFAS\Prochloraz\Prochloraz/20201117_Cefas_Test6-Run2/Plate 1/@13/H8_02.tif "/>
    <s v=" 7851.6518 "/>
    <s v=" 32.1763 "/>
    <x v="0"/>
    <n v="252637"/>
    <m/>
    <m/>
    <m/>
  </r>
  <r>
    <x v="2"/>
    <x v="7"/>
    <s v="C:\Users\andre\Desktop\REACTIV CEFAS\Prochloraz\Prochloraz/20201117_Cefas_Test6-Run2/Plate 1/@13/H8_03.tif "/>
    <s v=" 4607.1676 "/>
    <s v=" 32.3897 "/>
    <x v="0"/>
    <n v="149225"/>
    <m/>
    <m/>
    <m/>
  </r>
  <r>
    <x v="1"/>
    <x v="8"/>
    <s v=" "/>
    <m/>
    <m/>
    <x v="1"/>
    <m/>
    <m/>
    <m/>
    <m/>
  </r>
  <r>
    <x v="1"/>
    <x v="8"/>
    <s v="group "/>
    <s v=" "/>
    <s v=" mean of mean fluo "/>
    <x v="2"/>
    <s v=" mean of total fluo "/>
    <s v=" SD total fluo "/>
    <s v=" n fluorescent "/>
    <s v=" n total"/>
  </r>
  <r>
    <x v="2"/>
    <x v="9"/>
    <s v="C:\Users\andre\Desktop\REACTIV CEFAS\Prochloraz\Prochloraz/20201117_Cefas_Test6-Run2/Plate 1/@13/ "/>
    <s v=" "/>
    <s v=" 37.3202 "/>
    <x v="4"/>
    <s v=" 1484651.71 "/>
    <s v=" 977127.38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C:\Users\andre\Desktop\REACTIV CEFAS\Prochloraz\Prochloraz/20201117_Cefas_Test6-Run2/Plate 1/@14/A9_01- exclu.tif"/>
    <m/>
    <m/>
    <x v="1"/>
    <m/>
    <m/>
    <m/>
    <m/>
  </r>
  <r>
    <x v="3"/>
    <x v="0"/>
    <s v="C:\Users\andre\Desktop\REACTIV CEFAS\Prochloraz\Prochloraz/20201117_Cefas_Test6-Run2/Plate 1/@14/A9_02- exclu.tif"/>
    <m/>
    <m/>
    <x v="1"/>
    <m/>
    <m/>
    <m/>
    <m/>
  </r>
  <r>
    <x v="3"/>
    <x v="0"/>
    <s v="C:\Users\andre\Desktop\REACTIV CEFAS\Prochloraz\Prochloraz/20201117_Cefas_Test6-Run2/Plate 1/@14/A9_03- exclu.tif"/>
    <m/>
    <m/>
    <x v="1"/>
    <m/>
    <m/>
    <m/>
    <m/>
  </r>
  <r>
    <x v="3"/>
    <x v="1"/>
    <s v="C:\Users\andre\Desktop\REACTIV CEFAS\Prochloraz\Prochloraz/20201117_Cefas_Test6-Run2/Plate 1/@14/B9_01.tif "/>
    <s v=" 65473.691 "/>
    <s v=" 41.8427 "/>
    <x v="0"/>
    <n v="2739599"/>
    <m/>
    <m/>
    <m/>
  </r>
  <r>
    <x v="3"/>
    <x v="1"/>
    <s v="C:\Users\andre\Desktop\REACTIV CEFAS\Prochloraz\Prochloraz/20201117_Cefas_Test6-Run2/Plate 1/@14/B9_02.tif "/>
    <s v=" 65279.022 "/>
    <s v=" 41.9433 "/>
    <x v="0"/>
    <n v="2738020"/>
    <m/>
    <m/>
    <m/>
  </r>
  <r>
    <x v="3"/>
    <x v="1"/>
    <s v="C:\Users\andre\Desktop\REACTIV CEFAS\Prochloraz\Prochloraz/20201117_Cefas_Test6-Run2/Plate 1/@14/B9_03.tif "/>
    <s v=" 69799.67 "/>
    <s v=" 42.5931 "/>
    <x v="0"/>
    <n v="2972986"/>
    <m/>
    <m/>
    <m/>
  </r>
  <r>
    <x v="3"/>
    <x v="2"/>
    <s v="C:\Users\andre\Desktop\REACTIV CEFAS\Prochloraz\Prochloraz/20201117_Cefas_Test6-Run2/Plate 1/@14/C9_01.tif "/>
    <s v=" 44687.3623 "/>
    <s v=" 37.4593 "/>
    <x v="0"/>
    <n v="1673959"/>
    <m/>
    <m/>
    <m/>
  </r>
  <r>
    <x v="3"/>
    <x v="2"/>
    <s v="C:\Users\andre\Desktop\REACTIV CEFAS\Prochloraz\Prochloraz/20201117_Cefas_Test6-Run2/Plate 1/@14/C9_02.tif "/>
    <s v=" 40253.2339 "/>
    <s v=" 36.3853 "/>
    <x v="0"/>
    <n v="1464625"/>
    <m/>
    <m/>
    <m/>
  </r>
  <r>
    <x v="3"/>
    <x v="2"/>
    <s v="C:\Users\andre\Desktop\REACTIV CEFAS\Prochloraz\Prochloraz/20201117_Cefas_Test6-Run2/Plate 1/@14/C9_03.tif "/>
    <s v=" 49965.0566 "/>
    <s v=" 38.1784 "/>
    <x v="0"/>
    <n v="1907584"/>
    <m/>
    <m/>
    <m/>
  </r>
  <r>
    <x v="3"/>
    <x v="3"/>
    <s v="C:\Users\andre\Desktop\REACTIV CEFAS\Prochloraz\Prochloraz/20201117_Cefas_Test6-Run2/Plate 1/@14/D9_01.tif "/>
    <s v=" 65884.659 "/>
    <s v=" 48.4875 "/>
    <x v="0"/>
    <n v="3194584"/>
    <m/>
    <m/>
    <m/>
  </r>
  <r>
    <x v="3"/>
    <x v="3"/>
    <s v="C:\Users\andre\Desktop\REACTIV CEFAS\Prochloraz\Prochloraz/20201117_Cefas_Test6-Run2/Plate 1/@14/D9_02.tif "/>
    <s v=" 74190.5386 "/>
    <s v=" 44.9469 "/>
    <x v="0"/>
    <n v="3334638"/>
    <m/>
    <m/>
    <m/>
  </r>
  <r>
    <x v="3"/>
    <x v="3"/>
    <s v="C:\Users\andre\Desktop\REACTIV CEFAS\Prochloraz\Prochloraz/20201117_Cefas_Test6-Run2/Plate 1/@14/D9_03.tif "/>
    <s v=" 70080.8586 "/>
    <s v=" 49.0164 "/>
    <x v="0"/>
    <n v="3435108"/>
    <m/>
    <m/>
    <m/>
  </r>
  <r>
    <x v="3"/>
    <x v="4"/>
    <s v="C:\Users\andre\Desktop\REACTIV CEFAS\Prochloraz\Prochloraz/20201117_Cefas_Test6-Run2/Plate 1/@14/E9_01.tif "/>
    <s v=" 2271.1389 "/>
    <s v=" 31.8952 "/>
    <x v="0"/>
    <n v="72439"/>
    <m/>
    <m/>
    <m/>
  </r>
  <r>
    <x v="3"/>
    <x v="4"/>
    <s v="C:\Users\andre\Desktop\REACTIV CEFAS\Prochloraz\Prochloraz/20201117_Cefas_Test6-Run2/Plate 1/@14/E9_02.tif "/>
    <s v=" 6164.52 "/>
    <s v=" 33.786 "/>
    <x v="0"/>
    <n v="208274"/>
    <m/>
    <m/>
    <m/>
  </r>
  <r>
    <x v="3"/>
    <x v="4"/>
    <s v="C:\Users\andre\Desktop\REACTIV CEFAS\Prochloraz\Prochloraz/20201117_Cefas_Test6-Run2/Plate 1/@14/E9_03.tif "/>
    <s v=" 605.637 "/>
    <s v=" 32.3214 "/>
    <x v="0"/>
    <n v="19575"/>
    <m/>
    <m/>
    <m/>
  </r>
  <r>
    <x v="3"/>
    <x v="5"/>
    <s v="C:\Users\andre\Desktop\REACTIV CEFAS\Prochloraz\Prochloraz/20201117_Cefas_Test6-Run2/Plate 1/@14/F9_01.tif "/>
    <s v=" 30433.2617 "/>
    <s v=" 34.9666 "/>
    <x v="0"/>
    <n v="1064148"/>
    <m/>
    <m/>
    <m/>
  </r>
  <r>
    <x v="3"/>
    <x v="5"/>
    <s v="C:\Users\andre\Desktop\REACTIV CEFAS\Prochloraz\Prochloraz/20201117_Cefas_Test6-Run2/Plate 1/@14/F9_02.tif "/>
    <s v=" 23814.514 "/>
    <s v=" 35.3497 "/>
    <x v="0"/>
    <n v="841835"/>
    <m/>
    <m/>
    <m/>
  </r>
  <r>
    <x v="3"/>
    <x v="5"/>
    <s v="C:\Users\andre\Desktop\REACTIV CEFAS\Prochloraz\Prochloraz/20201117_Cefas_Test6-Run2/Plate 1/@14/F9_03.tif "/>
    <s v=" 23317.0264 "/>
    <s v=" 32.8275 "/>
    <x v="0"/>
    <n v="765439"/>
    <m/>
    <m/>
    <m/>
  </r>
  <r>
    <x v="3"/>
    <x v="6"/>
    <s v="C:\Users\andre\Desktop\REACTIV CEFAS\Prochloraz\Prochloraz/20201117_Cefas_Test6-Run2/Plate 1/@14/G9_01.tif "/>
    <s v=" 8651.9579 "/>
    <s v=" 33.79 "/>
    <x v="0"/>
    <n v="292350"/>
    <m/>
    <m/>
    <m/>
  </r>
  <r>
    <x v="3"/>
    <x v="6"/>
    <s v="C:\Users\andre\Desktop\REACTIV CEFAS\Prochloraz\Prochloraz/20201117_Cefas_Test6-Run2/Plate 1/@14/G9_02.tif "/>
    <s v=" 5212.8046 "/>
    <s v=" 32.5726 "/>
    <x v="0"/>
    <n v="169795"/>
    <m/>
    <m/>
    <m/>
  </r>
  <r>
    <x v="3"/>
    <x v="6"/>
    <s v="C:\Users\andre\Desktop\REACTIV CEFAS\Prochloraz\Prochloraz/20201117_Cefas_Test6-Run2/Plate 1/@14/G9_03.tif "/>
    <s v=" 8673.5877 "/>
    <s v=" 33.9701 "/>
    <x v="0"/>
    <n v="294642"/>
    <m/>
    <m/>
    <m/>
  </r>
  <r>
    <x v="3"/>
    <x v="7"/>
    <s v="C:\Users\andre\Desktop\REACTIV CEFAS\Prochloraz\Prochloraz/20201117_Cefas_Test6-Run2/Plate 1/@14/H9_01.tif "/>
    <s v=" 20656.5494 "/>
    <s v=" 34.7864 "/>
    <x v="0"/>
    <n v="718567"/>
    <m/>
    <m/>
    <m/>
  </r>
  <r>
    <x v="3"/>
    <x v="7"/>
    <s v="C:\Users\andre\Desktop\REACTIV CEFAS\Prochloraz\Prochloraz/20201117_Cefas_Test6-Run2/Plate 1/@14/H9_02.tif "/>
    <s v=" 24701.3397 "/>
    <s v=" 35.4475 "/>
    <x v="0"/>
    <n v="875600"/>
    <m/>
    <m/>
    <m/>
  </r>
  <r>
    <x v="3"/>
    <x v="7"/>
    <s v="C:\Users\andre\Desktop\REACTIV CEFAS\Prochloraz\Prochloraz/20201117_Cefas_Test6-Run2/Plate 1/@14/H9_03.tif "/>
    <s v=" 30022.2937 "/>
    <s v=" 36.286 "/>
    <x v="0"/>
    <n v="1089390"/>
    <m/>
    <m/>
    <m/>
  </r>
  <r>
    <x v="1"/>
    <x v="8"/>
    <s v=" "/>
    <m/>
    <m/>
    <x v="1"/>
    <m/>
    <m/>
    <m/>
    <m/>
  </r>
  <r>
    <x v="1"/>
    <x v="8"/>
    <s v="group "/>
    <s v=" "/>
    <s v=" mean of mean fluo "/>
    <x v="2"/>
    <s v=" mean of total fluo "/>
    <s v=" SD total fluo "/>
    <s v=" n fluorescent "/>
    <s v=" n total"/>
  </r>
  <r>
    <x v="3"/>
    <x v="9"/>
    <s v="C:\Users\andre\Desktop\REACTIV CEFAS\Prochloraz\Prochloraz/20201117_Cefas_Test6-Run2/Plate 1/@14/ "/>
    <s v=" "/>
    <s v=" 38.0158 "/>
    <x v="5"/>
    <s v=" 1502746.92 "/>
    <s v=" 1134745.1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C:\Users\andre\Desktop\REACTIV CEFAS\Prochloraz\Prochloraz/20201117_Cefas_Test6-Run2/Plate 1/@15/A11_01.tif "/>
    <s v=" 94111.6715 "/>
    <s v=" 50.7378 "/>
    <x v="0"/>
    <n v="4775016"/>
    <m/>
    <m/>
    <m/>
  </r>
  <r>
    <x v="4"/>
    <x v="0"/>
    <s v="C:\Users\andre\Desktop\REACTIV CEFAS\Prochloraz\Prochloraz/20201117_Cefas_Test6-Run2/Plate 1/@15/A11_02.tif "/>
    <s v=" 88985.3865 "/>
    <s v=" 45.1728 "/>
    <x v="0"/>
    <n v="4019721"/>
    <m/>
    <m/>
    <m/>
  </r>
  <r>
    <x v="4"/>
    <x v="0"/>
    <s v="C:\Users\andre\Desktop\REACTIV CEFAS\Prochloraz\Prochloraz/20201117_Cefas_Test6-Run2/Plate 1/@15/A11_03.tif "/>
    <s v=" 78776.0762 "/>
    <s v=" 52.0695 "/>
    <x v="0"/>
    <n v="4101828"/>
    <m/>
    <m/>
    <m/>
  </r>
  <r>
    <x v="4"/>
    <x v="1"/>
    <s v="C:\Users\andre\Desktop\REACTIV CEFAS\Prochloraz\Prochloraz/20201117_Cefas_Test6-Run2/Plate 1/@15/B11_01.tif "/>
    <s v=" 54053.1067 "/>
    <s v=" 44.0656 "/>
    <x v="0"/>
    <n v="2381884"/>
    <m/>
    <m/>
    <m/>
  </r>
  <r>
    <x v="4"/>
    <x v="1"/>
    <s v="C:\Users\andre\Desktop\REACTIV CEFAS\Prochloraz\Prochloraz/20201117_Cefas_Test6-Run2/Plate 1/@15/B11_02.tif "/>
    <s v=" 52344.345 "/>
    <s v=" 45.3826 "/>
    <x v="0"/>
    <n v="2375525"/>
    <m/>
    <m/>
    <m/>
  </r>
  <r>
    <x v="4"/>
    <x v="1"/>
    <s v="C:\Users\andre\Desktop\REACTIV CEFAS\Prochloraz\Prochloraz/20201117_Cefas_Test6-Run2/Plate 1/@15/B11_03.tif "/>
    <s v=" 53166.281 "/>
    <s v=" 46.6851 "/>
    <x v="0"/>
    <n v="2482074"/>
    <m/>
    <m/>
    <m/>
  </r>
  <r>
    <x v="4"/>
    <x v="2"/>
    <s v="C:\Users\andre\Desktop\REACTIV CEFAS\Prochloraz\Prochloraz/20201117_Cefas_Test6-Run2/Plate 1/@15/C11_01.tif "/>
    <s v=" 40296.4937 "/>
    <s v=" 40.2979 "/>
    <x v="0"/>
    <n v="1623864"/>
    <m/>
    <m/>
    <m/>
  </r>
  <r>
    <x v="4"/>
    <x v="2"/>
    <s v="C:\Users\andre\Desktop\REACTIV CEFAS\Prochloraz\Prochloraz/20201117_Cefas_Test6-Run2/Plate 1/@15/C11_02- exclu.tif"/>
    <m/>
    <m/>
    <x v="1"/>
    <m/>
    <m/>
    <m/>
    <m/>
  </r>
  <r>
    <x v="4"/>
    <x v="2"/>
    <s v="C:\Users\andre\Desktop\REACTIV CEFAS\Prochloraz\Prochloraz/20201117_Cefas_Test6-Run2/Plate 1/@15/C11_03- exclu.tif"/>
    <m/>
    <m/>
    <x v="1"/>
    <m/>
    <m/>
    <m/>
    <m/>
  </r>
  <r>
    <x v="4"/>
    <x v="3"/>
    <s v="C:\Users\andre\Desktop\REACTIV CEFAS\Prochloraz\Prochloraz/20201117_Cefas_Test6-Run2/Plate 1/@15/D11_01.tif "/>
    <s v=" 57470.63 "/>
    <s v=" 50.9364 "/>
    <x v="0"/>
    <n v="2927347"/>
    <m/>
    <m/>
    <m/>
  </r>
  <r>
    <x v="4"/>
    <x v="3"/>
    <s v="C:\Users\andre\Desktop\REACTIV CEFAS\Prochloraz\Prochloraz/20201117_Cefas_Test6-Run2/Plate 1/@15/D11_02.tif "/>
    <s v=" 54226.1458 "/>
    <s v=" 44.3797 "/>
    <x v="0"/>
    <n v="2406542"/>
    <m/>
    <m/>
    <m/>
  </r>
  <r>
    <x v="4"/>
    <x v="3"/>
    <s v="C:\Users\andre\Desktop\REACTIV CEFAS\Prochloraz\Prochloraz/20201117_Cefas_Test6-Run2/Plate 1/@15/D11_03.tif "/>
    <s v=" 62878.1037 "/>
    <s v=" 44.0791 "/>
    <x v="0"/>
    <n v="2771611"/>
    <m/>
    <m/>
    <m/>
  </r>
  <r>
    <x v="4"/>
    <x v="4"/>
    <s v="C:\Users\andre\Desktop\REACTIV CEFAS\Prochloraz\Prochloraz/20201117_Cefas_Test6-Run2/Plate 1/@15/E11_01.tif "/>
    <s v=" 93852.1128 "/>
    <s v=" 56.575 "/>
    <x v="0"/>
    <n v="5309685"/>
    <m/>
    <m/>
    <m/>
  </r>
  <r>
    <x v="4"/>
    <x v="4"/>
    <s v="C:\Users\andre\Desktop\REACTIV CEFAS\Prochloraz\Prochloraz/20201117_Cefas_Test6-Run2/Plate 1/@15/E11_02.tif "/>
    <s v=" 98848.6185 "/>
    <s v=" 53.0672 "/>
    <x v="0"/>
    <n v="5245617"/>
    <m/>
    <m/>
    <m/>
  </r>
  <r>
    <x v="4"/>
    <x v="4"/>
    <s v="C:\Users\andre\Desktop\REACTIV CEFAS\Prochloraz\Prochloraz/20201117_Cefas_Test6-Run2/Plate 1/@15/E11_03.tif "/>
    <s v=" 100362.711 "/>
    <s v=" 56.5625 "/>
    <x v="0"/>
    <n v="5676766"/>
    <m/>
    <m/>
    <m/>
  </r>
  <r>
    <x v="4"/>
    <x v="5"/>
    <s v="C:\Users\andre\Desktop\REACTIV CEFAS\Prochloraz\Prochloraz/20201117_Cefas_Test6-Run2/Plate 1/@15/F11_01.tif "/>
    <s v=" 79727.7916 "/>
    <s v=" 53.1039 "/>
    <x v="0"/>
    <n v="4233857"/>
    <m/>
    <m/>
    <m/>
  </r>
  <r>
    <x v="4"/>
    <x v="5"/>
    <s v="C:\Users\andre\Desktop\REACTIV CEFAS\Prochloraz\Prochloraz/20201117_Cefas_Test6-Run2/Plate 1/@15/F11_02.tif "/>
    <s v=" 81047.2152 "/>
    <s v=" 55.6864 "/>
    <x v="0"/>
    <n v="4513229"/>
    <m/>
    <m/>
    <m/>
  </r>
  <r>
    <x v="4"/>
    <x v="5"/>
    <s v="C:\Users\andre\Desktop\REACTIV CEFAS\Prochloraz\Prochloraz/20201117_Cefas_Test6-Run2/Plate 1/@15/F11_03.tif "/>
    <s v=" 84443.1086 "/>
    <s v=" 48.3135 "/>
    <x v="0"/>
    <n v="4079744"/>
    <m/>
    <m/>
    <m/>
  </r>
  <r>
    <x v="4"/>
    <x v="6"/>
    <s v="C:\Users\andre\Desktop\REACTIV CEFAS\Prochloraz\Prochloraz/20201117_Cefas_Test6-Run2/Plate 1/@15/G11_01.tif "/>
    <s v=" 82042.1903 "/>
    <s v=" 41.1819 "/>
    <x v="0"/>
    <n v="3378654"/>
    <m/>
    <m/>
    <m/>
  </r>
  <r>
    <x v="4"/>
    <x v="6"/>
    <s v="C:\Users\andre\Desktop\REACTIV CEFAS\Prochloraz\Prochloraz/20201117_Cefas_Test6-Run2/Plate 1/@15/G11_02.tif "/>
    <s v=" 82799.2366 "/>
    <s v=" 43.7244 "/>
    <x v="0"/>
    <n v="3620347"/>
    <m/>
    <m/>
    <m/>
  </r>
  <r>
    <x v="4"/>
    <x v="6"/>
    <s v="C:\Users\andre\Desktop\REACTIV CEFAS\Prochloraz\Prochloraz/20201117_Cefas_Test6-Run2/Plate 1/@15/G11_03.tif "/>
    <s v=" 66338.8868 "/>
    <s v=" 43.0619 "/>
    <x v="0"/>
    <n v="2856682"/>
    <m/>
    <m/>
    <m/>
  </r>
  <r>
    <x v="4"/>
    <x v="7"/>
    <s v="C:\Users\andre\Desktop\REACTIV CEFAS\Prochloraz\Prochloraz/20201117_Cefas_Test6-Run2/Plate 1/@15/H11_01.tif "/>
    <s v=" 75034.1045 "/>
    <s v=" 49.8818 "/>
    <x v="0"/>
    <n v="3742837"/>
    <m/>
    <m/>
    <m/>
  </r>
  <r>
    <x v="4"/>
    <x v="7"/>
    <s v="C:\Users\andre\Desktop\REACTIV CEFAS\Prochloraz\Prochloraz/20201117_Cefas_Test6-Run2/Plate 1/@15/H11_02.tif "/>
    <s v=" 82388.2686 "/>
    <s v=" 49.4214 "/>
    <x v="0"/>
    <n v="4071741"/>
    <m/>
    <m/>
    <m/>
  </r>
  <r>
    <x v="4"/>
    <x v="7"/>
    <s v="C:\Users\andre\Desktop\REACTIV CEFAS\Prochloraz\Prochloraz/20201117_Cefas_Test6-Run2/Plate 1/@15/H11_03.tif "/>
    <s v=" 72611.5563 "/>
    <s v=" 48.3324 "/>
    <x v="0"/>
    <n v="3509494"/>
    <m/>
    <m/>
    <m/>
  </r>
  <r>
    <x v="1"/>
    <x v="8"/>
    <s v=" "/>
    <m/>
    <m/>
    <x v="1"/>
    <m/>
    <m/>
    <m/>
    <m/>
  </r>
  <r>
    <x v="1"/>
    <x v="8"/>
    <s v="group "/>
    <s v=" "/>
    <s v=" mean of mean fluo "/>
    <x v="2"/>
    <s v=" mean of total fluo "/>
    <s v=" SD total fluo "/>
    <s v=" n fluorescent "/>
    <s v=" n total"/>
  </r>
  <r>
    <x v="4"/>
    <x v="9"/>
    <s v="C:\Users\andre\Desktop\REACTIV CEFAS\Prochloraz\Prochloraz/20201117_Cefas_Test6-Run2/Plate 1/@15/ "/>
    <s v=" "/>
    <s v=" 47.5661 "/>
    <x v="6"/>
    <s v=" 3492183.46 "/>
    <s v=" 1155670.2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C:\Users\andre\Desktop\REACTIV CEFAS\Prochloraz\Prochloraz/20201117_Cefas_Test6-Run2/Plate 1/@16/A12_01.tif "/>
    <s v=" 129.7794 "/>
    <s v=" 31.6667 "/>
    <x v="0"/>
    <n v="4110"/>
    <m/>
    <m/>
    <m/>
  </r>
  <r>
    <x v="5"/>
    <x v="0"/>
    <s v="C:\Users\andre\Desktop\REACTIV CEFAS\Prochloraz\Prochloraz/20201117_Cefas_Test6-Run2/Plate 1/@16/A12_02.tif "/>
    <s v=" 8954.7764 "/>
    <s v=" 38.5652 "/>
    <x v="0"/>
    <n v="345343"/>
    <m/>
    <m/>
    <m/>
  </r>
  <r>
    <x v="5"/>
    <x v="0"/>
    <s v="C:\Users\andre\Desktop\REACTIV CEFAS\Prochloraz\Prochloraz/20201117_Cefas_Test6-Run2/Plate 1/@16/A12_03.tif "/>
    <s v=" 7310.9044 "/>
    <s v=" 35.8609 "/>
    <x v="0"/>
    <n v="262176"/>
    <m/>
    <m/>
    <m/>
  </r>
  <r>
    <x v="5"/>
    <x v="1"/>
    <s v="C:\Users\andre\Desktop\REACTIV CEFAS\Prochloraz\Prochloraz/20201117_Cefas_Test6-Run2/Plate 1/@16/B12_01.tif "/>
    <s v=" 1881.8008 "/>
    <s v=" 36.1839 "/>
    <x v="0"/>
    <n v="68091"/>
    <m/>
    <m/>
    <m/>
  </r>
  <r>
    <x v="5"/>
    <x v="1"/>
    <s v="C:\Users\andre\Desktop\REACTIV CEFAS\Prochloraz\Prochloraz/20201117_Cefas_Test6-Run2/Plate 1/@16/B12_02.tif "/>
    <s v=" 5731.9221 "/>
    <s v=" 42.9057 "/>
    <x v="0"/>
    <n v="245932"/>
    <m/>
    <m/>
    <m/>
  </r>
  <r>
    <x v="5"/>
    <x v="1"/>
    <s v="C:\Users\andre\Desktop\REACTIV CEFAS\Prochloraz\Prochloraz/20201117_Cefas_Test6-Run2/Plate 1/@16/B12_03.tif "/>
    <s v=" 8889.8867 "/>
    <s v=" 46.292 "/>
    <x v="0"/>
    <n v="411530"/>
    <m/>
    <m/>
    <m/>
  </r>
  <r>
    <x v="5"/>
    <x v="2"/>
    <s v="C:\Users\andre\Desktop\REACTIV CEFAS\Prochloraz\Prochloraz/20201117_Cefas_Test6-Run2/Plate 1/@16/C12_01.tif "/>
    <s v=" 1427.573 "/>
    <s v=" 33.0758 "/>
    <x v="0"/>
    <n v="47218"/>
    <m/>
    <m/>
    <m/>
  </r>
  <r>
    <x v="5"/>
    <x v="2"/>
    <s v="C:\Users\andre\Desktop\REACTIV CEFAS\Prochloraz\Prochloraz/20201117_Cefas_Test6-Run2/Plate 1/@16/C12_02.tif "/>
    <s v=" 9214.3351 "/>
    <s v=" 39.6596 "/>
    <x v="0"/>
    <n v="365437"/>
    <m/>
    <m/>
    <m/>
  </r>
  <r>
    <x v="5"/>
    <x v="2"/>
    <s v="C:\Users\andre\Desktop\REACTIV CEFAS\Prochloraz\Prochloraz/20201117_Cefas_Test6-Run2/Plate 1/@16/C12_03.tif "/>
    <s v=" 6445.7086 "/>
    <s v=" 38.0839 "/>
    <x v="0"/>
    <n v="245478"/>
    <m/>
    <m/>
    <m/>
  </r>
  <r>
    <x v="5"/>
    <x v="3"/>
    <s v="C:\Users\andre\Desktop\REACTIV CEFAS\Prochloraz\Prochloraz/20201117_Cefas_Test6-Run2/Plate 1/@16/D12_01.tif "/>
    <s v=" 367.7082 "/>
    <s v=" 31.3529 "/>
    <x v="0"/>
    <n v="11529"/>
    <m/>
    <m/>
    <m/>
  </r>
  <r>
    <x v="5"/>
    <x v="3"/>
    <s v="C:\Users\andre\Desktop\REACTIV CEFAS\Prochloraz\Prochloraz/20201117_Cefas_Test6-Run2/Plate 1/@16/D12_02.tif "/>
    <s v=" 259.5587 "/>
    <s v=" 31.5 "/>
    <x v="0"/>
    <n v="8176"/>
    <m/>
    <m/>
    <m/>
  </r>
  <r>
    <x v="5"/>
    <x v="3"/>
    <s v="C:\Users\andre\Desktop\REACTIV CEFAS\Prochloraz\Prochloraz/20201117_Cefas_Test6-Run2/Plate 1/@16/D12_03.tif "/>
    <s v=" 1773.6514 "/>
    <s v=" 33.4512 "/>
    <x v="0"/>
    <n v="59331"/>
    <m/>
    <m/>
    <m/>
  </r>
  <r>
    <x v="5"/>
    <x v="4"/>
    <s v="C:\Users\andre\Desktop\REACTIV CEFAS\Prochloraz\Prochloraz/20201117_Cefas_Test6-Run2/Plate 1/@16/E12_01.tif "/>
    <s v=" 21.6299 "/>
    <n v="30"/>
    <x v="0"/>
    <n v="649"/>
    <m/>
    <m/>
    <m/>
  </r>
  <r>
    <x v="5"/>
    <x v="4"/>
    <s v="C:\Users\andre\Desktop\REACTIV CEFAS\Prochloraz\Prochloraz/20201117_Cefas_Test6-Run2/Plate 1/@16/E12_02.tif "/>
    <n v="0"/>
    <n v="0"/>
    <x v="0"/>
    <n v="0"/>
    <m/>
    <m/>
    <m/>
  </r>
  <r>
    <x v="5"/>
    <x v="4"/>
    <s v="C:\Users\andre\Desktop\REACTIV CEFAS\Prochloraz\Prochloraz/20201117_Cefas_Test6-Run2/Plate 1/@16/E12_03.tif "/>
    <s v=" 3504.0429 "/>
    <s v=" 37.642 "/>
    <x v="0"/>
    <n v="131899"/>
    <m/>
    <m/>
    <m/>
  </r>
  <r>
    <x v="5"/>
    <x v="5"/>
    <s v="C:\Users\andre\Desktop\REACTIV CEFAS\Prochloraz\Prochloraz/20201117_Cefas_Test6-Run2/Plate 1/@16/F12_01.tif "/>
    <s v=" 10490.4989 "/>
    <s v=" 39.0536 "/>
    <x v="0"/>
    <n v="409692"/>
    <m/>
    <m/>
    <m/>
  </r>
  <r>
    <x v="5"/>
    <x v="5"/>
    <s v="C:\Users\andre\Desktop\REACTIV CEFAS\Prochloraz\Prochloraz/20201117_Cefas_Test6-Run2/Plate 1/@16/F12_02.tif "/>
    <s v=" 6705.2673 "/>
    <s v=" 39.1 "/>
    <x v="0"/>
    <n v="262176"/>
    <m/>
    <m/>
    <m/>
  </r>
  <r>
    <x v="5"/>
    <x v="5"/>
    <s v="C:\Users\andre\Desktop\REACTIV CEFAS\Prochloraz\Prochloraz/20201117_Cefas_Test6-Run2/Plate 1/@16/F12_03.tif "/>
    <s v=" 8154.4703 "/>
    <s v=" 38.1459 "/>
    <x v="0"/>
    <n v="311060"/>
    <m/>
    <m/>
    <m/>
  </r>
  <r>
    <x v="5"/>
    <x v="6"/>
    <s v="C:\Users\andre\Desktop\REACTIV CEFAS\Prochloraz\Prochloraz/20201117_Cefas_Test6-Run2/Plate 1/@16/G12_01.tif "/>
    <s v=" 5256.0644 "/>
    <s v=" 37.0412 "/>
    <x v="0"/>
    <n v="194691"/>
    <m/>
    <m/>
    <m/>
  </r>
  <r>
    <x v="5"/>
    <x v="6"/>
    <s v="C:\Users\andre\Desktop\REACTIV CEFAS\Prochloraz\Prochloraz/20201117_Cefas_Test6-Run2/Plate 1/@16/G12_02.tif "/>
    <s v=" 4390.8686 "/>
    <s v=" 35.069 "/>
    <x v="0"/>
    <n v="153983"/>
    <m/>
    <m/>
    <m/>
  </r>
  <r>
    <x v="5"/>
    <x v="6"/>
    <s v="C:\Users\andre\Desktop\REACTIV CEFAS\Prochloraz\Prochloraz/20201117_Cefas_Test6-Run2/Plate 1/@16/G12_03.tif "/>
    <s v=" 2033.2101 "/>
    <s v=" 33.4574 "/>
    <x v="0"/>
    <n v="68026"/>
    <m/>
    <m/>
    <m/>
  </r>
  <r>
    <x v="5"/>
    <x v="7"/>
    <s v="C:\Users\andre\Desktop\REACTIV CEFAS\Prochloraz\Prochloraz/20201117_Cefas_Test6-Run2/Plate 1/@16/H12_01.tif "/>
    <s v=" 6294.2993 "/>
    <s v=" 36.4536 "/>
    <x v="0"/>
    <n v="229450"/>
    <m/>
    <m/>
    <m/>
  </r>
  <r>
    <x v="5"/>
    <x v="7"/>
    <s v="C:\Users\andre\Desktop\REACTIV CEFAS\Prochloraz\Prochloraz/20201117_Cefas_Test6-Run2/Plate 1/@16/H12_02.tif "/>
    <s v=" 3071.445 "/>
    <s v=" 36.831 "/>
    <x v="0"/>
    <n v="113124"/>
    <m/>
    <m/>
    <m/>
  </r>
  <r>
    <x v="5"/>
    <x v="7"/>
    <s v="C:\Users\andre\Desktop\REACTIV CEFAS\Prochloraz\Prochloraz/20201117_Cefas_Test6-Run2/Plate 1/@16/H12_03.tif "/>
    <s v=" 4390.8686 "/>
    <s v=" 36.9754 "/>
    <x v="0"/>
    <n v="162354"/>
    <m/>
    <m/>
    <m/>
  </r>
  <r>
    <x v="1"/>
    <x v="8"/>
    <s v=" "/>
    <m/>
    <m/>
    <x v="1"/>
    <m/>
    <m/>
    <m/>
    <m/>
  </r>
  <r>
    <x v="1"/>
    <x v="8"/>
    <s v="group "/>
    <s v=" "/>
    <s v=" mean of mean fluo "/>
    <x v="2"/>
    <s v=" mean of total fluo "/>
    <s v=" SD total fluo "/>
    <s v=" n fluorescent "/>
    <s v=" n total"/>
  </r>
  <r>
    <x v="5"/>
    <x v="9"/>
    <s v="C:\Users\andre\Desktop\REACTIV CEFAS\Prochloraz\Prochloraz/20201117_Cefas_Test6-Run2/Plate 1/@16/ "/>
    <s v=" "/>
    <s v=" 34.932 "/>
    <x v="7"/>
    <s v=" 171310.625 "/>
    <s v=" 136205.397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C:\Users\andre\Desktop\REACTIV CEFAS\Prochloraz\Prochloraz/20201117_Cefas_Test6-Run2/Plate 1/@2/A2_01- exclu.tif"/>
    <m/>
    <m/>
    <x v="1"/>
    <m/>
    <m/>
    <m/>
    <m/>
  </r>
  <r>
    <x v="6"/>
    <x v="0"/>
    <s v="C:\Users\andre\Desktop\REACTIV CEFAS\Prochloraz\Prochloraz/20201117_Cefas_Test6-Run2/Plate 1/@2/A2_02- exclu.tif"/>
    <m/>
    <m/>
    <x v="1"/>
    <m/>
    <m/>
    <m/>
    <m/>
  </r>
  <r>
    <x v="6"/>
    <x v="0"/>
    <s v="C:\Users\andre\Desktop\REACTIV CEFAS\Prochloraz\Prochloraz/20201117_Cefas_Test6-Run2/Plate 1/@2/A2_03- exclu.tif"/>
    <m/>
    <m/>
    <x v="1"/>
    <m/>
    <m/>
    <m/>
    <m/>
  </r>
  <r>
    <x v="6"/>
    <x v="1"/>
    <s v="C:\Users\andre\Desktop\REACTIV CEFAS\Prochloraz\Prochloraz/20201117_Cefas_Test6-Run2/Plate 1/@2/B2_01.tif "/>
    <s v=" 4369.2387 "/>
    <s v=" 40.5248 "/>
    <x v="0"/>
    <n v="177062"/>
    <m/>
    <m/>
    <m/>
  </r>
  <r>
    <x v="6"/>
    <x v="1"/>
    <s v="C:\Users\andre\Desktop\REACTIV CEFAS\Prochloraz\Prochloraz/20201117_Cefas_Test6-Run2/Plate 1/@2/B2_02.tif "/>
    <s v=" 3460.7831 "/>
    <s v=" 34.8188 "/>
    <x v="0"/>
    <n v="120500"/>
    <m/>
    <m/>
    <m/>
  </r>
  <r>
    <x v="6"/>
    <x v="1"/>
    <s v="C:\Users\andre\Desktop\REACTIV CEFAS\Prochloraz\Prochloraz/20201117_Cefas_Test6-Run2/Plate 1/@2/B2_03.tif "/>
    <s v=" 3157.9646 "/>
    <s v=" 36.2877 "/>
    <x v="0"/>
    <n v="114595"/>
    <m/>
    <m/>
    <m/>
  </r>
  <r>
    <x v="6"/>
    <x v="2"/>
    <s v="C:\Users\andre\Desktop\REACTIV CEFAS\Prochloraz\Prochloraz/20201117_Cefas_Test6-Run2/Plate 1/@2/C2_01.tif "/>
    <s v=" 8716.8475 "/>
    <s v=" 40.3474 "/>
    <x v="0"/>
    <n v="351702"/>
    <m/>
    <m/>
    <m/>
  </r>
  <r>
    <x v="6"/>
    <x v="2"/>
    <s v="C:\Users\andre\Desktop\REACTIV CEFAS\Prochloraz\Prochloraz/20201117_Cefas_Test6-Run2/Plate 1/@2/C2_02.tif "/>
    <s v=" 3136.3347 "/>
    <s v=" 32.3793 "/>
    <x v="0"/>
    <n v="101552"/>
    <m/>
    <m/>
    <m/>
  </r>
  <r>
    <x v="6"/>
    <x v="2"/>
    <s v="C:\Users\andre\Desktop\REACTIV CEFAS\Prochloraz\Prochloraz/20201117_Cefas_Test6-Run2/Plate 1/@2/C2_03.tif "/>
    <s v=" 5104.6551 "/>
    <s v=" 36.1017 "/>
    <x v="0"/>
    <n v="184287"/>
    <m/>
    <m/>
    <m/>
  </r>
  <r>
    <x v="6"/>
    <x v="3"/>
    <s v="C:\Users\andre\Desktop\REACTIV CEFAS\Prochloraz\Prochloraz/20201117_Cefas_Test6-Run2/Plate 1/@2/D2_01.tif "/>
    <s v=" 7700.2425 "/>
    <s v=" 37.1292 "/>
    <x v="0"/>
    <n v="285904"/>
    <m/>
    <m/>
    <m/>
  </r>
  <r>
    <x v="6"/>
    <x v="3"/>
    <s v="C:\Users\andre\Desktop\REACTIV CEFAS\Prochloraz\Prochloraz/20201117_Cefas_Test6-Run2/Plate 1/@2/D2_02.tif "/>
    <s v=" 6078.0004 "/>
    <s v=" 37.2527 "/>
    <x v="0"/>
    <n v="226422"/>
    <m/>
    <m/>
    <m/>
  </r>
  <r>
    <x v="6"/>
    <x v="3"/>
    <s v="C:\Users\andre\Desktop\REACTIV CEFAS\Prochloraz\Prochloraz/20201117_Cefas_Test6-Run2/Plate 1/@2/D2_03.tif "/>
    <s v=" 1124.7545 "/>
    <s v=" 33.0192 "/>
    <x v="0"/>
    <n v="37139"/>
    <m/>
    <m/>
    <m/>
  </r>
  <r>
    <x v="6"/>
    <x v="4"/>
    <s v="C:\Users\andre\Desktop\REACTIV CEFAS\Prochloraz\Prochloraz/20201117_Cefas_Test6-Run2/Plate 1/@2/E2_01.tif "/>
    <s v=" 14470.3995 "/>
    <s v=" 41.7175 "/>
    <x v="0"/>
    <n v="603669"/>
    <m/>
    <m/>
    <m/>
  </r>
  <r>
    <x v="6"/>
    <x v="4"/>
    <s v="C:\Users\andre\Desktop\REACTIV CEFAS\Prochloraz\Prochloraz/20201117_Cefas_Test6-Run2/Plate 1/@2/E2_02.tif "/>
    <s v=" 216.2989 "/>
    <s v=" 33.6 "/>
    <x v="0"/>
    <n v="7268"/>
    <m/>
    <m/>
    <m/>
  </r>
  <r>
    <x v="6"/>
    <x v="4"/>
    <s v="C:\Users\andre\Desktop\REACTIV CEFAS\Prochloraz\Prochloraz/20201117_Cefas_Test6-Run2/Plate 1/@2/E2_03- exclu.tif"/>
    <m/>
    <m/>
    <x v="1"/>
    <m/>
    <m/>
    <m/>
    <m/>
  </r>
  <r>
    <x v="6"/>
    <x v="5"/>
    <s v="C:\Users\andre\Desktop\REACTIV CEFAS\Prochloraz\Prochloraz/20201117_Cefas_Test6-Run2/Plate 1/@2/F2_01.tif "/>
    <n v="0"/>
    <n v="0"/>
    <x v="0"/>
    <n v="0"/>
    <m/>
    <m/>
    <m/>
  </r>
  <r>
    <x v="6"/>
    <x v="5"/>
    <s v="C:\Users\andre\Desktop\REACTIV CEFAS\Prochloraz\Prochloraz/20201117_Cefas_Test6-Run2/Plate 1/@2/F2_02- exclu.tif"/>
    <m/>
    <m/>
    <x v="1"/>
    <m/>
    <m/>
    <m/>
    <m/>
  </r>
  <r>
    <x v="6"/>
    <x v="5"/>
    <s v="C:\Users\andre\Desktop\REACTIV CEFAS\Prochloraz\Prochloraz/20201117_Cefas_Test6-Run2/Plate 1/@2/F2_03- exclu.tif"/>
    <m/>
    <m/>
    <x v="1"/>
    <m/>
    <m/>
    <m/>
    <m/>
  </r>
  <r>
    <x v="6"/>
    <x v="6"/>
    <s v="C:\Users\andre\Desktop\REACTIV CEFAS\Prochloraz\Prochloraz/20201117_Cefas_Test6-Run2/Plate 1/@2/G2_01- exclu.tif"/>
    <m/>
    <m/>
    <x v="1"/>
    <m/>
    <m/>
    <m/>
    <m/>
  </r>
  <r>
    <x v="6"/>
    <x v="6"/>
    <s v="C:\Users\andre\Desktop\REACTIV CEFAS\Prochloraz\Prochloraz/20201117_Cefas_Test6-Run2/Plate 1/@2/G2_02.tif "/>
    <s v=" 3417.5234 "/>
    <s v=" 36.6456 "/>
    <x v="0"/>
    <n v="125237"/>
    <m/>
    <m/>
    <m/>
  </r>
  <r>
    <x v="6"/>
    <x v="6"/>
    <s v="C:\Users\andre\Desktop\REACTIV CEFAS\Prochloraz\Prochloraz/20201117_Cefas_Test6-Run2/Plate 1/@2/G2_03.tif "/>
    <n v="0"/>
    <n v="0"/>
    <x v="0"/>
    <n v="0"/>
    <m/>
    <m/>
    <m/>
  </r>
  <r>
    <x v="6"/>
    <x v="7"/>
    <s v="C:\Users\andre\Desktop\REACTIV CEFAS\Prochloraz\Prochloraz/20201117_Cefas_Test6-Run2/Plate 1/@2/H2_01.tif "/>
    <s v=" 4088.0501 "/>
    <s v=" 36.1429 "/>
    <x v="0"/>
    <n v="147754"/>
    <m/>
    <m/>
    <m/>
  </r>
  <r>
    <x v="6"/>
    <x v="7"/>
    <s v="C:\Users\andre\Desktop\REACTIV CEFAS\Prochloraz\Prochloraz/20201117_Cefas_Test6-Run2/Plate 1/@2/H2_02.tif "/>
    <s v=" 3871.7511 "/>
    <s v=" 37.6983 "/>
    <x v="0"/>
    <n v="145959"/>
    <m/>
    <m/>
    <m/>
  </r>
  <r>
    <x v="6"/>
    <x v="7"/>
    <s v="C:\Users\andre\Desktop\REACTIV CEFAS\Prochloraz\Prochloraz/20201117_Cefas_Test6-Run2/Plate 1/@2/H2_03.tif "/>
    <s v=" 3763.6017 "/>
    <s v=" 35.7471 "/>
    <x v="0"/>
    <n v="134538"/>
    <m/>
    <m/>
    <m/>
  </r>
  <r>
    <x v="1"/>
    <x v="8"/>
    <s v=" "/>
    <m/>
    <m/>
    <x v="1"/>
    <m/>
    <m/>
    <m/>
    <m/>
  </r>
  <r>
    <x v="1"/>
    <x v="8"/>
    <s v="group "/>
    <s v=" "/>
    <s v=" mean of mean fluo "/>
    <x v="2"/>
    <s v=" mean of total fluo "/>
    <s v=" SD total fluo "/>
    <s v=" n fluorescent "/>
    <s v=" n total"/>
  </r>
  <r>
    <x v="6"/>
    <x v="9"/>
    <s v="C:\Users\andre\Desktop\REACTIV CEFAS\Prochloraz\Prochloraz/20201117_Cefas_Test6-Run2/Plate 1/@2/ "/>
    <s v=" "/>
    <s v=" 33.5932 "/>
    <x v="8"/>
    <s v=" 219280.333 "/>
    <s v=" 257252.564 "/>
    <n v="21"/>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C:\Users\andre\Desktop\REACTIV CEFAS\Prochloraz\Prochloraz/20201117_Cefas_Test6-Run2/Plate 1/@3/A3_01.tif "/>
    <s v=" 6813.4168 "/>
    <s v=" 39.5619 "/>
    <x v="0"/>
    <n v="269552"/>
    <m/>
    <m/>
    <m/>
  </r>
  <r>
    <x v="7"/>
    <x v="0"/>
    <s v="C:\Users\andre\Desktop\REACTIV CEFAS\Prochloraz\Prochloraz/20201117_Cefas_Test6-Run2/Plate 1/@3/A3_02.tif "/>
    <s v=" 692.1566 "/>
    <s v=" 32.7812 "/>
    <x v="0"/>
    <n v="22690"/>
    <m/>
    <m/>
    <m/>
  </r>
  <r>
    <x v="7"/>
    <x v="0"/>
    <s v="C:\Users\andre\Desktop\REACTIV CEFAS\Prochloraz\Prochloraz/20201117_Cefas_Test6-Run2/Plate 1/@3/A3_03.tif "/>
    <s v=" 605.637 "/>
    <s v=" 32.3214 "/>
    <x v="0"/>
    <n v="19575"/>
    <m/>
    <m/>
    <m/>
  </r>
  <r>
    <x v="7"/>
    <x v="1"/>
    <s v="C:\Users\andre\Desktop\REACTIV CEFAS\Prochloraz\Prochloraz/20201117_Cefas_Test6-Run2/Plate 1/@3/B3_01.tif "/>
    <s v=" 1038.2349 "/>
    <s v=" 34.4167 "/>
    <x v="0"/>
    <n v="35733"/>
    <m/>
    <m/>
    <m/>
  </r>
  <r>
    <x v="7"/>
    <x v="1"/>
    <s v="C:\Users\andre\Desktop\REACTIV CEFAS\Prochloraz\Prochloraz/20201117_Cefas_Test6-Run2/Plate 1/@3/B3_02.tif "/>
    <s v=" 605.637 "/>
    <s v=" 33.25 "/>
    <x v="0"/>
    <n v="20137"/>
    <m/>
    <m/>
    <m/>
  </r>
  <r>
    <x v="7"/>
    <x v="1"/>
    <s v="C:\Users\andre\Desktop\REACTIV CEFAS\Prochloraz\Prochloraz/20201117_Cefas_Test6-Run2/Plate 1/@3/B3_03- exclu.tif"/>
    <m/>
    <m/>
    <x v="1"/>
    <m/>
    <m/>
    <m/>
    <m/>
  </r>
  <r>
    <x v="7"/>
    <x v="2"/>
    <s v="C:\Users\andre\Desktop\REACTIV CEFAS\Prochloraz\Prochloraz/20201117_Cefas_Test6-Run2/Plate 1/@3/C3_01.tif "/>
    <s v=" 6121.2602 "/>
    <s v=" 38.0813 "/>
    <x v="0"/>
    <n v="233105"/>
    <m/>
    <m/>
    <m/>
  </r>
  <r>
    <x v="7"/>
    <x v="2"/>
    <s v="C:\Users\andre\Desktop\REACTIV CEFAS\Prochloraz\Prochloraz/20201117_Cefas_Test6-Run2/Plate 1/@3/C3_02- exclu.tif"/>
    <m/>
    <m/>
    <x v="1"/>
    <m/>
    <m/>
    <m/>
    <m/>
  </r>
  <r>
    <x v="7"/>
    <x v="2"/>
    <s v="C:\Users\andre\Desktop\REACTIV CEFAS\Prochloraz\Prochloraz/20201117_Cefas_Test6-Run2/Plate 1/@3/C3_03- exclu.tif"/>
    <m/>
    <m/>
    <x v="1"/>
    <m/>
    <m/>
    <m/>
    <m/>
  </r>
  <r>
    <x v="7"/>
    <x v="3"/>
    <s v="C:\Users\andre\Desktop\REACTIV CEFAS\Prochloraz\Prochloraz/20201117_Cefas_Test6-Run2/Plate 1/@3/D3_01.tif "/>
    <s v=" 584.0072 "/>
    <s v=" 31.2222 "/>
    <x v="0"/>
    <n v="18234"/>
    <m/>
    <m/>
    <m/>
  </r>
  <r>
    <x v="7"/>
    <x v="3"/>
    <s v="C:\Users\andre\Desktop\REACTIV CEFAS\Prochloraz\Prochloraz/20201117_Cefas_Test6-Run2/Plate 1/@3/D3_02.tif "/>
    <s v=" 1773.6514 "/>
    <n v="32"/>
    <x v="0"/>
    <n v="56757"/>
    <m/>
    <m/>
    <m/>
  </r>
  <r>
    <x v="7"/>
    <x v="3"/>
    <s v="C:\Users\andre\Desktop\REACTIV CEFAS\Prochloraz\Prochloraz/20201117_Cefas_Test6-Run2/Plate 1/@3/D3_03.tif "/>
    <s v=" 2984.9255 "/>
    <s v=" 33.0362 "/>
    <x v="0"/>
    <n v="98611"/>
    <m/>
    <m/>
    <m/>
  </r>
  <r>
    <x v="7"/>
    <x v="4"/>
    <s v="C:\Users\andre\Desktop\REACTIV CEFAS\Prochloraz\Prochloraz/20201117_Cefas_Test6-Run2/Plate 1/@3/E3_01.tif "/>
    <s v=" 5320.9541 "/>
    <s v=" 40.8171 "/>
    <x v="0"/>
    <n v="217186"/>
    <m/>
    <m/>
    <m/>
  </r>
  <r>
    <x v="7"/>
    <x v="4"/>
    <s v="C:\Users\andre\Desktop\REACTIV CEFAS\Prochloraz\Prochloraz/20201117_Cefas_Test6-Run2/Plate 1/@3/E3_02.tif "/>
    <s v=" 4390.8686 "/>
    <s v=" 37.7931 "/>
    <x v="0"/>
    <n v="165945"/>
    <m/>
    <m/>
    <m/>
  </r>
  <r>
    <x v="7"/>
    <x v="4"/>
    <s v="C:\Users\andre\Desktop\REACTIV CEFAS\Prochloraz\Prochloraz/20201117_Cefas_Test6-Run2/Plate 1/@3/E3_03.tif "/>
    <s v=" 5169.5448 "/>
    <s v=" 36.5272 "/>
    <x v="0"/>
    <n v="188829"/>
    <m/>
    <m/>
    <m/>
  </r>
  <r>
    <x v="7"/>
    <x v="5"/>
    <s v="C:\Users\andre\Desktop\REACTIV CEFAS\Prochloraz\Prochloraz/20201117_Cefas_Test6-Run2/Plate 1/@3/F3_01.tif "/>
    <n v="0"/>
    <n v="0"/>
    <x v="0"/>
    <n v="0"/>
    <m/>
    <m/>
    <m/>
  </r>
  <r>
    <x v="7"/>
    <x v="5"/>
    <s v="C:\Users\andre\Desktop\REACTIV CEFAS\Prochloraz\Prochloraz/20201117_Cefas_Test6-Run2/Plate 1/@3/F3_02.tif "/>
    <s v=" 5991.4808 "/>
    <s v=" 36.1227 "/>
    <x v="0"/>
    <n v="216429"/>
    <m/>
    <m/>
    <m/>
  </r>
  <r>
    <x v="7"/>
    <x v="5"/>
    <s v="C:\Users\andre\Desktop\REACTIV CEFAS\Prochloraz\Prochloraz/20201117_Cefas_Test6-Run2/Plate 1/@3/F3_03.tif "/>
    <s v=" 3547.3027 "/>
    <s v=" 39.1768 "/>
    <x v="0"/>
    <n v="138972"/>
    <m/>
    <m/>
    <m/>
  </r>
  <r>
    <x v="7"/>
    <x v="6"/>
    <s v="C:\Users\andre\Desktop\REACTIV CEFAS\Prochloraz\Prochloraz/20201117_Cefas_Test6-Run2/Plate 1/@3/G3_01.tif "/>
    <s v=" 43.2598 "/>
    <n v="32"/>
    <x v="0"/>
    <n v="1384"/>
    <m/>
    <m/>
    <m/>
  </r>
  <r>
    <x v="7"/>
    <x v="6"/>
    <s v="C:\Users\andre\Desktop\REACTIV CEFAS\Prochloraz\Prochloraz/20201117_Cefas_Test6-Run2/Plate 1/@3/G3_02.tif "/>
    <s v=" 5861.7014 "/>
    <s v=" 36.3358 "/>
    <x v="0"/>
    <n v="212990"/>
    <m/>
    <m/>
    <m/>
  </r>
  <r>
    <x v="7"/>
    <x v="6"/>
    <s v="C:\Users\andre\Desktop\REACTIV CEFAS\Prochloraz\Prochloraz/20201117_Cefas_Test6-Run2/Plate 1/@3/G3_03.tif "/>
    <s v=" 6013.1107 "/>
    <s v=" 36.4317 "/>
    <x v="0"/>
    <n v="219068"/>
    <m/>
    <m/>
    <m/>
  </r>
  <r>
    <x v="7"/>
    <x v="7"/>
    <s v="C:\Users\andre\Desktop\REACTIV CEFAS\Prochloraz\Prochloraz/20201117_Cefas_Test6-Run2/Plate 1/@3/H3_01.tif "/>
    <n v="0"/>
    <n v="0"/>
    <x v="0"/>
    <n v="0"/>
    <m/>
    <m/>
    <m/>
  </r>
  <r>
    <x v="7"/>
    <x v="7"/>
    <s v="C:\Users\andre\Desktop\REACTIV CEFAS\Prochloraz\Prochloraz/20201117_Cefas_Test6-Run2/Plate 1/@3/H3_02.tif "/>
    <s v=" 216.2989 "/>
    <s v=" 32.6 "/>
    <x v="0"/>
    <n v="7051"/>
    <m/>
    <m/>
    <m/>
  </r>
  <r>
    <x v="7"/>
    <x v="7"/>
    <s v="C:\Users\andre\Desktop\REACTIV CEFAS\Prochloraz\Prochloraz/20201117_Cefas_Test6-Run2/Plate 1/@3/H3_03.tif "/>
    <s v=" 584.0072 "/>
    <s v=" 31.9259 "/>
    <x v="0"/>
    <n v="18645"/>
    <m/>
    <m/>
    <m/>
  </r>
  <r>
    <x v="1"/>
    <x v="8"/>
    <s v=" "/>
    <m/>
    <m/>
    <x v="1"/>
    <m/>
    <m/>
    <m/>
    <m/>
  </r>
  <r>
    <x v="1"/>
    <x v="8"/>
    <s v="group "/>
    <s v=" "/>
    <s v=" mean of mean fluo "/>
    <x v="2"/>
    <s v=" mean of total fluo "/>
    <s v=" SD total fluo "/>
    <s v=" n fluorescent "/>
    <s v=" n total"/>
  </r>
  <r>
    <x v="7"/>
    <x v="9"/>
    <s v="C:\Users\andre\Desktop\REACTIV CEFAS\Prochloraz\Prochloraz/20201117_Cefas_Test6-Run2/Plate 1/@3/ "/>
    <s v=" "/>
    <s v=" 30.8566 "/>
    <x v="9"/>
    <s v=" 110473.833 "/>
    <s v=" 125021.735 "/>
    <n v="21"/>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C:\Users\andre\Desktop\REACTIV CEFAS\Prochloraz\Prochloraz/20201117_Cefas_Test6-Run2/Plate 1/@4/A4_01.tif "/>
    <s v=" 108.1495 "/>
    <s v=" 31.2 "/>
    <x v="0"/>
    <n v="3374"/>
    <m/>
    <m/>
    <m/>
  </r>
  <r>
    <x v="8"/>
    <x v="0"/>
    <s v="C:\Users\andre\Desktop\REACTIV CEFAS\Prochloraz\Prochloraz/20201117_Cefas_Test6-Run2/Plate 1/@4/A4_02.tif "/>
    <s v=" 1146.3844 "/>
    <s v=" 34.566 "/>
    <x v="0"/>
    <n v="39626"/>
    <m/>
    <m/>
    <m/>
  </r>
  <r>
    <x v="8"/>
    <x v="0"/>
    <s v="C:\Users\andre\Desktop\REACTIV CEFAS\Prochloraz\Prochloraz/20201117_Cefas_Test6-Run2/Plate 1/@4/A4_03- exclu.tif"/>
    <m/>
    <m/>
    <x v="1"/>
    <m/>
    <m/>
    <m/>
    <m/>
  </r>
  <r>
    <x v="8"/>
    <x v="1"/>
    <s v="C:\Users\andre\Desktop\REACTIV CEFAS\Prochloraz\Prochloraz/20201117_Cefas_Test6-Run2/Plate 1/@4/B4_01.tif "/>
    <s v=" 2184.6194 "/>
    <s v=" 33.6733 "/>
    <x v="0"/>
    <n v="73563"/>
    <m/>
    <m/>
    <m/>
  </r>
  <r>
    <x v="8"/>
    <x v="1"/>
    <s v="C:\Users\andre\Desktop\REACTIV CEFAS\Prochloraz\Prochloraz/20201117_Cefas_Test6-Run2/Plate 1/@4/B4_02.tif "/>
    <s v=" 1362.6834 "/>
    <s v=" 32.8413 "/>
    <x v="0"/>
    <n v="44752"/>
    <m/>
    <m/>
    <m/>
  </r>
  <r>
    <x v="8"/>
    <x v="1"/>
    <s v="C:\Users\andre\Desktop\REACTIV CEFAS\Prochloraz\Prochloraz/20201117_Cefas_Test6-Run2/Plate 1/@4/B4_03.tif "/>
    <s v=" 3136.3347 "/>
    <s v=" 35.3793 "/>
    <x v="0"/>
    <n v="110961"/>
    <m/>
    <m/>
    <m/>
  </r>
  <r>
    <x v="8"/>
    <x v="2"/>
    <s v="C:\Users\andre\Desktop\REACTIV CEFAS\Prochloraz\Prochloraz/20201117_Cefas_Test6-Run2/Plate 1/@4/C4_01- exclu.tif"/>
    <m/>
    <m/>
    <x v="1"/>
    <m/>
    <m/>
    <m/>
    <m/>
  </r>
  <r>
    <x v="8"/>
    <x v="2"/>
    <s v="C:\Users\andre\Desktop\REACTIV CEFAS\Prochloraz\Prochloraz/20201117_Cefas_Test6-Run2/Plate 1/@4/C4_02- exclu.tif"/>
    <m/>
    <m/>
    <x v="1"/>
    <m/>
    <m/>
    <m/>
    <m/>
  </r>
  <r>
    <x v="8"/>
    <x v="2"/>
    <s v="C:\Users\andre\Desktop\REACTIV CEFAS\Prochloraz\Prochloraz/20201117_Cefas_Test6-Run2/Plate 1/@4/C4_03- exclu.tif"/>
    <m/>
    <m/>
    <x v="1"/>
    <m/>
    <m/>
    <m/>
    <m/>
  </r>
  <r>
    <x v="8"/>
    <x v="3"/>
    <s v="C:\Users\andre\Desktop\REACTIV CEFAS\Prochloraz\Prochloraz/20201117_Cefas_Test6-Run2/Plate 1/@4/D4_01.tif "/>
    <s v=" 173.0392 "/>
    <s v=" 30.75 "/>
    <x v="0"/>
    <n v="5321"/>
    <m/>
    <m/>
    <m/>
  </r>
  <r>
    <x v="8"/>
    <x v="3"/>
    <s v="C:\Users\andre\Desktop\REACTIV CEFAS\Prochloraz\Prochloraz/20201117_Cefas_Test6-Run2/Plate 1/@4/D4_02.tif "/>
    <s v=" 4780.2067 "/>
    <s v=" 33.8778 "/>
    <x v="0"/>
    <n v="161943"/>
    <m/>
    <m/>
    <m/>
  </r>
  <r>
    <x v="8"/>
    <x v="3"/>
    <s v="C:\Users\andre\Desktop\REACTIV CEFAS\Prochloraz\Prochloraz/20201117_Cefas_Test6-Run2/Plate 1/@4/D4_03.tif "/>
    <s v=" 4109.68 "/>
    <s v=" 35.1158 "/>
    <x v="0"/>
    <n v="144315"/>
    <m/>
    <m/>
    <m/>
  </r>
  <r>
    <x v="8"/>
    <x v="4"/>
    <s v="C:\Users\andre\Desktop\REACTIV CEFAS\Prochloraz\Prochloraz/20201117_Cefas_Test6-Run2/Plate 1/@4/E4_01.tif "/>
    <s v=" 5256.0644 "/>
    <s v=" 37.214 "/>
    <x v="0"/>
    <n v="195599"/>
    <m/>
    <m/>
    <m/>
  </r>
  <r>
    <x v="8"/>
    <x v="4"/>
    <s v="C:\Users\andre\Desktop\REACTIV CEFAS\Prochloraz\Prochloraz/20201117_Cefas_Test6-Run2/Plate 1/@4/E4_02.tif "/>
    <s v=" 302.8185 "/>
    <s v=" 31.3571 "/>
    <x v="0"/>
    <n v="9496"/>
    <m/>
    <m/>
    <m/>
  </r>
  <r>
    <x v="8"/>
    <x v="4"/>
    <s v="C:\Users\andre\Desktop\REACTIV CEFAS\Prochloraz\Prochloraz/20201117_Cefas_Test6-Run2/Plate 1/@4/E4_03.tif "/>
    <s v=" 5364.2139 "/>
    <s v=" 40.3226 "/>
    <x v="0"/>
    <n v="216299"/>
    <m/>
    <m/>
    <m/>
  </r>
  <r>
    <x v="8"/>
    <x v="5"/>
    <s v="C:\Users\andre\Desktop\REACTIV CEFAS\Prochloraz\Prochloraz/20201117_Cefas_Test6-Run2/Plate 1/@4/F4_01.tif "/>
    <s v=" 5948.221 "/>
    <s v=" 39.2364 "/>
    <x v="0"/>
    <n v="233387"/>
    <m/>
    <m/>
    <m/>
  </r>
  <r>
    <x v="8"/>
    <x v="5"/>
    <s v="C:\Users\andre\Desktop\REACTIV CEFAS\Prochloraz\Prochloraz/20201117_Cefas_Test6-Run2/Plate 1/@4/F4_02.tif "/>
    <s v=" 4239.4593 "/>
    <s v=" 37.7806 "/>
    <x v="0"/>
    <n v="160169"/>
    <m/>
    <m/>
    <m/>
  </r>
  <r>
    <x v="8"/>
    <x v="5"/>
    <s v="C:\Users\andre\Desktop\REACTIV CEFAS\Prochloraz\Prochloraz/20201117_Cefas_Test6-Run2/Plate 1/@4/F4_03.tif "/>
    <s v=" 4174.5697 "/>
    <s v=" 36.9275 "/>
    <x v="0"/>
    <n v="154156"/>
    <m/>
    <m/>
    <m/>
  </r>
  <r>
    <x v="8"/>
    <x v="6"/>
    <s v="C:\Users\andre\Desktop\REACTIV CEFAS\Prochloraz\Prochloraz/20201117_Cefas_Test6-Run2/Plate 1/@4/G4_01.tif "/>
    <s v=" 12026.2214 "/>
    <s v=" 41.3094 "/>
    <x v="0"/>
    <n v="496795"/>
    <m/>
    <m/>
    <m/>
  </r>
  <r>
    <x v="8"/>
    <x v="6"/>
    <s v="C:\Users\andre\Desktop\REACTIV CEFAS\Prochloraz\Prochloraz/20201117_Cefas_Test6-Run2/Plate 1/@4/G4_02.tif "/>
    <s v=" 13064.4564 "/>
    <s v=" 34.8642 "/>
    <x v="0"/>
    <n v="455482"/>
    <m/>
    <m/>
    <m/>
  </r>
  <r>
    <x v="8"/>
    <x v="6"/>
    <s v="C:\Users\andre\Desktop\REACTIV CEFAS\Prochloraz\Prochloraz/20201117_Cefas_Test6-Run2/Plate 1/@4/G4_03- exclu.tif"/>
    <m/>
    <m/>
    <x v="1"/>
    <m/>
    <m/>
    <m/>
    <m/>
  </r>
  <r>
    <x v="8"/>
    <x v="7"/>
    <s v="C:\Users\andre\Desktop\REACTIV CEFAS\Prochloraz\Prochloraz/20201117_Cefas_Test6-Run2/Plate 1/@4/H4_01.tif "/>
    <s v=" 4023.1604 "/>
    <s v=" 35.4946 "/>
    <x v="0"/>
    <n v="142801"/>
    <m/>
    <m/>
    <m/>
  </r>
  <r>
    <x v="8"/>
    <x v="7"/>
    <s v="C:\Users\andre\Desktop\REACTIV CEFAS\Prochloraz\Prochloraz/20201117_Cefas_Test6-Run2/Plate 1/@4/H4_02.tif "/>
    <s v=" 2509.0678 "/>
    <s v=" 38.1379 "/>
    <x v="0"/>
    <n v="95691"/>
    <m/>
    <m/>
    <m/>
  </r>
  <r>
    <x v="8"/>
    <x v="7"/>
    <s v="C:\Users\andre\Desktop\REACTIV CEFAS\Prochloraz\Prochloraz/20201117_Cefas_Test6-Run2/Plate 1/@4/H4_03.tif "/>
    <s v=" 9279.2248 "/>
    <s v=" 38.7902 "/>
    <x v="0"/>
    <n v="359943"/>
    <m/>
    <m/>
    <m/>
  </r>
  <r>
    <x v="1"/>
    <x v="8"/>
    <s v=" "/>
    <m/>
    <m/>
    <x v="1"/>
    <m/>
    <m/>
    <m/>
    <m/>
  </r>
  <r>
    <x v="1"/>
    <x v="8"/>
    <s v="group "/>
    <s v=" "/>
    <s v=" mean of mean fluo "/>
    <x v="2"/>
    <s v=" mean of total fluo "/>
    <s v=" SD total fluo "/>
    <s v=" n fluorescent "/>
    <s v=" n total"/>
  </r>
  <r>
    <x v="8"/>
    <x v="9"/>
    <s v="C:\Users\andre\Desktop\REACTIV CEFAS\Prochloraz\Prochloraz/20201117_Cefas_Test6-Run2/Plate 1/@4/ "/>
    <s v=" "/>
    <s v=" 34.3947 "/>
    <x v="10"/>
    <s v=" 205544.333 "/>
    <s v=" 255013.901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C:\Users\andre\Desktop\REACTIV CEFAS\Prochloraz\Prochloraz/20201117_Cefas_Test6-Run2/Plate 1/@5/A5_01.tif "/>
    <s v=" 43.2598 "/>
    <s v=" 31.5 "/>
    <x v="0"/>
    <n v="1363"/>
    <m/>
    <m/>
    <m/>
  </r>
  <r>
    <x v="9"/>
    <x v="0"/>
    <s v="C:\Users\andre\Desktop\REACTIV CEFAS\Prochloraz\Prochloraz/20201117_Cefas_Test6-Run2/Plate 1/@5/A5_02.tif "/>
    <n v="0"/>
    <n v="0"/>
    <x v="0"/>
    <n v="0"/>
    <m/>
    <m/>
    <m/>
  </r>
  <r>
    <x v="9"/>
    <x v="0"/>
    <s v="C:\Users\andre\Desktop\REACTIV CEFAS\Prochloraz\Prochloraz/20201117_Cefas_Test6-Run2/Plate 1/@5/A5_03- exclu.tif"/>
    <m/>
    <m/>
    <x v="1"/>
    <m/>
    <m/>
    <m/>
    <m/>
  </r>
  <r>
    <x v="9"/>
    <x v="1"/>
    <s v="C:\Users\andre\Desktop\REACTIV CEFAS\Prochloraz\Prochloraz/20201117_Cefas_Test6-Run2/Plate 1/@5/B5_01.tif "/>
    <s v=" 25523.2757 "/>
    <s v=" 33.15 "/>
    <x v="0"/>
    <n v="846097"/>
    <m/>
    <m/>
    <m/>
  </r>
  <r>
    <x v="9"/>
    <x v="1"/>
    <s v="C:\Users\andre\Desktop\REACTIV CEFAS\Prochloraz\Prochloraz/20201117_Cefas_Test6-Run2/Plate 1/@5/B5_02.tif "/>
    <s v=" 39128.4794 "/>
    <s v=" 35.4024 "/>
    <x v="0"/>
    <n v="1385243"/>
    <m/>
    <m/>
    <m/>
  </r>
  <r>
    <x v="9"/>
    <x v="1"/>
    <s v="C:\Users\andre\Desktop\REACTIV CEFAS\Prochloraz\Prochloraz/20201117_Cefas_Test6-Run2/Plate 1/@5/B5_03.tif "/>
    <s v=" 34845.7602 "/>
    <s v=" 34.509 "/>
    <x v="0"/>
    <n v="1202492"/>
    <m/>
    <m/>
    <m/>
  </r>
  <r>
    <x v="9"/>
    <x v="2"/>
    <s v="C:\Users\andre\Desktop\REACTIV CEFAS\Prochloraz\Prochloraz/20201117_Cefas_Test6-Run2/Plate 1/@5/C5_01.tif "/>
    <s v=" 2011.5802 "/>
    <s v=" 34.129 "/>
    <x v="0"/>
    <n v="68653"/>
    <m/>
    <m/>
    <m/>
  </r>
  <r>
    <x v="9"/>
    <x v="2"/>
    <s v="C:\Users\andre\Desktop\REACTIV CEFAS\Prochloraz\Prochloraz/20201117_Cefas_Test6-Run2/Plate 1/@5/C5_02.tif "/>
    <s v=" 692.1566 "/>
    <s v=" 31.4688 "/>
    <x v="0"/>
    <n v="21781"/>
    <m/>
    <m/>
    <m/>
  </r>
  <r>
    <x v="9"/>
    <x v="2"/>
    <s v="C:\Users\andre\Desktop\REACTIV CEFAS\Prochloraz\Prochloraz/20201117_Cefas_Test6-Run2/Plate 1/@5/C5_03.tif "/>
    <n v="0"/>
    <n v="0"/>
    <x v="0"/>
    <n v="0"/>
    <m/>
    <m/>
    <m/>
  </r>
  <r>
    <x v="9"/>
    <x v="3"/>
    <s v="C:\Users\andre\Desktop\REACTIV CEFAS\Prochloraz\Prochloraz/20201117_Cefas_Test6-Run2/Plate 1/@5/D5_01.tif "/>
    <n v="0"/>
    <n v="0"/>
    <x v="0"/>
    <n v="0"/>
    <m/>
    <m/>
    <m/>
  </r>
  <r>
    <x v="9"/>
    <x v="3"/>
    <s v="C:\Users\andre\Desktop\REACTIV CEFAS\Prochloraz\Prochloraz/20201117_Cefas_Test6-Run2/Plate 1/@5/D5_02- exclu.tif"/>
    <m/>
    <m/>
    <x v="1"/>
    <m/>
    <m/>
    <m/>
    <m/>
  </r>
  <r>
    <x v="9"/>
    <x v="3"/>
    <s v="C:\Users\andre\Desktop\REACTIV CEFAS\Prochloraz\Prochloraz/20201117_Cefas_Test6-Run2/Plate 1/@5/D5_03.tif "/>
    <n v="0"/>
    <n v="0"/>
    <x v="0"/>
    <n v="0"/>
    <m/>
    <m/>
    <m/>
  </r>
  <r>
    <x v="9"/>
    <x v="4"/>
    <s v="C:\Users\andre\Desktop\REACTIV CEFAS\Prochloraz\Prochloraz/20201117_Cefas_Test6-Run2/Plate 1/@5/E5_01.tif "/>
    <s v=" 30995.639 "/>
    <s v=" 31.529 "/>
    <x v="0"/>
    <n v="977260"/>
    <m/>
    <m/>
    <m/>
  </r>
  <r>
    <x v="9"/>
    <x v="4"/>
    <s v="C:\Users\andre\Desktop\REACTIV CEFAS\Prochloraz\Prochloraz/20201117_Cefas_Test6-Run2/Plate 1/@5/E5_02.tif "/>
    <s v=" 3525.6728 "/>
    <s v=" 31.3926 "/>
    <x v="0"/>
    <n v="110680"/>
    <m/>
    <m/>
    <m/>
  </r>
  <r>
    <x v="9"/>
    <x v="4"/>
    <s v="C:\Users\andre\Desktop\REACTIV CEFAS\Prochloraz\Prochloraz/20201117_Cefas_Test6-Run2/Plate 1/@5/E5_03.tif "/>
    <s v=" 14275.7305 "/>
    <s v=" 31.4091 "/>
    <x v="0"/>
    <n v="448388"/>
    <m/>
    <m/>
    <m/>
  </r>
  <r>
    <x v="9"/>
    <x v="5"/>
    <s v="C:\Users\andre\Desktop\REACTIV CEFAS\Prochloraz\Prochloraz/20201117_Cefas_Test6-Run2/Plate 1/@5/F5_01.tif "/>
    <n v="0"/>
    <n v="0"/>
    <x v="0"/>
    <n v="0"/>
    <m/>
    <m/>
    <m/>
  </r>
  <r>
    <x v="9"/>
    <x v="5"/>
    <s v="C:\Users\andre\Desktop\REACTIV CEFAS\Prochloraz\Prochloraz/20201117_Cefas_Test6-Run2/Plate 1/@5/F5_02.tif "/>
    <s v=" 713.7865 "/>
    <s v=" 31.1515 "/>
    <x v="0"/>
    <n v="22236"/>
    <m/>
    <m/>
    <m/>
  </r>
  <r>
    <x v="9"/>
    <x v="5"/>
    <s v="C:\Users\andre\Desktop\REACTIV CEFAS\Prochloraz\Prochloraz/20201117_Cefas_Test6-Run2/Plate 1/@5/F5_03.tif "/>
    <n v="0"/>
    <n v="0"/>
    <x v="0"/>
    <n v="0"/>
    <m/>
    <m/>
    <m/>
  </r>
  <r>
    <x v="9"/>
    <x v="6"/>
    <s v="C:\Users\andre\Desktop\REACTIV CEFAS\Prochloraz\Prochloraz/20201117_Cefas_Test6-Run2/Plate 1/@5/G5_01.tif "/>
    <s v=" 6424.0787 "/>
    <s v=" 40.3232 "/>
    <x v="0"/>
    <n v="259040"/>
    <m/>
    <m/>
    <m/>
  </r>
  <r>
    <x v="9"/>
    <x v="6"/>
    <s v="C:\Users\andre\Desktop\REACTIV CEFAS\Prochloraz\Prochloraz/20201117_Cefas_Test6-Run2/Plate 1/@5/G5_02.tif "/>
    <s v=" 3915.0109 "/>
    <s v=" 36.9116 "/>
    <x v="0"/>
    <n v="144509"/>
    <m/>
    <m/>
    <m/>
  </r>
  <r>
    <x v="9"/>
    <x v="6"/>
    <s v="C:\Users\andre\Desktop\REACTIV CEFAS\Prochloraz\Prochloraz/20201117_Cefas_Test6-Run2/Plate 1/@5/G5_03.tif "/>
    <s v=" 3741.9718 "/>
    <s v=" 35.4682 "/>
    <x v="0"/>
    <n v="132721"/>
    <m/>
    <m/>
    <m/>
  </r>
  <r>
    <x v="9"/>
    <x v="7"/>
    <s v="C:\Users\andre\Desktop\REACTIV CEFAS\Prochloraz\Prochloraz/20201117_Cefas_Test6-Run2/Plate 1/@5/H5_01.tif "/>
    <s v=" 2725.3667 "/>
    <s v=" 33.3095 "/>
    <x v="0"/>
    <n v="90781"/>
    <m/>
    <m/>
    <m/>
  </r>
  <r>
    <x v="9"/>
    <x v="7"/>
    <s v="C:\Users\andre\Desktop\REACTIV CEFAS\Prochloraz\Prochloraz/20201117_Cefas_Test6-Run2/Plate 1/@5/H5_02.tif "/>
    <s v=" 5602.1427 "/>
    <s v=" 39.1506 "/>
    <x v="0"/>
    <n v="219327"/>
    <m/>
    <m/>
    <m/>
  </r>
  <r>
    <x v="9"/>
    <x v="7"/>
    <s v="C:\Users\andre\Desktop\REACTIV CEFAS\Prochloraz\Prochloraz/20201117_Cefas_Test6-Run2/Plate 1/@5/H5_03.tif "/>
    <s v=" 2444.1781 "/>
    <s v=" 34.2035 "/>
    <x v="0"/>
    <n v="83600"/>
    <m/>
    <m/>
    <m/>
  </r>
  <r>
    <x v="1"/>
    <x v="8"/>
    <s v=" "/>
    <m/>
    <m/>
    <x v="1"/>
    <m/>
    <m/>
    <m/>
    <m/>
  </r>
  <r>
    <x v="1"/>
    <x v="8"/>
    <s v="group "/>
    <s v=" "/>
    <s v=" mean of mean fluo "/>
    <x v="2"/>
    <s v=" mean of total fluo "/>
    <s v=" SD total fluo "/>
    <s v=" n fluorescent "/>
    <s v=" n total"/>
  </r>
  <r>
    <x v="9"/>
    <x v="9"/>
    <s v="C:\Users\andre\Desktop\REACTIV CEFAS\Prochloraz\Prochloraz/20201117_Cefas_Test6-Run2/Plate 1/@5/ "/>
    <s v=" "/>
    <s v=" 24.0956 "/>
    <x v="11"/>
    <s v=" 251220.417 "/>
    <s v=" 412272.07 "/>
    <n v="17"/>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C:\Users\andre\Desktop\REACTIV CEFAS\Prochloraz\Prochloraz/20201117_Cefas_Test6-Run2/Plate 1/@6/A6_01.tif "/>
    <s v=" 51154.7008 "/>
    <s v=" 41.814 "/>
    <x v="0"/>
    <n v="2138980"/>
    <m/>
    <m/>
    <m/>
  </r>
  <r>
    <x v="10"/>
    <x v="0"/>
    <s v="C:\Users\andre\Desktop\REACTIV CEFAS\Prochloraz\Prochloraz/20201117_Cefas_Test6-Run2/Plate 1/@6/A6_02.tif "/>
    <s v=" 48861.932 "/>
    <s v=" 44.9637 "/>
    <x v="0"/>
    <n v="2197013"/>
    <m/>
    <m/>
    <m/>
  </r>
  <r>
    <x v="10"/>
    <x v="0"/>
    <s v="C:\Users\andre\Desktop\REACTIV CEFAS\Prochloraz\Prochloraz/20201117_Cefas_Test6-Run2/Plate 1/@6/A6_03.tif "/>
    <s v=" 66036.0683 "/>
    <s v=" 42.0606 "/>
    <x v="0"/>
    <n v="2777516"/>
    <m/>
    <m/>
    <m/>
  </r>
  <r>
    <x v="10"/>
    <x v="1"/>
    <s v="C:\Users\andre\Desktop\REACTIV CEFAS\Prochloraz\Prochloraz/20201117_Cefas_Test6-Run2/Plate 1/@6/B6_01.tif "/>
    <s v=" 50938.4019 "/>
    <s v=" 46.118 "/>
    <x v="0"/>
    <n v="2349180"/>
    <m/>
    <m/>
    <m/>
  </r>
  <r>
    <x v="10"/>
    <x v="1"/>
    <s v="C:\Users\andre\Desktop\REACTIV CEFAS\Prochloraz\Prochloraz/20201117_Cefas_Test6-Run2/Plate 1/@6/B6_02.tif "/>
    <s v=" 53620.5088 "/>
    <s v=" 42.1436 "/>
    <x v="0"/>
    <n v="2259762"/>
    <m/>
    <m/>
    <m/>
  </r>
  <r>
    <x v="10"/>
    <x v="1"/>
    <s v="C:\Users\andre\Desktop\REACTIV CEFAS\Prochloraz\Prochloraz/20201117_Cefas_Test6-Run2/Plate 1/@6/B6_03.tif "/>
    <s v=" 46742.2023 "/>
    <s v=" 46.0639 "/>
    <x v="0"/>
    <n v="2153126"/>
    <m/>
    <m/>
    <m/>
  </r>
  <r>
    <x v="10"/>
    <x v="2"/>
    <s v="C:\Users\andre\Desktop\REACTIV CEFAS\Prochloraz\Prochloraz/20201117_Cefas_Test6-Run2/Plate 1/@6/C6_01.tif "/>
    <s v=" 61126.0822 "/>
    <s v=" 46.3857 "/>
    <x v="0"/>
    <n v="2835376"/>
    <m/>
    <m/>
    <m/>
  </r>
  <r>
    <x v="10"/>
    <x v="2"/>
    <s v="C:\Users\andre\Desktop\REACTIV CEFAS\Prochloraz\Prochloraz/20201117_Cefas_Test6-Run2/Plate 1/@6/C6_02.tif "/>
    <s v=" 58681.9041 "/>
    <s v=" 49.2525 "/>
    <x v="0"/>
    <n v="2890230"/>
    <m/>
    <m/>
    <m/>
  </r>
  <r>
    <x v="10"/>
    <x v="2"/>
    <s v="C:\Users\andre\Desktop\REACTIV CEFAS\Prochloraz\Prochloraz/20201117_Cefas_Test6-Run2/Plate 1/@6/C6_03.tif "/>
    <s v=" 61991.278 "/>
    <s v=" 48.1553 "/>
    <x v="0"/>
    <n v="2985207"/>
    <m/>
    <m/>
    <m/>
  </r>
  <r>
    <x v="10"/>
    <x v="3"/>
    <s v="C:\Users\andre\Desktop\REACTIV CEFAS\Prochloraz\Prochloraz/20201117_Cefas_Test6-Run2/Plate 1/@6/D6_01- exclu.tif"/>
    <m/>
    <m/>
    <x v="1"/>
    <m/>
    <m/>
    <m/>
    <m/>
  </r>
  <r>
    <x v="10"/>
    <x v="3"/>
    <s v="C:\Users\andre\Desktop\REACTIV CEFAS\Prochloraz\Prochloraz/20201117_Cefas_Test6-Run2/Plate 1/@6/D6_02- exclu.tif"/>
    <m/>
    <m/>
    <x v="1"/>
    <m/>
    <m/>
    <m/>
    <m/>
  </r>
  <r>
    <x v="10"/>
    <x v="3"/>
    <s v="C:\Users\andre\Desktop\REACTIV CEFAS\Prochloraz\Prochloraz/20201117_Cefas_Test6-Run2/Plate 1/@6/D6_03- exclu.tif"/>
    <m/>
    <m/>
    <x v="1"/>
    <m/>
    <m/>
    <m/>
    <m/>
  </r>
  <r>
    <x v="10"/>
    <x v="4"/>
    <s v="C:\Users\andre\Desktop\REACTIV CEFAS\Prochloraz\Prochloraz/20201117_Cefas_Test6-Run2/Plate 1/@6/E6_01.tif "/>
    <s v=" 99194.6968 "/>
    <s v=" 50.1742 "/>
    <x v="0"/>
    <n v="4977017"/>
    <m/>
    <m/>
    <m/>
  </r>
  <r>
    <x v="10"/>
    <x v="4"/>
    <s v="C:\Users\andre\Desktop\REACTIV CEFAS\Prochloraz\Prochloraz/20201117_Cefas_Test6-Run2/Plate 1/@6/E6_02.tif "/>
    <s v=" 98653.9494 "/>
    <s v=" 47.4389 "/>
    <x v="0"/>
    <n v="4680039"/>
    <m/>
    <m/>
    <m/>
  </r>
  <r>
    <x v="10"/>
    <x v="4"/>
    <s v="C:\Users\andre\Desktop\REACTIV CEFAS\Prochloraz\Prochloraz/20201117_Cefas_Test6-Run2/Plate 1/@6/E6_03.tif "/>
    <s v=" 92727.3583 "/>
    <s v=" 45.7331 "/>
    <x v="0"/>
    <n v="4240714"/>
    <m/>
    <m/>
    <m/>
  </r>
  <r>
    <x v="10"/>
    <x v="5"/>
    <s v="C:\Users\andre\Desktop\REACTIV CEFAS\Prochloraz\Prochloraz/20201117_Cefas_Test6-Run2/Plate 1/@6/F6_01.tif "/>
    <s v=" 49143.1206 "/>
    <s v=" 43.5066 "/>
    <x v="0"/>
    <n v="2138050"/>
    <m/>
    <m/>
    <m/>
  </r>
  <r>
    <x v="10"/>
    <x v="5"/>
    <s v="C:\Users\andre\Desktop\REACTIV CEFAS\Prochloraz\Prochloraz/20201117_Cefas_Test6-Run2/Plate 1/@6/F6_02.tif "/>
    <s v=" 47023.3909 "/>
    <s v=" 45.4742 "/>
    <x v="0"/>
    <n v="2138353"/>
    <m/>
    <m/>
    <m/>
  </r>
  <r>
    <x v="10"/>
    <x v="5"/>
    <s v="C:\Users\andre\Desktop\REACTIV CEFAS\Prochloraz\Prochloraz/20201117_Cefas_Test6-Run2/Plate 1/@6/F6_03.tif "/>
    <s v=" 49792.0174 "/>
    <s v=" 49.2024 "/>
    <x v="0"/>
    <n v="2449888"/>
    <m/>
    <m/>
    <m/>
  </r>
  <r>
    <x v="10"/>
    <x v="6"/>
    <s v="C:\Users\andre\Desktop\REACTIV CEFAS\Prochloraz\Prochloraz/20201117_Cefas_Test6-Run2/Plate 1/@6/G6_01.tif "/>
    <s v=" 68090.9083 "/>
    <s v=" 43.0492 "/>
    <x v="0"/>
    <n v="2931262"/>
    <m/>
    <m/>
    <m/>
  </r>
  <r>
    <x v="10"/>
    <x v="6"/>
    <s v="C:\Users\andre\Desktop\REACTIV CEFAS\Prochloraz\Prochloraz/20201117_Cefas_Test6-Run2/Plate 1/@6/G6_02.tif "/>
    <s v=" 59417.3205 "/>
    <s v=" 45.5941 "/>
    <x v="0"/>
    <n v="2709079"/>
    <m/>
    <m/>
    <m/>
  </r>
  <r>
    <x v="10"/>
    <x v="6"/>
    <s v="C:\Users\andre\Desktop\REACTIV CEFAS\Prochloraz\Prochloraz/20201117_Cefas_Test6-Run2/Plate 1/@6/G6_03.tif "/>
    <s v=" 54918.3025 "/>
    <s v=" 42.0654 "/>
    <x v="0"/>
    <n v="2310159"/>
    <m/>
    <m/>
    <m/>
  </r>
  <r>
    <x v="10"/>
    <x v="7"/>
    <s v="C:\Users\andre\Desktop\REACTIV CEFAS\Prochloraz\Prochloraz/20201117_Cefas_Test6-Run2/Plate 1/@6/H6_01.tif "/>
    <s v=" 67506.9011 "/>
    <s v=" 43.2634 "/>
    <x v="0"/>
    <n v="2920577"/>
    <m/>
    <m/>
    <m/>
  </r>
  <r>
    <x v="10"/>
    <x v="7"/>
    <s v="C:\Users\andre\Desktop\REACTIV CEFAS\Prochloraz\Prochloraz/20201117_Cefas_Test6-Run2/Plate 1/@6/H6_02.tif "/>
    <s v=" 62726.6944 "/>
    <s v=" 40.13 "/>
    <x v="0"/>
    <n v="2517222"/>
    <m/>
    <m/>
    <m/>
  </r>
  <r>
    <x v="10"/>
    <x v="7"/>
    <s v="C:\Users\andre\Desktop\REACTIV CEFAS\Prochloraz\Prochloraz/20201117_Cefas_Test6-Run2/Plate 1/@6/H6_03.tif "/>
    <s v=" 56691.9538 "/>
    <s v=" 44.2068 "/>
    <x v="0"/>
    <n v="2506169"/>
    <m/>
    <m/>
    <m/>
  </r>
  <r>
    <x v="1"/>
    <x v="8"/>
    <s v=" "/>
    <m/>
    <m/>
    <x v="1"/>
    <m/>
    <m/>
    <m/>
    <m/>
  </r>
  <r>
    <x v="1"/>
    <x v="8"/>
    <s v="group "/>
    <s v=" "/>
    <s v=" mean of mean fluo "/>
    <x v="2"/>
    <s v=" mean of total fluo "/>
    <s v=" SD total fluo "/>
    <s v=" n fluorescent "/>
    <s v=" n total"/>
  </r>
  <r>
    <x v="10"/>
    <x v="9"/>
    <s v="C:\Users\andre\Desktop\REACTIV CEFAS\Prochloraz\Prochloraz/20201117_Cefas_Test6-Run2/Plate 1/@6/ "/>
    <s v=" "/>
    <s v=" 44.8068 "/>
    <x v="12"/>
    <s v=" 2605293.71 "/>
    <s v=" 953547.29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C:\Users\andre\Desktop\REACTIV CEFAS\Prochloraz\Prochloraz/20201117_Cefas_Test6-Run2/Plate 1/@7/A7_01.tif "/>
    <s v=" 80701.1369 "/>
    <s v=" 58.9461 "/>
    <x v="0"/>
    <n v="4757019"/>
    <m/>
    <m/>
    <m/>
  </r>
  <r>
    <x v="11"/>
    <x v="0"/>
    <s v="C:\Users\andre\Desktop\REACTIV CEFAS\Prochloraz\Prochloraz/20201117_Cefas_Test6-Run2/Plate 1/@7/A7_02.tif "/>
    <s v=" 92035.2016 "/>
    <s v=" 52.6531 "/>
    <x v="0"/>
    <n v="4845940"/>
    <m/>
    <m/>
    <m/>
  </r>
  <r>
    <x v="11"/>
    <x v="0"/>
    <s v="C:\Users\andre\Desktop\REACTIV CEFAS\Prochloraz\Prochloraz/20201117_Cefas_Test6-Run2/Plate 1/@7/A7_03.tif "/>
    <s v=" 89309.8349 "/>
    <s v=" 57.2662 "/>
    <x v="0"/>
    <n v="5114432"/>
    <m/>
    <m/>
    <m/>
  </r>
  <r>
    <x v="11"/>
    <x v="1"/>
    <s v="C:\Users\andre\Desktop\REACTIV CEFAS\Prochloraz\Prochloraz/20201117_Cefas_Test6-Run2/Plate 1/@7/B7_01.tif "/>
    <s v=" 68004.3887 "/>
    <s v=" 53.833 "/>
    <x v="0"/>
    <n v="3660881"/>
    <m/>
    <m/>
    <m/>
  </r>
  <r>
    <x v="11"/>
    <x v="1"/>
    <s v="C:\Users\andre\Desktop\REACTIV CEFAS\Prochloraz\Prochloraz/20201117_Cefas_Test6-Run2/Plate 1/@7/B7_02.tif "/>
    <s v=" 67377.1218 "/>
    <s v=" 54.2421 "/>
    <x v="0"/>
    <n v="3654674"/>
    <m/>
    <m/>
    <m/>
  </r>
  <r>
    <x v="11"/>
    <x v="1"/>
    <s v="C:\Users\andre\Desktop\REACTIV CEFAS\Prochloraz\Prochloraz/20201117_Cefas_Test6-Run2/Plate 1/@7/B7_03.tif "/>
    <s v=" 67160.8228 "/>
    <s v=" 53.9233 "/>
    <x v="0"/>
    <n v="3621537"/>
    <m/>
    <m/>
    <m/>
  </r>
  <r>
    <x v="11"/>
    <x v="2"/>
    <s v="C:\Users\andre\Desktop\REACTIV CEFAS\Prochloraz\Prochloraz/20201117_Cefas_Test6-Run2/Plate 1/@7/C7_01.tif "/>
    <s v=" 91191.6358 "/>
    <s v=" 53.6708 "/>
    <x v="0"/>
    <n v="4894326"/>
    <m/>
    <m/>
    <m/>
  </r>
  <r>
    <x v="11"/>
    <x v="2"/>
    <s v="C:\Users\andre\Desktop\REACTIV CEFAS\Prochloraz\Prochloraz/20201117_Cefas_Test6-Run2/Plate 1/@7/C7_02.tif "/>
    <s v=" 77997.4 "/>
    <s v=" 55.8747 "/>
    <x v="0"/>
    <n v="4358078"/>
    <m/>
    <m/>
    <m/>
  </r>
  <r>
    <x v="11"/>
    <x v="2"/>
    <s v="C:\Users\andre\Desktop\REACTIV CEFAS\Prochloraz\Prochloraz/20201117_Cefas_Test6-Run2/Plate 1/@7/C7_03.tif "/>
    <s v=" 81739.3718 "/>
    <s v=" 55.7997 "/>
    <x v="0"/>
    <n v="4561031"/>
    <m/>
    <m/>
    <m/>
  </r>
  <r>
    <x v="11"/>
    <x v="3"/>
    <s v="C:\Users\andre\Desktop\REACTIV CEFAS\Prochloraz\Prochloraz/20201117_Cefas_Test6-Run2/Plate 1/@7/D7_01.tif "/>
    <s v=" 78429.9979 "/>
    <s v=" 55.2722 "/>
    <x v="0"/>
    <n v="4334999"/>
    <m/>
    <m/>
    <m/>
  </r>
  <r>
    <x v="11"/>
    <x v="3"/>
    <s v="C:\Users\andre\Desktop\REACTIV CEFAS\Prochloraz\Prochloraz/20201117_Cefas_Test6-Run2/Plate 1/@7/D7_02.tif "/>
    <s v=" 80549.7276 "/>
    <s v=" 57.1321 "/>
    <x v="0"/>
    <n v="4601976"/>
    <m/>
    <m/>
    <m/>
  </r>
  <r>
    <x v="11"/>
    <x v="3"/>
    <s v="C:\Users\andre\Desktop\REACTIV CEFAS\Prochloraz\Prochloraz/20201117_Cefas_Test6-Run2/Plate 1/@7/D7_03.tif "/>
    <s v=" 78148.8093 "/>
    <s v=" 54.6028 "/>
    <x v="0"/>
    <n v="4267146"/>
    <m/>
    <m/>
    <m/>
  </r>
  <r>
    <x v="11"/>
    <x v="4"/>
    <s v="C:\Users\andre\Desktop\REACTIV CEFAS\Prochloraz\Prochloraz/20201117_Cefas_Test6-Run2/Plate 1/@7/E7_01- exclu.tif"/>
    <m/>
    <m/>
    <x v="1"/>
    <m/>
    <m/>
    <m/>
    <m/>
  </r>
  <r>
    <x v="11"/>
    <x v="4"/>
    <s v="C:\Users\andre\Desktop\REACTIV CEFAS\Prochloraz\Prochloraz/20201117_Cefas_Test6-Run2/Plate 1/@7/E7_02.tif "/>
    <s v=" 65841.3993 "/>
    <s v=" 59.1659 "/>
    <x v="0"/>
    <n v="3895566"/>
    <m/>
    <m/>
    <m/>
  </r>
  <r>
    <x v="11"/>
    <x v="4"/>
    <s v="C:\Users\andre\Desktop\REACTIV CEFAS\Prochloraz\Prochloraz/20201117_Cefas_Test6-Run2/Plate 1/@7/E7_03- exclu.tif"/>
    <m/>
    <m/>
    <x v="1"/>
    <m/>
    <m/>
    <m/>
    <m/>
  </r>
  <r>
    <x v="11"/>
    <x v="5"/>
    <s v="C:\Users\andre\Desktop\REACTIV CEFAS\Prochloraz\Prochloraz/20201117_Cefas_Test6-Run2/Plate 1/@7/F7_01.tif "/>
    <s v=" 71205.6131 "/>
    <s v=" 60.2846 "/>
    <x v="0"/>
    <n v="4292604"/>
    <m/>
    <m/>
    <m/>
  </r>
  <r>
    <x v="11"/>
    <x v="5"/>
    <s v="C:\Users\andre\Desktop\REACTIV CEFAS\Prochloraz\Prochloraz/20201117_Cefas_Test6-Run2/Plate 1/@7/F7_02.tif "/>
    <s v=" 59633.6195 "/>
    <s v=" 62.5481 "/>
    <x v="0"/>
    <n v="3729967"/>
    <m/>
    <m/>
    <m/>
  </r>
  <r>
    <x v="11"/>
    <x v="5"/>
    <s v="C:\Users\andre\Desktop\REACTIV CEFAS\Prochloraz\Prochloraz/20201117_Cefas_Test6-Run2/Plate 1/@7/F7_03.tif "/>
    <s v=" 60152.737 "/>
    <s v=" 60.8565 "/>
    <x v="0"/>
    <n v="3660687"/>
    <m/>
    <m/>
    <m/>
  </r>
  <r>
    <x v="11"/>
    <x v="6"/>
    <s v="C:\Users\andre\Desktop\REACTIV CEFAS\Prochloraz\Prochloraz/20201117_Cefas_Test6-Run2/Plate 1/@7/G7_01.tif "/>
    <s v=" 73173.9335 "/>
    <s v=" 62.5782 "/>
    <x v="0"/>
    <n v="4579092"/>
    <m/>
    <m/>
    <m/>
  </r>
  <r>
    <x v="11"/>
    <x v="6"/>
    <s v="C:\Users\andre\Desktop\REACTIV CEFAS\Prochloraz\Prochloraz/20201117_Cefas_Test6-Run2/Plate 1/@7/G7_02.tif "/>
    <s v=" 79078.8948 "/>
    <s v=" 59.5364 "/>
    <x v="0"/>
    <n v="4708071"/>
    <m/>
    <m/>
    <m/>
  </r>
  <r>
    <x v="11"/>
    <x v="6"/>
    <s v="C:\Users\andre\Desktop\REACTIV CEFAS\Prochloraz\Prochloraz/20201117_Cefas_Test6-Run2/Plate 1/@7/G7_03.tif "/>
    <s v=" 73022.5243 "/>
    <s v=" 59.0649 "/>
    <x v="0"/>
    <n v="4313066"/>
    <m/>
    <m/>
    <m/>
  </r>
  <r>
    <x v="11"/>
    <x v="7"/>
    <s v="C:\Users\andre\Desktop\REACTIV CEFAS\Prochloraz\Prochloraz/20201117_Cefas_Test6-Run2/Plate 1/@7/H7_01.tif "/>
    <s v=" 104256.092 "/>
    <s v=" 53.838 "/>
    <x v="0"/>
    <n v="5612936"/>
    <m/>
    <m/>
    <m/>
  </r>
  <r>
    <x v="11"/>
    <x v="7"/>
    <s v="C:\Users\andre\Desktop\REACTIV CEFAS\Prochloraz\Prochloraz/20201117_Cefas_Test6-Run2/Plate 1/@7/H7_02.tif "/>
    <s v=" 89180.0556 "/>
    <s v=" 52.5768 "/>
    <x v="0"/>
    <n v="4688799"/>
    <m/>
    <m/>
    <m/>
  </r>
  <r>
    <x v="11"/>
    <x v="7"/>
    <s v="C:\Users\andre\Desktop\REACTIV CEFAS\Prochloraz\Prochloraz/20201117_Cefas_Test6-Run2/Plate 1/@7/H7_03.tif "/>
    <s v=" 89288.205 "/>
    <s v=" 54.6105 "/>
    <x v="0"/>
    <n v="4876070"/>
    <m/>
    <m/>
    <m/>
  </r>
  <r>
    <x v="1"/>
    <x v="8"/>
    <s v=" "/>
    <m/>
    <m/>
    <x v="1"/>
    <m/>
    <m/>
    <m/>
    <m/>
  </r>
  <r>
    <x v="1"/>
    <x v="8"/>
    <s v="group "/>
    <s v=" "/>
    <s v=" mean of mean fluo "/>
    <x v="2"/>
    <s v=" mean of total fluo "/>
    <s v=" SD total fluo "/>
    <s v=" n fluorescent "/>
    <s v=" n total"/>
  </r>
  <r>
    <x v="11"/>
    <x v="9"/>
    <s v="C:\Users\andre\Desktop\REACTIV CEFAS\Prochloraz\Prochloraz/20201117_Cefas_Test6-Run2/Plate 1/@7/ "/>
    <s v=" "/>
    <s v=" 56.6624 "/>
    <x v="13"/>
    <s v=" 4287507.5 "/>
    <s v=" 665763.61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C:\Users\andre\Desktop\REACTIV CEFAS\Prochloraz\Prochloraz/20201117_Cefas_Test6-Run2/Plate 5/@10/A4_01- exclu.tif"/>
    <m/>
    <m/>
    <x v="1"/>
    <m/>
    <m/>
    <m/>
    <m/>
  </r>
  <r>
    <x v="12"/>
    <x v="0"/>
    <s v="C:\Users\andre\Desktop\REACTIV CEFAS\Prochloraz\Prochloraz/20201117_Cefas_Test6-Run2/Plate 5/@10/A4_02.tif "/>
    <n v="0"/>
    <n v="0"/>
    <x v="0"/>
    <n v="0"/>
    <m/>
    <m/>
    <m/>
  </r>
  <r>
    <x v="12"/>
    <x v="0"/>
    <s v="C:\Users\andre\Desktop\REACTIV CEFAS\Prochloraz\Prochloraz/20201117_Cefas_Test6-Run2/Plate 5/@10/A4_03.tif "/>
    <s v=" 12415.5595 "/>
    <s v=" 47.0105 "/>
    <x v="0"/>
    <n v="583661"/>
    <m/>
    <m/>
    <m/>
  </r>
  <r>
    <x v="12"/>
    <x v="1"/>
    <s v="C:\Users\andre\Desktop\REACTIV CEFAS\Prochloraz\Prochloraz/20201117_Cefas_Test6-Run2/Plate 5/@10/B4_01.tif "/>
    <s v=" 6402.4488 "/>
    <s v=" 36.2939 "/>
    <x v="0"/>
    <n v="232370"/>
    <m/>
    <m/>
    <m/>
  </r>
  <r>
    <x v="12"/>
    <x v="1"/>
    <s v="C:\Users\andre\Desktop\REACTIV CEFAS\Prochloraz\Prochloraz/20201117_Cefas_Test6-Run2/Plate 5/@10/B4_02.tif "/>
    <s v=" 4801.8366 "/>
    <s v=" 35.8153 "/>
    <x v="0"/>
    <n v="171979"/>
    <m/>
    <m/>
    <m/>
  </r>
  <r>
    <x v="12"/>
    <x v="1"/>
    <s v="C:\Users\andre\Desktop\REACTIV CEFAS\Prochloraz\Prochloraz/20201117_Cefas_Test6-Run2/Plate 5/@10/B4_03.tif "/>
    <s v=" 1795.2813 "/>
    <s v=" 34.3976 "/>
    <x v="0"/>
    <n v="61753"/>
    <m/>
    <m/>
    <m/>
  </r>
  <r>
    <x v="12"/>
    <x v="2"/>
    <s v="C:\Users\andre\Desktop\REACTIV CEFAS\Prochloraz\Prochloraz/20201117_Cefas_Test6-Run2/Plate 5/@10/C4_01.tif "/>
    <s v=" 9711.8227 "/>
    <s v=" 36.8842 "/>
    <x v="0"/>
    <n v="358213"/>
    <m/>
    <m/>
    <m/>
  </r>
  <r>
    <x v="12"/>
    <x v="2"/>
    <s v="C:\Users\andre\Desktop\REACTIV CEFAS\Prochloraz\Prochloraz/20201117_Cefas_Test6-Run2/Plate 5/@10/C4_02.tif "/>
    <s v=" 8197.7301 "/>
    <s v=" 36.2137 "/>
    <x v="0"/>
    <n v="296870"/>
    <m/>
    <m/>
    <m/>
  </r>
  <r>
    <x v="12"/>
    <x v="2"/>
    <s v="C:\Users\andre\Desktop\REACTIV CEFAS\Prochloraz\Prochloraz/20201117_Cefas_Test6-Run2/Plate 5/@10/C4_03.tif "/>
    <s v=" 9928.1216 "/>
    <s v=" 36.8366 "/>
    <x v="0"/>
    <n v="365718"/>
    <m/>
    <m/>
    <m/>
  </r>
  <r>
    <x v="12"/>
    <x v="3"/>
    <s v="C:\Users\andre\Desktop\REACTIV CEFAS\Prochloraz\Prochloraz/20201117_Cefas_Test6-Run2/Plate 5/@10/D4_01.tif "/>
    <s v=" 9582.0433 "/>
    <s v=" 37.9187 "/>
    <x v="0"/>
    <n v="363339"/>
    <m/>
    <m/>
    <m/>
  </r>
  <r>
    <x v="12"/>
    <x v="3"/>
    <s v="C:\Users\andre\Desktop\REACTIV CEFAS\Prochloraz\Prochloraz/20201117_Cefas_Test6-Run2/Plate 5/@10/D4_02.tif "/>
    <s v=" 1860.1709 "/>
    <s v=" 35.0233 "/>
    <x v="0"/>
    <n v="65149"/>
    <m/>
    <m/>
    <m/>
  </r>
  <r>
    <x v="12"/>
    <x v="3"/>
    <s v="C:\Users\andre\Desktop\REACTIV CEFAS\Prochloraz\Prochloraz/20201117_Cefas_Test6-Run2/Plate 5/@10/D4_03.tif "/>
    <s v=" 1773.6514 "/>
    <n v="34"/>
    <x v="0"/>
    <n v="60304"/>
    <m/>
    <m/>
    <m/>
  </r>
  <r>
    <x v="12"/>
    <x v="4"/>
    <s v="C:\Users\andre\Desktop\REACTIV CEFAS\Prochloraz\Prochloraz/20201117_Cefas_Test6-Run2/Plate 5/@10/E4_01.tif "/>
    <s v=" 5818.4417 "/>
    <s v=" 35.5985 "/>
    <x v="0"/>
    <n v="207128"/>
    <m/>
    <m/>
    <m/>
  </r>
  <r>
    <x v="12"/>
    <x v="4"/>
    <s v="C:\Users\andre\Desktop\REACTIV CEFAS\Prochloraz\Prochloraz/20201117_Cefas_Test6-Run2/Plate 5/@10/E4_02.tif "/>
    <s v=" 951.7154 "/>
    <s v=" 33.6364 "/>
    <x v="0"/>
    <n v="32012"/>
    <m/>
    <m/>
    <m/>
  </r>
  <r>
    <x v="12"/>
    <x v="4"/>
    <s v="C:\Users\andre\Desktop\REACTIV CEFAS\Prochloraz\Prochloraz/20201117_Cefas_Test6-Run2/Plate 5/@10/E4_03.tif "/>
    <s v=" 3893.381 "/>
    <s v=" 38.1444 "/>
    <x v="0"/>
    <n v="148511"/>
    <m/>
    <m/>
    <m/>
  </r>
  <r>
    <x v="12"/>
    <x v="5"/>
    <s v="C:\Users\andre\Desktop\REACTIV CEFAS\Prochloraz\Prochloraz/20201117_Cefas_Test6-Run2/Plate 5/@10/F4_01.tif "/>
    <s v=" 930.0855 "/>
    <s v=" 31.7442 "/>
    <x v="0"/>
    <n v="29525"/>
    <m/>
    <m/>
    <m/>
  </r>
  <r>
    <x v="12"/>
    <x v="5"/>
    <s v="C:\Users\andre\Desktop\REACTIV CEFAS\Prochloraz\Prochloraz/20201117_Cefas_Test6-Run2/Plate 5/@10/F4_02.tif "/>
    <s v=" 11636.8833 "/>
    <s v=" 49.0093 "/>
    <x v="0"/>
    <n v="570315"/>
    <m/>
    <m/>
    <m/>
  </r>
  <r>
    <x v="12"/>
    <x v="5"/>
    <s v="C:\Users\andre\Desktop\REACTIV CEFAS\Prochloraz\Prochloraz/20201117_Cefas_Test6-Run2/Plate 5/@10/F4_03- exclu.tif"/>
    <m/>
    <m/>
    <x v="1"/>
    <m/>
    <m/>
    <m/>
    <m/>
  </r>
  <r>
    <x v="12"/>
    <x v="6"/>
    <s v="C:\Users\andre\Desktop\REACTIV CEFAS\Prochloraz\Prochloraz/20201117_Cefas_Test6-Run2/Plate 5/@10/G4_01.tif "/>
    <s v=" 10750.0576 "/>
    <s v=" 39.163 "/>
    <x v="0"/>
    <n v="421004"/>
    <m/>
    <m/>
    <m/>
  </r>
  <r>
    <x v="12"/>
    <x v="6"/>
    <s v="C:\Users\andre\Desktop\REACTIV CEFAS\Prochloraz\Prochloraz/20201117_Cefas_Test6-Run2/Plate 5/@10/G4_02.tif "/>
    <s v=" 7332.5343 "/>
    <s v=" 41.3009 "/>
    <x v="0"/>
    <n v="302840"/>
    <m/>
    <m/>
    <m/>
  </r>
  <r>
    <x v="12"/>
    <x v="6"/>
    <s v="C:\Users\andre\Desktop\REACTIV CEFAS\Prochloraz\Prochloraz/20201117_Cefas_Test6-Run2/Plate 5/@10/G4_03.tif "/>
    <s v=" 6705.2673 "/>
    <s v=" 37.6323 "/>
    <x v="0"/>
    <n v="252334"/>
    <m/>
    <m/>
    <m/>
  </r>
  <r>
    <x v="12"/>
    <x v="7"/>
    <s v="C:\Users\andre\Desktop\REACTIV CEFAS\Prochloraz\Prochloraz/20201117_Cefas_Test6-Run2/Plate 5/@10/H4_01.tif "/>
    <s v=" 5450.7334 "/>
    <s v=" 35.6429 "/>
    <x v="0"/>
    <n v="194280"/>
    <m/>
    <m/>
    <m/>
  </r>
  <r>
    <x v="12"/>
    <x v="7"/>
    <s v="C:\Users\andre\Desktop\REACTIV CEFAS\Prochloraz\Prochloraz/20201117_Cefas_Test6-Run2/Plate 5/@10/H4_02.tif "/>
    <s v=" 4693.6871 "/>
    <s v=" 37.212 "/>
    <x v="0"/>
    <n v="174661"/>
    <m/>
    <m/>
    <m/>
  </r>
  <r>
    <x v="12"/>
    <x v="7"/>
    <s v="C:\Users\andre\Desktop\REACTIV CEFAS\Prochloraz\Prochloraz/20201117_Cefas_Test6-Run2/Plate 5/@10/H4_03.tif "/>
    <s v=" 4607.1676 "/>
    <s v=" 34.3803 "/>
    <x v="0"/>
    <n v="158396"/>
    <m/>
    <m/>
    <m/>
  </r>
  <r>
    <x v="1"/>
    <x v="8"/>
    <s v=" "/>
    <m/>
    <m/>
    <x v="1"/>
    <m/>
    <m/>
    <m/>
    <m/>
  </r>
  <r>
    <x v="1"/>
    <x v="8"/>
    <s v="group "/>
    <s v=" "/>
    <s v=" mean of mean fluo "/>
    <x v="2"/>
    <s v=" mean of total fluo "/>
    <s v=" SD total fluo "/>
    <s v=" n fluorescent "/>
    <s v=" n total"/>
  </r>
  <r>
    <x v="12"/>
    <x v="9"/>
    <s v="C:\Users\andre\Desktop\REACTIV CEFAS\Prochloraz\Prochloraz/20201117_Cefas_Test6-Run2/Plate 5/@10/ "/>
    <s v=" "/>
    <s v=" 34.9796 "/>
    <x v="14"/>
    <s v=" 243936.458 "/>
    <s v=" 203736.913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C:\Users\andre\Desktop\REACTIV CEFAS\Prochloraz\Prochloraz/20201117_Cefas_Test6-Run2/Plate 5/@11/A5_01- exclu.tif"/>
    <m/>
    <m/>
    <x v="1"/>
    <m/>
    <m/>
    <m/>
    <m/>
  </r>
  <r>
    <x v="13"/>
    <x v="0"/>
    <s v="C:\Users\andre\Desktop\REACTIV CEFAS\Prochloraz\Prochloraz/20201117_Cefas_Test6-Run2/Plate 5/@11/A5_02- exclu.tif"/>
    <m/>
    <m/>
    <x v="1"/>
    <m/>
    <m/>
    <m/>
    <m/>
  </r>
  <r>
    <x v="13"/>
    <x v="0"/>
    <s v="C:\Users\andre\Desktop\REACTIV CEFAS\Prochloraz\Prochloraz/20201117_Cefas_Test6-Run2/Plate 5/@11/A5_03- exclu.tif"/>
    <m/>
    <m/>
    <x v="1"/>
    <m/>
    <m/>
    <m/>
    <m/>
  </r>
  <r>
    <x v="13"/>
    <x v="1"/>
    <s v="C:\Users\andre\Desktop\REACTIV CEFAS\Prochloraz\Prochloraz/20201117_Cefas_Test6-Run2/Plate 5/@11/B5_01.tif "/>
    <s v=" 5558.8829 "/>
    <s v=" 41.1284 "/>
    <x v="0"/>
    <n v="228628"/>
    <m/>
    <m/>
    <m/>
  </r>
  <r>
    <x v="13"/>
    <x v="1"/>
    <s v="C:\Users\andre\Desktop\REACTIV CEFAS\Prochloraz\Prochloraz/20201117_Cefas_Test6-Run2/Plate 5/@11/B5_02.tif "/>
    <s v=" 9344.1145 "/>
    <s v=" 43.3796 "/>
    <x v="0"/>
    <n v="405344"/>
    <m/>
    <m/>
    <m/>
  </r>
  <r>
    <x v="13"/>
    <x v="1"/>
    <s v="C:\Users\andre\Desktop\REACTIV CEFAS\Prochloraz\Prochloraz/20201117_Cefas_Test6-Run2/Plate 5/@11/B5_03- exclu.tif"/>
    <m/>
    <m/>
    <x v="1"/>
    <m/>
    <m/>
    <m/>
    <m/>
  </r>
  <r>
    <x v="13"/>
    <x v="2"/>
    <s v="C:\Users\andre\Desktop\REACTIV CEFAS\Prochloraz\Prochloraz/20201117_Cefas_Test6-Run2/Plate 5/@11/C5_01.tif "/>
    <s v=" 8933.1465 "/>
    <s v=" 39.0993 "/>
    <x v="0"/>
    <n v="349280"/>
    <m/>
    <m/>
    <m/>
  </r>
  <r>
    <x v="13"/>
    <x v="2"/>
    <s v="C:\Users\andre\Desktop\REACTIV CEFAS\Prochloraz\Prochloraz/20201117_Cefas_Test6-Run2/Plate 5/@11/C5_02.tif "/>
    <s v=" 6597.1179 "/>
    <s v=" 36.423 "/>
    <x v="0"/>
    <n v="240286"/>
    <m/>
    <m/>
    <m/>
  </r>
  <r>
    <x v="13"/>
    <x v="2"/>
    <s v="C:\Users\andre\Desktop\REACTIV CEFAS\Prochloraz\Prochloraz/20201117_Cefas_Test6-Run2/Plate 5/@11/C5_03.tif "/>
    <s v=" 8219.36 "/>
    <s v=" 38.3658 "/>
    <x v="0"/>
    <n v="315342"/>
    <m/>
    <m/>
    <m/>
  </r>
  <r>
    <x v="13"/>
    <x v="3"/>
    <s v="C:\Users\andre\Desktop\REACTIV CEFAS\Prochloraz\Prochloraz/20201117_Cefas_Test6-Run2/Plate 5/@11/D5_01- exclu.tif"/>
    <m/>
    <m/>
    <x v="1"/>
    <m/>
    <m/>
    <m/>
    <m/>
  </r>
  <r>
    <x v="13"/>
    <x v="3"/>
    <s v="C:\Users\andre\Desktop\REACTIV CEFAS\Prochloraz\Prochloraz/20201117_Cefas_Test6-Run2/Plate 5/@11/D5_02- exclu.tif"/>
    <m/>
    <m/>
    <x v="1"/>
    <m/>
    <m/>
    <m/>
    <m/>
  </r>
  <r>
    <x v="13"/>
    <x v="3"/>
    <s v="C:\Users\andre\Desktop\REACTIV CEFAS\Prochloraz\Prochloraz/20201117_Cefas_Test6-Run2/Plate 5/@11/D5_03- exclu.tif"/>
    <m/>
    <m/>
    <x v="1"/>
    <m/>
    <m/>
    <m/>
    <m/>
  </r>
  <r>
    <x v="13"/>
    <x v="4"/>
    <s v="C:\Users\andre\Desktop\REACTIV CEFAS\Prochloraz\Prochloraz/20201117_Cefas_Test6-Run2/Plate 5/@11/E5_01.tif "/>
    <s v=" 1903.4307 "/>
    <s v=" 34.2841 "/>
    <x v="0"/>
    <n v="65257"/>
    <m/>
    <m/>
    <m/>
  </r>
  <r>
    <x v="13"/>
    <x v="4"/>
    <s v="C:\Users\andre\Desktop\REACTIV CEFAS\Prochloraz\Prochloraz/20201117_Cefas_Test6-Run2/Plate 5/@11/E5_02.tif "/>
    <s v=" 3763.6017 "/>
    <s v=" 37.7931 "/>
    <x v="0"/>
    <n v="142238"/>
    <m/>
    <m/>
    <m/>
  </r>
  <r>
    <x v="13"/>
    <x v="4"/>
    <s v="C:\Users\andre\Desktop\REACTIV CEFAS\Prochloraz\Prochloraz/20201117_Cefas_Test6-Run2/Plate 5/@11/E5_03.tif "/>
    <s v=" 6921.5663 "/>
    <s v=" 36.1406 "/>
    <x v="0"/>
    <n v="250150"/>
    <m/>
    <m/>
    <m/>
  </r>
  <r>
    <x v="13"/>
    <x v="5"/>
    <s v="C:\Users\andre\Desktop\REACTIV CEFAS\Prochloraz\Prochloraz/20201117_Cefas_Test6-Run2/Plate 5/@11/F5_01.tif "/>
    <s v=" 5256.0644 "/>
    <s v=" 40.1029 "/>
    <x v="0"/>
    <n v="210783"/>
    <m/>
    <m/>
    <m/>
  </r>
  <r>
    <x v="13"/>
    <x v="5"/>
    <s v="C:\Users\andre\Desktop\REACTIV CEFAS\Prochloraz\Prochloraz/20201117_Cefas_Test6-Run2/Plate 5/@11/F5_02.tif "/>
    <s v=" 5991.4808 "/>
    <s v=" 36.4657 "/>
    <x v="0"/>
    <n v="218484"/>
    <m/>
    <m/>
    <m/>
  </r>
  <r>
    <x v="13"/>
    <x v="5"/>
    <s v="C:\Users\andre\Desktop\REACTIV CEFAS\Prochloraz\Prochloraz/20201117_Cefas_Test6-Run2/Plate 5/@11/F5_03.tif "/>
    <s v=" 6683.6374 "/>
    <s v=" 40.0032 "/>
    <x v="0"/>
    <n v="267367"/>
    <m/>
    <m/>
    <m/>
  </r>
  <r>
    <x v="13"/>
    <x v="6"/>
    <s v="C:\Users\andre\Desktop\REACTIV CEFAS\Prochloraz\Prochloraz/20201117_Cefas_Test6-Run2/Plate 5/@11/G5_01.tif "/>
    <s v=" 4066.4202 "/>
    <s v=" 34.5745 "/>
    <x v="0"/>
    <n v="140594"/>
    <m/>
    <m/>
    <m/>
  </r>
  <r>
    <x v="13"/>
    <x v="6"/>
    <s v="C:\Users\andre\Desktop\REACTIV CEFAS\Prochloraz\Prochloraz/20201117_Cefas_Test6-Run2/Plate 5/@11/G5_02- exclu.tif"/>
    <m/>
    <m/>
    <x v="1"/>
    <m/>
    <m/>
    <m/>
    <m/>
  </r>
  <r>
    <x v="13"/>
    <x v="6"/>
    <s v="C:\Users\andre\Desktop\REACTIV CEFAS\Prochloraz\Prochloraz/20201117_Cefas_Test6-Run2/Plate 5/@11/G5_03.tif "/>
    <n v="0"/>
    <n v="0"/>
    <x v="0"/>
    <n v="0"/>
    <m/>
    <m/>
    <m/>
  </r>
  <r>
    <x v="13"/>
    <x v="7"/>
    <s v="C:\Users\andre\Desktop\REACTIV CEFAS\Prochloraz\Prochloraz/20201117_Cefas_Test6-Run2/Plate 5/@11/H5_01.tif "/>
    <s v=" 12891.4172 "/>
    <s v=" 39.9715 "/>
    <x v="0"/>
    <n v="515289"/>
    <m/>
    <m/>
    <m/>
  </r>
  <r>
    <x v="13"/>
    <x v="7"/>
    <s v="C:\Users\andre\Desktop\REACTIV CEFAS\Prochloraz\Prochloraz/20201117_Cefas_Test6-Run2/Plate 5/@11/H5_02.tif "/>
    <n v="0"/>
    <n v="0"/>
    <x v="0"/>
    <n v="0"/>
    <m/>
    <m/>
    <m/>
  </r>
  <r>
    <x v="13"/>
    <x v="7"/>
    <s v="C:\Users\andre\Desktop\REACTIV CEFAS\Prochloraz\Prochloraz/20201117_Cefas_Test6-Run2/Plate 5/@11/H5_03.tif "/>
    <s v=" 10468.869 "/>
    <s v=" 47.1322 "/>
    <x v="0"/>
    <n v="493421"/>
    <m/>
    <m/>
    <m/>
  </r>
  <r>
    <x v="1"/>
    <x v="8"/>
    <s v=" "/>
    <m/>
    <m/>
    <x v="1"/>
    <m/>
    <m/>
    <m/>
    <m/>
  </r>
  <r>
    <x v="1"/>
    <x v="8"/>
    <s v="group "/>
    <s v=" "/>
    <s v=" mean of mean fluo "/>
    <x v="2"/>
    <s v=" mean of total fluo "/>
    <s v=" SD total fluo "/>
    <s v=" n fluorescent "/>
    <s v=" n total"/>
  </r>
  <r>
    <x v="13"/>
    <x v="9"/>
    <s v="C:\Users\andre\Desktop\REACTIV CEFAS\Prochloraz\Prochloraz/20201117_Cefas_Test6-Run2/Plate 5/@11/ "/>
    <s v=" "/>
    <s v=" 33.7107 "/>
    <x v="15"/>
    <s v=" 273762.292 "/>
    <s v=" 227484.933 "/>
    <n v="20"/>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C:\Users\andre\Desktop\REACTIV CEFAS\Prochloraz\Prochloraz/20201117_Cefas_Test6-Run2/Plate 5/@12/A6_01- exclu.tif"/>
    <m/>
    <m/>
    <x v="1"/>
    <m/>
    <m/>
    <m/>
    <m/>
  </r>
  <r>
    <x v="14"/>
    <x v="0"/>
    <s v="C:\Users\andre\Desktop\REACTIV CEFAS\Prochloraz\Prochloraz/20201117_Cefas_Test6-Run2/Plate 5/@12/A6_02- exclu.tif"/>
    <m/>
    <m/>
    <x v="1"/>
    <m/>
    <m/>
    <m/>
    <m/>
  </r>
  <r>
    <x v="14"/>
    <x v="0"/>
    <s v="C:\Users\andre\Desktop\REACTIV CEFAS\Prochloraz\Prochloraz/20201117_Cefas_Test6-Run2/Plate 5/@12/A6_03- exclu.tif"/>
    <m/>
    <m/>
    <x v="1"/>
    <m/>
    <m/>
    <m/>
    <m/>
  </r>
  <r>
    <x v="14"/>
    <x v="1"/>
    <s v="C:\Users\andre\Desktop\REACTIV CEFAS\Prochloraz\Prochloraz/20201117_Cefas_Test6-Run2/Plate 5/@12/B6_01.tif "/>
    <s v=" 3763.6017 "/>
    <s v=" 35.2471 "/>
    <x v="0"/>
    <n v="132656"/>
    <m/>
    <m/>
    <m/>
  </r>
  <r>
    <x v="14"/>
    <x v="1"/>
    <s v="C:\Users\andre\Desktop\REACTIV CEFAS\Prochloraz\Prochloraz/20201117_Cefas_Test6-Run2/Plate 5/@12/B6_02- exclu.tif"/>
    <m/>
    <m/>
    <x v="1"/>
    <m/>
    <m/>
    <m/>
    <m/>
  </r>
  <r>
    <x v="14"/>
    <x v="1"/>
    <s v="C:\Users\andre\Desktop\REACTIV CEFAS\Prochloraz\Prochloraz/20201117_Cefas_Test6-Run2/Plate 5/@12/B6_03- exclu.tif"/>
    <m/>
    <m/>
    <x v="1"/>
    <m/>
    <m/>
    <m/>
    <m/>
  </r>
  <r>
    <x v="14"/>
    <x v="2"/>
    <s v="C:\Users\andre\Desktop\REACTIV CEFAS\Prochloraz\Prochloraz/20201117_Cefas_Test6-Run2/Plate 5/@12/C6_01.tif "/>
    <s v=" 8608.6981 "/>
    <s v=" 40.5101 "/>
    <x v="0"/>
    <n v="348739"/>
    <m/>
    <m/>
    <m/>
  </r>
  <r>
    <x v="14"/>
    <x v="2"/>
    <s v="C:\Users\andre\Desktop\REACTIV CEFAS\Prochloraz\Prochloraz/20201117_Cefas_Test6-Run2/Plate 5/@12/C6_02.tif "/>
    <s v=" 7483.9435 "/>
    <s v=" 39.0173 "/>
    <x v="0"/>
    <n v="292004"/>
    <m/>
    <m/>
    <m/>
  </r>
  <r>
    <x v="14"/>
    <x v="2"/>
    <s v="C:\Users\andre\Desktop\REACTIV CEFAS\Prochloraz\Prochloraz/20201117_Cefas_Test6-Run2/Plate 5/@12/C6_03.tif "/>
    <s v=" 7548.8332 "/>
    <s v=" 38.9799 "/>
    <x v="0"/>
    <n v="294253"/>
    <m/>
    <m/>
    <m/>
  </r>
  <r>
    <x v="14"/>
    <x v="3"/>
    <s v="C:\Users\andre\Desktop\REACTIV CEFAS\Prochloraz\Prochloraz/20201117_Cefas_Test6-Run2/Plate 5/@12/D6_01.tif "/>
    <s v=" 8868.2568 "/>
    <s v=" 39.3902 "/>
    <x v="0"/>
    <n v="349323"/>
    <m/>
    <m/>
    <m/>
  </r>
  <r>
    <x v="14"/>
    <x v="3"/>
    <s v="C:\Users\andre\Desktop\REACTIV CEFAS\Prochloraz\Prochloraz/20201117_Cefas_Test6-Run2/Plate 5/@12/D6_02.tif "/>
    <s v=" 8435.6589 "/>
    <s v=" 38.5308 "/>
    <x v="0"/>
    <n v="325032"/>
    <m/>
    <m/>
    <m/>
  </r>
  <r>
    <x v="14"/>
    <x v="3"/>
    <s v="C:\Users\andre\Desktop\REACTIV CEFAS\Prochloraz\Prochloraz/20201117_Cefas_Test6-Run2/Plate 5/@12/D6_03.tif "/>
    <s v=" 9106.1856 "/>
    <s v=" 37.095 "/>
    <x v="0"/>
    <n v="337794"/>
    <m/>
    <m/>
    <m/>
  </r>
  <r>
    <x v="14"/>
    <x v="4"/>
    <s v="C:\Users\andre\Desktop\REACTIV CEFAS\Prochloraz\Prochloraz/20201117_Cefas_Test6-Run2/Plate 5/@12/E6_01.tif "/>
    <s v=" 11918.0719 "/>
    <s v=" 45.0672 "/>
    <x v="0"/>
    <n v="537114"/>
    <m/>
    <m/>
    <m/>
  </r>
  <r>
    <x v="14"/>
    <x v="4"/>
    <s v="C:\Users\andre\Desktop\REACTIV CEFAS\Prochloraz\Prochloraz/20201117_Cefas_Test6-Run2/Plate 5/@12/E6_02- exclu.tif"/>
    <m/>
    <m/>
    <x v="1"/>
    <m/>
    <m/>
    <m/>
    <m/>
  </r>
  <r>
    <x v="14"/>
    <x v="4"/>
    <s v="C:\Users\andre\Desktop\REACTIV CEFAS\Prochloraz\Prochloraz/20201117_Cefas_Test6-Run2/Plate 5/@12/E6_03- exclu.tif"/>
    <m/>
    <m/>
    <x v="1"/>
    <m/>
    <m/>
    <m/>
    <m/>
  </r>
  <r>
    <x v="14"/>
    <x v="5"/>
    <s v="C:\Users\andre\Desktop\REACTIV CEFAS\Prochloraz\Prochloraz/20201117_Cefas_Test6-Run2/Plate 5/@12/F6_01.tif "/>
    <s v=" 12696.7481 "/>
    <s v=" 43.7513 "/>
    <x v="0"/>
    <n v="555499"/>
    <m/>
    <m/>
    <m/>
  </r>
  <r>
    <x v="14"/>
    <x v="5"/>
    <s v="C:\Users\andre\Desktop\REACTIV CEFAS\Prochloraz\Prochloraz/20201117_Cefas_Test6-Run2/Plate 5/@12/F6_02.tif "/>
    <s v=" 10598.6484 "/>
    <s v=" 43.2735 "/>
    <x v="0"/>
    <n v="458640"/>
    <m/>
    <m/>
    <m/>
  </r>
  <r>
    <x v="14"/>
    <x v="5"/>
    <s v="C:\Users\andre\Desktop\REACTIV CEFAS\Prochloraz\Prochloraz/20201117_Cefas_Test6-Run2/Plate 5/@12/F6_03.tif "/>
    <s v=" 11961.3317 "/>
    <s v=" 42.5172 "/>
    <x v="0"/>
    <n v="508562"/>
    <m/>
    <m/>
    <m/>
  </r>
  <r>
    <x v="14"/>
    <x v="6"/>
    <s v="C:\Users\andre\Desktop\REACTIV CEFAS\Prochloraz\Prochloraz/20201117_Cefas_Test6-Run2/Plate 5/@12/G6_01.tif "/>
    <s v=" 9344.1145 "/>
    <s v=" 44.5532 "/>
    <x v="0"/>
    <n v="416311"/>
    <m/>
    <m/>
    <m/>
  </r>
  <r>
    <x v="14"/>
    <x v="6"/>
    <s v="C:\Users\andre\Desktop\REACTIV CEFAS\Prochloraz\Prochloraz/20201117_Cefas_Test6-Run2/Plate 5/@12/G6_02.tif "/>
    <s v=" 8738.4774 "/>
    <s v=" 43.6683 "/>
    <x v="0"/>
    <n v="381595"/>
    <m/>
    <m/>
    <m/>
  </r>
  <r>
    <x v="14"/>
    <x v="6"/>
    <s v="C:\Users\andre\Desktop\REACTIV CEFAS\Prochloraz\Prochloraz/20201117_Cefas_Test6-Run2/Plate 5/@12/G6_03.tif "/>
    <s v=" 9949.7515 "/>
    <s v=" 40.563 "/>
    <x v="0"/>
    <n v="403592"/>
    <m/>
    <m/>
    <m/>
  </r>
  <r>
    <x v="14"/>
    <x v="7"/>
    <s v="C:\Users\andre\Desktop\REACTIV CEFAS\Prochloraz\Prochloraz/20201117_Cefas_Test6-Run2/Plate 5/@12/H6_01.tif "/>
    <s v=" 7938.1713 "/>
    <s v=" 39.049 "/>
    <x v="0"/>
    <n v="309978"/>
    <m/>
    <m/>
    <m/>
  </r>
  <r>
    <x v="14"/>
    <x v="7"/>
    <s v="C:\Users\andre\Desktop\REACTIV CEFAS\Prochloraz\Prochloraz/20201117_Cefas_Test6-Run2/Plate 5/@12/H6_02.tif "/>
    <s v=" 9473.8938 "/>
    <s v=" 42.6621 "/>
    <x v="0"/>
    <n v="404176"/>
    <m/>
    <m/>
    <m/>
  </r>
  <r>
    <x v="14"/>
    <x v="7"/>
    <s v="C:\Users\andre\Desktop\REACTIV CEFAS\Prochloraz\Prochloraz/20201117_Cefas_Test6-Run2/Plate 5/@12/H6_03.tif "/>
    <s v=" 9452.264 "/>
    <s v=" 44.0961 "/>
    <x v="0"/>
    <n v="416808"/>
    <m/>
    <m/>
    <m/>
  </r>
  <r>
    <x v="1"/>
    <x v="8"/>
    <s v=" "/>
    <m/>
    <m/>
    <x v="1"/>
    <m/>
    <m/>
    <m/>
    <m/>
  </r>
  <r>
    <x v="1"/>
    <x v="8"/>
    <s v="group "/>
    <s v=" "/>
    <s v=" mean of mean fluo "/>
    <x v="2"/>
    <s v=" mean of total fluo "/>
    <s v=" SD total fluo "/>
    <s v=" n fluorescent "/>
    <s v=" n total"/>
  </r>
  <r>
    <x v="14"/>
    <x v="9"/>
    <s v="C:\Users\andre\Desktop\REACTIV CEFAS\Prochloraz\Prochloraz/20201117_Cefas_Test6-Run2/Plate 5/@12/ "/>
    <s v=" "/>
    <s v=" 38.4794 "/>
    <x v="16"/>
    <s v=" 322417.917 "/>
    <s v=" 168062.78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C:\Users\andre\Desktop\REACTIV CEFAS\Prochloraz\Prochloraz/20201117_Cefas_Test6-Run2/Plate 5/@17/A8_01.tif "/>
    <s v=" 43951.9459 "/>
    <s v=" 37.1841 "/>
    <x v="0"/>
    <n v="1634312"/>
    <m/>
    <m/>
    <m/>
  </r>
  <r>
    <x v="15"/>
    <x v="0"/>
    <s v="C:\Users\andre\Desktop\REACTIV CEFAS\Prochloraz\Prochloraz/20201117_Cefas_Test6-Run2/Plate 5/@17/A8_02.tif "/>
    <s v=" 56973.1425 "/>
    <s v=" 39.2031 "/>
    <x v="0"/>
    <n v="2233525"/>
    <m/>
    <m/>
    <m/>
  </r>
  <r>
    <x v="15"/>
    <x v="0"/>
    <s v="C:\Users\andre\Desktop\REACTIV CEFAS\Prochloraz\Prochloraz/20201117_Cefas_Test6-Run2/Plate 5/@17/A8_03.tif "/>
    <s v=" 43649.1274 "/>
    <s v=" 37.054 "/>
    <x v="0"/>
    <n v="1617375"/>
    <m/>
    <m/>
    <m/>
  </r>
  <r>
    <x v="15"/>
    <x v="1"/>
    <s v="C:\Users\andre\Desktop\REACTIV CEFAS\Prochloraz\Prochloraz/20201117_Cefas_Test6-Run2/Plate 5/@17/B8_01- exclu.tif"/>
    <m/>
    <m/>
    <x v="1"/>
    <m/>
    <m/>
    <m/>
    <m/>
  </r>
  <r>
    <x v="15"/>
    <x v="1"/>
    <s v="C:\Users\andre\Desktop\REACTIV CEFAS\Prochloraz\Prochloraz/20201117_Cefas_Test6-Run2/Plate 5/@17/B8_02.tif "/>
    <s v=" 28962.4289 "/>
    <s v=" 35.065 "/>
    <x v="0"/>
    <n v="1015567"/>
    <m/>
    <m/>
    <m/>
  </r>
  <r>
    <x v="15"/>
    <x v="1"/>
    <s v="C:\Users\andre\Desktop\REACTIV CEFAS\Prochloraz\Prochloraz/20201117_Cefas_Test6-Run2/Plate 5/@17/B8_03.tif "/>
    <s v=" 47131.5404 "/>
    <s v=" 35.408 "/>
    <x v="0"/>
    <n v="1668833"/>
    <m/>
    <m/>
    <m/>
  </r>
  <r>
    <x v="15"/>
    <x v="2"/>
    <s v="C:\Users\andre\Desktop\REACTIV CEFAS\Prochloraz\Prochloraz/20201117_Cefas_Test6-Run2/Plate 5/@17/C8_01.tif "/>
    <s v=" 37095.2693 "/>
    <s v=" 35.3376 "/>
    <x v="0"/>
    <n v="1310858"/>
    <m/>
    <m/>
    <m/>
  </r>
  <r>
    <x v="15"/>
    <x v="2"/>
    <s v="C:\Users\andre\Desktop\REACTIV CEFAS\Prochloraz\Prochloraz/20201117_Cefas_Test6-Run2/Plate 5/@17/C8_02.tif "/>
    <s v=" 29524.8062 "/>
    <s v=" 34.8527 "/>
    <x v="0"/>
    <n v="1029021"/>
    <m/>
    <m/>
    <m/>
  </r>
  <r>
    <x v="15"/>
    <x v="2"/>
    <s v="C:\Users\andre\Desktop\REACTIV CEFAS\Prochloraz\Prochloraz/20201117_Cefas_Test6-Run2/Plate 5/@17/C8_03.tif "/>
    <s v=" 31536.3864 "/>
    <s v=" 34.2894 "/>
    <x v="0"/>
    <n v="1081365"/>
    <m/>
    <m/>
    <m/>
  </r>
  <r>
    <x v="15"/>
    <x v="3"/>
    <s v="C:\Users\andre\Desktop\REACTIV CEFAS\Prochloraz\Prochloraz/20201117_Cefas_Test6-Run2/Plate 5/@17/D8_01.tif "/>
    <s v=" 30390.002 "/>
    <s v=" 35.7495 "/>
    <x v="0"/>
    <n v="1086426"/>
    <m/>
    <m/>
    <m/>
  </r>
  <r>
    <x v="15"/>
    <x v="3"/>
    <s v="C:\Users\andre\Desktop\REACTIV CEFAS\Prochloraz\Prochloraz/20201117_Cefas_Test6-Run2/Plate 5/@17/D8_02.tif "/>
    <s v=" 23511.6955 "/>
    <s v=" 35.2042 "/>
    <x v="0"/>
    <n v="827711"/>
    <m/>
    <m/>
    <m/>
  </r>
  <r>
    <x v="15"/>
    <x v="3"/>
    <s v="C:\Users\andre\Desktop\REACTIV CEFAS\Prochloraz\Prochloraz/20201117_Cefas_Test6-Run2/Plate 5/@17/D8_03.tif "/>
    <s v=" 35970.5148 "/>
    <s v=" 38.1389 "/>
    <x v="0"/>
    <n v="1371876"/>
    <m/>
    <m/>
    <m/>
  </r>
  <r>
    <x v="15"/>
    <x v="4"/>
    <s v="C:\Users\andre\Desktop\REACTIV CEFAS\Prochloraz\Prochloraz/20201117_Cefas_Test6-Run2/Plate 5/@17/E8_01.tif "/>
    <s v=" 29632.9556 "/>
    <s v=" 34.6015 "/>
    <x v="0"/>
    <n v="1025344"/>
    <m/>
    <m/>
    <m/>
  </r>
  <r>
    <x v="15"/>
    <x v="4"/>
    <s v="C:\Users\andre\Desktop\REACTIV CEFAS\Prochloraz\Prochloraz/20201117_Cefas_Test6-Run2/Plate 5/@17/E8_02.tif "/>
    <s v=" 20959.3679 "/>
    <s v=" 34.1775 "/>
    <x v="0"/>
    <n v="716339"/>
    <m/>
    <m/>
    <m/>
  </r>
  <r>
    <x v="15"/>
    <x v="4"/>
    <s v="C:\Users\andre\Desktop\REACTIV CEFAS\Prochloraz\Prochloraz/20201117_Cefas_Test6-Run2/Plate 5/@17/E8_03.tif "/>
    <s v=" 19575.0546 "/>
    <s v=" 34.5304 "/>
    <x v="0"/>
    <n v="675934"/>
    <m/>
    <m/>
    <m/>
  </r>
  <r>
    <x v="15"/>
    <x v="5"/>
    <s v="C:\Users\andre\Desktop\REACTIV CEFAS\Prochloraz\Prochloraz/20201117_Cefas_Test6-Run2/Plate 5/@17/F8_01.tif "/>
    <s v=" 27405.0765 "/>
    <s v=" 38.2036 "/>
    <x v="0"/>
    <n v="1046973"/>
    <m/>
    <m/>
    <m/>
  </r>
  <r>
    <x v="15"/>
    <x v="5"/>
    <s v="C:\Users\andre\Desktop\REACTIV CEFAS\Prochloraz\Prochloraz/20201117_Cefas_Test6-Run2/Plate 5/@17/F8_02.tif "/>
    <s v=" 19531.7948 "/>
    <s v=" 35.4408 "/>
    <x v="0"/>
    <n v="692222"/>
    <m/>
    <m/>
    <m/>
  </r>
  <r>
    <x v="15"/>
    <x v="5"/>
    <s v="C:\Users\andre\Desktop\REACTIV CEFAS\Prochloraz\Prochloraz/20201117_Cefas_Test6-Run2/Plate 5/@17/F8_03.tif "/>
    <s v=" 22040.8626 "/>
    <s v=" 35.9205 "/>
    <x v="0"/>
    <n v="791719"/>
    <m/>
    <m/>
    <m/>
  </r>
  <r>
    <x v="15"/>
    <x v="6"/>
    <s v="C:\Users\andre\Desktop\REACTIV CEFAS\Prochloraz\Prochloraz/20201117_Cefas_Test6-Run2/Plate 5/@17/G8_01.tif "/>
    <s v=" 7656.9827 "/>
    <s v=" 35.9972 "/>
    <x v="0"/>
    <n v="275630"/>
    <m/>
    <m/>
    <m/>
  </r>
  <r>
    <x v="15"/>
    <x v="6"/>
    <s v="C:\Users\andre\Desktop\REACTIV CEFAS\Prochloraz\Prochloraz/20201117_Cefas_Test6-Run2/Plate 5/@17/G8_02.tif "/>
    <s v=" 3244.4842 "/>
    <s v=" 34.18 "/>
    <x v="0"/>
    <n v="110896"/>
    <m/>
    <m/>
    <m/>
  </r>
  <r>
    <x v="15"/>
    <x v="6"/>
    <s v="C:\Users\andre\Desktop\REACTIV CEFAS\Prochloraz\Prochloraz/20201117_Cefas_Test6-Run2/Plate 5/@17/G8_03.tif "/>
    <s v=" 1860.1709 "/>
    <n v="33"/>
    <x v="0"/>
    <n v="61386"/>
    <m/>
    <m/>
    <m/>
  </r>
  <r>
    <x v="15"/>
    <x v="7"/>
    <s v="C:\Users\andre\Desktop\REACTIV CEFAS\Prochloraz\Prochloraz/20201117_Cefas_Test6-Run2/Plate 5/@17/H8_01.tif "/>
    <s v=" 2098.0998 "/>
    <s v=" 31.8041 "/>
    <x v="0"/>
    <n v="66728"/>
    <m/>
    <m/>
    <m/>
  </r>
  <r>
    <x v="15"/>
    <x v="7"/>
    <s v="C:\Users\andre\Desktop\REACTIV CEFAS\Prochloraz\Prochloraz/20201117_Cefas_Test6-Run2/Plate 5/@17/H8_02.tif "/>
    <s v=" 2357.6585 "/>
    <s v=" 31.8532 "/>
    <x v="0"/>
    <n v="75099"/>
    <m/>
    <m/>
    <m/>
  </r>
  <r>
    <x v="15"/>
    <x v="7"/>
    <s v="C:\Users\andre\Desktop\REACTIV CEFAS\Prochloraz\Prochloraz/20201117_Cefas_Test6-Run2/Plate 5/@17/H8_03.tif "/>
    <s v=" 4261.0892 "/>
    <s v=" 32.8173 "/>
    <x v="0"/>
    <n v="139837"/>
    <m/>
    <m/>
    <m/>
  </r>
  <r>
    <x v="1"/>
    <x v="8"/>
    <s v=" "/>
    <m/>
    <m/>
    <x v="1"/>
    <m/>
    <m/>
    <m/>
    <m/>
  </r>
  <r>
    <x v="1"/>
    <x v="8"/>
    <s v="group "/>
    <s v=" "/>
    <s v=" mean of mean fluo "/>
    <x v="2"/>
    <s v=" mean of total fluo "/>
    <s v=" SD total fluo "/>
    <s v=" n fluorescent "/>
    <s v=" n total"/>
  </r>
  <r>
    <x v="15"/>
    <x v="9"/>
    <s v="C:\Users\andre\Desktop\REACTIV CEFAS\Prochloraz\Prochloraz/20201117_Cefas_Test6-Run2/Plate 5/@17/ "/>
    <s v=" "/>
    <s v=" 35.325 "/>
    <x v="17"/>
    <s v=" 911696.5 "/>
    <s v=" 587557.43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C:\Users\andre\Desktop\REACTIV CEFAS\Prochloraz\Prochloraz/20201117_Cefas_Test6-Run2/Plate 5/@18/A9_01- exclu.tif"/>
    <m/>
    <m/>
    <x v="1"/>
    <m/>
    <m/>
    <m/>
    <m/>
  </r>
  <r>
    <x v="16"/>
    <x v="0"/>
    <s v="C:\Users\andre\Desktop\REACTIV CEFAS\Prochloraz\Prochloraz/20201117_Cefas_Test6-Run2/Plate 5/@18/A9_02.tif "/>
    <s v=" 8414.029 "/>
    <s v=" 43.4319 "/>
    <x v="0"/>
    <n v="365437"/>
    <m/>
    <m/>
    <m/>
  </r>
  <r>
    <x v="16"/>
    <x v="0"/>
    <s v="C:\Users\andre\Desktop\REACTIV CEFAS\Prochloraz\Prochloraz/20201117_Cefas_Test6-Run2/Plate 5/@18/A9_03.tif "/>
    <s v=" 8349.1393 "/>
    <s v=" 42.2539 "/>
    <x v="0"/>
    <n v="352784"/>
    <m/>
    <m/>
    <m/>
  </r>
  <r>
    <x v="16"/>
    <x v="1"/>
    <s v="C:\Users\andre\Desktop\REACTIV CEFAS\Prochloraz\Prochloraz/20201117_Cefas_Test6-Run2/Plate 5/@18/B9_01.tif "/>
    <s v=" 38825.6609 "/>
    <s v=" 42.4986 "/>
    <x v="0"/>
    <n v="1650037"/>
    <m/>
    <m/>
    <m/>
  </r>
  <r>
    <x v="16"/>
    <x v="1"/>
    <s v="C:\Users\andre\Desktop\REACTIV CEFAS\Prochloraz\Prochloraz/20201117_Cefas_Test6-Run2/Plate 5/@18/B9_02- exclu.tif"/>
    <m/>
    <m/>
    <x v="1"/>
    <m/>
    <m/>
    <m/>
    <m/>
  </r>
  <r>
    <x v="16"/>
    <x v="1"/>
    <s v="C:\Users\andre\Desktop\REACTIV CEFAS\Prochloraz\Prochloraz/20201117_Cefas_Test6-Run2/Plate 5/@18/B9_03- exclu.tif"/>
    <m/>
    <m/>
    <x v="1"/>
    <m/>
    <m/>
    <m/>
    <m/>
  </r>
  <r>
    <x v="16"/>
    <x v="2"/>
    <s v="C:\Users\andre\Desktop\REACTIV CEFAS\Prochloraz\Prochloraz/20201117_Cefas_Test6-Run2/Plate 5/@18/C9_01.tif "/>
    <s v=" 28811.0196 "/>
    <s v=" 34.9317 "/>
    <x v="0"/>
    <n v="1006417"/>
    <m/>
    <m/>
    <m/>
  </r>
  <r>
    <x v="16"/>
    <x v="2"/>
    <s v="C:\Users\andre\Desktop\REACTIV CEFAS\Prochloraz\Prochloraz/20201117_Cefas_Test6-Run2/Plate 5/@18/C9_02.tif "/>
    <s v=" 26431.7312 "/>
    <s v=" 33.4403 "/>
    <x v="0"/>
    <n v="883884"/>
    <m/>
    <m/>
    <m/>
  </r>
  <r>
    <x v="16"/>
    <x v="2"/>
    <s v="C:\Users\andre\Desktop\REACTIV CEFAS\Prochloraz\Prochloraz/20201117_Cefas_Test6-Run2/Plate 5/@18/C9_03.tif "/>
    <s v=" 29870.8845 "/>
    <s v=" 33.7857 "/>
    <x v="0"/>
    <n v="1009208"/>
    <m/>
    <m/>
    <m/>
  </r>
  <r>
    <x v="16"/>
    <x v="3"/>
    <s v="C:\Users\andre\Desktop\REACTIV CEFAS\Prochloraz\Prochloraz/20201117_Cefas_Test6-Run2/Plate 5/@18/D9_01- exclu.tif"/>
    <m/>
    <m/>
    <x v="1"/>
    <m/>
    <m/>
    <m/>
    <m/>
  </r>
  <r>
    <x v="16"/>
    <x v="3"/>
    <s v="C:\Users\andre\Desktop\REACTIV CEFAS\Prochloraz\Prochloraz/20201117_Cefas_Test6-Run2/Plate 5/@18/D9_02.tif "/>
    <s v=" 6186.1499 "/>
    <s v=" 33.9091 "/>
    <x v="0"/>
    <n v="209767"/>
    <m/>
    <m/>
    <m/>
  </r>
  <r>
    <x v="16"/>
    <x v="3"/>
    <s v="C:\Users\andre\Desktop\REACTIV CEFAS\Prochloraz\Prochloraz/20201117_Cefas_Test6-Run2/Plate 5/@18/D9_03.tif "/>
    <s v=" 7246.0147 "/>
    <s v=" 33.4955 "/>
    <x v="0"/>
    <n v="242709"/>
    <m/>
    <m/>
    <m/>
  </r>
  <r>
    <x v="16"/>
    <x v="4"/>
    <s v="C:\Users\andre\Desktop\REACTIV CEFAS\Prochloraz\Prochloraz/20201117_Cefas_Test6-Run2/Plate 5/@18/E9_01.tif "/>
    <s v=" 28594.7207 "/>
    <s v=" 37.323 "/>
    <x v="0"/>
    <n v="1067241"/>
    <m/>
    <m/>
    <m/>
  </r>
  <r>
    <x v="16"/>
    <x v="4"/>
    <s v="C:\Users\andre\Desktop\REACTIV CEFAS\Prochloraz\Prochloraz/20201117_Cefas_Test6-Run2/Plate 5/@18/E9_02.tif "/>
    <s v=" 31298.4575 "/>
    <s v=" 39.9509 "/>
    <x v="0"/>
    <n v="1250403"/>
    <m/>
    <m/>
    <m/>
  </r>
  <r>
    <x v="16"/>
    <x v="4"/>
    <s v="C:\Users\andre\Desktop\REACTIV CEFAS\Prochloraz\Prochloraz/20201117_Cefas_Test6-Run2/Plate 5/@18/E9_03.tif "/>
    <s v=" 28811.0196 "/>
    <s v=" 37.4715 "/>
    <x v="0"/>
    <n v="1079591"/>
    <m/>
    <m/>
    <m/>
  </r>
  <r>
    <x v="16"/>
    <x v="5"/>
    <s v="C:\Users\andre\Desktop\REACTIV CEFAS\Prochloraz\Prochloraz/20201117_Cefas_Test6-Run2/Plate 5/@18/F9_01- exclu.tif"/>
    <m/>
    <m/>
    <x v="1"/>
    <m/>
    <m/>
    <m/>
    <m/>
  </r>
  <r>
    <x v="16"/>
    <x v="5"/>
    <s v="C:\Users\andre\Desktop\REACTIV CEFAS\Prochloraz\Prochloraz/20201117_Cefas_Test6-Run2/Plate 5/@18/F9_02.tif "/>
    <s v=" 35321.6179 "/>
    <s v=" 34.8665 "/>
    <x v="0"/>
    <n v="1231541"/>
    <m/>
    <m/>
    <m/>
  </r>
  <r>
    <x v="16"/>
    <x v="5"/>
    <s v="C:\Users\andre\Desktop\REACTIV CEFAS\Prochloraz\Prochloraz/20201117_Cefas_Test6-Run2/Plate 5/@18/F9_03.tif "/>
    <s v=" 43735.6469 "/>
    <s v=" 36.1108 "/>
    <x v="0"/>
    <n v="1579328"/>
    <m/>
    <m/>
    <m/>
  </r>
  <r>
    <x v="16"/>
    <x v="6"/>
    <s v="C:\Users\andre\Desktop\REACTIV CEFAS\Prochloraz\Prochloraz/20201117_Cefas_Test6-Run2/Plate 5/@18/G9_01.tif "/>
    <s v=" 47650.6579 "/>
    <s v=" 35.4476 "/>
    <x v="0"/>
    <n v="1689100"/>
    <m/>
    <m/>
    <m/>
  </r>
  <r>
    <x v="16"/>
    <x v="6"/>
    <s v="C:\Users\andre\Desktop\REACTIV CEFAS\Prochloraz\Prochloraz/20201117_Cefas_Test6-Run2/Plate 5/@18/G9_02.tif "/>
    <s v=" 38544.4722 "/>
    <s v=" 35.4366 "/>
    <x v="0"/>
    <n v="1365885"/>
    <m/>
    <m/>
    <m/>
  </r>
  <r>
    <x v="16"/>
    <x v="6"/>
    <s v="C:\Users\andre\Desktop\REACTIV CEFAS\Prochloraz\Prochloraz/20201117_Cefas_Test6-Run2/Plate 5/@18/G9_03.tif "/>
    <s v=" 37852.3156 "/>
    <s v=" 35.5617 "/>
    <x v="0"/>
    <n v="1346093"/>
    <m/>
    <m/>
    <m/>
  </r>
  <r>
    <x v="16"/>
    <x v="7"/>
    <s v="C:\Users\andre\Desktop\REACTIV CEFAS\Prochloraz\Prochloraz/20201117_Cefas_Test6-Run2/Plate 5/@18/H9_01.tif "/>
    <s v=" 19488.5351 "/>
    <s v=" 34.2231 "/>
    <x v="0"/>
    <n v="666958"/>
    <m/>
    <m/>
    <m/>
  </r>
  <r>
    <x v="16"/>
    <x v="7"/>
    <s v="C:\Users\andre\Desktop\REACTIV CEFAS\Prochloraz\Prochloraz/20201117_Cefas_Test6-Run2/Plate 5/@18/H9_02.tif "/>
    <s v=" 31752.6853 "/>
    <s v=" 35.748 "/>
    <x v="0"/>
    <n v="1135094"/>
    <m/>
    <m/>
    <m/>
  </r>
  <r>
    <x v="16"/>
    <x v="7"/>
    <s v="C:\Users\andre\Desktop\REACTIV CEFAS\Prochloraz\Prochloraz/20201117_Cefas_Test6-Run2/Plate 5/@18/H9_03.tif "/>
    <s v=" 16417.09 "/>
    <s v=" 34.8261 "/>
    <x v="0"/>
    <n v="571743"/>
    <m/>
    <m/>
    <m/>
  </r>
  <r>
    <x v="1"/>
    <x v="8"/>
    <s v=" "/>
    <m/>
    <m/>
    <x v="1"/>
    <m/>
    <m/>
    <m/>
    <m/>
  </r>
  <r>
    <x v="1"/>
    <x v="8"/>
    <s v="group "/>
    <s v=" "/>
    <s v=" mean of mean fluo "/>
    <x v="2"/>
    <s v=" mean of total fluo "/>
    <s v=" SD total fluo "/>
    <s v=" n fluorescent "/>
    <s v=" n total"/>
  </r>
  <r>
    <x v="16"/>
    <x v="9"/>
    <s v="C:\Users\andre\Desktop\REACTIV CEFAS\Prochloraz\Prochloraz/20201117_Cefas_Test6-Run2/Plate 5/@18/ "/>
    <s v=" "/>
    <s v=" 37.2032 "/>
    <x v="18"/>
    <s v=" 928449.792 "/>
    <s v=" 493459.24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C:\Users\andre\Desktop\REACTIV CEFAS\Prochloraz\Prochloraz/20201117_Cefas_Test6-Run2/Plate 5/@19/A10_01.tif "/>
    <s v=" 2509.0678 "/>
    <s v=" 31.9741 "/>
    <x v="0"/>
    <n v="80225"/>
    <m/>
    <m/>
    <m/>
  </r>
  <r>
    <x v="17"/>
    <x v="0"/>
    <s v="C:\Users\andre\Desktop\REACTIV CEFAS\Prochloraz\Prochloraz/20201117_Cefas_Test6-Run2/Plate 5/@19/A10_02.tif "/>
    <s v=" 6770.157 "/>
    <s v=" 35.8435 "/>
    <x v="0"/>
    <n v="242666"/>
    <m/>
    <m/>
    <m/>
  </r>
  <r>
    <x v="17"/>
    <x v="0"/>
    <s v="C:\Users\andre\Desktop\REACTIV CEFAS\Prochloraz\Prochloraz/20201117_Cefas_Test6-Run2/Plate 5/@19/A10_03.tif "/>
    <s v=" 3374.2636 "/>
    <s v=" 31.5641 "/>
    <x v="0"/>
    <n v="106506"/>
    <m/>
    <m/>
    <m/>
  </r>
  <r>
    <x v="17"/>
    <x v="1"/>
    <s v="C:\Users\andre\Desktop\REACTIV CEFAS\Prochloraz\Prochloraz/20201117_Cefas_Test6-Run2/Plate 5/@19/B10_01.tif "/>
    <s v=" 13778.2429 "/>
    <s v=" 33.4003 "/>
    <x v="0"/>
    <n v="460198"/>
    <m/>
    <m/>
    <m/>
  </r>
  <r>
    <x v="17"/>
    <x v="1"/>
    <s v="C:\Users\andre\Desktop\REACTIV CEFAS\Prochloraz\Prochloraz/20201117_Cefas_Test6-Run2/Plate 5/@19/B10_02.tif "/>
    <s v=" 19596.6845 "/>
    <s v=" 36.6391 "/>
    <x v="0"/>
    <n v="718004"/>
    <m/>
    <m/>
    <m/>
  </r>
  <r>
    <x v="17"/>
    <x v="1"/>
    <s v="C:\Users\andre\Desktop\REACTIV CEFAS\Prochloraz\Prochloraz/20201117_Cefas_Test6-Run2/Plate 5/@19/B10_03.tif "/>
    <s v=" 21154.0369 "/>
    <s v=" 36.1411 "/>
    <x v="0"/>
    <n v="764530"/>
    <m/>
    <m/>
    <m/>
  </r>
  <r>
    <x v="17"/>
    <x v="2"/>
    <s v="C:\Users\andre\Desktop\REACTIV CEFAS\Prochloraz\Prochloraz/20201117_Cefas_Test6-Run2/Plate 5/@19/C10_01- exclu.tif"/>
    <m/>
    <m/>
    <x v="1"/>
    <m/>
    <m/>
    <m/>
    <m/>
  </r>
  <r>
    <x v="17"/>
    <x v="2"/>
    <s v="C:\Users\andre\Desktop\REACTIV CEFAS\Prochloraz\Prochloraz/20201117_Cefas_Test6-Run2/Plate 5/@19/C10_02.tif "/>
    <s v=" 8587.0682 "/>
    <s v=" 37.8841 "/>
    <x v="0"/>
    <n v="325314"/>
    <m/>
    <m/>
    <m/>
  </r>
  <r>
    <x v="17"/>
    <x v="2"/>
    <s v="C:\Users\andre\Desktop\REACTIV CEFAS\Prochloraz\Prochloraz/20201117_Cefas_Test6-Run2/Plate 5/@19/C10_03.tif "/>
    <s v=" 11680.1431 "/>
    <s v=" 38.6852 "/>
    <x v="0"/>
    <n v="451848"/>
    <m/>
    <m/>
    <m/>
  </r>
  <r>
    <x v="17"/>
    <x v="3"/>
    <s v="C:\Users\andre\Desktop\REACTIV CEFAS\Prochloraz\Prochloraz/20201117_Cefas_Test6-Run2/Plate 5/@19/D10_01- exclu.tif"/>
    <m/>
    <m/>
    <x v="1"/>
    <m/>
    <m/>
    <m/>
    <m/>
  </r>
  <r>
    <x v="17"/>
    <x v="3"/>
    <s v="C:\Users\andre\Desktop\REACTIV CEFAS\Prochloraz\Prochloraz/20201117_Cefas_Test6-Run2/Plate 5/@19/D10_02- exclu.tif"/>
    <m/>
    <m/>
    <x v="1"/>
    <m/>
    <m/>
    <m/>
    <m/>
  </r>
  <r>
    <x v="17"/>
    <x v="3"/>
    <s v="C:\Users\andre\Desktop\REACTIV CEFAS\Prochloraz\Prochloraz/20201117_Cefas_Test6-Run2/Plate 5/@19/D10_03- exclu.tif"/>
    <m/>
    <m/>
    <x v="1"/>
    <m/>
    <m/>
    <m/>
    <m/>
  </r>
  <r>
    <x v="17"/>
    <x v="4"/>
    <s v="C:\Users\andre\Desktop\REACTIV CEFAS\Prochloraz\Prochloraz/20201117_Cefas_Test6-Run2/Plate 5/@19/E10_01.tif "/>
    <s v=" 47023.3909 "/>
    <s v=" 36.017 "/>
    <x v="0"/>
    <n v="1693642"/>
    <m/>
    <m/>
    <m/>
  </r>
  <r>
    <x v="17"/>
    <x v="4"/>
    <s v="C:\Users\andre\Desktop\REACTIV CEFAS\Prochloraz\Prochloraz/20201117_Cefas_Test6-Run2/Plate 5/@19/E10_02.tif "/>
    <s v=" 47434.3589 "/>
    <s v=" 37.0611 "/>
    <x v="0"/>
    <n v="1757970"/>
    <m/>
    <m/>
    <m/>
  </r>
  <r>
    <x v="17"/>
    <x v="4"/>
    <s v="C:\Users\andre\Desktop\REACTIV CEFAS\Prochloraz\Prochloraz/20201117_Cefas_Test6-Run2/Plate 5/@19/E10_03.tif "/>
    <s v=" 44427.8036 "/>
    <s v=" 36.3418 "/>
    <x v="0"/>
    <n v="1614585"/>
    <m/>
    <m/>
    <m/>
  </r>
  <r>
    <x v="17"/>
    <x v="5"/>
    <s v="C:\Users\andre\Desktop\REACTIV CEFAS\Prochloraz\Prochloraz/20201117_Cefas_Test6-Run2/Plate 5/@19/F10_01.tif "/>
    <s v=" 36554.5219 "/>
    <s v=" 37.9101 "/>
    <x v="0"/>
    <n v="1385784"/>
    <m/>
    <m/>
    <m/>
  </r>
  <r>
    <x v="17"/>
    <x v="5"/>
    <s v="C:\Users\andre\Desktop\REACTIV CEFAS\Prochloraz\Prochloraz/20201117_Cefas_Test6-Run2/Plate 5/@19/F10_02.tif "/>
    <s v=" 32574.6213 "/>
    <s v=" 35.826 "/>
    <x v="0"/>
    <n v="1167019"/>
    <m/>
    <m/>
    <m/>
  </r>
  <r>
    <x v="17"/>
    <x v="5"/>
    <s v="C:\Users\andre\Desktop\REACTIV CEFAS\Prochloraz\Prochloraz/20201117_Cefas_Test6-Run2/Plate 5/@19/F10_03.tif "/>
    <s v=" 46352.8642 "/>
    <s v=" 41.5002 "/>
    <x v="0"/>
    <n v="1923655"/>
    <m/>
    <m/>
    <m/>
  </r>
  <r>
    <x v="17"/>
    <x v="6"/>
    <s v="C:\Users\andre\Desktop\REACTIV CEFAS\Prochloraz\Prochloraz/20201117_Cefas_Test6-Run2/Plate 5/@19/G10_01.tif "/>
    <s v=" 30173.703 "/>
    <s v=" 35.1348 "/>
    <x v="0"/>
    <n v="1060146"/>
    <m/>
    <m/>
    <m/>
  </r>
  <r>
    <x v="17"/>
    <x v="6"/>
    <s v="C:\Users\andre\Desktop\REACTIV CEFAS\Prochloraz\Prochloraz/20201117_Cefas_Test6-Run2/Plate 5/@19/G10_02.tif "/>
    <s v=" 38566.1021 "/>
    <s v=" 41.2602 "/>
    <x v="0"/>
    <n v="1591246"/>
    <m/>
    <m/>
    <m/>
  </r>
  <r>
    <x v="17"/>
    <x v="6"/>
    <s v="C:\Users\andre\Desktop\REACTIV CEFAS\Prochloraz\Prochloraz/20201117_Cefas_Test6-Run2/Plate 5/@19/G10_03.tif "/>
    <s v=" 35256.7282 "/>
    <s v=" 39.2294 "/>
    <x v="0"/>
    <n v="1383102"/>
    <m/>
    <m/>
    <m/>
  </r>
  <r>
    <x v="17"/>
    <x v="7"/>
    <s v="C:\Users\andre\Desktop\REACTIV CEFAS\Prochloraz\Prochloraz/20201117_Cefas_Test6-Run2/Plate 5/@19/H10_01.tif "/>
    <s v=" 26258.6921 "/>
    <s v=" 35.8369 "/>
    <x v="0"/>
    <n v="941030"/>
    <m/>
    <m/>
    <m/>
  </r>
  <r>
    <x v="17"/>
    <x v="7"/>
    <s v="C:\Users\andre\Desktop\REACTIV CEFAS\Prochloraz\Prochloraz/20201117_Cefas_Test6-Run2/Plate 5/@19/H10_02.tif "/>
    <s v=" 26950.8487 "/>
    <s v=" 36.3034 "/>
    <x v="0"/>
    <n v="978407"/>
    <m/>
    <m/>
    <m/>
  </r>
  <r>
    <x v="17"/>
    <x v="7"/>
    <s v="C:\Users\andre\Desktop\REACTIV CEFAS\Prochloraz\Prochloraz/20201117_Cefas_Test6-Run2/Plate 5/@19/H10_03.tif "/>
    <s v=" 29503.1763 "/>
    <s v=" 36.0572 "/>
    <x v="0"/>
    <n v="1063801"/>
    <m/>
    <m/>
    <m/>
  </r>
  <r>
    <x v="1"/>
    <x v="8"/>
    <s v=" "/>
    <m/>
    <m/>
    <x v="1"/>
    <m/>
    <m/>
    <m/>
    <m/>
  </r>
  <r>
    <x v="1"/>
    <x v="8"/>
    <s v="group "/>
    <s v=" "/>
    <s v=" mean of mean fluo "/>
    <x v="2"/>
    <s v=" mean of total fluo "/>
    <s v=" SD total fluo "/>
    <s v=" n fluorescent "/>
    <s v=" n total"/>
  </r>
  <r>
    <x v="17"/>
    <x v="9"/>
    <s v="C:\Users\andre\Desktop\REACTIV CEFAS\Prochloraz\Prochloraz/20201117_Cefas_Test6-Run2/Plate 5/@19/ "/>
    <s v=" "/>
    <s v=" 36.5977 "/>
    <x v="19"/>
    <s v=" 943741.125 "/>
    <s v=" 562939.92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C:\Users\andre\Desktop\REACTIV CEFAS\Prochloraz\Prochloraz/20201117_Cefas_Test6-Run2/Plate 5/@20/A11_01.tif "/>
    <s v=" 14340.6201 "/>
    <s v=" 34.4781 "/>
    <x v="0"/>
    <n v="494438"/>
    <m/>
    <m/>
    <m/>
  </r>
  <r>
    <x v="18"/>
    <x v="0"/>
    <s v="C:\Users\andre\Desktop\REACTIV CEFAS\Prochloraz\Prochloraz/20201117_Cefas_Test6-Run2/Plate 5/@20/A11_02.tif "/>
    <s v=" 17195.7662 "/>
    <s v=" 33.883 "/>
    <x v="0"/>
    <n v="582644"/>
    <m/>
    <m/>
    <m/>
  </r>
  <r>
    <x v="18"/>
    <x v="0"/>
    <s v="C:\Users\andre\Desktop\REACTIV CEFAS\Prochloraz\Prochloraz/20201117_Cefas_Test6-Run2/Plate 5/@20/A11_03.tif "/>
    <s v=" 6424.0787 "/>
    <s v=" 32.5589 "/>
    <x v="0"/>
    <n v="209161"/>
    <m/>
    <m/>
    <m/>
  </r>
  <r>
    <x v="18"/>
    <x v="1"/>
    <s v="C:\Users\andre\Desktop\REACTIV CEFAS\Prochloraz\Prochloraz/20201117_Cefas_Test6-Run2/Plate 5/@20/B11_01- exclu.tif"/>
    <m/>
    <m/>
    <x v="1"/>
    <m/>
    <m/>
    <m/>
    <m/>
  </r>
  <r>
    <x v="18"/>
    <x v="1"/>
    <s v="C:\Users\andre\Desktop\REACTIV CEFAS\Prochloraz\Prochloraz/20201117_Cefas_Test6-Run2/Plate 5/@20/B11_02- exclu.tif"/>
    <m/>
    <m/>
    <x v="1"/>
    <m/>
    <m/>
    <m/>
    <m/>
  </r>
  <r>
    <x v="18"/>
    <x v="1"/>
    <s v="C:\Users\andre\Desktop\REACTIV CEFAS\Prochloraz\Prochloraz/20201117_Cefas_Test6-Run2/Plate 5/@20/B11_03.tif "/>
    <s v=" 1946.6905 "/>
    <s v=" 34.5667 "/>
    <x v="0"/>
    <n v="67291"/>
    <m/>
    <m/>
    <m/>
  </r>
  <r>
    <x v="18"/>
    <x v="2"/>
    <s v="C:\Users\andre\Desktop\REACTIV CEFAS\Prochloraz\Prochloraz/20201117_Cefas_Test6-Run2/Plate 5/@20/C11_01- exclu.tif"/>
    <m/>
    <m/>
    <x v="1"/>
    <m/>
    <m/>
    <m/>
    <m/>
  </r>
  <r>
    <x v="18"/>
    <x v="2"/>
    <s v="C:\Users\andre\Desktop\REACTIV CEFAS\Prochloraz\Prochloraz/20201117_Cefas_Test6-Run2/Plate 5/@20/C11_02- exclu.tif"/>
    <m/>
    <m/>
    <x v="1"/>
    <m/>
    <m/>
    <m/>
    <m/>
  </r>
  <r>
    <x v="18"/>
    <x v="2"/>
    <s v="C:\Users\andre\Desktop\REACTIV CEFAS\Prochloraz\Prochloraz/20201117_Cefas_Test6-Run2/Plate 5/@20/C11_03- exclu.tif"/>
    <m/>
    <m/>
    <x v="1"/>
    <m/>
    <m/>
    <m/>
    <m/>
  </r>
  <r>
    <x v="18"/>
    <x v="3"/>
    <s v="C:\Users\andre\Desktop\REACTIV CEFAS\Prochloraz\Prochloraz/20201117_Cefas_Test6-Run2/Plate 5/@20/D11_01.tif "/>
    <s v=" 40512.7926 "/>
    <s v=" 37.4383 "/>
    <x v="0"/>
    <n v="1516731"/>
    <m/>
    <m/>
    <m/>
  </r>
  <r>
    <x v="18"/>
    <x v="3"/>
    <s v="C:\Users\andre\Desktop\REACTIV CEFAS\Prochloraz\Prochloraz/20201117_Cefas_Test6-Run2/Plate 5/@20/D11_02.tif "/>
    <s v=" 28227.0125 "/>
    <s v=" 37.0054 "/>
    <x v="0"/>
    <n v="1044551"/>
    <m/>
    <m/>
    <m/>
  </r>
  <r>
    <x v="18"/>
    <x v="3"/>
    <s v="C:\Users\andre\Desktop\REACTIV CEFAS\Prochloraz\Prochloraz/20201117_Cefas_Test6-Run2/Plate 5/@20/D11_03.tif "/>
    <s v=" 34586.2015 "/>
    <s v=" 37.132 "/>
    <x v="0"/>
    <n v="1284253"/>
    <m/>
    <m/>
    <m/>
  </r>
  <r>
    <x v="18"/>
    <x v="4"/>
    <s v="C:\Users\andre\Desktop\REACTIV CEFAS\Prochloraz\Prochloraz/20201117_Cefas_Test6-Run2/Plate 5/@20/E11_01.tif "/>
    <s v=" 21911.0833 "/>
    <s v=" 34.6861 "/>
    <x v="0"/>
    <n v="760010"/>
    <m/>
    <m/>
    <m/>
  </r>
  <r>
    <x v="18"/>
    <x v="4"/>
    <s v="C:\Users\andre\Desktop\REACTIV CEFAS\Prochloraz\Prochloraz/20201117_Cefas_Test6-Run2/Plate 5/@20/E11_02.tif "/>
    <s v=" 16914.5776 "/>
    <s v=" 35.8389 "/>
    <x v="0"/>
    <n v="606199"/>
    <m/>
    <m/>
    <m/>
  </r>
  <r>
    <x v="18"/>
    <x v="4"/>
    <s v="C:\Users\andre\Desktop\REACTIV CEFAS\Prochloraz\Prochloraz/20201117_Cefas_Test6-Run2/Plate 5/@20/E11_03.tif "/>
    <s v=" 25350.2365 "/>
    <s v=" 35.785 "/>
    <x v="0"/>
    <n v="907158"/>
    <m/>
    <m/>
    <m/>
  </r>
  <r>
    <x v="18"/>
    <x v="5"/>
    <s v="C:\Users\andre\Desktop\REACTIV CEFAS\Prochloraz\Prochloraz/20201117_Cefas_Test6-Run2/Plate 5/@20/F11_01.tif "/>
    <s v=" 57146.1816 "/>
    <s v=" 36.2861 "/>
    <x v="0"/>
    <n v="2073615"/>
    <m/>
    <m/>
    <m/>
  </r>
  <r>
    <x v="18"/>
    <x v="5"/>
    <s v="C:\Users\andre\Desktop\REACTIV CEFAS\Prochloraz\Prochloraz/20201117_Cefas_Test6-Run2/Plate 5/@20/F11_02.tif "/>
    <s v=" 40988.6503 "/>
    <s v=" 34.7805 "/>
    <x v="0"/>
    <n v="1425605"/>
    <m/>
    <m/>
    <m/>
  </r>
  <r>
    <x v="18"/>
    <x v="5"/>
    <s v="C:\Users\andre\Desktop\REACTIV CEFAS\Prochloraz\Prochloraz/20201117_Cefas_Test6-Run2/Plate 5/@20/F11_03.tif "/>
    <s v=" 46720.5724 "/>
    <s v=" 35.8588 "/>
    <x v="0"/>
    <n v="1675343"/>
    <m/>
    <m/>
    <m/>
  </r>
  <r>
    <x v="18"/>
    <x v="6"/>
    <s v="C:\Users\andre\Desktop\REACTIV CEFAS\Prochloraz\Prochloraz/20201117_Cefas_Test6-Run2/Plate 5/@20/G11_01- exclu.tif"/>
    <m/>
    <m/>
    <x v="1"/>
    <m/>
    <m/>
    <m/>
    <m/>
  </r>
  <r>
    <x v="18"/>
    <x v="6"/>
    <s v="C:\Users\andre\Desktop\REACTIV CEFAS\Prochloraz\Prochloraz/20201117_Cefas_Test6-Run2/Plate 5/@20/G11_02- exclu.tif"/>
    <m/>
    <m/>
    <x v="1"/>
    <m/>
    <m/>
    <m/>
    <m/>
  </r>
  <r>
    <x v="18"/>
    <x v="6"/>
    <s v="C:\Users\andre\Desktop\REACTIV CEFAS\Prochloraz\Prochloraz/20201117_Cefas_Test6-Run2/Plate 5/@20/G11_03- exclu.tif"/>
    <m/>
    <m/>
    <x v="1"/>
    <m/>
    <m/>
    <m/>
    <m/>
  </r>
  <r>
    <x v="18"/>
    <x v="7"/>
    <s v="C:\Users\andre\Desktop\REACTIV CEFAS\Prochloraz\Prochloraz/20201117_Cefas_Test6-Run2/Plate 5/@20/H11_01.tif "/>
    <s v=" 28724.5001 "/>
    <s v=" 33.3818 "/>
    <x v="0"/>
    <n v="958875"/>
    <m/>
    <m/>
    <m/>
  </r>
  <r>
    <x v="18"/>
    <x v="7"/>
    <s v="C:\Users\andre\Desktop\REACTIV CEFAS\Prochloraz\Prochloraz/20201117_Cefas_Test6-Run2/Plate 5/@20/H11_02.tif "/>
    <s v=" 21456.8555 "/>
    <s v=" 33.2651 "/>
    <x v="0"/>
    <n v="713765"/>
    <m/>
    <m/>
    <m/>
  </r>
  <r>
    <x v="18"/>
    <x v="7"/>
    <s v="C:\Users\andre\Desktop\REACTIV CEFAS\Prochloraz\Prochloraz/20201117_Cefas_Test6-Run2/Plate 5/@20/H11_03.tif "/>
    <s v=" 30195.3329 "/>
    <s v=" 33.8145 "/>
    <x v="0"/>
    <n v="1021039"/>
    <m/>
    <m/>
    <m/>
  </r>
  <r>
    <x v="1"/>
    <x v="8"/>
    <s v=" "/>
    <m/>
    <m/>
    <x v="1"/>
    <m/>
    <m/>
    <m/>
    <m/>
  </r>
  <r>
    <x v="1"/>
    <x v="8"/>
    <s v="group "/>
    <s v=" "/>
    <s v=" mean of mean fluo "/>
    <x v="2"/>
    <s v=" mean of total fluo "/>
    <s v=" SD total fluo "/>
    <s v=" n fluorescent "/>
    <s v=" n total"/>
  </r>
  <r>
    <x v="18"/>
    <x v="9"/>
    <s v="C:\Users\andre\Desktop\REACTIV CEFAS\Prochloraz\Prochloraz/20201117_Cefas_Test6-Run2/Plate 5/@20/ "/>
    <s v=" "/>
    <s v=" 37.8806 "/>
    <x v="20"/>
    <s v=" 861991.917 "/>
    <s v=" 520202.59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C:\Users\andre\Desktop\REACTIV CEFAS\Prochloraz\Prochloraz/20201117_Cefas_Test6-Run2/Plate 5/@21/A12_01.tif "/>
    <s v=" 25696.3148 "/>
    <s v=" 37.585 "/>
    <x v="0"/>
    <n v="965796"/>
    <m/>
    <m/>
    <m/>
  </r>
  <r>
    <x v="19"/>
    <x v="0"/>
    <s v="C:\Users\andre\Desktop\REACTIV CEFAS\Prochloraz\Prochloraz/20201117_Cefas_Test6-Run2/Plate 5/@21/A12_02- exclu.tif"/>
    <m/>
    <m/>
    <x v="1"/>
    <m/>
    <m/>
    <m/>
    <m/>
  </r>
  <r>
    <x v="19"/>
    <x v="0"/>
    <s v="C:\Users\andre\Desktop\REACTIV CEFAS\Prochloraz\Prochloraz/20201117_Cefas_Test6-Run2/Plate 5/@21/A12_03- exclu.tif"/>
    <m/>
    <m/>
    <x v="1"/>
    <m/>
    <m/>
    <m/>
    <m/>
  </r>
  <r>
    <x v="19"/>
    <x v="1"/>
    <s v="C:\Users\andre\Desktop\REACTIV CEFAS\Prochloraz\Prochloraz/20201117_Cefas_Test6-Run2/Plate 5/@21/B12_01.tif "/>
    <s v=" 32899.0697 "/>
    <s v=" 33.998 "/>
    <x v="0"/>
    <n v="1118503"/>
    <m/>
    <m/>
    <m/>
  </r>
  <r>
    <x v="19"/>
    <x v="1"/>
    <s v="C:\Users\andre\Desktop\REACTIV CEFAS\Prochloraz\Prochloraz/20201117_Cefas_Test6-Run2/Plate 5/@21/B12_02.tif "/>
    <s v=" 36727.5611 "/>
    <s v=" 34.3834 "/>
    <x v="0"/>
    <n v="1262818"/>
    <m/>
    <m/>
    <m/>
  </r>
  <r>
    <x v="19"/>
    <x v="1"/>
    <s v="C:\Users\andre\Desktop\REACTIV CEFAS\Prochloraz\Prochloraz/20201117_Cefas_Test6-Run2/Plate 5/@21/B12_03.tif "/>
    <s v=" 39388.0381 "/>
    <s v=" 34.5371 "/>
    <x v="0"/>
    <n v="1360347"/>
    <m/>
    <m/>
    <m/>
  </r>
  <r>
    <x v="19"/>
    <x v="2"/>
    <s v="C:\Users\andre\Desktop\REACTIV CEFAS\Prochloraz\Prochloraz/20201117_Cefas_Test6-Run2/Plate 5/@21/C12_01.tif "/>
    <s v=" 10598.6484 "/>
    <s v=" 43.3469 "/>
    <x v="0"/>
    <n v="459419"/>
    <m/>
    <m/>
    <m/>
  </r>
  <r>
    <x v="19"/>
    <x v="2"/>
    <s v="C:\Users\andre\Desktop\REACTIV CEFAS\Prochloraz\Prochloraz/20201117_Cefas_Test6-Run2/Plate 5/@21/C12_02.tif "/>
    <s v=" 12004.5915 "/>
    <s v=" 46.818 "/>
    <x v="0"/>
    <n v="562031"/>
    <m/>
    <m/>
    <m/>
  </r>
  <r>
    <x v="19"/>
    <x v="2"/>
    <s v="C:\Users\andre\Desktop\REACTIV CEFAS\Prochloraz\Prochloraz/20201117_Cefas_Test6-Run2/Plate 5/@21/C12_03.tif "/>
    <s v=" 12242.5204 "/>
    <s v=" 45.3233 "/>
    <x v="0"/>
    <n v="554872"/>
    <m/>
    <m/>
    <m/>
  </r>
  <r>
    <x v="19"/>
    <x v="3"/>
    <s v="C:\Users\andre\Desktop\REACTIV CEFAS\Prochloraz\Prochloraz/20201117_Cefas_Test6-Run2/Plate 5/@21/D12_01.tif "/>
    <s v=" 37160.159 "/>
    <s v=" 39.4593 "/>
    <x v="0"/>
    <n v="1466312"/>
    <m/>
    <m/>
    <m/>
  </r>
  <r>
    <x v="19"/>
    <x v="3"/>
    <s v="C:\Users\andre\Desktop\REACTIV CEFAS\Prochloraz\Prochloraz/20201117_Cefas_Test6-Run2/Plate 5/@21/D12_02- exclu.tif"/>
    <m/>
    <m/>
    <x v="1"/>
    <m/>
    <m/>
    <m/>
    <m/>
  </r>
  <r>
    <x v="19"/>
    <x v="3"/>
    <s v="C:\Users\andre\Desktop\REACTIV CEFAS\Prochloraz\Prochloraz/20201117_Cefas_Test6-Run2/Plate 5/@21/D12_03- exclu.tif"/>
    <m/>
    <m/>
    <x v="1"/>
    <m/>
    <m/>
    <m/>
    <m/>
  </r>
  <r>
    <x v="19"/>
    <x v="4"/>
    <s v="C:\Users\andre\Desktop\REACTIV CEFAS\Prochloraz\Prochloraz/20201117_Cefas_Test6-Run2/Plate 5/@21/E12_01.tif "/>
    <s v=" 50419.2844 "/>
    <s v=" 42.5538 "/>
    <x v="0"/>
    <n v="2145534"/>
    <m/>
    <m/>
    <m/>
  </r>
  <r>
    <x v="19"/>
    <x v="4"/>
    <s v="C:\Users\andre\Desktop\REACTIV CEFAS\Prochloraz\Prochloraz/20201117_Cefas_Test6-Run2/Plate 5/@21/E12_02.tif "/>
    <s v=" 48688.8928 "/>
    <s v=" 41.9702 "/>
    <x v="0"/>
    <n v="2043484"/>
    <m/>
    <m/>
    <m/>
  </r>
  <r>
    <x v="19"/>
    <x v="4"/>
    <s v="C:\Users\andre\Desktop\REACTIV CEFAS\Prochloraz\Prochloraz/20201117_Cefas_Test6-Run2/Plate 5/@21/E12_03.tif "/>
    <s v=" 48537.4835 "/>
    <s v=" 41.3957 "/>
    <x v="0"/>
    <n v="2009244"/>
    <m/>
    <m/>
    <m/>
  </r>
  <r>
    <x v="19"/>
    <x v="5"/>
    <s v="C:\Users\andre\Desktop\REACTIV CEFAS\Prochloraz\Prochloraz/20201117_Cefas_Test6-Run2/Plate 5/@21/F12_01.tif "/>
    <s v=" 22473.4605 "/>
    <s v=" 33.9971 "/>
    <x v="0"/>
    <n v="764033"/>
    <m/>
    <m/>
    <m/>
  </r>
  <r>
    <x v="19"/>
    <x v="5"/>
    <s v="C:\Users\andre\Desktop\REACTIV CEFAS\Prochloraz\Prochloraz/20201117_Cefas_Test6-Run2/Plate 5/@21/F12_02.tif "/>
    <s v=" 27253.6672 "/>
    <s v=" 34.8071 "/>
    <x v="0"/>
    <n v="948622"/>
    <m/>
    <m/>
    <m/>
  </r>
  <r>
    <x v="19"/>
    <x v="5"/>
    <s v="C:\Users\andre\Desktop\REACTIV CEFAS\Prochloraz\Prochloraz/20201117_Cefas_Test6-Run2/Plate 5/@21/F12_03.tif "/>
    <s v=" 25004.1582 "/>
    <s v=" 34.6548 "/>
    <x v="0"/>
    <n v="866515"/>
    <m/>
    <m/>
    <m/>
  </r>
  <r>
    <x v="19"/>
    <x v="6"/>
    <s v="C:\Users\andre\Desktop\REACTIV CEFAS\Prochloraz\Prochloraz/20201117_Cefas_Test6-Run2/Plate 5/@21/G12_01.tif "/>
    <s v=" 55480.6797 "/>
    <s v=" 38.0495 "/>
    <x v="0"/>
    <n v="2111013"/>
    <m/>
    <m/>
    <m/>
  </r>
  <r>
    <x v="19"/>
    <x v="6"/>
    <s v="C:\Users\andre\Desktop\REACTIV CEFAS\Prochloraz\Prochloraz/20201117_Cefas_Test6-Run2/Plate 5/@21/G12_02.tif "/>
    <s v=" 49467.569 "/>
    <s v=" 37.261 "/>
    <x v="0"/>
    <n v="1843213"/>
    <m/>
    <m/>
    <m/>
  </r>
  <r>
    <x v="19"/>
    <x v="6"/>
    <s v="C:\Users\andre\Desktop\REACTIV CEFAS\Prochloraz\Prochloraz/20201117_Cefas_Test6-Run2/Plate 5/@21/G12_03.tif "/>
    <s v=" 49748.7576 "/>
    <s v=" 38.0413 "/>
    <x v="0"/>
    <n v="1892508"/>
    <m/>
    <m/>
    <m/>
  </r>
  <r>
    <x v="19"/>
    <x v="7"/>
    <s v="C:\Users\andre\Desktop\REACTIV CEFAS\Prochloraz\Prochloraz/20201117_Cefas_Test6-Run2/Plate 5/@21/H12_01.tif "/>
    <n v="0"/>
    <n v="0"/>
    <x v="0"/>
    <n v="0"/>
    <m/>
    <m/>
    <m/>
  </r>
  <r>
    <x v="19"/>
    <x v="7"/>
    <s v="C:\Users\andre\Desktop\REACTIV CEFAS\Prochloraz\Prochloraz/20201117_Cefas_Test6-Run2/Plate 5/@21/H12_02- exclu.tif"/>
    <m/>
    <m/>
    <x v="1"/>
    <m/>
    <m/>
    <m/>
    <m/>
  </r>
  <r>
    <x v="19"/>
    <x v="7"/>
    <s v="C:\Users\andre\Desktop\REACTIV CEFAS\Prochloraz\Prochloraz/20201117_Cefas_Test6-Run2/Plate 5/@21/H12_03.tif "/>
    <s v=" 5948.221 "/>
    <s v=" 38.7527 "/>
    <x v="0"/>
    <n v="230510"/>
    <m/>
    <m/>
    <m/>
  </r>
  <r>
    <x v="1"/>
    <x v="8"/>
    <s v=" "/>
    <m/>
    <m/>
    <x v="1"/>
    <m/>
    <m/>
    <m/>
    <m/>
  </r>
  <r>
    <x v="1"/>
    <x v="8"/>
    <s v="group "/>
    <s v=" "/>
    <s v=" mean of mean fluo "/>
    <x v="2"/>
    <s v=" mean of total fluo "/>
    <s v=" SD total fluo "/>
    <s v=" n fluorescent "/>
    <s v=" n total"/>
  </r>
  <r>
    <x v="19"/>
    <x v="9"/>
    <s v="C:\Users\andre\Desktop\REACTIV CEFAS\Prochloraz\Prochloraz/20201117_Cefas_Test6-Run2/Plate 5/@21/ "/>
    <s v=" "/>
    <s v=" 38.1632 "/>
    <x v="21"/>
    <s v=" 1127105.83 "/>
    <s v=" 623768.203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C:\Users\andre\Desktop\REACTIV CEFAS\Prochloraz\Prochloraz/20201117_Cefas_Test6-Run2/Plate 5/@8/A2_01.tif "/>
    <s v=" 4931.616 "/>
    <s v=" 36.8289 "/>
    <x v="0"/>
    <n v="181626"/>
    <m/>
    <m/>
    <m/>
  </r>
  <r>
    <x v="20"/>
    <x v="0"/>
    <s v="C:\Users\andre\Desktop\REACTIV CEFAS\Prochloraz\Prochloraz/20201117_Cefas_Test6-Run2/Plate 5/@8/A2_02.tif "/>
    <s v=" 8111.2105 "/>
    <s v=" 36.8507 "/>
    <x v="0"/>
    <n v="298904"/>
    <m/>
    <m/>
    <m/>
  </r>
  <r>
    <x v="20"/>
    <x v="0"/>
    <s v="C:\Users\andre\Desktop\REACTIV CEFAS\Prochloraz\Prochloraz/20201117_Cefas_Test6-Run2/Plate 5/@8/A2_03.tif "/>
    <s v=" 6272.6694 "/>
    <s v=" 36.2103 "/>
    <x v="0"/>
    <n v="227136"/>
    <m/>
    <m/>
    <m/>
  </r>
  <r>
    <x v="20"/>
    <x v="1"/>
    <s v="C:\Users\andre\Desktop\REACTIV CEFAS\Prochloraz\Prochloraz/20201117_Cefas_Test6-Run2/Plate 5/@8/B2_01.tif "/>
    <s v=" 6294.2993 "/>
    <s v=" 35.2612 "/>
    <x v="0"/>
    <n v="221944"/>
    <m/>
    <m/>
    <m/>
  </r>
  <r>
    <x v="20"/>
    <x v="1"/>
    <s v="C:\Users\andre\Desktop\REACTIV CEFAS\Prochloraz\Prochloraz/20201117_Cefas_Test6-Run2/Plate 5/@8/B2_02.tif "/>
    <s v=" 7483.9435 "/>
    <s v=" 37.5694 "/>
    <x v="0"/>
    <n v="281167"/>
    <m/>
    <m/>
    <m/>
  </r>
  <r>
    <x v="20"/>
    <x v="1"/>
    <s v="C:\Users\andre\Desktop\REACTIV CEFAS\Prochloraz\Prochloraz/20201117_Cefas_Test6-Run2/Plate 5/@8/B2_03.tif "/>
    <s v=" 4131.3099 "/>
    <s v=" 35.7853 "/>
    <x v="0"/>
    <n v="147840"/>
    <m/>
    <m/>
    <m/>
  </r>
  <r>
    <x v="20"/>
    <x v="2"/>
    <s v="C:\Users\andre\Desktop\REACTIV CEFAS\Prochloraz\Prochloraz/20201117_Cefas_Test6-Run2/Plate 5/@8/C2_01.tif "/>
    <s v=" 9257.5949 "/>
    <s v=" 36.7921 "/>
    <x v="0"/>
    <n v="340606"/>
    <m/>
    <m/>
    <m/>
  </r>
  <r>
    <x v="20"/>
    <x v="2"/>
    <s v="C:\Users\andre\Desktop\REACTIV CEFAS\Prochloraz\Prochloraz/20201117_Cefas_Test6-Run2/Plate 5/@8/C2_02.tif "/>
    <s v=" 21.6299 "/>
    <n v="30"/>
    <x v="0"/>
    <n v="649"/>
    <m/>
    <m/>
    <m/>
  </r>
  <r>
    <x v="20"/>
    <x v="2"/>
    <s v="C:\Users\andre\Desktop\REACTIV CEFAS\Prochloraz\Prochloraz/20201117_Cefas_Test6-Run2/Plate 5/@8/C2_03.tif "/>
    <s v=" 64.8897 "/>
    <s v=" 30.3333 "/>
    <x v="0"/>
    <n v="1968"/>
    <m/>
    <m/>
    <m/>
  </r>
  <r>
    <x v="20"/>
    <x v="3"/>
    <s v="C:\Users\andre\Desktop\REACTIV CEFAS\Prochloraz\Prochloraz/20201117_Cefas_Test6-Run2/Plate 5/@8/D2_01.tif "/>
    <s v=" 10447.2391 "/>
    <s v=" 41.1843 "/>
    <x v="0"/>
    <n v="430262"/>
    <m/>
    <m/>
    <m/>
  </r>
  <r>
    <x v="20"/>
    <x v="3"/>
    <s v="C:\Users\andre\Desktop\REACTIV CEFAS\Prochloraz\Prochloraz/20201117_Cefas_Test6-Run2/Plate 5/@8/D2_02.tif "/>
    <s v=" 8911.5166 "/>
    <s v=" 33.551 "/>
    <x v="0"/>
    <n v="298990"/>
    <m/>
    <m/>
    <m/>
  </r>
  <r>
    <x v="20"/>
    <x v="3"/>
    <s v="C:\Users\andre\Desktop\REACTIV CEFAS\Prochloraz\Prochloraz/20201117_Cefas_Test6-Run2/Plate 5/@8/D2_03.tif "/>
    <s v=" 8760.1073 "/>
    <s v=" 42.1235 "/>
    <x v="0"/>
    <n v="369006"/>
    <m/>
    <m/>
    <m/>
  </r>
  <r>
    <x v="20"/>
    <x v="4"/>
    <s v="C:\Users\andre\Desktop\REACTIV CEFAS\Prochloraz\Prochloraz/20201117_Cefas_Test6-Run2/Plate 5/@8/E2_01.tif "/>
    <s v=" 64.8897 "/>
    <s v=" 30.3333 "/>
    <x v="0"/>
    <n v="1968"/>
    <m/>
    <m/>
    <m/>
  </r>
  <r>
    <x v="20"/>
    <x v="4"/>
    <s v="C:\Users\andre\Desktop\REACTIV CEFAS\Prochloraz\Prochloraz/20201117_Cefas_Test6-Run2/Plate 5/@8/E2_02.tif "/>
    <s v=" 151.4093 "/>
    <s v=" 33.7143 "/>
    <x v="0"/>
    <n v="5105"/>
    <m/>
    <m/>
    <m/>
  </r>
  <r>
    <x v="20"/>
    <x v="4"/>
    <s v="C:\Users\andre\Desktop\REACTIV CEFAS\Prochloraz\Prochloraz/20201117_Cefas_Test6-Run2/Plate 5/@8/E2_03.tif "/>
    <s v=" 216.2989 "/>
    <s v=" 32.9 "/>
    <x v="0"/>
    <n v="7116"/>
    <m/>
    <m/>
    <m/>
  </r>
  <r>
    <x v="20"/>
    <x v="5"/>
    <s v="C:\Users\andre\Desktop\REACTIV CEFAS\Prochloraz\Prochloraz/20201117_Cefas_Test6-Run2/Plate 5/@8/F2_01- exclu.tif"/>
    <m/>
    <m/>
    <x v="1"/>
    <m/>
    <m/>
    <m/>
    <m/>
  </r>
  <r>
    <x v="20"/>
    <x v="5"/>
    <s v="C:\Users\andre\Desktop\REACTIV CEFAS\Prochloraz\Prochloraz/20201117_Cefas_Test6-Run2/Plate 5/@8/F2_02.tif "/>
    <s v=" 5147.9149 "/>
    <s v=" 35.0588 "/>
    <x v="0"/>
    <n v="180480"/>
    <m/>
    <m/>
    <m/>
  </r>
  <r>
    <x v="20"/>
    <x v="5"/>
    <s v="C:\Users\andre\Desktop\REACTIV CEFAS\Prochloraz\Prochloraz/20201117_Cefas_Test6-Run2/Plate 5/@8/F2_03.tif "/>
    <s v=" 129.7794 "/>
    <s v=" 31.8333 "/>
    <x v="0"/>
    <n v="4131"/>
    <m/>
    <m/>
    <m/>
  </r>
  <r>
    <x v="20"/>
    <x v="6"/>
    <s v="C:\Users\andre\Desktop\REACTIV CEFAS\Prochloraz\Prochloraz/20201117_Cefas_Test6-Run2/Plate 5/@8/G2_01.tif "/>
    <s v=" 12199.2606 "/>
    <s v=" 41.6862 "/>
    <x v="0"/>
    <n v="508540"/>
    <m/>
    <m/>
    <m/>
  </r>
  <r>
    <x v="20"/>
    <x v="6"/>
    <s v="C:\Users\andre\Desktop\REACTIV CEFAS\Prochloraz\Prochloraz/20201117_Cefas_Test6-Run2/Plate 5/@8/G2_02.tif "/>
    <s v=" 11225.9153 "/>
    <s v=" 42.9229 "/>
    <x v="0"/>
    <n v="481849"/>
    <m/>
    <m/>
    <m/>
  </r>
  <r>
    <x v="20"/>
    <x v="6"/>
    <s v="C:\Users\andre\Desktop\REACTIV CEFAS\Prochloraz\Prochloraz/20201117_Cefas_Test6-Run2/Plate 5/@8/G2_03.tif "/>
    <s v=" 5775.1819 "/>
    <s v=" 43.8127 "/>
    <x v="0"/>
    <n v="253027"/>
    <m/>
    <m/>
    <m/>
  </r>
  <r>
    <x v="20"/>
    <x v="7"/>
    <s v="C:\Users\andre\Desktop\REACTIV CEFAS\Prochloraz\Prochloraz/20201117_Cefas_Test6-Run2/Plate 5/@8/H2_01.tif "/>
    <s v=" 1081.4947 "/>
    <s v=" 38.72 "/>
    <x v="0"/>
    <n v="41875"/>
    <m/>
    <m/>
    <m/>
  </r>
  <r>
    <x v="20"/>
    <x v="7"/>
    <s v="C:\Users\andre\Desktop\REACTIV CEFAS\Prochloraz\Prochloraz/20201117_Cefas_Test6-Run2/Plate 5/@8/H2_02.tif "/>
    <s v=" 13475.4244 "/>
    <s v=" 47.7624 "/>
    <x v="0"/>
    <n v="643619"/>
    <m/>
    <m/>
    <m/>
  </r>
  <r>
    <x v="20"/>
    <x v="7"/>
    <s v="C:\Users\andre\Desktop\REACTIV CEFAS\Prochloraz\Prochloraz/20201117_Cefas_Test6-Run2/Plate 5/@8/H2_03.tif "/>
    <s v=" 14729.9582 "/>
    <s v=" 46.9721 "/>
    <x v="0"/>
    <n v="691897"/>
    <m/>
    <m/>
    <m/>
  </r>
  <r>
    <x v="1"/>
    <x v="8"/>
    <s v=" "/>
    <m/>
    <m/>
    <x v="1"/>
    <m/>
    <m/>
    <m/>
    <m/>
  </r>
  <r>
    <x v="1"/>
    <x v="8"/>
    <s v="group "/>
    <s v=" "/>
    <s v=" mean of mean fluo "/>
    <x v="2"/>
    <s v=" mean of total fluo "/>
    <s v=" SD total fluo "/>
    <s v=" n fluorescent "/>
    <s v=" n total"/>
  </r>
  <r>
    <x v="20"/>
    <x v="9"/>
    <s v="C:\Users\andre\Desktop\REACTIV CEFAS\Prochloraz\Prochloraz/20201117_Cefas_Test6-Run2/Plate 5/@8/ "/>
    <s v=" "/>
    <s v=" 37.0086 "/>
    <x v="22"/>
    <s v=" 234181.417 "/>
    <s v=" 210260.57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C:\Users\andre\Desktop\REACTIV CEFAS\Prochloraz\Prochloraz/20201117_Cefas_Test6-Run2/Plate 5/@9/A3_01.tif "/>
    <s v=" 7700.2425 "/>
    <s v=" 37.1629 "/>
    <x v="0"/>
    <n v="286164"/>
    <m/>
    <m/>
    <m/>
  </r>
  <r>
    <x v="21"/>
    <x v="0"/>
    <s v="C:\Users\andre\Desktop\REACTIV CEFAS\Prochloraz\Prochloraz/20201117_Cefas_Test6-Run2/Plate 5/@9/A3_02.tif "/>
    <s v=" 4261.0892 "/>
    <s v=" 36.2995 "/>
    <x v="0"/>
    <n v="154675"/>
    <m/>
    <m/>
    <m/>
  </r>
  <r>
    <x v="21"/>
    <x v="0"/>
    <s v="C:\Users\andre\Desktop\REACTIV CEFAS\Prochloraz\Prochloraz/20201117_Cefas_Test6-Run2/Plate 5/@9/A3_03.tif "/>
    <s v=" 5083.0252 "/>
    <s v=" 36.7404 "/>
    <x v="0"/>
    <n v="186753"/>
    <m/>
    <m/>
    <m/>
  </r>
  <r>
    <x v="21"/>
    <x v="1"/>
    <s v="C:\Users\andre\Desktop\REACTIV CEFAS\Prochloraz\Prochloraz/20201117_Cefas_Test6-Run2/Plate 5/@9/B3_01.tif "/>
    <s v=" 6726.8972 "/>
    <s v=" 38.4084 "/>
    <x v="0"/>
    <n v="258369"/>
    <m/>
    <m/>
    <m/>
  </r>
  <r>
    <x v="21"/>
    <x v="1"/>
    <s v="C:\Users\andre\Desktop\REACTIV CEFAS\Prochloraz\Prochloraz/20201117_Cefas_Test6-Run2/Plate 5/@9/B3_02.tif "/>
    <s v=" 6488.9684 "/>
    <s v=" 36.85 "/>
    <x v="0"/>
    <n v="239118"/>
    <m/>
    <m/>
    <m/>
  </r>
  <r>
    <x v="21"/>
    <x v="1"/>
    <s v="C:\Users\andre\Desktop\REACTIV CEFAS\Prochloraz\Prochloraz/20201117_Cefas_Test6-Run2/Plate 5/@9/B3_03.tif "/>
    <s v=" 2682.1069 "/>
    <s v=" 36.129 "/>
    <x v="0"/>
    <n v="96902"/>
    <m/>
    <m/>
    <m/>
  </r>
  <r>
    <x v="21"/>
    <x v="2"/>
    <s v="C:\Users\andre\Desktop\REACTIV CEFAS\Prochloraz\Prochloraz/20201117_Cefas_Test6-Run2/Plate 5/@9/C3_01.tif "/>
    <s v=" 259.5587 "/>
    <s v=" 32.4167 "/>
    <x v="0"/>
    <n v="8414"/>
    <m/>
    <m/>
    <m/>
  </r>
  <r>
    <x v="21"/>
    <x v="2"/>
    <s v="C:\Users\andre\Desktop\REACTIV CEFAS\Prochloraz\Prochloraz/20201117_Cefas_Test6-Run2/Plate 5/@9/C3_02.tif "/>
    <s v=" 2379.2884 "/>
    <s v=" 32.9636 "/>
    <x v="0"/>
    <n v="78430"/>
    <m/>
    <m/>
    <m/>
  </r>
  <r>
    <x v="21"/>
    <x v="2"/>
    <s v="C:\Users\andre\Desktop\REACTIV CEFAS\Prochloraz\Prochloraz/20201117_Cefas_Test6-Run2/Plate 5/@9/C3_03.tif "/>
    <s v=" 6553.8581 "/>
    <s v=" 37.4422 "/>
    <x v="0"/>
    <n v="245391"/>
    <m/>
    <m/>
    <m/>
  </r>
  <r>
    <x v="21"/>
    <x v="3"/>
    <s v="C:\Users\andre\Desktop\REACTIV CEFAS\Prochloraz\Prochloraz/20201117_Cefas_Test6-Run2/Plate 5/@9/D3_01.tif "/>
    <s v=" 7116.2353 "/>
    <s v=" 36.9696 "/>
    <x v="0"/>
    <n v="263084"/>
    <m/>
    <m/>
    <m/>
  </r>
  <r>
    <x v="21"/>
    <x v="3"/>
    <s v="C:\Users\andre\Desktop\REACTIV CEFAS\Prochloraz\Prochloraz/20201117_Cefas_Test6-Run2/Plate 5/@9/D3_02.tif "/>
    <s v=" 3093.0749 "/>
    <s v=" 36.028 "/>
    <x v="0"/>
    <n v="111437"/>
    <m/>
    <m/>
    <m/>
  </r>
  <r>
    <x v="21"/>
    <x v="3"/>
    <s v="C:\Users\andre\Desktop\REACTIV CEFAS\Prochloraz\Prochloraz/20201117_Cefas_Test6-Run2/Plate 5/@9/D3_03.tif "/>
    <s v=" 5429.1036 "/>
    <s v=" 36.3147 "/>
    <x v="0"/>
    <n v="197156"/>
    <m/>
    <m/>
    <m/>
  </r>
  <r>
    <x v="21"/>
    <x v="4"/>
    <s v="C:\Users\andre\Desktop\REACTIV CEFAS\Prochloraz\Prochloraz/20201117_Cefas_Test6-Run2/Plate 5/@9/E3_01- exclu.tif"/>
    <m/>
    <m/>
    <x v="1"/>
    <m/>
    <m/>
    <m/>
    <m/>
  </r>
  <r>
    <x v="21"/>
    <x v="4"/>
    <s v="C:\Users\andre\Desktop\REACTIV CEFAS\Prochloraz\Prochloraz/20201117_Cefas_Test6-Run2/Plate 5/@9/E3_02.tif "/>
    <s v=" 6618.7478 "/>
    <s v=" 37.6667 "/>
    <x v="0"/>
    <n v="249306"/>
    <m/>
    <m/>
    <m/>
  </r>
  <r>
    <x v="21"/>
    <x v="4"/>
    <s v="C:\Users\andre\Desktop\REACTIV CEFAS\Prochloraz\Prochloraz/20201117_Cefas_Test6-Run2/Plate 5/@9/E3_03.tif "/>
    <n v="0"/>
    <n v="0"/>
    <x v="0"/>
    <n v="0"/>
    <m/>
    <m/>
    <m/>
  </r>
  <r>
    <x v="21"/>
    <x v="5"/>
    <s v="C:\Users\andre\Desktop\REACTIV CEFAS\Prochloraz\Prochloraz/20201117_Cefas_Test6-Run2/Plate 5/@9/F3_01.tif "/>
    <s v=" 2357.6585 "/>
    <s v=" 33.4128 "/>
    <x v="0"/>
    <n v="78776"/>
    <m/>
    <m/>
    <m/>
  </r>
  <r>
    <x v="21"/>
    <x v="5"/>
    <s v="C:\Users\andre\Desktop\REACTIV CEFAS\Prochloraz\Prochloraz/20201117_Cefas_Test6-Run2/Plate 5/@9/F3_02.tif "/>
    <s v=" 3525.6728 "/>
    <s v=" 35.3988 "/>
    <x v="0"/>
    <n v="124804"/>
    <m/>
    <m/>
    <m/>
  </r>
  <r>
    <x v="21"/>
    <x v="5"/>
    <s v="C:\Users\andre\Desktop\REACTIV CEFAS\Prochloraz\Prochloraz/20201117_Cefas_Test6-Run2/Plate 5/@9/F3_03.tif "/>
    <s v=" 3266.1141 "/>
    <s v=" 35.596 "/>
    <x v="0"/>
    <n v="116261"/>
    <m/>
    <m/>
    <m/>
  </r>
  <r>
    <x v="21"/>
    <x v="6"/>
    <s v="C:\Users\andre\Desktop\REACTIV CEFAS\Prochloraz\Prochloraz/20201117_Cefas_Test6-Run2/Plate 5/@9/G3_01.tif "/>
    <s v=" 11680.1431 "/>
    <s v=" 38.287 "/>
    <x v="0"/>
    <n v="447198"/>
    <m/>
    <m/>
    <m/>
  </r>
  <r>
    <x v="21"/>
    <x v="6"/>
    <s v="C:\Users\andre\Desktop\REACTIV CEFAS\Prochloraz\Prochloraz/20201117_Cefas_Test6-Run2/Plate 5/@9/G3_02.tif "/>
    <s v=" 9884.8618 "/>
    <s v=" 46.7374 "/>
    <x v="0"/>
    <n v="461993"/>
    <m/>
    <m/>
    <m/>
  </r>
  <r>
    <x v="21"/>
    <x v="6"/>
    <s v="C:\Users\andre\Desktop\REACTIV CEFAS\Prochloraz\Prochloraz/20201117_Cefas_Test6-Run2/Plate 5/@9/G3_03.tif "/>
    <s v=" 11593.6235 "/>
    <s v=" 48.944 "/>
    <x v="0"/>
    <n v="567439"/>
    <m/>
    <m/>
    <m/>
  </r>
  <r>
    <x v="21"/>
    <x v="7"/>
    <s v="C:\Users\andre\Desktop\REACTIV CEFAS\Prochloraz\Prochloraz/20201117_Cefas_Test6-Run2/Plate 5/@9/H3_01.tif "/>
    <s v=" 3720.3419 "/>
    <s v=" 39.657 "/>
    <x v="0"/>
    <n v="147538"/>
    <m/>
    <m/>
    <m/>
  </r>
  <r>
    <x v="21"/>
    <x v="7"/>
    <s v="C:\Users\andre\Desktop\REACTIV CEFAS\Prochloraz\Prochloraz/20201117_Cefas_Test6-Run2/Plate 5/@9/H3_02.tif "/>
    <s v=" 9819.9722 "/>
    <s v=" 41.3436 "/>
    <x v="0"/>
    <n v="405993"/>
    <m/>
    <m/>
    <m/>
  </r>
  <r>
    <x v="21"/>
    <x v="7"/>
    <s v="C:\Users\andre\Desktop\REACTIV CEFAS\Prochloraz\Prochloraz/20201117_Cefas_Test6-Run2/Plate 5/@9/H3_03- exclu.tif"/>
    <m/>
    <m/>
    <x v="1"/>
    <m/>
    <m/>
    <m/>
    <m/>
  </r>
  <r>
    <x v="1"/>
    <x v="8"/>
    <s v=" "/>
    <m/>
    <m/>
    <x v="1"/>
    <m/>
    <m/>
    <m/>
    <m/>
  </r>
  <r>
    <x v="1"/>
    <x v="8"/>
    <s v="group "/>
    <s v=" "/>
    <s v=" mean of mean fluo "/>
    <x v="2"/>
    <s v=" mean of total fluo "/>
    <s v=" SD total fluo "/>
    <s v=" n fluorescent "/>
    <s v=" n total"/>
  </r>
  <r>
    <x v="21"/>
    <x v="9"/>
    <s v="C:\Users\andre\Desktop\REACTIV CEFAS\Prochloraz\Prochloraz/20201117_Cefas_Test6-Run2/Plate 5/@9/ "/>
    <s v=" "/>
    <s v=" 36.5668 "/>
    <x v="23"/>
    <s v=" 232276.167 "/>
    <s v=" 163751.202 "/>
    <n v="23"/>
    <n v="24"/>
  </r>
  <r>
    <x v="1"/>
    <x v="8"/>
    <m/>
    <m/>
    <m/>
    <x v="1"/>
    <m/>
    <m/>
    <m/>
    <m/>
  </r>
  <r>
    <x v="0"/>
    <x v="0"/>
    <s v="C:\Users\andre\Desktop\REACTIV CEFAS\Prochloraz\Prochloraz/20201219_Cefas_Test10_Run2/Plate 1/@1/A10_01.tif "/>
    <s v=" 13691.7233 "/>
    <s v=" 38.6272 "/>
    <x v="0"/>
    <n v="528873"/>
    <m/>
    <m/>
    <m/>
  </r>
  <r>
    <x v="0"/>
    <x v="0"/>
    <s v="C:\Users\andre\Desktop\REACTIV CEFAS\Prochloraz\Prochloraz/20201219_Cefas_Test10_Run2/Plate 1/@1/A10_02.tif "/>
    <s v=" 12177.6307 "/>
    <s v=" 37.3179 "/>
    <x v="0"/>
    <n v="454444"/>
    <m/>
    <m/>
    <m/>
  </r>
  <r>
    <x v="0"/>
    <x v="0"/>
    <s v="C:\Users\andre\Desktop\REACTIV CEFAS\Prochloraz\Prochloraz/20201219_Cefas_Test10_Run2/Plate 1/@1/A10_03.tif "/>
    <s v=" 9452.264 "/>
    <s v=" 35.7002 "/>
    <x v="0"/>
    <n v="337448"/>
    <m/>
    <m/>
    <m/>
  </r>
  <r>
    <x v="0"/>
    <x v="0"/>
    <s v="C:\Users\andre\Desktop\REACTIV CEFAS\Prochloraz\Prochloraz/20201219_Cefas_Test10_Run2/Plate 1/@1/A10_04.tif "/>
    <s v=" 648.8968 "/>
    <s v=" 33.5333 "/>
    <x v="0"/>
    <n v="21760"/>
    <m/>
    <m/>
    <m/>
  </r>
  <r>
    <x v="0"/>
    <x v="1"/>
    <s v="C:\Users\andre\Desktop\REACTIV CEFAS\Prochloraz\Prochloraz/20201219_Cefas_Test10_Run2/Plate 1/@1/B10_01.tif "/>
    <s v=" 9495.5237 "/>
    <s v=" 41.9385 "/>
    <x v="0"/>
    <n v="398228"/>
    <m/>
    <m/>
    <m/>
  </r>
  <r>
    <x v="0"/>
    <x v="1"/>
    <s v="C:\Users\andre\Desktop\REACTIV CEFAS\Prochloraz\Prochloraz/20201219_Cefas_Test10_Run2/Plate 1/@1/B10_02.tif "/>
    <s v=" 8781.7372 "/>
    <s v=" 41.3768 "/>
    <x v="0"/>
    <n v="363361"/>
    <m/>
    <m/>
    <m/>
  </r>
  <r>
    <x v="0"/>
    <x v="1"/>
    <s v="C:\Users\andre\Desktop\REACTIV CEFAS\Prochloraz\Prochloraz/20201219_Cefas_Test10_Run2/Plate 1/@1/B10_03.tif "/>
    <s v=" 7743.5023 "/>
    <s v=" 42.0698 "/>
    <x v="0"/>
    <n v="325768"/>
    <m/>
    <m/>
    <m/>
  </r>
  <r>
    <x v="0"/>
    <x v="1"/>
    <s v="C:\Users\andre\Desktop\REACTIV CEFAS\Prochloraz\Prochloraz/20201219_Cefas_Test10_Run2/Plate 1/@1/B10_04.tif "/>
    <n v="0"/>
    <n v="0"/>
    <x v="0"/>
    <n v="0"/>
    <m/>
    <m/>
    <m/>
  </r>
  <r>
    <x v="0"/>
    <x v="2"/>
    <s v="C:\Users\andre\Desktop\REACTIV CEFAS\Prochloraz\Prochloraz/20201219_Cefas_Test10_Run2/Plate 1/@1/C10_01.tif "/>
    <s v=" 8954.7764 "/>
    <s v=" 38.4903 "/>
    <x v="0"/>
    <n v="344672"/>
    <m/>
    <m/>
    <m/>
  </r>
  <r>
    <x v="0"/>
    <x v="2"/>
    <s v="C:\Users\andre\Desktop\REACTIV CEFAS\Prochloraz\Prochloraz/20201219_Cefas_Test10_Run2/Plate 1/@1/C10_02.tif "/>
    <s v=" 8370.7692 "/>
    <s v=" 36.7804 "/>
    <x v="0"/>
    <n v="307880"/>
    <m/>
    <m/>
    <m/>
  </r>
  <r>
    <x v="0"/>
    <x v="2"/>
    <s v="C:\Users\andre\Desktop\REACTIV CEFAS\Prochloraz\Prochloraz/20201219_Cefas_Test10_Run2/Plate 1/@1/C10_03.tif "/>
    <s v=" 8370.7692 "/>
    <s v=" 36.7752 "/>
    <x v="0"/>
    <n v="307837"/>
    <m/>
    <m/>
    <m/>
  </r>
  <r>
    <x v="0"/>
    <x v="2"/>
    <s v="C:\Users\andre\Desktop\REACTIV CEFAS\Prochloraz\Prochloraz/20201219_Cefas_Test10_Run2/Plate 1/@1/C10_04.tif "/>
    <s v=" 8587.0682 "/>
    <s v=" 38.4106 "/>
    <x v="0"/>
    <n v="329834"/>
    <m/>
    <m/>
    <m/>
  </r>
  <r>
    <x v="0"/>
    <x v="3"/>
    <s v="C:\Users\andre\Desktop\REACTIV CEFAS\Prochloraz\Prochloraz/20201219_Cefas_Test10_Run2/Plate 1/@1/D10_01- exclu.tif"/>
    <m/>
    <m/>
    <x v="1"/>
    <m/>
    <m/>
    <m/>
    <m/>
  </r>
  <r>
    <x v="0"/>
    <x v="3"/>
    <s v="C:\Users\andre\Desktop\REACTIV CEFAS\Prochloraz\Prochloraz/20201219_Cefas_Test10_Run2/Plate 1/@1/D10_02.tif "/>
    <s v=" 11853.1823 "/>
    <s v=" 41.1989 "/>
    <x v="0"/>
    <n v="488338"/>
    <m/>
    <m/>
    <m/>
  </r>
  <r>
    <x v="0"/>
    <x v="3"/>
    <s v="C:\Users\andre\Desktop\REACTIV CEFAS\Prochloraz\Prochloraz/20201219_Cefas_Test10_Run2/Plate 1/@1/D10_03.tif "/>
    <s v=" 10166.0505 "/>
    <s v=" 37.1426 "/>
    <x v="0"/>
    <n v="377593"/>
    <m/>
    <m/>
    <m/>
  </r>
  <r>
    <x v="0"/>
    <x v="3"/>
    <s v="C:\Users\andre\Desktop\REACTIV CEFAS\Prochloraz\Prochloraz/20201219_Cefas_Test10_Run2/Plate 1/@1/D10_04.tif "/>
    <s v=" 9171.0753 "/>
    <s v=" 43.5802 "/>
    <x v="0"/>
    <n v="399677"/>
    <m/>
    <m/>
    <m/>
  </r>
  <r>
    <x v="0"/>
    <x v="4"/>
    <s v="C:\Users\andre\Desktop\REACTIV CEFAS\Prochloraz\Prochloraz/20201219_Cefas_Test10_Run2/Plate 1/@1/E10_01.tif "/>
    <s v=" 8414.029 "/>
    <s v=" 43.2211 "/>
    <x v="0"/>
    <n v="363663"/>
    <m/>
    <m/>
    <m/>
  </r>
  <r>
    <x v="0"/>
    <x v="4"/>
    <s v="C:\Users\andre\Desktop\REACTIV CEFAS\Prochloraz\Prochloraz/20201219_Cefas_Test10_Run2/Plate 1/@1/E10_02.tif "/>
    <s v=" 5731.9221 "/>
    <s v=" 40.7208 "/>
    <x v="0"/>
    <n v="233408"/>
    <m/>
    <m/>
    <m/>
  </r>
  <r>
    <x v="0"/>
    <x v="4"/>
    <s v="C:\Users\andre\Desktop\REACTIV CEFAS\Prochloraz\Prochloraz/20201219_Cefas_Test10_Run2/Plate 1/@1/E10_03.tif "/>
    <s v=" 5904.9612 "/>
    <s v=" 40.8755 "/>
    <x v="0"/>
    <n v="241368"/>
    <m/>
    <m/>
    <m/>
  </r>
  <r>
    <x v="0"/>
    <x v="4"/>
    <s v="C:\Users\andre\Desktop\REACTIV CEFAS\Prochloraz\Prochloraz/20201219_Cefas_Test10_Run2/Plate 1/@1/E10_04.tif "/>
    <s v=" 9690.1928 "/>
    <s v=" 42.0848 "/>
    <x v="0"/>
    <n v="407810"/>
    <m/>
    <m/>
    <m/>
  </r>
  <r>
    <x v="0"/>
    <x v="5"/>
    <s v="C:\Users\andre\Desktop\REACTIV CEFAS\Prochloraz\Prochloraz/20201219_Cefas_Test10_Run2/Plate 1/@1/F10_01.tif "/>
    <s v=" 14621.8088 "/>
    <s v=" 43.8491 "/>
    <x v="0"/>
    <n v="641153"/>
    <m/>
    <m/>
    <m/>
  </r>
  <r>
    <x v="0"/>
    <x v="5"/>
    <s v="C:\Users\andre\Desktop\REACTIV CEFAS\Prochloraz\Prochloraz/20201219_Cefas_Test10_Run2/Plate 1/@1/F10_02.tif "/>
    <s v=" 4866.7263 "/>
    <s v=" 42.2933 "/>
    <x v="0"/>
    <n v="205830"/>
    <m/>
    <m/>
    <m/>
  </r>
  <r>
    <x v="0"/>
    <x v="5"/>
    <s v="C:\Users\andre\Desktop\REACTIV CEFAS\Prochloraz\Prochloraz/20201219_Cefas_Test10_Run2/Plate 1/@1/F10_03.tif "/>
    <s v=" 9127.8155 "/>
    <s v=" 40.2867 "/>
    <x v="0"/>
    <n v="367730"/>
    <m/>
    <m/>
    <m/>
  </r>
  <r>
    <x v="0"/>
    <x v="5"/>
    <s v="C:\Users\andre\Desktop\REACTIV CEFAS\Prochloraz\Prochloraz/20201219_Cefas_Test10_Run2/Plate 1/@1/F10_04.tif "/>
    <s v=" 12415.5595 "/>
    <s v=" 45.3118 "/>
    <x v="0"/>
    <n v="562572"/>
    <m/>
    <m/>
    <m/>
  </r>
  <r>
    <x v="0"/>
    <x v="6"/>
    <s v="C:\Users\andre\Desktop\REACTIV CEFAS\Prochloraz\Prochloraz/20201219_Cefas_Test10_Run2/Plate 1/@1/G10_01.tif "/>
    <s v=" 13237.4955 "/>
    <s v=" 41.3121 "/>
    <x v="0"/>
    <n v="546869"/>
    <m/>
    <m/>
    <m/>
  </r>
  <r>
    <x v="0"/>
    <x v="6"/>
    <s v="C:\Users\andre\Desktop\REACTIV CEFAS\Prochloraz\Prochloraz/20201219_Cefas_Test10_Run2/Plate 1/@1/G10_02.tif "/>
    <s v=" 13670.0934 "/>
    <s v=" 43.6978 "/>
    <x v="0"/>
    <n v="597353"/>
    <m/>
    <m/>
    <m/>
  </r>
  <r>
    <x v="0"/>
    <x v="6"/>
    <s v="C:\Users\andre\Desktop\REACTIV CEFAS\Prochloraz\Prochloraz/20201219_Cefas_Test10_Run2/Plate 1/@1/G10_03.tif "/>
    <s v=" 12264.1503 "/>
    <s v=" 43.6014 "/>
    <x v="0"/>
    <n v="534734"/>
    <m/>
    <m/>
    <m/>
  </r>
  <r>
    <x v="0"/>
    <x v="6"/>
    <s v="C:\Users\andre\Desktop\REACTIV CEFAS\Prochloraz\Prochloraz/20201219_Cefas_Test10_Run2/Plate 1/@1/G10_04.tif "/>
    <s v=" 8457.2888 "/>
    <s v=" 40.3683 "/>
    <x v="0"/>
    <n v="341406"/>
    <m/>
    <m/>
    <m/>
  </r>
  <r>
    <x v="0"/>
    <x v="7"/>
    <s v="C:\Users\andre\Desktop\REACTIV CEFAS\Prochloraz\Prochloraz/20201219_Cefas_Test10_Run2/Plate 1/@1/H10_01.tif "/>
    <s v=" 8889.8867 "/>
    <s v=" 37.9878 "/>
    <x v="0"/>
    <n v="337708"/>
    <m/>
    <m/>
    <m/>
  </r>
  <r>
    <x v="0"/>
    <x v="7"/>
    <s v="C:\Users\andre\Desktop\REACTIV CEFAS\Prochloraz\Prochloraz/20201219_Cefas_Test10_Run2/Plate 1/@1/H10_02.tif "/>
    <s v=" 5147.9149 "/>
    <s v=" 38.8277 "/>
    <x v="0"/>
    <n v="199882"/>
    <m/>
    <m/>
    <m/>
  </r>
  <r>
    <x v="0"/>
    <x v="7"/>
    <s v="C:\Users\andre\Desktop\REACTIV CEFAS\Prochloraz\Prochloraz/20201219_Cefas_Test10_Run2/Plate 1/@1/H10_03.tif "/>
    <s v=" 6683.6374 "/>
    <s v=" 39.1003 "/>
    <x v="0"/>
    <n v="261332"/>
    <m/>
    <m/>
    <m/>
  </r>
  <r>
    <x v="0"/>
    <x v="7"/>
    <s v="C:\Users\andre\Desktop\REACTIV CEFAS\Prochloraz\Prochloraz/20201219_Cefas_Test10_Run2/Plate 1/@1/H10_04.tif "/>
    <s v=" 64.8897 "/>
    <s v=" 30.3333 "/>
    <x v="0"/>
    <n v="1968"/>
    <m/>
    <m/>
    <m/>
  </r>
  <r>
    <x v="1"/>
    <x v="8"/>
    <s v=" "/>
    <m/>
    <m/>
    <x v="1"/>
    <m/>
    <m/>
    <m/>
    <m/>
  </r>
  <r>
    <x v="1"/>
    <x v="8"/>
    <s v="group "/>
    <s v=" "/>
    <s v=" mean of mean fluo "/>
    <x v="2"/>
    <s v=" mean of total fluo "/>
    <s v=" SD total fluo "/>
    <s v=" n fluorescent "/>
    <s v=" n total"/>
  </r>
  <r>
    <x v="0"/>
    <x v="9"/>
    <s v="C:\Users\andre\Desktop\REACTIV CEFAS\Prochloraz\Prochloraz/20201219_Cefas_Test10_Run2/Plate 1/@1/ "/>
    <s v=" "/>
    <s v=" 38.4022 "/>
    <x v="24"/>
    <s v=" 342960.219 "/>
    <s v=" 161574.935 "/>
    <n v="31"/>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C:\Users\andre\Desktop\REACTIV CEFAS\Prochloraz\Prochloraz/20201219_Cefas_Test10_Run2/Plate 1/@13/A8_01.tif "/>
    <s v=" 21218.9266 "/>
    <s v=" 36.7156 "/>
    <x v="0"/>
    <n v="779066"/>
    <m/>
    <m/>
    <m/>
  </r>
  <r>
    <x v="2"/>
    <x v="0"/>
    <s v="C:\Users\andre\Desktop\REACTIV CEFAS\Prochloraz\Prochloraz/20201219_Cefas_Test10_Run2/Plate 1/@13/A8_02.tif "/>
    <s v=" 25847.7241 "/>
    <s v=" 39.1121 "/>
    <x v="0"/>
    <n v="1010960"/>
    <m/>
    <m/>
    <m/>
  </r>
  <r>
    <x v="2"/>
    <x v="0"/>
    <s v="C:\Users\andre\Desktop\REACTIV CEFAS\Prochloraz\Prochloraz/20201219_Cefas_Test10_Run2/Plate 1/@13/A8_03.tif "/>
    <s v=" 23079.0976 "/>
    <s v=" 36.1949 "/>
    <x v="0"/>
    <n v="835347"/>
    <m/>
    <m/>
    <m/>
  </r>
  <r>
    <x v="2"/>
    <x v="0"/>
    <s v="C:\Users\andre\Desktop\REACTIV CEFAS\Prochloraz\Prochloraz/20201219_Cefas_Test10_Run2/Plate 1/@13/A8_04.tif "/>
    <s v=" 32552.9914 "/>
    <s v=" 38.6512 "/>
    <x v="0"/>
    <n v="1258211"/>
    <m/>
    <m/>
    <m/>
  </r>
  <r>
    <x v="2"/>
    <x v="1"/>
    <s v="C:\Users\andre\Desktop\REACTIV CEFAS\Prochloraz\Prochloraz/20201219_Cefas_Test10_Run2/Plate 1/@13/B8_01.tif "/>
    <s v=" 62229.2068 "/>
    <s v=" 40.2218 "/>
    <x v="0"/>
    <n v="2502968"/>
    <m/>
    <m/>
    <m/>
  </r>
  <r>
    <x v="2"/>
    <x v="1"/>
    <s v="C:\Users\andre\Desktop\REACTIV CEFAS\Prochloraz\Prochloraz/20201219_Cefas_Test10_Run2/Plate 1/@13/B8_02.tif "/>
    <s v=" 67074.3032 "/>
    <s v=" 41.3193 "/>
    <x v="0"/>
    <n v="2771460"/>
    <m/>
    <m/>
    <m/>
  </r>
  <r>
    <x v="2"/>
    <x v="1"/>
    <s v="C:\Users\andre\Desktop\REACTIV CEFAS\Prochloraz\Prochloraz/20201219_Cefas_Test10_Run2/Plate 1/@13/B8_03.tif "/>
    <s v=" 66511.926 "/>
    <s v=" 40.5207 "/>
    <x v="0"/>
    <n v="2695107"/>
    <m/>
    <m/>
    <m/>
  </r>
  <r>
    <x v="2"/>
    <x v="1"/>
    <s v="C:\Users\andre\Desktop\REACTIV CEFAS\Prochloraz\Prochloraz/20201219_Cefas_Test10_Run2/Plate 1/@13/B8_04.tif "/>
    <s v=" 59330.801 "/>
    <s v=" 41.9103 "/>
    <x v="0"/>
    <n v="2486573"/>
    <m/>
    <m/>
    <m/>
  </r>
  <r>
    <x v="2"/>
    <x v="2"/>
    <s v="C:\Users\andre\Desktop\REACTIV CEFAS\Prochloraz\Prochloraz/20201219_Cefas_Test10_Run2/Plate 1/@13/C8_01.tif "/>
    <s v=" 58660.2742 "/>
    <s v=" 37.4491 "/>
    <x v="0"/>
    <n v="2196775"/>
    <m/>
    <m/>
    <m/>
  </r>
  <r>
    <x v="2"/>
    <x v="2"/>
    <s v="C:\Users\andre\Desktop\REACTIV CEFAS\Prochloraz\Prochloraz/20201219_Cefas_Test10_Run2/Plate 1/@13/C8_02.tif "/>
    <s v=" 61666.8296 "/>
    <s v=" 37.9362 "/>
    <x v="0"/>
    <n v="2339403"/>
    <m/>
    <m/>
    <m/>
  </r>
  <r>
    <x v="2"/>
    <x v="2"/>
    <s v="C:\Users\andre\Desktop\REACTIV CEFAS\Prochloraz\Prochloraz/20201219_Cefas_Test10_Run2/Plate 1/@13/C8_03.tif "/>
    <s v=" 46698.9425 "/>
    <s v=" 37.9305 "/>
    <x v="0"/>
    <n v="1771315"/>
    <m/>
    <m/>
    <m/>
  </r>
  <r>
    <x v="2"/>
    <x v="2"/>
    <s v="C:\Users\andre\Desktop\REACTIV CEFAS\Prochloraz\Prochloraz/20201219_Cefas_Test10_Run2/Plate 1/@13/C8_04.tif "/>
    <s v=" 54637.1138 "/>
    <s v=" 36.9865 "/>
    <x v="0"/>
    <n v="2020838"/>
    <m/>
    <m/>
    <m/>
  </r>
  <r>
    <x v="2"/>
    <x v="3"/>
    <s v="C:\Users\andre\Desktop\REACTIV CEFAS\Prochloraz\Prochloraz/20201219_Cefas_Test10_Run2/Plate 1/@13/D8_01.tif "/>
    <s v=" 72308.7377 "/>
    <s v=" 47.2629 "/>
    <x v="0"/>
    <n v="3417523"/>
    <m/>
    <m/>
    <m/>
  </r>
  <r>
    <x v="2"/>
    <x v="3"/>
    <s v="C:\Users\andre\Desktop\REACTIV CEFAS\Prochloraz\Prochloraz/20201219_Cefas_Test10_Run2/Plate 1/@13/D8_02.tif "/>
    <s v=" 66403.7765 "/>
    <s v=" 44.1124 "/>
    <x v="0"/>
    <n v="2929228"/>
    <m/>
    <m/>
    <m/>
  </r>
  <r>
    <x v="2"/>
    <x v="3"/>
    <s v="C:\Users\andre\Desktop\REACTIV CEFAS\Prochloraz\Prochloraz/20201219_Cefas_Test10_Run2/Plate 1/@13/D8_03.tif "/>
    <s v=" 65192.5024 "/>
    <s v=" 44.6407 "/>
    <x v="0"/>
    <n v="2910237"/>
    <m/>
    <m/>
    <m/>
  </r>
  <r>
    <x v="2"/>
    <x v="3"/>
    <s v="C:\Users\andre\Desktop\REACTIV CEFAS\Prochloraz\Prochloraz/20201219_Cefas_Test10_Run2/Plate 1/@13/D8_04.tif "/>
    <s v=" 71270.5028 "/>
    <s v=" 48.0373 "/>
    <x v="0"/>
    <n v="3423645"/>
    <m/>
    <m/>
    <m/>
  </r>
  <r>
    <x v="2"/>
    <x v="4"/>
    <s v="C:\Users\andre\Desktop\REACTIV CEFAS\Prochloraz\Prochloraz/20201219_Cefas_Test10_Run2/Plate 1/@13/E8_01.tif "/>
    <s v=" 16373.8302 "/>
    <s v=" 32.8587 "/>
    <x v="0"/>
    <n v="538022"/>
    <m/>
    <m/>
    <m/>
  </r>
  <r>
    <x v="2"/>
    <x v="4"/>
    <s v="C:\Users\andre\Desktop\REACTIV CEFAS\Prochloraz\Prochloraz/20201219_Cefas_Test10_Run2/Plate 1/@13/E8_02.tif "/>
    <s v=" 21802.9338 "/>
    <s v=" 35.0694 "/>
    <x v="0"/>
    <n v="764617"/>
    <m/>
    <m/>
    <m/>
  </r>
  <r>
    <x v="2"/>
    <x v="4"/>
    <s v="C:\Users\andre\Desktop\REACTIV CEFAS\Prochloraz\Prochloraz/20201219_Cefas_Test10_Run2/Plate 1/@13/E8_03.tif "/>
    <s v=" 34780.8706 "/>
    <s v=" 38.5572 "/>
    <x v="0"/>
    <n v="1341053"/>
    <m/>
    <m/>
    <m/>
  </r>
  <r>
    <x v="2"/>
    <x v="4"/>
    <s v="C:\Users\andre\Desktop\REACTIV CEFAS\Prochloraz\Prochloraz/20201219_Cefas_Test10_Run2/Plate 1/@13/E8_04.tif "/>
    <s v=" 27751.1548 "/>
    <s v=" 37.5113 "/>
    <x v="0"/>
    <n v="1040982"/>
    <m/>
    <m/>
    <m/>
  </r>
  <r>
    <x v="2"/>
    <x v="5"/>
    <s v="C:\Users\andre\Desktop\REACTIV CEFAS\Prochloraz\Prochloraz/20201219_Cefas_Test10_Run2/Plate 1/@13/F8_01.tif "/>
    <s v=" 82950.6459 "/>
    <s v=" 40.399 "/>
    <x v="0"/>
    <n v="3351120"/>
    <m/>
    <m/>
    <m/>
  </r>
  <r>
    <x v="2"/>
    <x v="5"/>
    <s v="C:\Users\andre\Desktop\REACTIV CEFAS\Prochloraz\Prochloraz/20201219_Cefas_Test10_Run2/Plate 1/@13/F8_02.tif "/>
    <s v=" 67961.1289 "/>
    <s v=" 38.5401 "/>
    <x v="0"/>
    <n v="2619229"/>
    <m/>
    <m/>
    <m/>
  </r>
  <r>
    <x v="2"/>
    <x v="5"/>
    <s v="C:\Users\andre\Desktop\REACTIV CEFAS\Prochloraz\Prochloraz/20201219_Cefas_Test10_Run2/Plate 1/@13/F8_03.tif "/>
    <s v=" 65019.4633 "/>
    <s v=" 38.503 "/>
    <x v="0"/>
    <n v="2503444"/>
    <m/>
    <m/>
    <m/>
  </r>
  <r>
    <x v="2"/>
    <x v="5"/>
    <s v="C:\Users\andre\Desktop\REACTIV CEFAS\Prochloraz\Prochloraz/20201219_Cefas_Test10_Run2/Plate 1/@13/F8_04.tif "/>
    <s v=" 73822.8304 "/>
    <s v=" 37.792 "/>
    <x v="0"/>
    <n v="2789910"/>
    <m/>
    <m/>
    <m/>
  </r>
  <r>
    <x v="2"/>
    <x v="6"/>
    <s v="C:\Users\andre\Desktop\REACTIV CEFAS\Prochloraz\Prochloraz/20201219_Cefas_Test10_Run2/Plate 1/@13/G8_01.tif "/>
    <s v=" 56951.5126 "/>
    <s v=" 36.9833 "/>
    <x v="0"/>
    <n v="2106254"/>
    <m/>
    <m/>
    <m/>
  </r>
  <r>
    <x v="2"/>
    <x v="6"/>
    <s v="C:\Users\andre\Desktop\REACTIV CEFAS\Prochloraz\Prochloraz/20201219_Cefas_Test10_Run2/Plate 1/@13/G8_02.tif "/>
    <s v=" 52279.4553 "/>
    <s v=" 37.741 "/>
    <x v="0"/>
    <n v="1973079"/>
    <m/>
    <m/>
    <m/>
  </r>
  <r>
    <x v="2"/>
    <x v="6"/>
    <s v="C:\Users\andre\Desktop\REACTIV CEFAS\Prochloraz\Prochloraz/20201219_Cefas_Test10_Run2/Plate 1/@13/G8_03.tif "/>
    <s v=" 69972.7091 "/>
    <s v=" 41.2117 "/>
    <x v="0"/>
    <n v="2883698"/>
    <m/>
    <m/>
    <m/>
  </r>
  <r>
    <x v="2"/>
    <x v="6"/>
    <s v="C:\Users\andre\Desktop\REACTIV CEFAS\Prochloraz\Prochloraz/20201219_Cefas_Test10_Run2/Plate 1/@13/G8_04.tif "/>
    <s v=" 68026.0186 "/>
    <s v=" 39.8124 "/>
    <x v="0"/>
    <n v="2708279"/>
    <m/>
    <m/>
    <m/>
  </r>
  <r>
    <x v="2"/>
    <x v="7"/>
    <s v="C:\Users\andre\Desktop\REACTIV CEFAS\Prochloraz\Prochloraz/20201219_Cefas_Test10_Run2/Plate 1/@13/H8_01.tif "/>
    <s v=" 61126.0822 "/>
    <s v=" 36.6362 "/>
    <x v="0"/>
    <n v="2239430"/>
    <m/>
    <m/>
    <m/>
  </r>
  <r>
    <x v="2"/>
    <x v="7"/>
    <s v="C:\Users\andre\Desktop\REACTIV CEFAS\Prochloraz\Prochloraz/20201219_Cefas_Test10_Run2/Plate 1/@13/H8_02.tif "/>
    <s v=" 59374.0608 "/>
    <s v=" 36.8933 "/>
    <x v="0"/>
    <n v="2190503"/>
    <m/>
    <m/>
    <m/>
  </r>
  <r>
    <x v="2"/>
    <x v="7"/>
    <s v="C:\Users\andre\Desktop\REACTIV CEFAS\Prochloraz\Prochloraz/20201219_Cefas_Test10_Run2/Plate 1/@13/H8_03.tif "/>
    <s v=" 69994.339 "/>
    <s v=" 40.204 "/>
    <x v="0"/>
    <n v="2814049"/>
    <m/>
    <m/>
    <m/>
  </r>
  <r>
    <x v="2"/>
    <x v="7"/>
    <s v="C:\Users\andre\Desktop\REACTIV CEFAS\Prochloraz\Prochloraz/20201219_Cefas_Test10_Run2/Plate 1/@13/H8_04.tif "/>
    <s v=" 65387.1715 "/>
    <s v=" 38.3735 "/>
    <x v="0"/>
    <n v="2509133"/>
    <m/>
    <m/>
    <m/>
  </r>
  <r>
    <x v="1"/>
    <x v="8"/>
    <s v=" "/>
    <m/>
    <m/>
    <x v="1"/>
    <m/>
    <m/>
    <m/>
    <m/>
  </r>
  <r>
    <x v="1"/>
    <x v="8"/>
    <s v="group "/>
    <s v=" "/>
    <s v=" mean of mean fluo "/>
    <x v="2"/>
    <s v=" mean of total fluo "/>
    <s v=" SD total fluo "/>
    <s v=" n fluorescent "/>
    <s v=" n total"/>
  </r>
  <r>
    <x v="2"/>
    <x v="9"/>
    <s v="C:\Users\andre\Desktop\REACTIV CEFAS\Prochloraz\Prochloraz/20201219_Cefas_Test10_Run2/Plate 1/@13/ "/>
    <s v=" "/>
    <s v=" 39.2527 "/>
    <x v="25"/>
    <s v=" 2178795.56 "/>
    <s v=" 828316.915 "/>
    <n v="32"/>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4"/>
    <s v="C:\Users\andre\Desktop\REACTIV CEFAS\Prochloraz\Prochloraz/20201219_Cefas_Test10_Run2/Plate 1/@14/E9_01.tif "/>
    <s v=" 42221.5543 "/>
    <s v=" 35.4293 "/>
    <x v="0"/>
    <n v="1495880"/>
    <m/>
    <m/>
    <m/>
  </r>
  <r>
    <x v="3"/>
    <x v="4"/>
    <s v="C:\Users\andre\Desktop\REACTIV CEFAS\Prochloraz\Prochloraz/20201219_Cefas_Test10_Run2/Plate 1/@14/E9_02.tif "/>
    <s v=" 26431.7312 "/>
    <s v=" 35.3396 "/>
    <x v="0"/>
    <n v="934087"/>
    <m/>
    <m/>
    <m/>
  </r>
  <r>
    <x v="3"/>
    <x v="4"/>
    <s v="C:\Users\andre\Desktop\REACTIV CEFAS\Prochloraz\Prochloraz/20201219_Cefas_Test10_Run2/Plate 1/@14/E9_03.tif "/>
    <s v=" 39712.4865 "/>
    <s v=" 37.592 "/>
    <x v="0"/>
    <n v="1492874"/>
    <m/>
    <m/>
    <m/>
  </r>
  <r>
    <x v="3"/>
    <x v="4"/>
    <s v="C:\Users\andre\Desktop\REACTIV CEFAS\Prochloraz\Prochloraz/20201219_Cefas_Test10_Run2/Plate 1/@14/E9_04.tif "/>
    <s v=" 33612.8563 "/>
    <s v=" 35.6165 "/>
    <x v="0"/>
    <n v="1197171"/>
    <m/>
    <m/>
    <m/>
  </r>
  <r>
    <x v="3"/>
    <x v="5"/>
    <s v="C:\Users\andre\Desktop\REACTIV CEFAS\Prochloraz\Prochloraz/20201219_Cefas_Test10_Run2/Plate 1/@14/F9_01.tif "/>
    <s v=" 59438.9504 "/>
    <s v=" 42.3406 "/>
    <x v="0"/>
    <n v="2516681"/>
    <m/>
    <m/>
    <m/>
  </r>
  <r>
    <x v="3"/>
    <x v="5"/>
    <s v="C:\Users\andre\Desktop\REACTIV CEFAS\Prochloraz\Prochloraz/20201219_Cefas_Test10_Run2/Plate 1/@14/F9_02.tif "/>
    <s v=" 67247.3424 "/>
    <s v=" 46.8344 "/>
    <x v="0"/>
    <n v="3149486"/>
    <m/>
    <m/>
    <m/>
  </r>
  <r>
    <x v="3"/>
    <x v="5"/>
    <s v="C:\Users\andre\Desktop\REACTIV CEFAS\Prochloraz\Prochloraz/20201219_Cefas_Test10_Run2/Plate 1/@14/F9_03.tif "/>
    <s v=" 59698.5092 "/>
    <s v=" 42.8203 "/>
    <x v="0"/>
    <n v="2556307"/>
    <m/>
    <m/>
    <m/>
  </r>
  <r>
    <x v="3"/>
    <x v="5"/>
    <s v="C:\Users\andre\Desktop\REACTIV CEFAS\Prochloraz\Prochloraz/20201219_Cefas_Test10_Run2/Plate 1/@14/F9_04.tif "/>
    <s v=" 69756.4102 "/>
    <s v=" 43.1563 "/>
    <x v="0"/>
    <n v="3010427"/>
    <m/>
    <m/>
    <m/>
  </r>
  <r>
    <x v="3"/>
    <x v="6"/>
    <s v="C:\Users\andre\Desktop\REACTIV CEFAS\Prochloraz\Prochloraz/20201219_Cefas_Test10_Run2/Plate 1/@14/G9_01.tif "/>
    <s v=" 63094.4026 "/>
    <s v=" 48.1697 "/>
    <x v="0"/>
    <n v="3039238"/>
    <m/>
    <m/>
    <m/>
  </r>
  <r>
    <x v="3"/>
    <x v="6"/>
    <s v="C:\Users\andre\Desktop\REACTIV CEFAS\Prochloraz\Prochloraz/20201219_Cefas_Test10_Run2/Plate 1/@14/G9_02.tif "/>
    <s v=" 65214.1323 "/>
    <s v=" 48.0083 "/>
    <x v="0"/>
    <n v="3130819"/>
    <m/>
    <m/>
    <m/>
  </r>
  <r>
    <x v="3"/>
    <x v="6"/>
    <s v="C:\Users\andre\Desktop\REACTIV CEFAS\Prochloraz\Prochloraz/20201219_Cefas_Test10_Run2/Plate 1/@14/G9_03.tif "/>
    <s v=" 65084.3529 "/>
    <s v=" 44.9093 "/>
    <x v="0"/>
    <n v="2922891"/>
    <m/>
    <m/>
    <m/>
  </r>
  <r>
    <x v="3"/>
    <x v="6"/>
    <s v="C:\Users\andre\Desktop\REACTIV CEFAS\Prochloraz\Prochloraz/20201219_Cefas_Test10_Run2/Plate 1/@14/G9_04.tif "/>
    <s v=" 72200.5883 "/>
    <s v=" 43.8805 "/>
    <x v="0"/>
    <n v="3168196"/>
    <m/>
    <m/>
    <m/>
  </r>
  <r>
    <x v="3"/>
    <x v="7"/>
    <s v="C:\Users\andre\Desktop\REACTIV CEFAS\Prochloraz\Prochloraz/20201219_Cefas_Test10_Run2/Plate 1/@14/H9_01.tif "/>
    <s v=" 63635.15 "/>
    <s v=" 39.6941 "/>
    <x v="0"/>
    <n v="2525939"/>
    <m/>
    <m/>
    <m/>
  </r>
  <r>
    <x v="3"/>
    <x v="7"/>
    <s v="C:\Users\andre\Desktop\REACTIV CEFAS\Prochloraz\Prochloraz/20201219_Cefas_Test10_Run2/Plate 1/@14/H9_02.tif "/>
    <s v=" 62358.9862 "/>
    <s v=" 39.795 "/>
    <x v="0"/>
    <n v="2481576"/>
    <m/>
    <m/>
    <m/>
  </r>
  <r>
    <x v="3"/>
    <x v="7"/>
    <s v="C:\Users\andre\Desktop\REACTIV CEFAS\Prochloraz\Prochloraz/20201219_Cefas_Test10_Run2/Plate 1/@14/H9_03.tif "/>
    <s v=" 68177.4279 "/>
    <s v=" 41.5006 "/>
    <x v="0"/>
    <n v="2829407"/>
    <m/>
    <m/>
    <m/>
  </r>
  <r>
    <x v="3"/>
    <x v="7"/>
    <s v="C:\Users\andre\Desktop\REACTIV CEFAS\Prochloraz\Prochloraz/20201219_Cefas_Test10_Run2/Plate 1/@14/H9_04.tif "/>
    <s v=" 67550.1609 "/>
    <s v=" 41.1082 "/>
    <x v="0"/>
    <n v="2776868"/>
    <m/>
    <m/>
    <m/>
  </r>
  <r>
    <x v="1"/>
    <x v="8"/>
    <s v=" "/>
    <m/>
    <m/>
    <x v="1"/>
    <m/>
    <m/>
    <m/>
    <m/>
  </r>
  <r>
    <x v="1"/>
    <x v="8"/>
    <s v="group "/>
    <s v=" "/>
    <s v=" mean of mean fluo "/>
    <x v="2"/>
    <s v=" mean of total fluo "/>
    <s v=" SD total fluo "/>
    <s v=" n fluorescent "/>
    <s v=" n total"/>
  </r>
  <r>
    <x v="3"/>
    <x v="9"/>
    <s v="C:\Users\andre\Desktop\REACTIV CEFAS\Prochloraz\Prochloraz/20201219_Cefas_Test10_Run2/Plate 1/@14/ "/>
    <s v=" "/>
    <s v=" 41.6372 "/>
    <x v="26"/>
    <s v=" 2451740.44 "/>
    <s v=" 744793.909 "/>
    <n v="16"/>
    <n v="16"/>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C:\Users\andre\Desktop\REACTIV CEFAS\Prochloraz\Prochloraz/20201219_Cefas_Test10_Run2/Plate 1/@15/A11_01.tif "/>
    <s v=" 87817.3722 "/>
    <s v=" 46.5397 "/>
    <x v="0"/>
    <n v="4086990"/>
    <m/>
    <m/>
    <m/>
  </r>
  <r>
    <x v="4"/>
    <x v="0"/>
    <s v="C:\Users\andre\Desktop\REACTIV CEFAS\Prochloraz\Prochloraz/20201219_Cefas_Test10_Run2/Plate 1/@15/A11_02.tif "/>
    <s v=" 87990.4114 "/>
    <s v=" 47.0656 "/>
    <x v="0"/>
    <n v="4141325"/>
    <m/>
    <m/>
    <m/>
  </r>
  <r>
    <x v="4"/>
    <x v="0"/>
    <s v="C:\Users\andre\Desktop\REACTIV CEFAS\Prochloraz\Prochloraz/20201219_Cefas_Test10_Run2/Plate 1/@15/A11_03.tif "/>
    <s v=" 93441.1448 "/>
    <s v=" 50.7331 "/>
    <x v="0"/>
    <n v="4740559"/>
    <m/>
    <m/>
    <m/>
  </r>
  <r>
    <x v="4"/>
    <x v="0"/>
    <s v="C:\Users\andre\Desktop\REACTIV CEFAS\Prochloraz\Prochloraz/20201219_Cefas_Test10_Run2/Plate 1/@15/A11_04.tif "/>
    <s v=" 85719.2724 "/>
    <s v=" 44.8844 "/>
    <x v="0"/>
    <n v="3847461"/>
    <m/>
    <m/>
    <m/>
  </r>
  <r>
    <x v="4"/>
    <x v="1"/>
    <s v="C:\Users\andre\Desktop\REACTIV CEFAS\Prochloraz\Prochloraz/20201219_Cefas_Test10_Run2/Plate 1/@15/B11_01.tif "/>
    <s v=" 53771.918 "/>
    <s v=" 41.8825 "/>
    <x v="0"/>
    <n v="2252105"/>
    <m/>
    <m/>
    <m/>
  </r>
  <r>
    <x v="4"/>
    <x v="1"/>
    <s v="C:\Users\andre\Desktop\REACTIV CEFAS\Prochloraz\Prochloraz/20201219_Cefas_Test10_Run2/Plate 1/@15/B11_02.tif "/>
    <s v=" 55091.3416 "/>
    <s v=" 44.1186 "/>
    <x v="0"/>
    <n v="2430551"/>
    <m/>
    <m/>
    <m/>
  </r>
  <r>
    <x v="4"/>
    <x v="1"/>
    <s v="C:\Users\andre\Desktop\REACTIV CEFAS\Prochloraz\Prochloraz/20201219_Cefas_Test10_Run2/Plate 1/@15/B11_03.tif "/>
    <s v=" 54334.2953 "/>
    <s v=" 44.3854 "/>
    <x v="0"/>
    <n v="2411647"/>
    <m/>
    <m/>
    <m/>
  </r>
  <r>
    <x v="4"/>
    <x v="1"/>
    <s v="C:\Users\andre\Desktop\REACTIV CEFAS\Prochloraz\Prochloraz/20201219_Cefas_Test10_Run2/Plate 1/@15/B11_04.tif "/>
    <s v=" 51068.1812 "/>
    <s v=" 42.8306 "/>
    <x v="0"/>
    <n v="2187280"/>
    <m/>
    <m/>
    <m/>
  </r>
  <r>
    <x v="4"/>
    <x v="2"/>
    <s v="C:\Users\andre\Desktop\REACTIV CEFAS\Prochloraz\Prochloraz/20201219_Cefas_Test10_Run2/Plate 1/@15/C11_01.tif "/>
    <s v=" 81285.144 "/>
    <s v=" 45.9462 "/>
    <x v="0"/>
    <n v="3734747"/>
    <m/>
    <m/>
    <m/>
  </r>
  <r>
    <x v="4"/>
    <x v="2"/>
    <s v="C:\Users\andre\Desktop\REACTIV CEFAS\Prochloraz\Prochloraz/20201219_Cefas_Test10_Run2/Plate 1/@15/C11_02.tif "/>
    <s v=" 82582.9377 "/>
    <s v=" 50.4817 "/>
    <x v="0"/>
    <n v="4168924"/>
    <m/>
    <m/>
    <m/>
  </r>
  <r>
    <x v="4"/>
    <x v="2"/>
    <s v="C:\Users\andre\Desktop\REACTIV CEFAS\Prochloraz\Prochloraz/20201219_Cefas_Test10_Run2/Plate 1/@15/C11_03.tif "/>
    <s v=" 79100.5247 "/>
    <s v=" 45.1017 "/>
    <x v="0"/>
    <n v="3567570"/>
    <m/>
    <m/>
    <m/>
  </r>
  <r>
    <x v="4"/>
    <x v="2"/>
    <s v="C:\Users\andre\Desktop\REACTIV CEFAS\Prochloraz\Prochloraz/20201219_Cefas_Test10_Run2/Plate 1/@15/C11_04.tif "/>
    <s v=" 86281.6497 "/>
    <s v=" 48.9057 "/>
    <x v="0"/>
    <n v="4219668"/>
    <m/>
    <m/>
    <m/>
  </r>
  <r>
    <x v="4"/>
    <x v="3"/>
    <s v="C:\Users\andre\Desktop\REACTIV CEFAS\Prochloraz\Prochloraz/20201219_Cefas_Test10_Run2/Plate 1/@15/D11_01.tif "/>
    <s v=" 71962.6594 "/>
    <s v=" 40.1121 "/>
    <x v="0"/>
    <n v="2886574"/>
    <m/>
    <m/>
    <m/>
  </r>
  <r>
    <x v="4"/>
    <x v="3"/>
    <s v="C:\Users\andre\Desktop\REACTIV CEFAS\Prochloraz\Prochloraz/20201219_Cefas_Test10_Run2/Plate 1/@15/D11_02.tif "/>
    <s v=" 73563.2716 "/>
    <s v=" 40.8495 "/>
    <x v="0"/>
    <n v="3005020"/>
    <m/>
    <m/>
    <m/>
  </r>
  <r>
    <x v="4"/>
    <x v="3"/>
    <s v="C:\Users\andre\Desktop\REACTIV CEFAS\Prochloraz\Prochloraz/20201219_Cefas_Test10_Run2/Plate 1/@15/D11_03.tif "/>
    <s v=" 75791.1508 "/>
    <s v=" 42.3091 "/>
    <x v="0"/>
    <n v="3206654"/>
    <m/>
    <m/>
    <m/>
  </r>
  <r>
    <x v="4"/>
    <x v="3"/>
    <s v="C:\Users\andre\Desktop\REACTIV CEFAS\Prochloraz\Prochloraz/20201219_Cefas_Test10_Run2/Plate 1/@15/D11_04.tif "/>
    <s v=" 66814.7445 "/>
    <s v=" 42.1748 "/>
    <x v="0"/>
    <n v="2817899"/>
    <m/>
    <m/>
    <m/>
  </r>
  <r>
    <x v="4"/>
    <x v="4"/>
    <s v="C:\Users\andre\Desktop\REACTIV CEFAS\Prochloraz\Prochloraz/20201219_Cefas_Test10_Run2/Plate 1/@15/E11_01.tif "/>
    <s v=" 87190.1052 "/>
    <s v=" 44.2364 "/>
    <x v="0"/>
    <n v="3856978"/>
    <m/>
    <m/>
    <m/>
  </r>
  <r>
    <x v="4"/>
    <x v="4"/>
    <s v="C:\Users\andre\Desktop\REACTIV CEFAS\Prochloraz\Prochloraz/20201219_Cefas_Test10_Run2/Plate 1/@15/E11_02.tif "/>
    <s v=" 87406.4042 "/>
    <s v=" 46.8114 "/>
    <x v="0"/>
    <n v="4091619"/>
    <m/>
    <m/>
    <m/>
  </r>
  <r>
    <x v="4"/>
    <x v="4"/>
    <s v="C:\Users\andre\Desktop\REACTIV CEFAS\Prochloraz\Prochloraz/20201219_Cefas_Test10_Run2/Plate 1/@15/E11_03- exclu.tif"/>
    <m/>
    <m/>
    <x v="1"/>
    <m/>
    <m/>
    <m/>
    <m/>
  </r>
  <r>
    <x v="4"/>
    <x v="4"/>
    <s v="C:\Users\andre\Desktop\REACTIV CEFAS\Prochloraz\Prochloraz/20201219_Cefas_Test10_Run2/Plate 1/@15/E11_04.tif "/>
    <s v=" 95820.4332 "/>
    <s v=" 48.6494 "/>
    <x v="0"/>
    <n v="4661610"/>
    <m/>
    <m/>
    <m/>
  </r>
  <r>
    <x v="4"/>
    <x v="5"/>
    <s v="C:\Users\andre\Desktop\REACTIV CEFAS\Prochloraz\Prochloraz/20201219_Cefas_Test10_Run2/Plate 1/@15/F11_01.tif "/>
    <s v=" 94090.0416 "/>
    <s v=" 47.3037 "/>
    <x v="0"/>
    <n v="4450805"/>
    <m/>
    <m/>
    <m/>
  </r>
  <r>
    <x v="4"/>
    <x v="5"/>
    <s v="C:\Users\andre\Desktop\REACTIV CEFAS\Prochloraz\Prochloraz/20201219_Cefas_Test10_Run2/Plate 1/@15/F11_02.tif "/>
    <s v=" 82453.1583 "/>
    <s v=" 43.6881 "/>
    <x v="0"/>
    <n v="3602221"/>
    <m/>
    <m/>
    <m/>
  </r>
  <r>
    <x v="4"/>
    <x v="5"/>
    <s v="C:\Users\andre\Desktop\REACTIV CEFAS\Prochloraz\Prochloraz/20201219_Cefas_Test10_Run2/Plate 1/@15/F11_03.tif "/>
    <s v=" 95431.0951 "/>
    <s v=" 48.6757 "/>
    <x v="0"/>
    <n v="4645171"/>
    <m/>
    <m/>
    <m/>
  </r>
  <r>
    <x v="4"/>
    <x v="5"/>
    <s v="C:\Users\andre\Desktop\REACTIV CEFAS\Prochloraz\Prochloraz/20201219_Cefas_Test10_Run2/Plate 1/@15/F11_04.tif "/>
    <s v=" 88877.237 "/>
    <s v=" 45.0433 "/>
    <x v="0"/>
    <n v="4003326"/>
    <m/>
    <m/>
    <m/>
  </r>
  <r>
    <x v="4"/>
    <x v="6"/>
    <s v="C:\Users\andre\Desktop\REACTIV CEFAS\Prochloraz\Prochloraz/20201219_Cefas_Test10_Run2/Plate 1/@15/G11_01.tif "/>
    <s v=" 70513.4565 "/>
    <s v=" 47.6356 "/>
    <x v="0"/>
    <n v="3358950"/>
    <m/>
    <m/>
    <m/>
  </r>
  <r>
    <x v="4"/>
    <x v="6"/>
    <s v="C:\Users\andre\Desktop\REACTIV CEFAS\Prochloraz\Prochloraz/20201219_Cefas_Test10_Run2/Plate 1/@15/G11_02.tif "/>
    <s v=" 63613.5201 "/>
    <s v=" 47.5097 "/>
    <x v="0"/>
    <n v="3022259"/>
    <m/>
    <m/>
    <m/>
  </r>
  <r>
    <x v="4"/>
    <x v="6"/>
    <s v="C:\Users\andre\Desktop\REACTIV CEFAS\Prochloraz\Prochloraz/20201219_Cefas_Test10_Run2/Plate 1/@15/G11_03.tif "/>
    <s v=" 67160.8228 "/>
    <s v=" 51.9304 "/>
    <x v="0"/>
    <n v="3487691"/>
    <m/>
    <m/>
    <m/>
  </r>
  <r>
    <x v="4"/>
    <x v="6"/>
    <s v="C:\Users\andre\Desktop\REACTIV CEFAS\Prochloraz\Prochloraz/20201219_Cefas_Test10_Run2/Plate 1/@15/G11_04.tif "/>
    <s v=" 66793.1146 "/>
    <s v=" 45.4705 "/>
    <x v="0"/>
    <n v="3037118"/>
    <m/>
    <m/>
    <m/>
  </r>
  <r>
    <x v="4"/>
    <x v="7"/>
    <s v="C:\Users\andre\Desktop\REACTIV CEFAS\Prochloraz\Prochloraz/20201219_Cefas_Test10_Run2/Plate 1/@15/H11_01.tif "/>
    <s v=" 56951.5126 "/>
    <s v=" 41.079 "/>
    <x v="0"/>
    <n v="2339511"/>
    <m/>
    <m/>
    <m/>
  </r>
  <r>
    <x v="4"/>
    <x v="7"/>
    <s v="C:\Users\andre\Desktop\REACTIV CEFAS\Prochloraz\Prochloraz/20201219_Cefas_Test10_Run2/Plate 1/@15/H11_02.tif "/>
    <s v=" 63505.3706 "/>
    <s v=" 39.908 "/>
    <x v="0"/>
    <n v="2534375"/>
    <m/>
    <m/>
    <m/>
  </r>
  <r>
    <x v="4"/>
    <x v="7"/>
    <s v="C:\Users\andre\Desktop\REACTIV CEFAS\Prochloraz\Prochloraz/20201219_Cefas_Test10_Run2/Plate 1/@15/H11_03.tif "/>
    <s v=" 62077.7976 "/>
    <s v=" 39.9693 "/>
    <x v="0"/>
    <n v="2481208"/>
    <m/>
    <m/>
    <m/>
  </r>
  <r>
    <x v="4"/>
    <x v="7"/>
    <s v="C:\Users\andre\Desktop\REACTIV CEFAS\Prochloraz\Prochloraz/20201219_Cefas_Test10_Run2/Plate 1/@15/H11_04.tif "/>
    <s v=" 71227.243 "/>
    <s v=" 42.0279 "/>
    <x v="0"/>
    <n v="2993534"/>
    <m/>
    <m/>
    <m/>
  </r>
  <r>
    <x v="1"/>
    <x v="8"/>
    <s v=" "/>
    <m/>
    <m/>
    <x v="1"/>
    <m/>
    <m/>
    <m/>
    <m/>
  </r>
  <r>
    <x v="1"/>
    <x v="8"/>
    <s v="group "/>
    <s v=" "/>
    <s v=" mean of mean fluo "/>
    <x v="2"/>
    <s v=" mean of total fluo "/>
    <s v=" SD total fluo "/>
    <s v=" n fluorescent "/>
    <s v=" n total"/>
  </r>
  <r>
    <x v="4"/>
    <x v="9"/>
    <s v="C:\Users\andre\Desktop\REACTIV CEFAS\Prochloraz\Prochloraz/20201219_Cefas_Test10_Run2/Plate 1/@15/ "/>
    <s v=" "/>
    <s v=" 45.276 "/>
    <x v="27"/>
    <s v=" 3456553.84 "/>
    <s v=" 787125.882 "/>
    <n v="32"/>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C:\Users\andre\Desktop\REACTIV CEFAS\Prochloraz\Prochloraz/20201219_Cefas_Test10_Run2/Plate 1/@16/A12_01.tif "/>
    <s v=" 16633.389 "/>
    <s v=" 39.1769 "/>
    <x v="0"/>
    <n v="651644"/>
    <m/>
    <m/>
    <m/>
  </r>
  <r>
    <x v="5"/>
    <x v="0"/>
    <s v="C:\Users\andre\Desktop\REACTIV CEFAS\Prochloraz\Prochloraz/20201219_Cefas_Test10_Run2/Plate 1/@16/A12_02.tif "/>
    <s v=" 6878.3065 "/>
    <s v=" 37.5629 "/>
    <x v="0"/>
    <n v="258369"/>
    <m/>
    <m/>
    <m/>
  </r>
  <r>
    <x v="5"/>
    <x v="0"/>
    <s v="C:\Users\andre\Desktop\REACTIV CEFAS\Prochloraz\Prochloraz/20201219_Cefas_Test10_Run2/Plate 1/@16/A12_03.tif "/>
    <s v=" 11939.7018 "/>
    <s v=" 40.346 "/>
    <x v="0"/>
    <n v="481719"/>
    <m/>
    <m/>
    <m/>
  </r>
  <r>
    <x v="5"/>
    <x v="0"/>
    <s v="C:\Users\andre\Desktop\REACTIV CEFAS\Prochloraz\Prochloraz/20201219_Cefas_Test10_Run2/Plate 1/@16/A12_04.tif "/>
    <s v=" 8889.8867 "/>
    <s v=" 42.292 "/>
    <x v="0"/>
    <n v="375971"/>
    <m/>
    <m/>
    <m/>
  </r>
  <r>
    <x v="5"/>
    <x v="1"/>
    <s v="C:\Users\andre\Desktop\REACTIV CEFAS\Prochloraz\Prochloraz/20201219_Cefas_Test10_Run2/Plate 1/@16/B12_01.tif "/>
    <s v=" 994.9752 "/>
    <s v=" 31.1522 "/>
    <x v="0"/>
    <n v="30996"/>
    <m/>
    <m/>
    <m/>
  </r>
  <r>
    <x v="5"/>
    <x v="1"/>
    <s v="C:\Users\andre\Desktop\REACTIV CEFAS\Prochloraz\Prochloraz/20201219_Cefas_Test10_Run2/Plate 1/@16/B12_02.tif "/>
    <s v=" 2617.2173 "/>
    <s v=" 33.9339 "/>
    <x v="0"/>
    <n v="88812"/>
    <m/>
    <m/>
    <m/>
  </r>
  <r>
    <x v="5"/>
    <x v="1"/>
    <s v="C:\Users\andre\Desktop\REACTIV CEFAS\Prochloraz\Prochloraz/20201219_Cefas_Test10_Run2/Plate 1/@16/B12_03.tif "/>
    <s v=" 3244.4842 "/>
    <s v=" 34.4533 "/>
    <x v="0"/>
    <n v="111783"/>
    <m/>
    <m/>
    <m/>
  </r>
  <r>
    <x v="5"/>
    <x v="1"/>
    <s v="C:\Users\andre\Desktop\REACTIV CEFAS\Prochloraz\Prochloraz/20201219_Cefas_Test10_Run2/Plate 1/@16/B12_04.tif "/>
    <s v=" 2746.9966 "/>
    <s v=" 32.2992 "/>
    <x v="0"/>
    <n v="88726"/>
    <m/>
    <m/>
    <m/>
  </r>
  <r>
    <x v="5"/>
    <x v="2"/>
    <s v="C:\Users\andre\Desktop\REACTIV CEFAS\Prochloraz\Prochloraz/20201219_Cefas_Test10_Run2/Plate 1/@16/C12_01.tif "/>
    <s v=" 9733.4526 "/>
    <s v=" 38.4711 "/>
    <x v="0"/>
    <n v="374457"/>
    <m/>
    <m/>
    <m/>
  </r>
  <r>
    <x v="5"/>
    <x v="2"/>
    <s v="C:\Users\andre\Desktop\REACTIV CEFAS\Prochloraz\Prochloraz/20201219_Cefas_Test10_Run2/Plate 1/@16/C12_02.tif "/>
    <s v=" 6186.1499 "/>
    <s v=" 35.0839 "/>
    <x v="0"/>
    <n v="217034"/>
    <m/>
    <m/>
    <m/>
  </r>
  <r>
    <x v="5"/>
    <x v="2"/>
    <s v="C:\Users\andre\Desktop\REACTIV CEFAS\Prochloraz\Prochloraz/20201219_Cefas_Test10_Run2/Plate 1/@16/C12_03.tif "/>
    <s v=" 8716.8475 "/>
    <s v=" 35.8486 "/>
    <x v="0"/>
    <n v="312487"/>
    <m/>
    <m/>
    <m/>
  </r>
  <r>
    <x v="5"/>
    <x v="2"/>
    <s v="C:\Users\andre\Desktop\REACTIV CEFAS\Prochloraz\Prochloraz/20201219_Cefas_Test10_Run2/Plate 1/@16/C12_04.tif "/>
    <s v=" 5385.8438 "/>
    <s v=" 36.3815 "/>
    <x v="0"/>
    <n v="195945"/>
    <m/>
    <m/>
    <m/>
  </r>
  <r>
    <x v="5"/>
    <x v="3"/>
    <s v="C:\Users\andre\Desktop\REACTIV CEFAS\Prochloraz\Prochloraz/20201219_Cefas_Test10_Run2/Plate 1/@16/D12_01.tif "/>
    <s v=" 10663.5381 "/>
    <s v=" 44.4949 "/>
    <x v="0"/>
    <n v="474473"/>
    <m/>
    <m/>
    <m/>
  </r>
  <r>
    <x v="5"/>
    <x v="3"/>
    <s v="C:\Users\andre\Desktop\REACTIV CEFAS\Prochloraz\Prochloraz/20201219_Cefas_Test10_Run2/Plate 1/@16/D12_02.tif "/>
    <s v=" 11550.3637 "/>
    <s v=" 45.8502 "/>
    <x v="0"/>
    <n v="529586"/>
    <m/>
    <m/>
    <m/>
  </r>
  <r>
    <x v="5"/>
    <x v="3"/>
    <s v="C:\Users\andre\Desktop\REACTIV CEFAS\Prochloraz\Prochloraz/20201219_Cefas_Test10_Run2/Plate 1/@16/D12_03.tif "/>
    <s v=" 11831.5524 "/>
    <s v=" 44.4424 "/>
    <x v="0"/>
    <n v="525823"/>
    <m/>
    <m/>
    <m/>
  </r>
  <r>
    <x v="5"/>
    <x v="3"/>
    <s v="C:\Users\andre\Desktop\REACTIV CEFAS\Prochloraz\Prochloraz/20201219_Cefas_Test10_Run2/Plate 1/@16/D12_04.tif "/>
    <s v=" 4736.9469 "/>
    <s v=" 37.8174 "/>
    <x v="0"/>
    <n v="179139"/>
    <m/>
    <m/>
    <m/>
  </r>
  <r>
    <x v="5"/>
    <x v="4"/>
    <s v="C:\Users\andre\Desktop\REACTIV CEFAS\Prochloraz\Prochloraz/20201219_Cefas_Test10_Run2/Plate 1/@16/E12_01.tif "/>
    <s v=" 12804.8976 "/>
    <s v=" 46.7568 "/>
    <x v="0"/>
    <n v="598715"/>
    <m/>
    <m/>
    <m/>
  </r>
  <r>
    <x v="5"/>
    <x v="4"/>
    <s v="C:\Users\andre\Desktop\REACTIV CEFAS\Prochloraz\Prochloraz/20201219_Cefas_Test10_Run2/Plate 1/@16/E12_02- exclu.tif"/>
    <m/>
    <m/>
    <x v="1"/>
    <m/>
    <m/>
    <m/>
    <m/>
  </r>
  <r>
    <x v="5"/>
    <x v="4"/>
    <s v="C:\Users\andre\Desktop\REACTIV CEFAS\Prochloraz\Prochloraz/20201219_Cefas_Test10_Run2/Plate 1/@16/E12_03.tif "/>
    <s v=" 8673.5877 "/>
    <s v=" 40.5561 "/>
    <x v="0"/>
    <n v="351767"/>
    <m/>
    <m/>
    <m/>
  </r>
  <r>
    <x v="5"/>
    <x v="4"/>
    <s v="C:\Users\andre\Desktop\REACTIV CEFAS\Prochloraz\Prochloraz/20201219_Cefas_Test10_Run2/Plate 1/@16/E12_04- exclu.tif"/>
    <m/>
    <m/>
    <x v="1"/>
    <m/>
    <m/>
    <m/>
    <m/>
  </r>
  <r>
    <x v="5"/>
    <x v="5"/>
    <s v="C:\Users\andre\Desktop\REACTIV CEFAS\Prochloraz\Prochloraz/20201219_Cefas_Test10_Run2/Plate 1/@16/F12_01.tif "/>
    <s v=" 9819.9722 "/>
    <s v=" 39.5374 "/>
    <x v="0"/>
    <n v="388257"/>
    <m/>
    <m/>
    <m/>
  </r>
  <r>
    <x v="5"/>
    <x v="5"/>
    <s v="C:\Users\andre\Desktop\REACTIV CEFAS\Prochloraz\Prochloraz/20201219_Cefas_Test10_Run2/Plate 1/@16/F12_02.tif "/>
    <s v=" 12264.1503 "/>
    <s v=" 40.9383 "/>
    <x v="0"/>
    <n v="502073"/>
    <m/>
    <m/>
    <m/>
  </r>
  <r>
    <x v="5"/>
    <x v="5"/>
    <s v="C:\Users\andre\Desktop\REACTIV CEFAS\Prochloraz\Prochloraz/20201219_Cefas_Test10_Run2/Plate 1/@16/F12_03.tif "/>
    <s v=" 8154.4703 "/>
    <s v=" 43.2573 "/>
    <x v="0"/>
    <n v="352740"/>
    <m/>
    <m/>
    <m/>
  </r>
  <r>
    <x v="5"/>
    <x v="5"/>
    <s v="C:\Users\andre\Desktop\REACTIV CEFAS\Prochloraz\Prochloraz/20201219_Cefas_Test10_Run2/Plate 1/@16/F12_04.tif "/>
    <s v=" 4455.7583 "/>
    <s v=" 39.3835 "/>
    <x v="0"/>
    <n v="175483"/>
    <m/>
    <m/>
    <m/>
  </r>
  <r>
    <x v="5"/>
    <x v="6"/>
    <s v="C:\Users\andre\Desktop\REACTIV CEFAS\Prochloraz\Prochloraz/20201219_Cefas_Test10_Run2/Plate 1/@16/G12_01.tif "/>
    <s v=" 5191.1747 "/>
    <s v=" 34.7542 "/>
    <x v="0"/>
    <n v="180415"/>
    <m/>
    <m/>
    <m/>
  </r>
  <r>
    <x v="5"/>
    <x v="6"/>
    <s v="C:\Users\andre\Desktop\REACTIV CEFAS\Prochloraz\Prochloraz/20201219_Cefas_Test10_Run2/Plate 1/@16/G12_02.tif "/>
    <s v=" 9625.3031 "/>
    <s v=" 40.4876 "/>
    <x v="0"/>
    <n v="389706"/>
    <m/>
    <m/>
    <m/>
  </r>
  <r>
    <x v="5"/>
    <x v="6"/>
    <s v="C:\Users\andre\Desktop\REACTIV CEFAS\Prochloraz\Prochloraz/20201219_Cefas_Test10_Run2/Plate 1/@16/G12_03- exclu.tif"/>
    <m/>
    <m/>
    <x v="1"/>
    <m/>
    <m/>
    <m/>
    <m/>
  </r>
  <r>
    <x v="5"/>
    <x v="6"/>
    <s v="C:\Users\andre\Desktop\REACTIV CEFAS\Prochloraz\Prochloraz/20201219_Cefas_Test10_Run2/Plate 1/@16/G12_04.tif "/>
    <s v=" 8824.997 "/>
    <s v=" 39.3284 "/>
    <x v="0"/>
    <n v="347073"/>
    <m/>
    <m/>
    <m/>
  </r>
  <r>
    <x v="5"/>
    <x v="7"/>
    <s v="C:\Users\andre\Desktop\REACTIV CEFAS\Prochloraz\Prochloraz/20201219_Cefas_Test10_Run2/Plate 1/@16/H12_01.tif "/>
    <s v=" 43.2598 "/>
    <s v=" 31.5 "/>
    <x v="0"/>
    <n v="1363"/>
    <m/>
    <m/>
    <m/>
  </r>
  <r>
    <x v="5"/>
    <x v="7"/>
    <s v="C:\Users\andre\Desktop\REACTIV CEFAS\Prochloraz\Prochloraz/20201219_Cefas_Test10_Run2/Plate 1/@16/H12_02.tif "/>
    <s v=" 5450.7334 "/>
    <s v=" 38.7659 "/>
    <x v="0"/>
    <n v="211302"/>
    <m/>
    <m/>
    <m/>
  </r>
  <r>
    <x v="5"/>
    <x v="7"/>
    <s v="C:\Users\andre\Desktop\REACTIV CEFAS\Prochloraz\Prochloraz/20201219_Cefas_Test10_Run2/Plate 1/@16/H12_03.tif "/>
    <s v=" 4499.0181 "/>
    <s v=" 35.0577 "/>
    <x v="0"/>
    <n v="157725"/>
    <m/>
    <m/>
    <m/>
  </r>
  <r>
    <x v="5"/>
    <x v="7"/>
    <s v="C:\Users\andre\Desktop\REACTIV CEFAS\Prochloraz\Prochloraz/20201219_Cefas_Test10_Run2/Plate 1/@16/H12_04.tif "/>
    <s v=" 8911.5166 "/>
    <s v=" 39.5995 "/>
    <x v="0"/>
    <n v="352892"/>
    <m/>
    <m/>
    <m/>
  </r>
  <r>
    <x v="1"/>
    <x v="8"/>
    <s v=" "/>
    <m/>
    <m/>
    <x v="1"/>
    <m/>
    <m/>
    <m/>
    <m/>
  </r>
  <r>
    <x v="1"/>
    <x v="8"/>
    <s v="group "/>
    <s v=" "/>
    <s v=" mean of mean fluo "/>
    <x v="2"/>
    <s v=" mean of total fluo "/>
    <s v=" SD total fluo "/>
    <s v=" n fluorescent "/>
    <s v=" n total"/>
  </r>
  <r>
    <x v="5"/>
    <x v="9"/>
    <s v="C:\Users\andre\Desktop\REACTIV CEFAS\Prochloraz\Prochloraz/20201219_Cefas_Test10_Run2/Plate 1/@16/ "/>
    <s v=" "/>
    <s v=" 38.2927 "/>
    <x v="28"/>
    <s v=" 336240.031 "/>
    <s v=" 246722.619 "/>
    <n v="31"/>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C:\Users\andre\Desktop\REACTIV CEFAS\Prochloraz\Prochloraz/20201219_Cefas_Test10_Run2/Plate 1/@2/A2_01.tif "/>
    <s v=" 15292.3355 "/>
    <s v=" 35.884 "/>
    <x v="0"/>
    <n v="548750"/>
    <m/>
    <m/>
    <m/>
  </r>
  <r>
    <x v="6"/>
    <x v="0"/>
    <s v="C:\Users\andre\Desktop\REACTIV CEFAS\Prochloraz\Prochloraz/20201219_Cefas_Test10_Run2/Plate 1/@2/A2_02.tif "/>
    <s v=" 10944.7267 "/>
    <s v=" 37.67 "/>
    <x v="0"/>
    <n v="412287"/>
    <m/>
    <m/>
    <m/>
  </r>
  <r>
    <x v="6"/>
    <x v="0"/>
    <s v="C:\Users\andre\Desktop\REACTIV CEFAS\Prochloraz\Prochloraz/20201219_Cefas_Test10_Run2/Plate 1/@2/A2_03.tif "/>
    <s v=" 11182.6555 "/>
    <s v=" 37.7176 "/>
    <x v="0"/>
    <n v="421783"/>
    <m/>
    <m/>
    <m/>
  </r>
  <r>
    <x v="6"/>
    <x v="0"/>
    <s v="C:\Users\andre\Desktop\REACTIV CEFAS\Prochloraz\Prochloraz/20201219_Cefas_Test10_Run2/Plate 1/@2/A2_04- exclu.tif"/>
    <m/>
    <m/>
    <x v="1"/>
    <m/>
    <m/>
    <m/>
    <m/>
  </r>
  <r>
    <x v="6"/>
    <x v="1"/>
    <s v="C:\Users\andre\Desktop\REACTIV CEFAS\Prochloraz\Prochloraz/20201219_Cefas_Test10_Run2/Plate 1/@2/B2_01.tif "/>
    <s v=" 10923.0968 "/>
    <s v=" 45.0851 "/>
    <x v="0"/>
    <n v="492469"/>
    <m/>
    <m/>
    <m/>
  </r>
  <r>
    <x v="6"/>
    <x v="1"/>
    <s v="C:\Users\andre\Desktop\REACTIV CEFAS\Prochloraz\Prochloraz/20201219_Cefas_Test10_Run2/Plate 1/@2/B2_02.tif "/>
    <s v=" 9430.6341 "/>
    <s v=" 45.3647 "/>
    <x v="0"/>
    <n v="427818"/>
    <m/>
    <m/>
    <m/>
  </r>
  <r>
    <x v="6"/>
    <x v="1"/>
    <s v="C:\Users\andre\Desktop\REACTIV CEFAS\Prochloraz\Prochloraz/20201219_Cefas_Test10_Run2/Plate 1/@2/B2_03.tif "/>
    <s v=" 302.8185 "/>
    <s v=" 31.8571 "/>
    <x v="0"/>
    <n v="9647"/>
    <m/>
    <m/>
    <m/>
  </r>
  <r>
    <x v="6"/>
    <x v="1"/>
    <s v="C:\Users\andre\Desktop\REACTIV CEFAS\Prochloraz\Prochloraz/20201219_Cefas_Test10_Run2/Plate 1/@2/B2_04.tif "/>
    <s v=" 13259.1254 "/>
    <s v=" 42.4649 "/>
    <x v="0"/>
    <n v="563048"/>
    <m/>
    <m/>
    <m/>
  </r>
  <r>
    <x v="6"/>
    <x v="2"/>
    <s v="C:\Users\andre\Desktop\REACTIV CEFAS\Prochloraz\Prochloraz/20201219_Cefas_Test10_Run2/Plate 1/@2/C2_01.tif "/>
    <s v=" 4931.616 "/>
    <s v=" 37.7939 "/>
    <x v="0"/>
    <n v="186385"/>
    <m/>
    <m/>
    <m/>
  </r>
  <r>
    <x v="6"/>
    <x v="2"/>
    <s v="C:\Users\andre\Desktop\REACTIV CEFAS\Prochloraz\Prochloraz/20201219_Cefas_Test10_Run2/Plate 1/@2/C2_02.tif "/>
    <s v=" 3785.2316 "/>
    <s v=" 40.7714 "/>
    <x v="0"/>
    <n v="154329"/>
    <m/>
    <m/>
    <m/>
  </r>
  <r>
    <x v="6"/>
    <x v="2"/>
    <s v="C:\Users\andre\Desktop\REACTIV CEFAS\Prochloraz\Prochloraz/20201219_Cefas_Test10_Run2/Plate 1/@2/C2_03.tif "/>
    <s v=" 3222.8543 "/>
    <s v=" 39.5772 "/>
    <x v="0"/>
    <n v="127551"/>
    <m/>
    <m/>
    <m/>
  </r>
  <r>
    <x v="6"/>
    <x v="2"/>
    <s v="C:\Users\andre\Desktop\REACTIV CEFAS\Prochloraz\Prochloraz/20201219_Cefas_Test10_Run2/Plate 1/@2/C2_04- exclu.tif"/>
    <m/>
    <m/>
    <x v="1"/>
    <m/>
    <m/>
    <m/>
    <m/>
  </r>
  <r>
    <x v="6"/>
    <x v="3"/>
    <s v="C:\Users\andre\Desktop\REACTIV CEFAS\Prochloraz\Prochloraz/20201219_Cefas_Test10_Run2/Plate 1/@2/D2_01.tif "/>
    <s v=" 13259.1254 "/>
    <s v=" 42.5661 "/>
    <x v="0"/>
    <n v="564389"/>
    <m/>
    <m/>
    <m/>
  </r>
  <r>
    <x v="6"/>
    <x v="3"/>
    <s v="C:\Users\andre\Desktop\REACTIV CEFAS\Prochloraz\Prochloraz/20201219_Cefas_Test10_Run2/Plate 1/@2/D2_02.tif "/>
    <s v=" 8154.4703 "/>
    <s v=" 33.9072 "/>
    <x v="0"/>
    <n v="276495"/>
    <m/>
    <m/>
    <m/>
  </r>
  <r>
    <x v="6"/>
    <x v="3"/>
    <s v="C:\Users\andre\Desktop\REACTIV CEFAS\Prochloraz\Prochloraz/20201219_Cefas_Test10_Run2/Plate 1/@2/D2_03.tif "/>
    <s v=" 6251.0395 "/>
    <s v=" 38.3322 "/>
    <x v="0"/>
    <n v="239616"/>
    <m/>
    <m/>
    <m/>
  </r>
  <r>
    <x v="6"/>
    <x v="3"/>
    <s v="C:\Users\andre\Desktop\REACTIV CEFAS\Prochloraz\Prochloraz/20201219_Cefas_Test10_Run2/Plate 1/@2/D2_04.tif "/>
    <s v=" 7678.6126 "/>
    <s v=" 49.7549 "/>
    <x v="0"/>
    <n v="382049"/>
    <m/>
    <m/>
    <m/>
  </r>
  <r>
    <x v="6"/>
    <x v="4"/>
    <s v="C:\Users\andre\Desktop\REACTIV CEFAS\Prochloraz\Prochloraz/20201219_Cefas_Test10_Run2/Plate 1/@2/E2_01.tif "/>
    <s v=" 11680.1431 "/>
    <s v=" 36.7444 "/>
    <x v="0"/>
    <n v="429180"/>
    <m/>
    <m/>
    <m/>
  </r>
  <r>
    <x v="6"/>
    <x v="4"/>
    <s v="C:\Users\andre\Desktop\REACTIV CEFAS\Prochloraz\Prochloraz/20201219_Cefas_Test10_Run2/Plate 1/@2/E2_02.tif "/>
    <s v=" 3157.9646 "/>
    <s v=" 35.1233 "/>
    <x v="0"/>
    <n v="110918"/>
    <m/>
    <m/>
    <m/>
  </r>
  <r>
    <x v="6"/>
    <x v="4"/>
    <s v="C:\Users\andre\Desktop\REACTIV CEFAS\Prochloraz\Prochloraz/20201219_Cefas_Test10_Run2/Plate 1/@2/E2_03.tif "/>
    <s v=" 8284.2496 "/>
    <s v=" 36.3681 "/>
    <x v="0"/>
    <n v="301283"/>
    <m/>
    <m/>
    <m/>
  </r>
  <r>
    <x v="6"/>
    <x v="4"/>
    <s v="C:\Users\andre\Desktop\REACTIV CEFAS\Prochloraz\Prochloraz/20201219_Cefas_Test10_Run2/Plate 1/@2/E2_04.tif "/>
    <s v=" 4347.6088 "/>
    <s v=" 35.9751 "/>
    <x v="0"/>
    <n v="156406"/>
    <m/>
    <m/>
    <m/>
  </r>
  <r>
    <x v="6"/>
    <x v="5"/>
    <s v="C:\Users\andre\Desktop\REACTIV CEFAS\Prochloraz\Prochloraz/20201219_Cefas_Test10_Run2/Plate 1/@2/F2_01- exclu.tif"/>
    <m/>
    <m/>
    <x v="1"/>
    <m/>
    <m/>
    <m/>
    <m/>
  </r>
  <r>
    <x v="6"/>
    <x v="5"/>
    <s v="C:\Users\andre\Desktop\REACTIV CEFAS\Prochloraz\Prochloraz/20201219_Cefas_Test10_Run2/Plate 1/@2/F2_02.tif "/>
    <n v="0"/>
    <n v="0"/>
    <x v="0"/>
    <n v="0"/>
    <m/>
    <m/>
    <m/>
  </r>
  <r>
    <x v="6"/>
    <x v="5"/>
    <s v="C:\Users\andre\Desktop\REACTIV CEFAS\Prochloraz\Prochloraz/20201219_Cefas_Test10_Run2/Plate 1/@2/F2_03.tif "/>
    <s v=" 4001.5305 "/>
    <s v=" 33.5946 "/>
    <x v="0"/>
    <n v="134430"/>
    <m/>
    <m/>
    <m/>
  </r>
  <r>
    <x v="6"/>
    <x v="5"/>
    <s v="C:\Users\andre\Desktop\REACTIV CEFAS\Prochloraz\Prochloraz/20201219_Cefas_Test10_Run2/Plate 1/@2/F2_04.tif "/>
    <s v=" 5364.2139 "/>
    <s v=" 34.7298 "/>
    <x v="0"/>
    <n v="186298"/>
    <m/>
    <m/>
    <m/>
  </r>
  <r>
    <x v="6"/>
    <x v="6"/>
    <s v="C:\Users\andre\Desktop\REACTIV CEFAS\Prochloraz\Prochloraz/20201219_Cefas_Test10_Run2/Plate 1/@2/G2_01.tif "/>
    <s v=" 12047.8513 "/>
    <s v=" 39.0916 "/>
    <x v="0"/>
    <n v="470969"/>
    <m/>
    <m/>
    <m/>
  </r>
  <r>
    <x v="6"/>
    <x v="6"/>
    <s v="C:\Users\andre\Desktop\REACTIV CEFAS\Prochloraz\Prochloraz/20201219_Cefas_Test10_Run2/Plate 1/@2/G2_02.tif "/>
    <s v=" 9733.4526 "/>
    <s v=" 41.36 "/>
    <x v="0"/>
    <n v="402576"/>
    <m/>
    <m/>
    <m/>
  </r>
  <r>
    <x v="6"/>
    <x v="6"/>
    <s v="C:\Users\andre\Desktop\REACTIV CEFAS\Prochloraz\Prochloraz/20201219_Cefas_Test10_Run2/Plate 1/@2/G2_03.tif "/>
    <s v=" 7700.2425 "/>
    <s v=" 40.9944 "/>
    <x v="0"/>
    <n v="315667"/>
    <m/>
    <m/>
    <m/>
  </r>
  <r>
    <x v="6"/>
    <x v="6"/>
    <s v="C:\Users\andre\Desktop\REACTIV CEFAS\Prochloraz\Prochloraz/20201219_Cefas_Test10_Run2/Plate 1/@2/G2_04.tif "/>
    <s v=" 475.8577 "/>
    <s v=" 32.8636 "/>
    <x v="0"/>
    <n v="15638"/>
    <m/>
    <m/>
    <m/>
  </r>
  <r>
    <x v="6"/>
    <x v="7"/>
    <s v="C:\Users\andre\Desktop\REACTIV CEFAS\Prochloraz\Prochloraz/20201219_Cefas_Test10_Run2/Plate 1/@2/H2_01.tif "/>
    <s v=" 1341.0535 "/>
    <s v=" 33.4839 "/>
    <x v="0"/>
    <n v="44904"/>
    <m/>
    <m/>
    <m/>
  </r>
  <r>
    <x v="6"/>
    <x v="7"/>
    <s v="C:\Users\andre\Desktop\REACTIV CEFAS\Prochloraz\Prochloraz/20201219_Cefas_Test10_Run2/Plate 1/@2/H2_02.tif "/>
    <s v=" 216.2989 "/>
    <s v=" 31.6 "/>
    <x v="0"/>
    <n v="6835"/>
    <m/>
    <m/>
    <m/>
  </r>
  <r>
    <x v="6"/>
    <x v="7"/>
    <s v="C:\Users\andre\Desktop\REACTIV CEFAS\Prochloraz\Prochloraz/20201219_Cefas_Test10_Run2/Plate 1/@2/H2_03.tif "/>
    <s v=" 8889.8867 "/>
    <s v=" 41.0122 "/>
    <x v="0"/>
    <n v="364594"/>
    <m/>
    <m/>
    <m/>
  </r>
  <r>
    <x v="6"/>
    <x v="7"/>
    <s v="C:\Users\andre\Desktop\REACTIV CEFAS\Prochloraz\Prochloraz/20201219_Cefas_Test10_Run2/Plate 1/@2/H2_04.tif "/>
    <s v=" 5385.8438 "/>
    <s v=" 34.7269 "/>
    <x v="0"/>
    <n v="187034"/>
    <m/>
    <m/>
    <m/>
  </r>
  <r>
    <x v="1"/>
    <x v="8"/>
    <s v=" "/>
    <m/>
    <m/>
    <x v="1"/>
    <m/>
    <m/>
    <m/>
    <m/>
  </r>
  <r>
    <x v="1"/>
    <x v="8"/>
    <s v="group "/>
    <s v=" "/>
    <s v=" mean of mean fluo "/>
    <x v="2"/>
    <s v=" mean of total fluo "/>
    <s v=" SD total fluo "/>
    <s v=" n fluorescent "/>
    <s v=" n total"/>
  </r>
  <r>
    <x v="6"/>
    <x v="9"/>
    <s v="C:\Users\andre\Desktop\REACTIV CEFAS\Prochloraz\Prochloraz/20201219_Cefas_Test10_Run2/Plate 1/@2/ "/>
    <s v=" "/>
    <s v=" 33.3254 "/>
    <x v="29"/>
    <s v=" 247917.125 "/>
    <s v=" 189762.754 "/>
    <n v="28"/>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C:\Users\andre\Desktop\REACTIV CEFAS\Prochloraz\Prochloraz/20201219_Cefas_Test10_Run2/Plate 1/@3/A3_01.tif "/>
    <s v=" 6835.0467 "/>
    <s v=" 33.3228 "/>
    <x v="0"/>
    <n v="227763"/>
    <m/>
    <m/>
    <m/>
  </r>
  <r>
    <x v="7"/>
    <x v="0"/>
    <s v="C:\Users\andre\Desktop\REACTIV CEFAS\Prochloraz\Prochloraz/20201219_Cefas_Test10_Run2/Plate 1/@3/A3_02.tif "/>
    <s v=" 8176.1002 "/>
    <s v=" 34.3439 "/>
    <x v="0"/>
    <n v="280799"/>
    <m/>
    <m/>
    <m/>
  </r>
  <r>
    <x v="7"/>
    <x v="0"/>
    <s v="C:\Users\andre\Desktop\REACTIV CEFAS\Prochloraz\Prochloraz/20201219_Cefas_Test10_Run2/Plate 1/@3/A3_03.tif "/>
    <s v=" 10750.0576 "/>
    <s v=" 38.4648 "/>
    <x v="0"/>
    <n v="413499"/>
    <m/>
    <m/>
    <m/>
  </r>
  <r>
    <x v="7"/>
    <x v="0"/>
    <s v="C:\Users\andre\Desktop\REACTIV CEFAS\Prochloraz\Prochloraz/20201219_Cefas_Test10_Run2/Plate 1/@3/A3_04.tif "/>
    <s v=" 7873.2816 "/>
    <s v=" 35.0357 "/>
    <x v="0"/>
    <n v="275846"/>
    <m/>
    <m/>
    <m/>
  </r>
  <r>
    <x v="7"/>
    <x v="1"/>
    <s v="C:\Users\andre\Desktop\REACTIV CEFAS\Prochloraz\Prochloraz/20201219_Cefas_Test10_Run2/Plate 1/@3/B3_01- exclu.tif"/>
    <m/>
    <m/>
    <x v="1"/>
    <m/>
    <m/>
    <m/>
    <m/>
  </r>
  <r>
    <x v="7"/>
    <x v="1"/>
    <s v="C:\Users\andre\Desktop\REACTIV CEFAS\Prochloraz\Prochloraz/20201219_Cefas_Test10_Run2/Plate 1/@3/B3_02.tif "/>
    <s v=" 4369.2387 "/>
    <s v=" 40.6634 "/>
    <x v="0"/>
    <n v="177668"/>
    <m/>
    <m/>
    <m/>
  </r>
  <r>
    <x v="7"/>
    <x v="1"/>
    <s v="C:\Users\andre\Desktop\REACTIV CEFAS\Prochloraz\Prochloraz/20201219_Cefas_Test10_Run2/Plate 1/@3/B3_03.tif "/>
    <s v=" 5558.8829 "/>
    <s v=" 36.6809 "/>
    <x v="0"/>
    <n v="203905"/>
    <m/>
    <m/>
    <m/>
  </r>
  <r>
    <x v="7"/>
    <x v="1"/>
    <s v="C:\Users\andre\Desktop\REACTIV CEFAS\Prochloraz\Prochloraz/20201219_Cefas_Test10_Run2/Plate 1/@3/B3_04.tif "/>
    <s v=" 5645.4025 "/>
    <s v=" 40.5326 "/>
    <x v="0"/>
    <n v="228823"/>
    <m/>
    <m/>
    <m/>
  </r>
  <r>
    <x v="7"/>
    <x v="2"/>
    <s v="C:\Users\andre\Desktop\REACTIV CEFAS\Prochloraz\Prochloraz/20201219_Cefas_Test10_Run2/Plate 1/@3/C3_01.tif "/>
    <s v=" 14535.2892 "/>
    <s v=" 36.1518 "/>
    <x v="0"/>
    <n v="525477"/>
    <m/>
    <m/>
    <m/>
  </r>
  <r>
    <x v="7"/>
    <x v="2"/>
    <s v="C:\Users\andre\Desktop\REACTIV CEFAS\Prochloraz\Prochloraz/20201219_Cefas_Test10_Run2/Plate 1/@3/C3_02.tif "/>
    <s v=" 13475.4244 "/>
    <s v=" 34.4767 "/>
    <x v="0"/>
    <n v="464589"/>
    <m/>
    <m/>
    <m/>
  </r>
  <r>
    <x v="7"/>
    <x v="2"/>
    <s v="C:\Users\andre\Desktop\REACTIV CEFAS\Prochloraz\Prochloraz/20201219_Cefas_Test10_Run2/Plate 1/@3/C3_03.tif "/>
    <s v=" 9127.8155 "/>
    <s v=" 36.981 "/>
    <x v="0"/>
    <n v="337556"/>
    <m/>
    <m/>
    <m/>
  </r>
  <r>
    <x v="7"/>
    <x v="2"/>
    <s v="C:\Users\andre\Desktop\REACTIV CEFAS\Prochloraz\Prochloraz/20201219_Cefas_Test10_Run2/Plate 1/@3/C3_04.tif "/>
    <s v=" 23122.3574 "/>
    <s v=" 38.1422 "/>
    <x v="0"/>
    <n v="881937"/>
    <m/>
    <m/>
    <m/>
  </r>
  <r>
    <x v="7"/>
    <x v="3"/>
    <s v="C:\Users\andre\Desktop\REACTIV CEFAS\Prochloraz\Prochloraz/20201219_Cefas_Test10_Run2/Plate 1/@3/D3_01.tif "/>
    <s v=" 735.4164 "/>
    <s v=" 32.2353 "/>
    <x v="0"/>
    <n v="23706"/>
    <m/>
    <m/>
    <m/>
  </r>
  <r>
    <x v="7"/>
    <x v="3"/>
    <s v="C:\Users\andre\Desktop\REACTIV CEFAS\Prochloraz\Prochloraz/20201219_Cefas_Test10_Run2/Plate 1/@3/D3_02- exclu.tif"/>
    <m/>
    <m/>
    <x v="1"/>
    <m/>
    <m/>
    <m/>
    <m/>
  </r>
  <r>
    <x v="7"/>
    <x v="3"/>
    <s v="C:\Users\andre\Desktop\REACTIV CEFAS\Prochloraz\Prochloraz/20201219_Cefas_Test10_Run2/Plate 1/@3/D3_03- exclu.tif"/>
    <m/>
    <m/>
    <x v="1"/>
    <m/>
    <m/>
    <m/>
    <m/>
  </r>
  <r>
    <x v="7"/>
    <x v="3"/>
    <s v="C:\Users\andre\Desktop\REACTIV CEFAS\Prochloraz\Prochloraz/20201219_Cefas_Test10_Run2/Plate 1/@3/D3_04.tif "/>
    <s v=" 4001.5305 "/>
    <s v=" 37.5892 "/>
    <x v="0"/>
    <n v="150414"/>
    <m/>
    <m/>
    <m/>
  </r>
  <r>
    <x v="7"/>
    <x v="4"/>
    <s v="C:\Users\andre\Desktop\REACTIV CEFAS\Prochloraz\Prochloraz/20201219_Cefas_Test10_Run2/Plate 1/@3/E3_01.tif "/>
    <s v=" 10425.6092 "/>
    <s v=" 38.8299 "/>
    <x v="0"/>
    <n v="404825"/>
    <m/>
    <m/>
    <m/>
  </r>
  <r>
    <x v="7"/>
    <x v="4"/>
    <s v="C:\Users\andre\Desktop\REACTIV CEFAS\Prochloraz\Prochloraz/20201219_Cefas_Test10_Run2/Plate 1/@3/E3_02.tif "/>
    <s v=" 9235.965 "/>
    <s v=" 40.9578 "/>
    <x v="0"/>
    <n v="378285"/>
    <m/>
    <m/>
    <m/>
  </r>
  <r>
    <x v="7"/>
    <x v="4"/>
    <s v="C:\Users\andre\Desktop\REACTIV CEFAS\Prochloraz\Prochloraz/20201219_Cefas_Test10_Run2/Plate 1/@3/E3_03.tif "/>
    <s v=" 9235.965 "/>
    <s v=" 41.548 "/>
    <x v="0"/>
    <n v="383736"/>
    <m/>
    <m/>
    <m/>
  </r>
  <r>
    <x v="7"/>
    <x v="4"/>
    <s v="C:\Users\andre\Desktop\REACTIV CEFAS\Prochloraz\Prochloraz/20201219_Cefas_Test10_Run2/Plate 1/@3/E3_04.tif "/>
    <s v=" 13756.613 "/>
    <s v=" 43.6572 "/>
    <x v="0"/>
    <n v="600576"/>
    <m/>
    <m/>
    <m/>
  </r>
  <r>
    <x v="7"/>
    <x v="5"/>
    <s v="C:\Users\andre\Desktop\REACTIV CEFAS\Prochloraz\Prochloraz/20201219_Cefas_Test10_Run2/Plate 1/@3/F3_01.tif "/>
    <s v=" 410.968 "/>
    <s v=" 31.7895 "/>
    <x v="0"/>
    <n v="13064"/>
    <m/>
    <m/>
    <m/>
  </r>
  <r>
    <x v="7"/>
    <x v="5"/>
    <s v="C:\Users\andre\Desktop\REACTIV CEFAS\Prochloraz\Prochloraz/20201219_Cefas_Test10_Run2/Plate 1/@3/F3_02.tif "/>
    <s v=" 11442.2143 "/>
    <s v=" 46.6371 "/>
    <x v="0"/>
    <n v="533631"/>
    <m/>
    <m/>
    <m/>
  </r>
  <r>
    <x v="7"/>
    <x v="5"/>
    <s v="C:\Users\andre\Desktop\REACTIV CEFAS\Prochloraz\Prochloraz/20201219_Cefas_Test10_Run2/Plate 1/@3/F3_03.tif "/>
    <s v=" 9538.7835 "/>
    <s v=" 44.0884 "/>
    <x v="0"/>
    <n v="420550"/>
    <m/>
    <m/>
    <m/>
  </r>
  <r>
    <x v="7"/>
    <x v="5"/>
    <s v="C:\Users\andre\Desktop\REACTIV CEFAS\Prochloraz\Prochloraz/20201219_Cefas_Test10_Run2/Plate 1/@3/F3_04.tif "/>
    <s v=" 11161.0256 "/>
    <s v=" 47.5368 "/>
    <x v="0"/>
    <n v="530560"/>
    <m/>
    <m/>
    <m/>
  </r>
  <r>
    <x v="7"/>
    <x v="6"/>
    <s v="C:\Users\andre\Desktop\REACTIV CEFAS\Prochloraz\Prochloraz/20201219_Cefas_Test10_Run2/Plate 1/@3/G3_01.tif "/>
    <s v=" 8587.0682 "/>
    <s v=" 36.7103 "/>
    <x v="0"/>
    <n v="315234"/>
    <m/>
    <m/>
    <m/>
  </r>
  <r>
    <x v="7"/>
    <x v="6"/>
    <s v="C:\Users\andre\Desktop\REACTIV CEFAS\Prochloraz\Prochloraz/20201219_Cefas_Test10_Run2/Plate 1/@3/G3_02.tif "/>
    <s v=" 8651.9579 "/>
    <s v=" 38.8725 "/>
    <x v="0"/>
    <n v="336323"/>
    <m/>
    <m/>
    <m/>
  </r>
  <r>
    <x v="7"/>
    <x v="6"/>
    <s v="C:\Users\andre\Desktop\REACTIV CEFAS\Prochloraz\Prochloraz/20201219_Cefas_Test10_Run2/Plate 1/@3/G3_03.tif "/>
    <s v=" 6207.7798 "/>
    <s v=" 36.9721 "/>
    <x v="0"/>
    <n v="229515"/>
    <m/>
    <m/>
    <m/>
  </r>
  <r>
    <x v="7"/>
    <x v="6"/>
    <s v="C:\Users\andre\Desktop\REACTIV CEFAS\Prochloraz\Prochloraz/20201219_Cefas_Test10_Run2/Plate 1/@3/G3_04.tif "/>
    <s v=" 10014.6412 "/>
    <s v=" 38.2376 "/>
    <x v="0"/>
    <n v="382936"/>
    <m/>
    <m/>
    <m/>
  </r>
  <r>
    <x v="7"/>
    <x v="7"/>
    <s v="C:\Users\andre\Desktop\REACTIV CEFAS\Prochloraz\Prochloraz/20201219_Cefas_Test10_Run2/Plate 1/@3/H3_01.tif "/>
    <s v=" 5083.0252 "/>
    <s v=" 37.766 "/>
    <x v="0"/>
    <n v="191965"/>
    <m/>
    <m/>
    <m/>
  </r>
  <r>
    <x v="7"/>
    <x v="7"/>
    <s v="C:\Users\andre\Desktop\REACTIV CEFAS\Prochloraz\Prochloraz/20201219_Cefas_Test10_Run2/Plate 1/@3/H3_02- exclu.tif"/>
    <m/>
    <m/>
    <x v="1"/>
    <m/>
    <m/>
    <m/>
    <m/>
  </r>
  <r>
    <x v="7"/>
    <x v="7"/>
    <s v="C:\Users\andre\Desktop\REACTIV CEFAS\Prochloraz\Prochloraz/20201219_Cefas_Test10_Run2/Plate 1/@3/H3_03.tif "/>
    <s v=" 5212.8046 "/>
    <s v=" 40.2365 "/>
    <x v="0"/>
    <n v="209745"/>
    <m/>
    <m/>
    <m/>
  </r>
  <r>
    <x v="7"/>
    <x v="7"/>
    <s v="C:\Users\andre\Desktop\REACTIV CEFAS\Prochloraz\Prochloraz/20201219_Cefas_Test10_Run2/Plate 1/@3/H3_04.tif "/>
    <s v=" 6510.5983 "/>
    <s v=" 43.7209 "/>
    <x v="0"/>
    <n v="284649"/>
    <m/>
    <m/>
    <m/>
  </r>
  <r>
    <x v="1"/>
    <x v="8"/>
    <s v=" "/>
    <m/>
    <m/>
    <x v="1"/>
    <m/>
    <m/>
    <m/>
    <m/>
  </r>
  <r>
    <x v="1"/>
    <x v="8"/>
    <s v="group "/>
    <s v=" "/>
    <s v=" mean of mean fluo "/>
    <x v="2"/>
    <s v=" mean of total fluo "/>
    <s v=" SD total fluo "/>
    <s v=" n fluorescent "/>
    <s v=" n total"/>
  </r>
  <r>
    <x v="7"/>
    <x v="9"/>
    <s v="C:\Users\andre\Desktop\REACTIV CEFAS\Prochloraz\Prochloraz/20201219_Cefas_Test10_Run2/Plate 1/@3/ "/>
    <s v=" "/>
    <s v=" 35.3037 "/>
    <x v="30"/>
    <s v=" 310727.625 "/>
    <s v=" 199954.018 "/>
    <n v="29"/>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C:\Users\andre\Desktop\REACTIV CEFAS\Prochloraz\Prochloraz/20201219_Cefas_Test10_Run2/Plate 1/@4/A4_01.tif "/>
    <s v=" 9841.6021 "/>
    <s v=" 36.4374 "/>
    <x v="0"/>
    <n v="358602"/>
    <m/>
    <m/>
    <m/>
  </r>
  <r>
    <x v="8"/>
    <x v="0"/>
    <s v="C:\Users\andre\Desktop\REACTIV CEFAS\Prochloraz\Prochloraz/20201219_Cefas_Test10_Run2/Plate 1/@4/A4_02.tif "/>
    <s v=" 8824.997 "/>
    <s v=" 38.1005 "/>
    <x v="0"/>
    <n v="336237"/>
    <m/>
    <m/>
    <m/>
  </r>
  <r>
    <x v="8"/>
    <x v="0"/>
    <s v="C:\Users\andre\Desktop\REACTIV CEFAS\Prochloraz\Prochloraz/20201219_Cefas_Test10_Run2/Plate 1/@4/A4_03.tif "/>
    <s v=" 4953.2459 "/>
    <s v=" 37.7336 "/>
    <x v="0"/>
    <n v="186904"/>
    <m/>
    <m/>
    <m/>
  </r>
  <r>
    <x v="8"/>
    <x v="0"/>
    <s v="C:\Users\andre\Desktop\REACTIV CEFAS\Prochloraz\Prochloraz/20201219_Cefas_Test10_Run2/Plate 1/@4/A4_04.tif "/>
    <s v=" 8933.1465 "/>
    <s v=" 35.1768 "/>
    <x v="0"/>
    <n v="314239"/>
    <m/>
    <m/>
    <m/>
  </r>
  <r>
    <x v="8"/>
    <x v="1"/>
    <s v="C:\Users\andre\Desktop\REACTIV CEFAS\Prochloraz\Prochloraz/20201219_Cefas_Test10_Run2/Plate 1/@4/B4_01.tif "/>
    <s v=" 8630.328 "/>
    <s v=" 37.8496 "/>
    <x v="0"/>
    <n v="326655"/>
    <m/>
    <m/>
    <m/>
  </r>
  <r>
    <x v="8"/>
    <x v="1"/>
    <s v="C:\Users\andre\Desktop\REACTIV CEFAS\Prochloraz\Prochloraz/20201219_Cefas_Test10_Run2/Plate 1/@4/B4_02.tif "/>
    <s v=" 5667.0324 "/>
    <s v=" 36.7901 "/>
    <x v="0"/>
    <n v="208491"/>
    <m/>
    <m/>
    <m/>
  </r>
  <r>
    <x v="8"/>
    <x v="1"/>
    <s v="C:\Users\andre\Desktop\REACTIV CEFAS\Prochloraz\Prochloraz/20201219_Cefas_Test10_Run2/Plate 1/@4/B4_03.tif "/>
    <s v=" 8846.6269 "/>
    <s v=" 36.0098 "/>
    <x v="0"/>
    <n v="318565"/>
    <m/>
    <m/>
    <m/>
  </r>
  <r>
    <x v="8"/>
    <x v="1"/>
    <s v="C:\Users\andre\Desktop\REACTIV CEFAS\Prochloraz\Prochloraz/20201219_Cefas_Test10_Run2/Plate 1/@4/B4_04.tif "/>
    <s v=" 8176.1002 "/>
    <s v=" 35.4894 "/>
    <x v="0"/>
    <n v="290165"/>
    <m/>
    <m/>
    <m/>
  </r>
  <r>
    <x v="8"/>
    <x v="2"/>
    <s v="C:\Users\andre\Desktop\REACTIV CEFAS\Prochloraz\Prochloraz/20201219_Cefas_Test10_Run2/Plate 1/@4/C4_01.tif "/>
    <s v=" 26756.1797 "/>
    <s v=" 35.2288 "/>
    <x v="0"/>
    <n v="942588"/>
    <m/>
    <m/>
    <m/>
  </r>
  <r>
    <x v="8"/>
    <x v="2"/>
    <s v="C:\Users\andre\Desktop\REACTIV CEFAS\Prochloraz\Prochloraz/20201219_Cefas_Test10_Run2/Plate 1/@4/C4_02.tif "/>
    <s v=" 14145.9511 "/>
    <s v=" 33.7768 "/>
    <x v="0"/>
    <n v="477804"/>
    <m/>
    <m/>
    <m/>
  </r>
  <r>
    <x v="8"/>
    <x v="2"/>
    <s v="C:\Users\andre\Desktop\REACTIV CEFAS\Prochloraz\Prochloraz/20201219_Cefas_Test10_Run2/Plate 1/@4/C4_03.tif "/>
    <s v=" 18320.5208 "/>
    <s v=" 32.7119 "/>
    <x v="0"/>
    <n v="599299"/>
    <m/>
    <m/>
    <m/>
  </r>
  <r>
    <x v="8"/>
    <x v="2"/>
    <s v="C:\Users\andre\Desktop\REACTIV CEFAS\Prochloraz\Prochloraz/20201219_Cefas_Test10_Run2/Plate 1/@4/C4_04.tif "/>
    <s v=" 28183.7527 "/>
    <s v=" 34.1251 "/>
    <x v="0"/>
    <n v="961773"/>
    <m/>
    <m/>
    <m/>
  </r>
  <r>
    <x v="8"/>
    <x v="3"/>
    <s v="C:\Users\andre\Desktop\REACTIV CEFAS\Prochloraz\Prochloraz/20201219_Cefas_Test10_Run2/Plate 1/@4/D4_01.tif "/>
    <s v=" 5948.221 "/>
    <s v=" 37.3964 "/>
    <x v="0"/>
    <n v="222442"/>
    <m/>
    <m/>
    <m/>
  </r>
  <r>
    <x v="8"/>
    <x v="3"/>
    <s v="C:\Users\andre\Desktop\REACTIV CEFAS\Prochloraz\Prochloraz/20201219_Cefas_Test10_Run2/Plate 1/@4/D4_02.tif "/>
    <s v=" 4196.1996 "/>
    <s v=" 37.2835 "/>
    <x v="0"/>
    <n v="156449"/>
    <m/>
    <m/>
    <m/>
  </r>
  <r>
    <x v="8"/>
    <x v="3"/>
    <s v="C:\Users\andre\Desktop\REACTIV CEFAS\Prochloraz\Prochloraz/20201219_Cefas_Test10_Run2/Plate 1/@4/D4_03.tif "/>
    <s v=" 3936.6408 "/>
    <s v=" 36.1264 "/>
    <x v="0"/>
    <n v="142217"/>
    <m/>
    <m/>
    <m/>
  </r>
  <r>
    <x v="8"/>
    <x v="3"/>
    <s v="C:\Users\andre\Desktop\REACTIV CEFAS\Prochloraz\Prochloraz/20201219_Cefas_Test10_Run2/Plate 1/@4/D4_04.tif "/>
    <s v=" 4001.5305 "/>
    <s v=" 35.9405 "/>
    <x v="0"/>
    <n v="143817"/>
    <m/>
    <m/>
    <m/>
  </r>
  <r>
    <x v="8"/>
    <x v="4"/>
    <s v="C:\Users\andre\Desktop\REACTIV CEFAS\Prochloraz\Prochloraz/20201219_Cefas_Test10_Run2/Plate 1/@4/E4_01.tif "/>
    <s v=" 1297.7937 "/>
    <s v=" 31.6833 "/>
    <x v="0"/>
    <n v="41118"/>
    <m/>
    <m/>
    <m/>
  </r>
  <r>
    <x v="8"/>
    <x v="4"/>
    <s v="C:\Users\andre\Desktop\REACTIV CEFAS\Prochloraz\Prochloraz/20201219_Cefas_Test10_Run2/Plate 1/@4/E4_02.tif "/>
    <n v="0"/>
    <n v="0"/>
    <x v="0"/>
    <n v="0"/>
    <m/>
    <m/>
    <m/>
  </r>
  <r>
    <x v="8"/>
    <x v="4"/>
    <s v="C:\Users\andre\Desktop\REACTIV CEFAS\Prochloraz\Prochloraz/20201219_Cefas_Test10_Run2/Plate 1/@4/E4_03.tif "/>
    <s v=" 3612.1924 "/>
    <s v=" 34.3952 "/>
    <x v="0"/>
    <n v="124242"/>
    <m/>
    <m/>
    <m/>
  </r>
  <r>
    <x v="8"/>
    <x v="4"/>
    <s v="C:\Users\andre\Desktop\REACTIV CEFAS\Prochloraz\Prochloraz/20201219_Cefas_Test10_Run2/Plate 1/@4/E4_04.tif "/>
    <s v=" 1795.2813 "/>
    <s v=" 33.012 "/>
    <x v="0"/>
    <n v="59266"/>
    <m/>
    <m/>
    <m/>
  </r>
  <r>
    <x v="8"/>
    <x v="5"/>
    <s v="C:\Users\andre\Desktop\REACTIV CEFAS\Prochloraz\Prochloraz/20201219_Cefas_Test10_Run2/Plate 1/@4/F4_01.tif "/>
    <s v=" 20288.8412 "/>
    <s v=" 34.5426 "/>
    <x v="0"/>
    <n v="700830"/>
    <m/>
    <m/>
    <m/>
  </r>
  <r>
    <x v="8"/>
    <x v="5"/>
    <s v="C:\Users\andre\Desktop\REACTIV CEFAS\Prochloraz\Prochloraz/20201219_Cefas_Test10_Run2/Plate 1/@4/F4_02.tif "/>
    <s v=" 32985.5893 "/>
    <s v=" 35.6026 "/>
    <x v="0"/>
    <n v="1174373"/>
    <m/>
    <m/>
    <m/>
  </r>
  <r>
    <x v="8"/>
    <x v="5"/>
    <s v="C:\Users\andre\Desktop\REACTIV CEFAS\Prochloraz\Prochloraz/20201219_Cefas_Test10_Run2/Plate 1/@4/F4_03.tif "/>
    <s v=" 29935.7742 "/>
    <s v=" 35.2623 "/>
    <x v="0"/>
    <n v="1055604"/>
    <m/>
    <m/>
    <m/>
  </r>
  <r>
    <x v="8"/>
    <x v="5"/>
    <s v="C:\Users\andre\Desktop\REACTIV CEFAS\Prochloraz\Prochloraz/20201219_Cefas_Test10_Run2/Plate 1/@4/F4_04.tif "/>
    <s v=" 41961.9956 "/>
    <s v=" 36.1753 "/>
    <x v="0"/>
    <n v="1517986"/>
    <m/>
    <m/>
    <m/>
  </r>
  <r>
    <x v="8"/>
    <x v="6"/>
    <s v="C:\Users\andre\Desktop\REACTIV CEFAS\Prochloraz\Prochloraz/20201219_Cefas_Test10_Run2/Plate 1/@4/G4_01.tif "/>
    <s v=" 6402.4488 "/>
    <s v=" 37.098 "/>
    <x v="0"/>
    <n v="237518"/>
    <m/>
    <m/>
    <m/>
  </r>
  <r>
    <x v="8"/>
    <x v="6"/>
    <s v="C:\Users\andre\Desktop\REACTIV CEFAS\Prochloraz\Prochloraz/20201219_Cefas_Test10_Run2/Plate 1/@4/G4_02- exclu.tif"/>
    <m/>
    <m/>
    <x v="1"/>
    <m/>
    <m/>
    <m/>
    <m/>
  </r>
  <r>
    <x v="8"/>
    <x v="6"/>
    <s v="C:\Users\andre\Desktop\REACTIV CEFAS\Prochloraz\Prochloraz/20201219_Cefas_Test10_Run2/Plate 1/@4/G4_03- exclu.tif"/>
    <m/>
    <m/>
    <x v="1"/>
    <m/>
    <m/>
    <m/>
    <m/>
  </r>
  <r>
    <x v="8"/>
    <x v="6"/>
    <s v="C:\Users\andre\Desktop\REACTIV CEFAS\Prochloraz\Prochloraz/20201219_Cefas_Test10_Run2/Plate 1/@4/G4_04.tif "/>
    <s v=" 21.6299 "/>
    <n v="30"/>
    <x v="0"/>
    <n v="649"/>
    <m/>
    <m/>
    <m/>
  </r>
  <r>
    <x v="8"/>
    <x v="7"/>
    <s v="C:\Users\andre\Desktop\REACTIV CEFAS\Prochloraz\Prochloraz/20201219_Cefas_Test10_Run2/Plate 1/@4/H4_01.tif "/>
    <s v=" 11074.506 "/>
    <s v=" 46.2188 "/>
    <x v="0"/>
    <n v="511850"/>
    <m/>
    <m/>
    <m/>
  </r>
  <r>
    <x v="8"/>
    <x v="7"/>
    <s v="C:\Users\andre\Desktop\REACTIV CEFAS\Prochloraz\Prochloraz/20201219_Cefas_Test10_Run2/Plate 1/@4/H4_02.tif "/>
    <s v=" 11658.5132 "/>
    <s v=" 48.9091 "/>
    <x v="0"/>
    <n v="570207"/>
    <m/>
    <m/>
    <m/>
  </r>
  <r>
    <x v="8"/>
    <x v="7"/>
    <s v="C:\Users\andre\Desktop\REACTIV CEFAS\Prochloraz\Prochloraz/20201219_Cefas_Test10_Run2/Plate 1/@4/H4_03.tif "/>
    <s v=" 9928.1216 "/>
    <s v=" 44.7974 "/>
    <x v="0"/>
    <n v="444754"/>
    <m/>
    <m/>
    <m/>
  </r>
  <r>
    <x v="8"/>
    <x v="7"/>
    <s v="C:\Users\andre\Desktop\REACTIV CEFAS\Prochloraz\Prochloraz/20201219_Cefas_Test10_Run2/Plate 1/@4/H4_04- exclu.tif"/>
    <m/>
    <m/>
    <x v="1"/>
    <m/>
    <m/>
    <m/>
    <m/>
  </r>
  <r>
    <x v="1"/>
    <x v="8"/>
    <s v=" "/>
    <m/>
    <m/>
    <x v="1"/>
    <m/>
    <m/>
    <m/>
    <m/>
  </r>
  <r>
    <x v="1"/>
    <x v="8"/>
    <s v="group "/>
    <s v=" "/>
    <s v=" mean of mean fluo "/>
    <x v="2"/>
    <s v=" mean of total fluo "/>
    <s v=" SD total fluo "/>
    <s v=" n fluorescent "/>
    <s v=" n total"/>
  </r>
  <r>
    <x v="8"/>
    <x v="9"/>
    <s v="C:\Users\andre\Desktop\REACTIV CEFAS\Prochloraz\Prochloraz/20201219_Cefas_Test10_Run2/Plate 1/@4/ "/>
    <s v=" "/>
    <s v=" 34.0627 "/>
    <x v="31"/>
    <s v=" 388645.938 "/>
    <s v=" 382879.396 "/>
    <n v="30"/>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C:\Users\andre\Desktop\REACTIV CEFAS\Prochloraz\Prochloraz/20201219_Cefas_Test10_Run2/Plate 1/@5/A5_01.tif "/>
    <s v=" 66836.3744 "/>
    <s v=" 39.6194 "/>
    <x v="0"/>
    <n v="2648018"/>
    <m/>
    <m/>
    <m/>
  </r>
  <r>
    <x v="9"/>
    <x v="0"/>
    <s v="C:\Users\andre\Desktop\REACTIV CEFAS\Prochloraz\Prochloraz/20201219_Cefas_Test10_Run2/Plate 1/@5/A5_02.tif "/>
    <s v=" 61169.342 "/>
    <s v=" 39.3716 "/>
    <x v="0"/>
    <n v="2408337"/>
    <m/>
    <m/>
    <m/>
  </r>
  <r>
    <x v="9"/>
    <x v="0"/>
    <s v="C:\Users\andre\Desktop\REACTIV CEFAS\Prochloraz\Prochloraz/20201219_Cefas_Test10_Run2/Plate 1/@5/A5_03- exclu.tif"/>
    <m/>
    <m/>
    <x v="1"/>
    <m/>
    <m/>
    <m/>
    <m/>
  </r>
  <r>
    <x v="9"/>
    <x v="0"/>
    <s v="C:\Users\andre\Desktop\REACTIV CEFAS\Prochloraz\Prochloraz/20201219_Cefas_Test10_Run2/Plate 1/@5/A5_04.tif "/>
    <s v=" 47737.1774 "/>
    <s v=" 35.8305 "/>
    <x v="0"/>
    <n v="1710449"/>
    <m/>
    <m/>
    <m/>
  </r>
  <r>
    <x v="9"/>
    <x v="1"/>
    <s v="C:\Users\andre\Desktop\REACTIV CEFAS\Prochloraz\Prochloraz/20201219_Cefas_Test10_Run2/Plate 1/@5/B5_01.tif "/>
    <s v=" 40404.6432 "/>
    <s v=" 36.6552 "/>
    <x v="0"/>
    <n v="1481042"/>
    <m/>
    <m/>
    <m/>
  </r>
  <r>
    <x v="9"/>
    <x v="1"/>
    <s v="C:\Users\andre\Desktop\REACTIV CEFAS\Prochloraz\Prochloraz/20201219_Cefas_Test10_Run2/Plate 1/@5/B5_02.tif "/>
    <s v=" 33158.6285 "/>
    <s v=" 34.2511 "/>
    <x v="0"/>
    <n v="1135721"/>
    <m/>
    <m/>
    <m/>
  </r>
  <r>
    <x v="9"/>
    <x v="1"/>
    <s v="C:\Users\andre\Desktop\REACTIV CEFAS\Prochloraz\Prochloraz/20201219_Cefas_Test10_Run2/Plate 1/@5/B5_03.tif "/>
    <s v=" 35581.1767 "/>
    <s v=" 34.3538 "/>
    <x v="0"/>
    <n v="1222349"/>
    <m/>
    <m/>
    <m/>
  </r>
  <r>
    <x v="9"/>
    <x v="1"/>
    <s v="C:\Users\andre\Desktop\REACTIV CEFAS\Prochloraz\Prochloraz/20201219_Cefas_Test10_Run2/Plate 1/@5/B5_04.tif "/>
    <s v=" 47780.4372 "/>
    <s v=" 35.9434 "/>
    <x v="0"/>
    <n v="1717392"/>
    <m/>
    <m/>
    <m/>
  </r>
  <r>
    <x v="9"/>
    <x v="2"/>
    <s v="C:\Users\andre\Desktop\REACTIV CEFAS\Prochloraz\Prochloraz/20201219_Cefas_Test10_Run2/Plate 1/@5/C5_01.tif "/>
    <s v=" 25458.386 "/>
    <s v=" 37.017 "/>
    <x v="0"/>
    <n v="942393"/>
    <m/>
    <m/>
    <m/>
  </r>
  <r>
    <x v="9"/>
    <x v="2"/>
    <s v="C:\Users\andre\Desktop\REACTIV CEFAS\Prochloraz\Prochloraz/20201219_Cefas_Test10_Run2/Plate 1/@5/C5_02.tif "/>
    <s v=" 23165.6171 "/>
    <s v=" 37.4407 "/>
    <x v="0"/>
    <n v="867337"/>
    <m/>
    <m/>
    <m/>
  </r>
  <r>
    <x v="9"/>
    <x v="2"/>
    <s v="C:\Users\andre\Desktop\REACTIV CEFAS\Prochloraz\Prochloraz/20201219_Cefas_Test10_Run2/Plate 1/@5/C5_03.tif "/>
    <s v=" 28486.5712 "/>
    <s v=" 38.5695 "/>
    <x v="0"/>
    <n v="1098712"/>
    <m/>
    <m/>
    <m/>
  </r>
  <r>
    <x v="9"/>
    <x v="2"/>
    <s v="C:\Users\andre\Desktop\REACTIV CEFAS\Prochloraz\Prochloraz/20201219_Cefas_Test10_Run2/Plate 1/@5/C5_04.tif "/>
    <s v=" 31449.8668 "/>
    <s v=" 36.1891 "/>
    <x v="0"/>
    <n v="1138143"/>
    <m/>
    <m/>
    <m/>
  </r>
  <r>
    <x v="9"/>
    <x v="3"/>
    <s v="C:\Users\andre\Desktop\REACTIV CEFAS\Prochloraz\Prochloraz/20201219_Cefas_Test10_Run2/Plate 1/@5/D5_01.tif "/>
    <s v=" 48061.6259 "/>
    <s v=" 36.4046 "/>
    <x v="0"/>
    <n v="1749664"/>
    <m/>
    <m/>
    <m/>
  </r>
  <r>
    <x v="9"/>
    <x v="3"/>
    <s v="C:\Users\andre\Desktop\REACTIV CEFAS\Prochloraz\Prochloraz/20201219_Cefas_Test10_Run2/Plate 1/@5/D5_02- exclu.tif"/>
    <m/>
    <m/>
    <x v="1"/>
    <m/>
    <m/>
    <m/>
    <m/>
  </r>
  <r>
    <x v="9"/>
    <x v="3"/>
    <s v="C:\Users\andre\Desktop\REACTIV CEFAS\Prochloraz\Prochloraz/20201219_Cefas_Test10_Run2/Plate 1/@5/D5_03.tif "/>
    <s v=" 54572.2241 "/>
    <s v=" 37.2434 "/>
    <x v="0"/>
    <n v="2032453"/>
    <m/>
    <m/>
    <m/>
  </r>
  <r>
    <x v="9"/>
    <x v="3"/>
    <s v="C:\Users\andre\Desktop\REACTIV CEFAS\Prochloraz\Prochloraz/20201219_Cefas_Test10_Run2/Plate 1/@5/D5_04.tif "/>
    <s v=" 56670.3239 "/>
    <s v=" 38.5042 "/>
    <x v="0"/>
    <n v="2182045"/>
    <m/>
    <m/>
    <m/>
  </r>
  <r>
    <x v="9"/>
    <x v="4"/>
    <s v="C:\Users\andre\Desktop\REACTIV CEFAS\Prochloraz\Prochloraz/20201219_Cefas_Test10_Run2/Plate 1/@5/E5_01.tif "/>
    <s v=" 67679.9403 "/>
    <s v=" 41.1163 "/>
    <x v="0"/>
    <n v="2782751"/>
    <m/>
    <m/>
    <m/>
  </r>
  <r>
    <x v="9"/>
    <x v="4"/>
    <s v="C:\Users\andre\Desktop\REACTIV CEFAS\Prochloraz\Prochloraz/20201219_Cefas_Test10_Run2/Plate 1/@5/E5_02.tif "/>
    <s v=" 68436.9866 "/>
    <s v=" 44.9011 "/>
    <x v="0"/>
    <n v="3072894"/>
    <m/>
    <m/>
    <m/>
  </r>
  <r>
    <x v="9"/>
    <x v="4"/>
    <s v="C:\Users\andre\Desktop\REACTIV CEFAS\Prochloraz\Prochloraz/20201219_Cefas_Test10_Run2/Plate 1/@5/E5_03.tif "/>
    <s v=" 69431.9618 "/>
    <s v=" 42.2685 "/>
    <x v="0"/>
    <n v="2934787"/>
    <m/>
    <m/>
    <m/>
  </r>
  <r>
    <x v="9"/>
    <x v="4"/>
    <s v="C:\Users\andre\Desktop\REACTIV CEFAS\Prochloraz\Prochloraz/20201219_Cefas_Test10_Run2/Plate 1/@5/E5_04.tif "/>
    <s v=" 61104.4523 "/>
    <s v=" 42.2241 "/>
    <x v="0"/>
    <n v="2580079"/>
    <m/>
    <m/>
    <m/>
  </r>
  <r>
    <x v="9"/>
    <x v="5"/>
    <s v="C:\Users\andre\Desktop\REACTIV CEFAS\Prochloraz\Prochloraz/20201219_Cefas_Test10_Run2/Plate 1/@5/F5_01.tif "/>
    <s v=" 64781.5344 "/>
    <s v=" 47.0137 "/>
    <x v="0"/>
    <n v="3045619"/>
    <m/>
    <m/>
    <m/>
  </r>
  <r>
    <x v="9"/>
    <x v="5"/>
    <s v="C:\Users\andre\Desktop\REACTIV CEFAS\Prochloraz\Prochloraz/20201219_Cefas_Test10_Run2/Plate 1/@5/F5_02- exclu.tif"/>
    <m/>
    <m/>
    <x v="1"/>
    <m/>
    <m/>
    <m/>
    <m/>
  </r>
  <r>
    <x v="9"/>
    <x v="5"/>
    <s v="C:\Users\andre\Desktop\REACTIV CEFAS\Prochloraz\Prochloraz/20201219_Cefas_Test10_Run2/Plate 1/@5/F5_03.tif "/>
    <s v=" 66295.627 "/>
    <s v=" 49.9808 "/>
    <x v="0"/>
    <n v="3313505"/>
    <m/>
    <m/>
    <m/>
  </r>
  <r>
    <x v="9"/>
    <x v="5"/>
    <s v="C:\Users\andre\Desktop\REACTIV CEFAS\Prochloraz\Prochloraz/20201219_Cefas_Test10_Run2/Plate 1/@5/F5_04.tif "/>
    <s v=" 66425.4064 "/>
    <s v=" 48.2081 "/>
    <x v="0"/>
    <n v="3202241"/>
    <m/>
    <m/>
    <m/>
  </r>
  <r>
    <x v="9"/>
    <x v="6"/>
    <s v="C:\Users\andre\Desktop\REACTIV CEFAS\Prochloraz\Prochloraz/20201219_Cefas_Test10_Run2/Plate 1/@5/G5_01.tif "/>
    <s v=" 34326.6428 "/>
    <s v=" 32.7713 "/>
    <x v="0"/>
    <n v="1124928"/>
    <m/>
    <m/>
    <m/>
  </r>
  <r>
    <x v="9"/>
    <x v="6"/>
    <s v="C:\Users\andre\Desktop\REACTIV CEFAS\Prochloraz\Prochloraz/20201219_Cefas_Test10_Run2/Plate 1/@5/G5_02.tif "/>
    <s v=" 51457.5193 "/>
    <s v=" 35.0383 "/>
    <x v="0"/>
    <n v="1802981"/>
    <m/>
    <m/>
    <m/>
  </r>
  <r>
    <x v="9"/>
    <x v="6"/>
    <s v="C:\Users\andre\Desktop\REACTIV CEFAS\Prochloraz\Prochloraz/20201219_Cefas_Test10_Run2/Plate 1/@5/G5_03.tif "/>
    <s v=" 31990.6142 "/>
    <s v=" 32.4888 "/>
    <x v="0"/>
    <n v="1039338"/>
    <m/>
    <m/>
    <m/>
  </r>
  <r>
    <x v="9"/>
    <x v="6"/>
    <s v="C:\Users\andre\Desktop\REACTIV CEFAS\Prochloraz\Prochloraz/20201219_Cefas_Test10_Run2/Plate 1/@5/G5_04.tif "/>
    <s v=" 29892.5144 "/>
    <s v=" 32.1773 "/>
    <x v="0"/>
    <n v="961860"/>
    <m/>
    <m/>
    <m/>
  </r>
  <r>
    <x v="9"/>
    <x v="7"/>
    <s v="C:\Users\andre\Desktop\REACTIV CEFAS\Prochloraz\Prochloraz/20201219_Cefas_Test10_Run2/Plate 1/@5/H5_01.tif "/>
    <s v=" 33958.9346 "/>
    <s v=" 34.1325 "/>
    <x v="0"/>
    <n v="1159103"/>
    <m/>
    <m/>
    <m/>
  </r>
  <r>
    <x v="9"/>
    <x v="7"/>
    <s v="C:\Users\andre\Desktop\REACTIV CEFAS\Prochloraz\Prochloraz/20201219_Cefas_Test10_Run2/Plate 1/@5/H5_02.tif "/>
    <s v=" 39106.8495 "/>
    <s v=" 33.9132 "/>
    <x v="0"/>
    <n v="1326237"/>
    <m/>
    <m/>
    <m/>
  </r>
  <r>
    <x v="9"/>
    <x v="7"/>
    <s v="C:\Users\andre\Desktop\REACTIV CEFAS\Prochloraz\Prochloraz/20201219_Cefas_Test10_Run2/Plate 1/@5/H5_03.tif "/>
    <s v=" 37441.3476 "/>
    <s v=" 33.9549 "/>
    <x v="0"/>
    <n v="1271319"/>
    <m/>
    <m/>
    <m/>
  </r>
  <r>
    <x v="9"/>
    <x v="7"/>
    <s v="C:\Users\andre\Desktop\REACTIV CEFAS\Prochloraz\Prochloraz/20201219_Cefas_Test10_Run2/Plate 1/@5/H5_04.tif "/>
    <s v=" 42502.7429 "/>
    <s v=" 36.8911 "/>
    <x v="0"/>
    <n v="1567973"/>
    <m/>
    <m/>
    <m/>
  </r>
  <r>
    <x v="1"/>
    <x v="8"/>
    <s v=" "/>
    <m/>
    <m/>
    <x v="1"/>
    <m/>
    <m/>
    <m/>
    <m/>
  </r>
  <r>
    <x v="1"/>
    <x v="8"/>
    <s v="group "/>
    <s v=" "/>
    <s v=" mean of mean fluo "/>
    <x v="2"/>
    <s v=" mean of total fluo "/>
    <s v=" SD total fluo "/>
    <s v=" n fluorescent "/>
    <s v=" n total"/>
  </r>
  <r>
    <x v="9"/>
    <x v="9"/>
    <s v="C:\Users\andre\Desktop\REACTIV CEFAS\Prochloraz\Prochloraz/20201219_Cefas_Test10_Run2/Plate 1/@5/ "/>
    <s v=" "/>
    <s v=" 38.3522 "/>
    <x v="32"/>
    <s v=" 1865818.38 "/>
    <s v=" 778138.95 "/>
    <n v="32"/>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C:\Users\andre\Desktop\REACTIV CEFAS\Prochloraz\Prochloraz/20201219_Cefas_Test10_Run2/Plate 1/@6/A6_01.tif "/>
    <s v=" 77326.8733 "/>
    <s v=" 44.6187 "/>
    <x v="0"/>
    <n v="3450228"/>
    <m/>
    <m/>
    <m/>
  </r>
  <r>
    <x v="10"/>
    <x v="0"/>
    <s v="C:\Users\andre\Desktop\REACTIV CEFAS\Prochloraz\Prochloraz/20201219_Cefas_Test10_Run2/Plate 1/@6/A6_02.tif "/>
    <s v=" 71789.6203 "/>
    <s v=" 42.0096 "/>
    <x v="0"/>
    <n v="3015856"/>
    <m/>
    <m/>
    <m/>
  </r>
  <r>
    <x v="10"/>
    <x v="0"/>
    <s v="C:\Users\andre\Desktop\REACTIV CEFAS\Prochloraz\Prochloraz/20201219_Cefas_Test10_Run2/Plate 1/@6/A6_03.tif "/>
    <s v=" 73887.7201 "/>
    <s v=" 41.6133 "/>
    <x v="0"/>
    <n v="3074711"/>
    <m/>
    <m/>
    <m/>
  </r>
  <r>
    <x v="10"/>
    <x v="0"/>
    <s v="C:\Users\andre\Desktop\REACTIV CEFAS\Prochloraz\Prochloraz/20201219_Cefas_Test10_Run2/Plate 1/@6/A6_04.tif "/>
    <s v=" 75683.0013 "/>
    <s v=" 43.7394 "/>
    <x v="0"/>
    <n v="3310326"/>
    <m/>
    <m/>
    <m/>
  </r>
  <r>
    <x v="10"/>
    <x v="1"/>
    <s v="C:\Users\andre\Desktop\REACTIV CEFAS\Prochloraz\Prochloraz/20201219_Cefas_Test10_Run2/Plate 1/@6/B6_01.tif "/>
    <s v=" 75401.8127 "/>
    <s v=" 47.4584 "/>
    <x v="0"/>
    <n v="3578450"/>
    <m/>
    <m/>
    <m/>
  </r>
  <r>
    <x v="10"/>
    <x v="1"/>
    <s v="C:\Users\andre\Desktop\REACTIV CEFAS\Prochloraz\Prochloraz/20201219_Cefas_Test10_Run2/Plate 1/@6/B6_02- exclu.tif"/>
    <m/>
    <m/>
    <x v="1"/>
    <m/>
    <m/>
    <m/>
    <m/>
  </r>
  <r>
    <x v="10"/>
    <x v="1"/>
    <s v="C:\Users\andre\Desktop\REACTIV CEFAS\Prochloraz\Prochloraz/20201219_Cefas_Test10_Run2/Plate 1/@6/B6_03.tif "/>
    <s v=" 68739.8051 "/>
    <s v=" 43.8361 "/>
    <x v="0"/>
    <n v="3013282"/>
    <m/>
    <m/>
    <m/>
  </r>
  <r>
    <x v="10"/>
    <x v="1"/>
    <s v="C:\Users\andre\Desktop\REACTIV CEFAS\Prochloraz\Prochloraz/20201219_Cefas_Test10_Run2/Plate 1/@6/B6_04.tif "/>
    <s v=" 84745.9272 "/>
    <s v=" 45.9342 "/>
    <x v="0"/>
    <n v="3892732"/>
    <m/>
    <m/>
    <m/>
  </r>
  <r>
    <x v="10"/>
    <x v="2"/>
    <s v="C:\Users\andre\Desktop\REACTIV CEFAS\Prochloraz\Prochloraz/20201219_Cefas_Test10_Run2/Plate 1/@6/C6_01.tif "/>
    <s v=" 86022.0909 "/>
    <s v=" 42.4136 "/>
    <x v="0"/>
    <n v="3648509"/>
    <m/>
    <m/>
    <m/>
  </r>
  <r>
    <x v="10"/>
    <x v="2"/>
    <s v="C:\Users\andre\Desktop\REACTIV CEFAS\Prochloraz\Prochloraz/20201219_Cefas_Test10_Run2/Plate 1/@6/C6_02.tif "/>
    <s v=" 74277.0582 "/>
    <s v=" 40.0649 "/>
    <x v="0"/>
    <n v="2975906"/>
    <m/>
    <m/>
    <m/>
  </r>
  <r>
    <x v="10"/>
    <x v="2"/>
    <s v="C:\Users\andre\Desktop\REACTIV CEFAS\Prochloraz\Prochloraz/20201219_Cefas_Test10_Run2/Plate 1/@6/C6_03.tif "/>
    <s v=" 76872.6455 "/>
    <s v=" 47.1292 "/>
    <x v="0"/>
    <n v="3622942"/>
    <m/>
    <m/>
    <m/>
  </r>
  <r>
    <x v="10"/>
    <x v="2"/>
    <s v="C:\Users\andre\Desktop\REACTIV CEFAS\Prochloraz\Prochloraz/20201219_Cefas_Test10_Run2/Plate 1/@6/C6_04.tif "/>
    <s v=" 81501.443 "/>
    <s v=" 44.9639 "/>
    <x v="0"/>
    <n v="3664623"/>
    <m/>
    <m/>
    <m/>
  </r>
  <r>
    <x v="10"/>
    <x v="3"/>
    <s v="C:\Users\andre\Desktop\REACTIV CEFAS\Prochloraz\Prochloraz/20201219_Cefas_Test10_Run2/Plate 1/@6/D6_01.tif "/>
    <s v=" 75315.2931 "/>
    <s v=" 46.9609 "/>
    <x v="0"/>
    <n v="3536877"/>
    <m/>
    <m/>
    <m/>
  </r>
  <r>
    <x v="10"/>
    <x v="3"/>
    <s v="C:\Users\andre\Desktop\REACTIV CEFAS\Prochloraz\Prochloraz/20201219_Cefas_Test10_Run2/Plate 1/@6/D6_02.tif "/>
    <s v=" 83577.9128 "/>
    <s v=" 46.5572 "/>
    <x v="0"/>
    <n v="3891153"/>
    <m/>
    <m/>
    <m/>
  </r>
  <r>
    <x v="10"/>
    <x v="3"/>
    <s v="C:\Users\andre\Desktop\REACTIV CEFAS\Prochloraz\Prochloraz/20201219_Cefas_Test10_Run2/Plate 1/@6/D6_03.tif "/>
    <s v=" 65711.6199 "/>
    <s v=" 49.3776 "/>
    <x v="0"/>
    <n v="3244679"/>
    <m/>
    <m/>
    <m/>
  </r>
  <r>
    <x v="10"/>
    <x v="3"/>
    <s v="C:\Users\andre\Desktop\REACTIV CEFAS\Prochloraz\Prochloraz/20201219_Cefas_Test10_Run2/Plate 1/@6/D6_04.tif "/>
    <s v=" 76699.6064 "/>
    <s v=" 48.8438 "/>
    <x v="0"/>
    <n v="3746298"/>
    <m/>
    <m/>
    <m/>
  </r>
  <r>
    <x v="10"/>
    <x v="4"/>
    <s v="C:\Users\andre\Desktop\REACTIV CEFAS\Prochloraz\Prochloraz/20201219_Cefas_Test10_Run2/Plate 1/@6/E6_01.tif "/>
    <s v=" 70102.4885 "/>
    <s v=" 43.0204 "/>
    <x v="0"/>
    <n v="3015835"/>
    <m/>
    <m/>
    <m/>
  </r>
  <r>
    <x v="10"/>
    <x v="4"/>
    <s v="C:\Users\andre\Desktop\REACTIV CEFAS\Prochloraz\Prochloraz/20201219_Cefas_Test10_Run2/Plate 1/@6/E6_02.tif "/>
    <s v=" 71508.4316 "/>
    <s v=" 43.1034 "/>
    <x v="0"/>
    <n v="3082260"/>
    <m/>
    <m/>
    <m/>
  </r>
  <r>
    <x v="10"/>
    <x v="4"/>
    <s v="C:\Users\andre\Desktop\REACTIV CEFAS\Prochloraz\Prochloraz/20201219_Cefas_Test10_Run2/Plate 1/@6/E6_03.tif "/>
    <s v=" 62099.4275 "/>
    <s v=" 42.1181 "/>
    <x v="0"/>
    <n v="2615508"/>
    <m/>
    <m/>
    <m/>
  </r>
  <r>
    <x v="10"/>
    <x v="4"/>
    <s v="C:\Users\andre\Desktop\REACTIV CEFAS\Prochloraz\Prochloraz/20201219_Cefas_Test10_Run2/Plate 1/@6/E6_04.tif "/>
    <s v=" 65863.0291 "/>
    <s v=" 42.3681 "/>
    <x v="0"/>
    <n v="2790494"/>
    <m/>
    <m/>
    <m/>
  </r>
  <r>
    <x v="10"/>
    <x v="5"/>
    <s v="C:\Users\andre\Desktop\REACTIV CEFAS\Prochloraz\Prochloraz/20201219_Cefas_Test10_Run2/Plate 1/@6/F6_01.tif "/>
    <s v=" 57513.8898 "/>
    <s v=" 42.5829 "/>
    <x v="0"/>
    <n v="2449110"/>
    <m/>
    <m/>
    <m/>
  </r>
  <r>
    <x v="10"/>
    <x v="5"/>
    <s v="C:\Users\andre\Desktop\REACTIV CEFAS\Prochloraz\Prochloraz/20201219_Cefas_Test10_Run2/Plate 1/@6/F6_02.tif "/>
    <s v=" 61710.0894 "/>
    <s v=" 42.6155 "/>
    <x v="0"/>
    <n v="2629806"/>
    <m/>
    <m/>
    <m/>
  </r>
  <r>
    <x v="10"/>
    <x v="5"/>
    <s v="C:\Users\andre\Desktop\REACTIV CEFAS\Prochloraz\Prochloraz/20201219_Cefas_Test10_Run2/Plate 1/@6/F6_03.tif "/>
    <s v=" 66317.2569 "/>
    <s v=" 46.6725 "/>
    <x v="0"/>
    <n v="3095195"/>
    <m/>
    <m/>
    <m/>
  </r>
  <r>
    <x v="10"/>
    <x v="5"/>
    <s v="C:\Users\andre\Desktop\REACTIV CEFAS\Prochloraz\Prochloraz/20201219_Cefas_Test10_Run2/Plate 1/@6/F6_04.tif "/>
    <s v=" 64932.9437 "/>
    <s v=" 44.5646 "/>
    <x v="0"/>
    <n v="2893712"/>
    <m/>
    <m/>
    <m/>
  </r>
  <r>
    <x v="10"/>
    <x v="6"/>
    <s v="C:\Users\andre\Desktop\REACTIV CEFAS\Prochloraz\Prochloraz/20201219_Cefas_Test10_Run2/Plate 1/@6/G6_01.tif "/>
    <s v=" 52733.6831 "/>
    <s v=" 41.6448 "/>
    <x v="0"/>
    <n v="2196083"/>
    <m/>
    <m/>
    <m/>
  </r>
  <r>
    <x v="10"/>
    <x v="6"/>
    <s v="C:\Users\andre\Desktop\REACTIV CEFAS\Prochloraz\Prochloraz/20201219_Cefas_Test10_Run2/Plate 1/@6/G6_02.tif "/>
    <s v=" 56562.1745 "/>
    <s v=" 42.3866 "/>
    <x v="0"/>
    <n v="2397479"/>
    <m/>
    <m/>
    <m/>
  </r>
  <r>
    <x v="10"/>
    <x v="6"/>
    <s v="C:\Users\andre\Desktop\REACTIV CEFAS\Prochloraz\Prochloraz/20201219_Cefas_Test10_Run2/Plate 1/@6/G6_03.tif "/>
    <s v=" 61731.7193 "/>
    <s v=" 46.2109 "/>
    <x v="0"/>
    <n v="2852680"/>
    <m/>
    <m/>
    <m/>
  </r>
  <r>
    <x v="10"/>
    <x v="6"/>
    <s v="C:\Users\andre\Desktop\REACTIV CEFAS\Prochloraz\Prochloraz/20201219_Cefas_Test10_Run2/Plate 1/@6/G6_04.tif "/>
    <s v=" 63245.8119 "/>
    <s v=" 42.6228 "/>
    <x v="0"/>
    <n v="2695712"/>
    <m/>
    <m/>
    <m/>
  </r>
  <r>
    <x v="10"/>
    <x v="7"/>
    <s v="C:\Users\andre\Desktop\REACTIV CEFAS\Prochloraz\Prochloraz/20201219_Cefas_Test10_Run2/Plate 1/@6/H6_01.tif "/>
    <s v=" 28097.2331 "/>
    <s v=" 34.4172 "/>
    <x v="0"/>
    <n v="967029"/>
    <m/>
    <m/>
    <m/>
  </r>
  <r>
    <x v="10"/>
    <x v="7"/>
    <s v="C:\Users\andre\Desktop\REACTIV CEFAS\Prochloraz\Prochloraz/20201219_Cefas_Test10_Run2/Plate 1/@6/H6_02.tif "/>
    <s v=" 31276.8276 "/>
    <s v=" 34.5339 "/>
    <x v="0"/>
    <n v="1080110"/>
    <m/>
    <m/>
    <m/>
  </r>
  <r>
    <x v="10"/>
    <x v="7"/>
    <s v="C:\Users\andre\Desktop\REACTIV CEFAS\Prochloraz\Prochloraz/20201219_Cefas_Test10_Run2/Plate 1/@6/H6_03.tif "/>
    <s v=" 30779.3401 "/>
    <s v=" 35.5067 "/>
    <x v="0"/>
    <n v="1092872"/>
    <m/>
    <m/>
    <m/>
  </r>
  <r>
    <x v="10"/>
    <x v="7"/>
    <s v="C:\Users\andre\Desktop\REACTIV CEFAS\Prochloraz\Prochloraz/20201219_Cefas_Test10_Run2/Plate 1/@6/H6_04.tif "/>
    <s v=" 46482.6436 "/>
    <s v=" 36.7822 "/>
    <x v="0"/>
    <n v="1709735"/>
    <m/>
    <m/>
    <m/>
  </r>
  <r>
    <x v="1"/>
    <x v="8"/>
    <s v=" "/>
    <m/>
    <m/>
    <x v="1"/>
    <m/>
    <m/>
    <m/>
    <m/>
  </r>
  <r>
    <x v="1"/>
    <x v="8"/>
    <s v="group "/>
    <s v=" "/>
    <s v=" mean of mean fluo "/>
    <x v="2"/>
    <s v=" mean of total fluo "/>
    <s v=" SD total fluo "/>
    <s v=" n fluorescent "/>
    <s v=" n total"/>
  </r>
  <r>
    <x v="10"/>
    <x v="9"/>
    <s v="C:\Users\andre\Desktop\REACTIV CEFAS\Prochloraz\Prochloraz/20201219_Cefas_Test10_Run2/Plate 1/@6/ "/>
    <s v=" "/>
    <s v=" 43.212 "/>
    <x v="33"/>
    <s v=" 2890210.81 "/>
    <s v=" 782282.508 "/>
    <n v="32"/>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C:\Users\andre\Desktop\REACTIV CEFAS\Prochloraz\Prochloraz/20201219_Cefas_Test10_Run2/Plate 1/@7/A7_01- exclu.tif"/>
    <m/>
    <m/>
    <x v="1"/>
    <m/>
    <m/>
    <m/>
    <m/>
  </r>
  <r>
    <x v="11"/>
    <x v="0"/>
    <s v="C:\Users\andre\Desktop\REACTIV CEFAS\Prochloraz\Prochloraz/20201219_Cefas_Test10_Run2/Plate 1/@7/A7_02- exclu.tif"/>
    <m/>
    <m/>
    <x v="1"/>
    <m/>
    <m/>
    <m/>
    <m/>
  </r>
  <r>
    <x v="11"/>
    <x v="0"/>
    <s v="C:\Users\andre\Desktop\REACTIV CEFAS\Prochloraz\Prochloraz/20201219_Cefas_Test10_Run2/Plate 1/@7/A7_03.tif "/>
    <s v=" 82388.2686 "/>
    <s v=" 55.3043 "/>
    <x v="0"/>
    <n v="4556424"/>
    <m/>
    <m/>
    <m/>
  </r>
  <r>
    <x v="11"/>
    <x v="0"/>
    <s v="C:\Users\andre\Desktop\REACTIV CEFAS\Prochloraz\Prochloraz/20201219_Cefas_Test10_Run2/Plate 1/@7/A7_04- exclu.tif"/>
    <m/>
    <m/>
    <x v="1"/>
    <m/>
    <m/>
    <m/>
    <m/>
  </r>
  <r>
    <x v="11"/>
    <x v="1"/>
    <s v="C:\Users\andre\Desktop\REACTIV CEFAS\Prochloraz\Prochloraz/20201219_Cefas_Test10_Run2/Plate 1/@7/B7_01.tif "/>
    <s v=" 71919.3996 "/>
    <s v=" 49.4081 "/>
    <x v="0"/>
    <n v="3553402"/>
    <m/>
    <m/>
    <m/>
  </r>
  <r>
    <x v="11"/>
    <x v="1"/>
    <s v="C:\Users\andre\Desktop\REACTIV CEFAS\Prochloraz\Prochloraz/20201219_Cefas_Test10_Run2/Plate 1/@7/B7_02- exclu.tif"/>
    <m/>
    <m/>
    <x v="1"/>
    <m/>
    <m/>
    <m/>
    <m/>
  </r>
  <r>
    <x v="11"/>
    <x v="1"/>
    <s v="C:\Users\andre\Desktop\REACTIV CEFAS\Prochloraz\Prochloraz/20201219_Cefas_Test10_Run2/Plate 1/@7/B7_03- exclu.tif"/>
    <m/>
    <m/>
    <x v="1"/>
    <m/>
    <m/>
    <m/>
    <m/>
  </r>
  <r>
    <x v="11"/>
    <x v="1"/>
    <s v="C:\Users\andre\Desktop\REACTIV CEFAS\Prochloraz\Prochloraz/20201219_Cefas_Test10_Run2/Plate 1/@7/B7_04- exclu.tif"/>
    <m/>
    <m/>
    <x v="1"/>
    <m/>
    <m/>
    <m/>
    <m/>
  </r>
  <r>
    <x v="11"/>
    <x v="2"/>
    <s v="C:\Users\andre\Desktop\REACTIV CEFAS\Prochloraz\Prochloraz/20201219_Cefas_Test10_Run2/Plate 1/@7/C7_01.tif "/>
    <s v=" 78256.9588 "/>
    <s v=" 48.8029 "/>
    <x v="0"/>
    <n v="3819169"/>
    <m/>
    <m/>
    <m/>
  </r>
  <r>
    <x v="11"/>
    <x v="2"/>
    <s v="C:\Users\andre\Desktop\REACTIV CEFAS\Prochloraz\Prochloraz/20201219_Cefas_Test10_Run2/Plate 1/@7/C7_02.tif "/>
    <s v=" 76288.6384 "/>
    <s v=" 47.3621 "/>
    <x v="0"/>
    <n v="3613187"/>
    <m/>
    <m/>
    <m/>
  </r>
  <r>
    <x v="11"/>
    <x v="2"/>
    <s v="C:\Users\andre\Desktop\REACTIV CEFAS\Prochloraz\Prochloraz/20201219_Cefas_Test10_Run2/Plate 1/@7/C7_03.tif "/>
    <s v=" 78343.4783 "/>
    <s v=" 51.093 "/>
    <x v="0"/>
    <n v="4002807"/>
    <m/>
    <m/>
    <m/>
  </r>
  <r>
    <x v="11"/>
    <x v="2"/>
    <s v="C:\Users\andre\Desktop\REACTIV CEFAS\Prochloraz\Prochloraz/20201219_Cefas_Test10_Run2/Plate 1/@7/C7_04.tif "/>
    <s v=" 72741.3356 "/>
    <s v=" 45.7868 "/>
    <x v="0"/>
    <n v="3330593"/>
    <m/>
    <m/>
    <m/>
  </r>
  <r>
    <x v="11"/>
    <x v="3"/>
    <s v="C:\Users\andre\Desktop\REACTIV CEFAS\Prochloraz\Prochloraz/20201219_Cefas_Test10_Run2/Plate 1/@7/D7_01.tif "/>
    <s v=" 93462.7747 "/>
    <s v=" 54.6313 "/>
    <x v="0"/>
    <n v="5105996"/>
    <m/>
    <m/>
    <m/>
  </r>
  <r>
    <x v="11"/>
    <x v="3"/>
    <s v="C:\Users\andre\Desktop\REACTIV CEFAS\Prochloraz\Prochloraz/20201219_Cefas_Test10_Run2/Plate 1/@7/D7_02.tif "/>
    <s v=" 94133.3014 "/>
    <s v=" 54.3603 "/>
    <x v="0"/>
    <n v="5117114"/>
    <m/>
    <m/>
    <m/>
  </r>
  <r>
    <x v="11"/>
    <x v="3"/>
    <s v="C:\Users\andre\Desktop\REACTIV CEFAS\Prochloraz\Prochloraz/20201219_Cefas_Test10_Run2/Plate 1/@7/D7_03.tif "/>
    <s v=" 83599.5427 "/>
    <s v=" 50.3211 "/>
    <x v="0"/>
    <n v="4206820"/>
    <m/>
    <m/>
    <m/>
  </r>
  <r>
    <x v="11"/>
    <x v="3"/>
    <s v="C:\Users\andre\Desktop\REACTIV CEFAS\Prochloraz\Prochloraz/20201219_Cefas_Test10_Run2/Plate 1/@7/D7_04.tif "/>
    <s v=" 93830.4829 "/>
    <s v=" 54.5931 "/>
    <x v="0"/>
    <n v="5122500"/>
    <m/>
    <m/>
    <m/>
  </r>
  <r>
    <x v="11"/>
    <x v="4"/>
    <s v="C:\Users\andre\Desktop\REACTIV CEFAS\Prochloraz\Prochloraz/20201219_Cefas_Test10_Run2/Plate 1/@7/E7_01.tif "/>
    <s v=" 76396.7878 "/>
    <s v=" 50.4881 "/>
    <x v="0"/>
    <n v="3857129"/>
    <m/>
    <m/>
    <m/>
  </r>
  <r>
    <x v="11"/>
    <x v="4"/>
    <s v="C:\Users\andre\Desktop\REACTIV CEFAS\Prochloraz\Prochloraz/20201219_Cefas_Test10_Run2/Plate 1/@7/E7_02.tif "/>
    <s v=" 75358.5529 "/>
    <s v=" 48.0772 "/>
    <x v="0"/>
    <n v="3623029"/>
    <m/>
    <m/>
    <m/>
  </r>
  <r>
    <x v="11"/>
    <x v="4"/>
    <s v="C:\Users\andre\Desktop\REACTIV CEFAS\Prochloraz\Prochloraz/20201219_Cefas_Test10_Run2/Plate 1/@7/E7_03.tif "/>
    <s v=" 75250.4034 "/>
    <s v=" 48.3599 "/>
    <x v="0"/>
    <n v="3639100"/>
    <m/>
    <m/>
    <m/>
  </r>
  <r>
    <x v="11"/>
    <x v="4"/>
    <s v="C:\Users\andre\Desktop\REACTIV CEFAS\Prochloraz\Prochloraz/20201219_Cefas_Test10_Run2/Plate 1/@7/E7_04.tif "/>
    <s v=" 88596.0484 "/>
    <s v=" 49.3645 "/>
    <x v="0"/>
    <n v="4373500"/>
    <m/>
    <m/>
    <m/>
  </r>
  <r>
    <x v="11"/>
    <x v="5"/>
    <s v="C:\Users\andre\Desktop\REACTIV CEFAS\Prochloraz\Prochloraz/20201219_Cefas_Test10_Run2/Plate 1/@7/F7_01.tif "/>
    <s v=" 63613.5201 "/>
    <s v=" 45.425 "/>
    <x v="0"/>
    <n v="2889646"/>
    <m/>
    <m/>
    <m/>
  </r>
  <r>
    <x v="11"/>
    <x v="5"/>
    <s v="C:\Users\andre\Desktop\REACTIV CEFAS\Prochloraz\Prochloraz/20201219_Cefas_Test10_Run2/Plate 1/@7/F7_02.tif "/>
    <s v=" 66122.5879 "/>
    <s v=" 47.0723 "/>
    <x v="0"/>
    <n v="3112542"/>
    <m/>
    <m/>
    <m/>
  </r>
  <r>
    <x v="11"/>
    <x v="5"/>
    <s v="C:\Users\andre\Desktop\REACTIV CEFAS\Prochloraz\Prochloraz/20201219_Cefas_Test10_Run2/Plate 1/@7/F7_03.tif "/>
    <s v=" 73909.3499 "/>
    <s v=" 49.935 "/>
    <x v="0"/>
    <n v="3690666"/>
    <m/>
    <m/>
    <m/>
  </r>
  <r>
    <x v="11"/>
    <x v="5"/>
    <s v="C:\Users\andre\Desktop\REACTIV CEFAS\Prochloraz\Prochloraz/20201219_Cefas_Test10_Run2/Plate 1/@7/F7_04.tif "/>
    <s v=" 70773.0152 "/>
    <s v=" 47.6745 "/>
    <x v="0"/>
    <n v="3374069"/>
    <m/>
    <m/>
    <m/>
  </r>
  <r>
    <x v="11"/>
    <x v="6"/>
    <s v="C:\Users\andre\Desktop\REACTIV CEFAS\Prochloraz\Prochloraz/20201219_Cefas_Test10_Run2/Plate 1/@7/G7_01.tif "/>
    <s v=" 62532.0254 "/>
    <s v=" 43.5738 "/>
    <x v="0"/>
    <n v="2724761"/>
    <m/>
    <m/>
    <m/>
  </r>
  <r>
    <x v="11"/>
    <x v="6"/>
    <s v="C:\Users\andre\Desktop\REACTIV CEFAS\Prochloraz\Prochloraz/20201219_Cefas_Test10_Run2/Plate 1/@7/G7_02.tif "/>
    <s v=" 67528.531 "/>
    <s v=" 48.8792 "/>
    <x v="0"/>
    <n v="3300744"/>
    <m/>
    <m/>
    <m/>
  </r>
  <r>
    <x v="11"/>
    <x v="6"/>
    <s v="C:\Users\andre\Desktop\REACTIV CEFAS\Prochloraz\Prochloraz/20201219_Cefas_Test10_Run2/Plate 1/@7/G7_03.tif "/>
    <s v=" 62856.4738 "/>
    <s v=" 44.0613 "/>
    <x v="0"/>
    <n v="2769535"/>
    <m/>
    <m/>
    <m/>
  </r>
  <r>
    <x v="11"/>
    <x v="6"/>
    <s v="C:\Users\andre\Desktop\REACTIV CEFAS\Prochloraz\Prochloraz/20201219_Cefas_Test10_Run2/Plate 1/@7/G7_04.tif "/>
    <s v=" 63808.1892 "/>
    <s v=" 43.5007 "/>
    <x v="0"/>
    <n v="2775699"/>
    <m/>
    <m/>
    <m/>
  </r>
  <r>
    <x v="11"/>
    <x v="7"/>
    <s v="C:\Users\andre\Desktop\REACTIV CEFAS\Prochloraz\Prochloraz/20201219_Cefas_Test10_Run2/Plate 1/@7/H7_01.tif "/>
    <s v=" 89526.1339 "/>
    <s v=" 49.517 "/>
    <x v="0"/>
    <n v="4433069"/>
    <m/>
    <m/>
    <m/>
  </r>
  <r>
    <x v="11"/>
    <x v="7"/>
    <s v="C:\Users\andre\Desktop\REACTIV CEFAS\Prochloraz\Prochloraz/20201219_Cefas_Test10_Run2/Plate 1/@7/H7_02.tif "/>
    <s v=" 92554.3191 "/>
    <s v=" 49.8934 "/>
    <x v="0"/>
    <n v="4617853"/>
    <m/>
    <m/>
    <m/>
  </r>
  <r>
    <x v="11"/>
    <x v="7"/>
    <s v="C:\Users\andre\Desktop\REACTIV CEFAS\Prochloraz\Prochloraz/20201219_Cefas_Test10_Run2/Plate 1/@7/H7_03.tif "/>
    <s v=" 85329.9343 "/>
    <s v=" 52.4043 "/>
    <x v="0"/>
    <n v="4471656"/>
    <m/>
    <m/>
    <m/>
  </r>
  <r>
    <x v="11"/>
    <x v="7"/>
    <s v="C:\Users\andre\Desktop\REACTIV CEFAS\Prochloraz\Prochloraz/20201219_Cefas_Test10_Run2/Plate 1/@7/H7_04.tif "/>
    <s v=" 99735.4441 "/>
    <s v=" 52.8447 "/>
    <x v="0"/>
    <n v="5270492"/>
    <m/>
    <m/>
    <m/>
  </r>
  <r>
    <x v="1"/>
    <x v="8"/>
    <s v=" "/>
    <m/>
    <m/>
    <x v="1"/>
    <m/>
    <m/>
    <m/>
    <m/>
  </r>
  <r>
    <x v="1"/>
    <x v="8"/>
    <s v="group "/>
    <s v=" "/>
    <s v=" mean of mean fluo "/>
    <x v="2"/>
    <s v=" mean of total fluo "/>
    <s v=" SD total fluo "/>
    <s v=" n fluorescent "/>
    <s v=" n total"/>
  </r>
  <r>
    <x v="11"/>
    <x v="9"/>
    <s v="C:\Users\andre\Desktop\REACTIV CEFAS\Prochloraz\Prochloraz/20201219_Cefas_Test10_Run2/Plate 1/@7/ "/>
    <s v=" "/>
    <s v=" 48.78 "/>
    <x v="34"/>
    <s v=" 3560015.09 "/>
    <s v=" 1102789.07 "/>
    <n v="32"/>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C:\Users\andre\Desktop\REACTIV CEFAS\Prochloraz\Prochloraz/20201219_Cefas_Test10_Run2/Plate 3/@10/A4_01.tif "/>
    <s v=" 6013.1107 "/>
    <s v=" 37.7086 "/>
    <x v="0"/>
    <n v="226746"/>
    <m/>
    <m/>
    <m/>
  </r>
  <r>
    <x v="12"/>
    <x v="0"/>
    <s v="C:\Users\andre\Desktop\REACTIV CEFAS\Prochloraz\Prochloraz/20201219_Cefas_Test10_Run2/Plate 3/@10/A4_02.tif "/>
    <s v=" 6575.488 "/>
    <s v=" 38.1743 "/>
    <x v="0"/>
    <n v="251015"/>
    <m/>
    <m/>
    <m/>
  </r>
  <r>
    <x v="12"/>
    <x v="0"/>
    <s v="C:\Users\andre\Desktop\REACTIV CEFAS\Prochloraz\Prochloraz/20201219_Cefas_Test10_Run2/Plate 3/@10/A4_03.tif "/>
    <s v=" 5710.2922 "/>
    <n v="38"/>
    <x v="0"/>
    <n v="216991"/>
    <m/>
    <m/>
    <m/>
  </r>
  <r>
    <x v="12"/>
    <x v="0"/>
    <s v="C:\Users\andre\Desktop\REACTIV CEFAS\Prochloraz\Prochloraz/20201219_Cefas_Test10_Run2/Plate 3/@10/A4_04.tif "/>
    <s v=" 7678.6126 "/>
    <s v=" 42.7577 "/>
    <x v="0"/>
    <n v="328320"/>
    <m/>
    <m/>
    <m/>
  </r>
  <r>
    <x v="12"/>
    <x v="1"/>
    <s v="C:\Users\andre\Desktop\REACTIV CEFAS\Prochloraz\Prochloraz/20201219_Cefas_Test10_Run2/Plate 3/@10/B4_01.tif "/>
    <s v=" 7851.6518 "/>
    <s v=" 37.8127 "/>
    <x v="0"/>
    <n v="296892"/>
    <m/>
    <m/>
    <m/>
  </r>
  <r>
    <x v="12"/>
    <x v="1"/>
    <s v="C:\Users\andre\Desktop\REACTIV CEFAS\Prochloraz\Prochloraz/20201219_Cefas_Test10_Run2/Plate 3/@10/B4_02.tif "/>
    <s v=" 8868.2568 "/>
    <s v=" 41.1756 "/>
    <x v="0"/>
    <n v="365156"/>
    <m/>
    <m/>
    <m/>
  </r>
  <r>
    <x v="12"/>
    <x v="1"/>
    <s v="C:\Users\andre\Desktop\REACTIV CEFAS\Prochloraz\Prochloraz/20201219_Cefas_Test10_Run2/Plate 3/@10/B4_03.tif "/>
    <s v=" 11096.1359 "/>
    <s v=" 42.3119 "/>
    <x v="0"/>
    <n v="469498"/>
    <m/>
    <m/>
    <m/>
  </r>
  <r>
    <x v="12"/>
    <x v="1"/>
    <s v="C:\Users\andre\Desktop\REACTIV CEFAS\Prochloraz\Prochloraz/20201219_Cefas_Test10_Run2/Plate 3/@10/B4_04.tif "/>
    <s v=" 6294.2993 "/>
    <s v=" 38.2715 "/>
    <x v="0"/>
    <n v="240892"/>
    <m/>
    <m/>
    <m/>
  </r>
  <r>
    <x v="12"/>
    <x v="2"/>
    <s v="C:\Users\andre\Desktop\REACTIV CEFAS\Prochloraz\Prochloraz/20201219_Cefas_Test10_Run2/Plate 3/@10/C4_01.tif "/>
    <s v=" 21.6299 "/>
    <n v="30"/>
    <x v="0"/>
    <n v="649"/>
    <m/>
    <m/>
    <m/>
  </r>
  <r>
    <x v="12"/>
    <x v="2"/>
    <s v="C:\Users\andre\Desktop\REACTIV CEFAS\Prochloraz\Prochloraz/20201219_Cefas_Test10_Run2/Plate 3/@10/C4_02.tif "/>
    <s v=" 10209.3103 "/>
    <s v=" 39.7903 "/>
    <x v="0"/>
    <n v="406231"/>
    <m/>
    <m/>
    <m/>
  </r>
  <r>
    <x v="12"/>
    <x v="2"/>
    <s v="C:\Users\andre\Desktop\REACTIV CEFAS\Prochloraz\Prochloraz/20201219_Cefas_Test10_Run2/Plate 3/@10/C4_03.tif "/>
    <s v=" 9214.3351 "/>
    <s v=" 39.3075 "/>
    <x v="0"/>
    <n v="362193"/>
    <m/>
    <m/>
    <m/>
  </r>
  <r>
    <x v="12"/>
    <x v="2"/>
    <s v="C:\Users\andre\Desktop\REACTIV CEFAS\Prochloraz\Prochloraz/20201219_Cefas_Test10_Run2/Plate 3/@10/C4_04.tif "/>
    <s v=" 4001.5305 "/>
    <s v=" 41.9135 "/>
    <x v="0"/>
    <n v="167718"/>
    <m/>
    <m/>
    <m/>
  </r>
  <r>
    <x v="12"/>
    <x v="3"/>
    <s v="C:\Users\andre\Desktop\REACTIV CEFAS\Prochloraz\Prochloraz/20201219_Cefas_Test10_Run2/Plate 3/@10/D4_01.tif "/>
    <s v=" 10036.2711 "/>
    <s v=" 38.8987 "/>
    <x v="0"/>
    <n v="390398"/>
    <m/>
    <m/>
    <m/>
  </r>
  <r>
    <x v="12"/>
    <x v="3"/>
    <s v="C:\Users\andre\Desktop\REACTIV CEFAS\Prochloraz\Prochloraz/20201219_Cefas_Test10_Run2/Plate 3/@10/D4_02.tif "/>
    <s v=" 12047.8513 "/>
    <s v=" 42.9066 "/>
    <x v="0"/>
    <n v="516933"/>
    <m/>
    <m/>
    <m/>
  </r>
  <r>
    <x v="12"/>
    <x v="3"/>
    <s v="C:\Users\andre\Desktop\REACTIV CEFAS\Prochloraz\Prochloraz/20201219_Cefas_Test10_Run2/Plate 3/@10/D4_03.tif "/>
    <s v=" 10036.2711 "/>
    <s v=" 39.5194 "/>
    <x v="0"/>
    <n v="396627"/>
    <m/>
    <m/>
    <m/>
  </r>
  <r>
    <x v="12"/>
    <x v="3"/>
    <s v="C:\Users\andre\Desktop\REACTIV CEFAS\Prochloraz\Prochloraz/20201219_Cefas_Test10_Run2/Plate 3/@10/D4_04.tif "/>
    <s v=" 14773.218 "/>
    <s v=" 45.3821 "/>
    <x v="0"/>
    <n v="670440"/>
    <m/>
    <m/>
    <m/>
  </r>
  <r>
    <x v="12"/>
    <x v="4"/>
    <s v="C:\Users\andre\Desktop\REACTIV CEFAS\Prochloraz\Prochloraz/20201219_Cefas_Test10_Run2/Plate 3/@10/E4_01.tif "/>
    <s v=" 10014.6412 "/>
    <s v=" 37.797 "/>
    <x v="0"/>
    <n v="378523"/>
    <m/>
    <m/>
    <m/>
  </r>
  <r>
    <x v="12"/>
    <x v="4"/>
    <s v="C:\Users\andre\Desktop\REACTIV CEFAS\Prochloraz\Prochloraz/20201219_Cefas_Test10_Run2/Plate 3/@10/E4_02.tif "/>
    <s v=" 16244.0509 "/>
    <s v=" 41.6871 "/>
    <x v="0"/>
    <n v="677167"/>
    <m/>
    <m/>
    <m/>
  </r>
  <r>
    <x v="12"/>
    <x v="4"/>
    <s v="C:\Users\andre\Desktop\REACTIV CEFAS\Prochloraz\Prochloraz/20201219_Cefas_Test10_Run2/Plate 3/@10/E4_03.tif "/>
    <s v=" 13886.3924 "/>
    <s v=" 41.1931 "/>
    <x v="0"/>
    <n v="572024"/>
    <m/>
    <m/>
    <m/>
  </r>
  <r>
    <x v="12"/>
    <x v="4"/>
    <s v="C:\Users\andre\Desktop\REACTIV CEFAS\Prochloraz\Prochloraz/20201219_Cefas_Test10_Run2/Plate 3/@10/E4_04.tif "/>
    <s v=" 10923.0968 "/>
    <s v=" 37.9446 "/>
    <x v="0"/>
    <n v="414472"/>
    <m/>
    <m/>
    <m/>
  </r>
  <r>
    <x v="12"/>
    <x v="5"/>
    <s v="C:\Users\andre\Desktop\REACTIV CEFAS\Prochloraz\Prochloraz/20201219_Cefas_Test10_Run2/Plate 3/@10/F4_01.tif "/>
    <s v=" 3568.9326 "/>
    <s v=" 36.8061 "/>
    <x v="0"/>
    <n v="131358"/>
    <m/>
    <m/>
    <m/>
  </r>
  <r>
    <x v="12"/>
    <x v="5"/>
    <s v="C:\Users\andre\Desktop\REACTIV CEFAS\Prochloraz\Prochloraz/20201219_Cefas_Test10_Run2/Plate 3/@10/F4_02.tif "/>
    <s v=" 3806.8615 "/>
    <s v=" 37.1591 "/>
    <x v="0"/>
    <n v="141460"/>
    <m/>
    <m/>
    <m/>
  </r>
  <r>
    <x v="12"/>
    <x v="5"/>
    <s v="C:\Users\andre\Desktop\REACTIV CEFAS\Prochloraz\Prochloraz/20201219_Cefas_Test10_Run2/Plate 3/@10/F4_03.tif "/>
    <s v=" 21.6299 "/>
    <n v="30"/>
    <x v="0"/>
    <n v="649"/>
    <m/>
    <m/>
    <m/>
  </r>
  <r>
    <x v="12"/>
    <x v="5"/>
    <s v="C:\Users\andre\Desktop\REACTIV CEFAS\Prochloraz\Prochloraz/20201219_Cefas_Test10_Run2/Plate 3/@10/F4_04.tif "/>
    <s v=" 194.6691 "/>
    <n v="32"/>
    <x v="0"/>
    <n v="6229"/>
    <m/>
    <m/>
    <m/>
  </r>
  <r>
    <x v="12"/>
    <x v="6"/>
    <s v="C:\Users\andre\Desktop\REACTIV CEFAS\Prochloraz\Prochloraz/20201219_Cefas_Test10_Run2/Plate 3/@10/G4_01.tif "/>
    <s v=" 9344.1145 "/>
    <s v=" 41.2824 "/>
    <x v="0"/>
    <n v="385748"/>
    <m/>
    <m/>
    <m/>
  </r>
  <r>
    <x v="12"/>
    <x v="6"/>
    <s v="C:\Users\andre\Desktop\REACTIV CEFAS\Prochloraz\Prochloraz/20201219_Cefas_Test10_Run2/Plate 3/@10/G4_02.tif "/>
    <s v=" 4390.8686 "/>
    <s v=" 34.8621 "/>
    <x v="0"/>
    <n v="153075"/>
    <m/>
    <m/>
    <m/>
  </r>
  <r>
    <x v="12"/>
    <x v="6"/>
    <s v="C:\Users\andre\Desktop\REACTIV CEFAS\Prochloraz\Prochloraz/20201219_Cefas_Test10_Run2/Plate 3/@10/G4_03.tif "/>
    <s v=" 6986.456 "/>
    <s v=" 42.6285 "/>
    <x v="0"/>
    <n v="297822"/>
    <m/>
    <m/>
    <m/>
  </r>
  <r>
    <x v="12"/>
    <x v="6"/>
    <s v="C:\Users\andre\Desktop\REACTIV CEFAS\Prochloraz\Prochloraz/20201219_Cefas_Test10_Run2/Plate 3/@10/G4_04.tif "/>
    <s v=" 1341.0535 "/>
    <s v=" 37.1935 "/>
    <x v="0"/>
    <n v="49879"/>
    <m/>
    <m/>
    <m/>
  </r>
  <r>
    <x v="12"/>
    <x v="7"/>
    <s v="C:\Users\andre\Desktop\REACTIV CEFAS\Prochloraz\Prochloraz/20201219_Cefas_Test10_Run2/Plate 3/@10/H4_01.tif "/>
    <s v=" 10793.3174 "/>
    <s v=" 38.6553 "/>
    <x v="0"/>
    <n v="417219"/>
    <m/>
    <m/>
    <m/>
  </r>
  <r>
    <x v="12"/>
    <x v="7"/>
    <s v="C:\Users\andre\Desktop\REACTIV CEFAS\Prochloraz\Prochloraz/20201219_Cefas_Test10_Run2/Plate 3/@10/H4_02.tif "/>
    <s v=" 9819.9722 "/>
    <s v=" 34.0286 "/>
    <x v="0"/>
    <n v="334160"/>
    <m/>
    <m/>
    <m/>
  </r>
  <r>
    <x v="12"/>
    <x v="7"/>
    <s v="C:\Users\andre\Desktop\REACTIV CEFAS\Prochloraz\Prochloraz/20201219_Cefas_Test10_Run2/Plate 3/@10/H4_03- exclu.tif"/>
    <m/>
    <m/>
    <x v="1"/>
    <m/>
    <m/>
    <m/>
    <m/>
  </r>
  <r>
    <x v="12"/>
    <x v="7"/>
    <s v="C:\Users\andre\Desktop\REACTIV CEFAS\Prochloraz\Prochloraz/20201219_Cefas_Test10_Run2/Plate 3/@10/H4_04.tif "/>
    <s v=" 8868.2568 "/>
    <s v=" 43.0976 "/>
    <x v="0"/>
    <n v="382200"/>
    <m/>
    <m/>
    <m/>
  </r>
  <r>
    <x v="1"/>
    <x v="8"/>
    <s v=" "/>
    <m/>
    <m/>
    <x v="1"/>
    <m/>
    <m/>
    <m/>
    <m/>
  </r>
  <r>
    <x v="1"/>
    <x v="8"/>
    <s v="group "/>
    <s v=" "/>
    <s v=" mean of mean fluo "/>
    <x v="2"/>
    <s v=" mean of total fluo "/>
    <s v=" SD total fluo "/>
    <s v=" n fluorescent "/>
    <s v=" n total"/>
  </r>
  <r>
    <x v="12"/>
    <x v="9"/>
    <s v="C:\Users\andre\Desktop\REACTIV CEFAS\Prochloraz\Prochloraz/20201219_Cefas_Test10_Run2/Plate 3/@10/ "/>
    <s v=" "/>
    <s v=" 37.5083 "/>
    <x v="35"/>
    <s v=" 301521.375 "/>
    <s v=" 183522.646 "/>
    <n v="31"/>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C:\Users\andre\Desktop\REACTIV CEFAS\Prochloraz\Prochloraz/20201219_Cefas_Test10_Run2/Plate 3/@11/A5_01.tif "/>
    <s v=" 13215.8656 "/>
    <s v=" 49.8232 "/>
    <x v="0"/>
    <n v="658457"/>
    <m/>
    <m/>
    <m/>
  </r>
  <r>
    <x v="13"/>
    <x v="0"/>
    <s v="C:\Users\andre\Desktop\REACTIV CEFAS\Prochloraz\Prochloraz/20201219_Cefas_Test10_Run2/Plate 3/@11/A5_02.tif "/>
    <s v=" 13432.1646 "/>
    <s v=" 47.2609 "/>
    <x v="0"/>
    <n v="634816"/>
    <m/>
    <m/>
    <m/>
  </r>
  <r>
    <x v="13"/>
    <x v="0"/>
    <s v="C:\Users\andre\Desktop\REACTIV CEFAS\Prochloraz\Prochloraz/20201219_Cefas_Test10_Run2/Plate 3/@11/A5_03- exclu.tif"/>
    <m/>
    <m/>
    <x v="1"/>
    <m/>
    <m/>
    <m/>
    <m/>
  </r>
  <r>
    <x v="13"/>
    <x v="0"/>
    <s v="C:\Users\andre\Desktop\REACTIV CEFAS\Prochloraz\Prochloraz/20201219_Cefas_Test10_Run2/Plate 3/@11/A5_04.tif "/>
    <s v=" 14989.517 "/>
    <s v=" 47.329 "/>
    <x v="0"/>
    <n v="709439"/>
    <m/>
    <m/>
    <m/>
  </r>
  <r>
    <x v="13"/>
    <x v="1"/>
    <s v="C:\Users\andre\Desktop\REACTIV CEFAS\Prochloraz\Prochloraz/20201219_Cefas_Test10_Run2/Plate 3/@11/B5_01- exclu.tif"/>
    <m/>
    <m/>
    <x v="1"/>
    <m/>
    <m/>
    <m/>
    <m/>
  </r>
  <r>
    <x v="13"/>
    <x v="1"/>
    <s v="C:\Users\andre\Desktop\REACTIV CEFAS\Prochloraz\Prochloraz/20201219_Cefas_Test10_Run2/Plate 3/@11/B5_02- exclu.tif"/>
    <m/>
    <m/>
    <x v="1"/>
    <m/>
    <m/>
    <m/>
    <m/>
  </r>
  <r>
    <x v="13"/>
    <x v="1"/>
    <s v="C:\Users\andre\Desktop\REACTIV CEFAS\Prochloraz\Prochloraz/20201219_Cefas_Test10_Run2/Plate 3/@11/B5_03- exclu.tif"/>
    <m/>
    <m/>
    <x v="1"/>
    <m/>
    <m/>
    <m/>
    <m/>
  </r>
  <r>
    <x v="13"/>
    <x v="1"/>
    <s v="C:\Users\andre\Desktop\REACTIV CEFAS\Prochloraz\Prochloraz/20201219_Cefas_Test10_Run2/Plate 3/@11/B5_04- exclu.tif"/>
    <m/>
    <m/>
    <x v="1"/>
    <m/>
    <m/>
    <m/>
    <m/>
  </r>
  <r>
    <x v="13"/>
    <x v="2"/>
    <s v="C:\Users\andre\Desktop\REACTIV CEFAS\Prochloraz\Prochloraz/20201219_Cefas_Test10_Run2/Plate 3/@11/C5_01.tif "/>
    <s v=" 7721.8724 "/>
    <s v=" 41.9888 "/>
    <x v="0"/>
    <n v="324232"/>
    <m/>
    <m/>
    <m/>
  </r>
  <r>
    <x v="13"/>
    <x v="2"/>
    <s v="C:\Users\andre\Desktop\REACTIV CEFAS\Prochloraz\Prochloraz/20201219_Cefas_Test10_Run2/Plate 3/@11/C5_02.tif "/>
    <n v="0"/>
    <n v="0"/>
    <x v="0"/>
    <n v="0"/>
    <m/>
    <m/>
    <m/>
  </r>
  <r>
    <x v="13"/>
    <x v="2"/>
    <s v="C:\Users\andre\Desktop\REACTIV CEFAS\Prochloraz\Prochloraz/20201219_Cefas_Test10_Run2/Plate 3/@11/C5_03.tif "/>
    <s v=" 9517.1536 "/>
    <s v=" 44.9659 "/>
    <x v="0"/>
    <n v="427947"/>
    <m/>
    <m/>
    <m/>
  </r>
  <r>
    <x v="13"/>
    <x v="2"/>
    <s v="C:\Users\andre\Desktop\REACTIV CEFAS\Prochloraz\Prochloraz/20201219_Cefas_Test10_Run2/Plate 3/@11/C5_04.tif "/>
    <s v=" 10577.0185 "/>
    <s v=" 46.591 "/>
    <x v="0"/>
    <n v="492794"/>
    <m/>
    <m/>
    <m/>
  </r>
  <r>
    <x v="13"/>
    <x v="3"/>
    <s v="C:\Users\andre\Desktop\REACTIV CEFAS\Prochloraz\Prochloraz/20201219_Cefas_Test10_Run2/Plate 3/@11/D5_01.tif "/>
    <s v=" 15184.186 "/>
    <s v=" 47.4744 "/>
    <x v="0"/>
    <n v="720859"/>
    <m/>
    <m/>
    <m/>
  </r>
  <r>
    <x v="13"/>
    <x v="3"/>
    <s v="C:\Users\andre\Desktop\REACTIV CEFAS\Prochloraz\Prochloraz/20201219_Cefas_Test10_Run2/Plate 3/@11/D5_02.tif "/>
    <s v=" 12329.0399 "/>
    <s v=" 47.5439 "/>
    <x v="0"/>
    <n v="586170"/>
    <m/>
    <m/>
    <m/>
  </r>
  <r>
    <x v="13"/>
    <x v="3"/>
    <s v="C:\Users\andre\Desktop\REACTIV CEFAS\Prochloraz\Prochloraz/20201219_Cefas_Test10_Run2/Plate 3/@11/D5_03- exclu.tif"/>
    <m/>
    <m/>
    <x v="1"/>
    <m/>
    <m/>
    <m/>
    <m/>
  </r>
  <r>
    <x v="13"/>
    <x v="3"/>
    <s v="C:\Users\andre\Desktop\REACTIV CEFAS\Prochloraz\Prochloraz/20201219_Cefas_Test10_Run2/Plate 3/@11/D5_04.tif "/>
    <s v=" 9755.0825 "/>
    <s v=" 45.5499 "/>
    <x v="0"/>
    <n v="444343"/>
    <m/>
    <m/>
    <m/>
  </r>
  <r>
    <x v="13"/>
    <x v="4"/>
    <s v="C:\Users\andre\Desktop\REACTIV CEFAS\Prochloraz\Prochloraz/20201219_Cefas_Test10_Run2/Plate 3/@11/E5_01.tif "/>
    <s v=" 11939.7018 "/>
    <s v=" 44.0888 "/>
    <x v="0"/>
    <n v="526407"/>
    <m/>
    <m/>
    <m/>
  </r>
  <r>
    <x v="13"/>
    <x v="4"/>
    <s v="C:\Users\andre\Desktop\REACTIV CEFAS\Prochloraz\Prochloraz/20201219_Cefas_Test10_Run2/Plate 3/@11/E5_02.tif "/>
    <s v=" 11831.5524 "/>
    <s v=" 44.1609 "/>
    <x v="0"/>
    <n v="522492"/>
    <m/>
    <m/>
    <m/>
  </r>
  <r>
    <x v="13"/>
    <x v="4"/>
    <s v="C:\Users\andre\Desktop\REACTIV CEFAS\Prochloraz\Prochloraz/20201219_Cefas_Test10_Run2/Plate 3/@11/E5_03.tif "/>
    <s v=" 11096.1359 "/>
    <s v=" 43.4152 "/>
    <x v="0"/>
    <n v="481741"/>
    <m/>
    <m/>
    <m/>
  </r>
  <r>
    <x v="13"/>
    <x v="4"/>
    <s v="C:\Users\andre\Desktop\REACTIV CEFAS\Prochloraz\Prochloraz/20201219_Cefas_Test10_Run2/Plate 3/@11/E5_04.tif "/>
    <s v=" 9430.6341 "/>
    <s v=" 40.7798 "/>
    <x v="0"/>
    <n v="384580"/>
    <m/>
    <m/>
    <m/>
  </r>
  <r>
    <x v="13"/>
    <x v="5"/>
    <s v="C:\Users\andre\Desktop\REACTIV CEFAS\Prochloraz\Prochloraz/20201219_Cefas_Test10_Run2/Plate 3/@11/F5_01.tif "/>
    <s v=" 12264.1503 "/>
    <s v=" 42.8554 "/>
    <x v="0"/>
    <n v="525585"/>
    <m/>
    <m/>
    <m/>
  </r>
  <r>
    <x v="13"/>
    <x v="5"/>
    <s v="C:\Users\andre\Desktop\REACTIV CEFAS\Prochloraz\Prochloraz/20201219_Cefas_Test10_Run2/Plate 3/@11/F5_02- exclu.tif"/>
    <m/>
    <m/>
    <x v="1"/>
    <m/>
    <m/>
    <m/>
    <m/>
  </r>
  <r>
    <x v="13"/>
    <x v="5"/>
    <s v="C:\Users\andre\Desktop\REACTIV CEFAS\Prochloraz\Prochloraz/20201219_Cefas_Test10_Run2/Plate 3/@11/F5_03- exclu.tif"/>
    <m/>
    <m/>
    <x v="1"/>
    <m/>
    <m/>
    <m/>
    <m/>
  </r>
  <r>
    <x v="13"/>
    <x v="5"/>
    <s v="C:\Users\andre\Desktop\REACTIV CEFAS\Prochloraz\Prochloraz/20201219_Cefas_Test10_Run2/Plate 3/@11/F5_04.tif "/>
    <s v=" 12458.8193 "/>
    <s v=" 48.7865 "/>
    <x v="0"/>
    <n v="607822"/>
    <m/>
    <m/>
    <m/>
  </r>
  <r>
    <x v="13"/>
    <x v="6"/>
    <s v="C:\Users\andre\Desktop\REACTIV CEFAS\Prochloraz\Prochloraz/20201219_Cefas_Test10_Run2/Plate 3/@11/G5_01.tif "/>
    <s v=" 3525.6728 "/>
    <s v=" 32.6748 "/>
    <x v="0"/>
    <n v="115201"/>
    <m/>
    <m/>
    <m/>
  </r>
  <r>
    <x v="13"/>
    <x v="6"/>
    <s v="C:\Users\andre\Desktop\REACTIV CEFAS\Prochloraz\Prochloraz/20201219_Cefas_Test10_Run2/Plate 3/@11/G5_02.tif "/>
    <s v=" 7916.5414 "/>
    <s v=" 38.1612 "/>
    <x v="0"/>
    <n v="302105"/>
    <m/>
    <m/>
    <m/>
  </r>
  <r>
    <x v="13"/>
    <x v="6"/>
    <s v="C:\Users\andre\Desktop\REACTIV CEFAS\Prochloraz\Prochloraz/20201219_Cefas_Test10_Run2/Plate 3/@11/G5_03.tif "/>
    <s v=" 11658.5132 "/>
    <s v=" 40.2319 "/>
    <x v="0"/>
    <n v="469044"/>
    <m/>
    <m/>
    <m/>
  </r>
  <r>
    <x v="13"/>
    <x v="6"/>
    <s v="C:\Users\andre\Desktop\REACTIV CEFAS\Prochloraz\Prochloraz/20201219_Cefas_Test10_Run2/Plate 3/@11/G5_04.tif "/>
    <s v=" 11247.5452 "/>
    <s v=" 40.1846 "/>
    <x v="0"/>
    <n v="451978"/>
    <m/>
    <m/>
    <m/>
  </r>
  <r>
    <x v="13"/>
    <x v="7"/>
    <s v="C:\Users\andre\Desktop\REACTIV CEFAS\Prochloraz\Prochloraz/20201219_Cefas_Test10_Run2/Plate 3/@11/H5_01.tif "/>
    <s v=" 12610.2286 "/>
    <s v=" 45.1132 "/>
    <x v="0"/>
    <n v="568888"/>
    <m/>
    <m/>
    <m/>
  </r>
  <r>
    <x v="13"/>
    <x v="7"/>
    <s v="C:\Users\andre\Desktop\REACTIV CEFAS\Prochloraz\Prochloraz/20201219_Cefas_Test10_Run2/Plate 3/@11/H5_02.tif "/>
    <s v=" 16503.6096 "/>
    <s v=" 53.574 "/>
    <x v="0"/>
    <n v="884165"/>
    <m/>
    <m/>
    <m/>
  </r>
  <r>
    <x v="13"/>
    <x v="7"/>
    <s v="C:\Users\andre\Desktop\REACTIV CEFAS\Prochloraz\Prochloraz/20201219_Cefas_Test10_Run2/Plate 3/@11/H5_03- exclu.tif"/>
    <m/>
    <m/>
    <x v="1"/>
    <m/>
    <m/>
    <m/>
    <m/>
  </r>
  <r>
    <x v="13"/>
    <x v="7"/>
    <s v="C:\Users\andre\Desktop\REACTIV CEFAS\Prochloraz\Prochloraz/20201219_Cefas_Test10_Run2/Plate 3/@11/H5_04- exclu.tif"/>
    <m/>
    <m/>
    <x v="1"/>
    <m/>
    <m/>
    <m/>
    <m/>
  </r>
  <r>
    <x v="1"/>
    <x v="8"/>
    <s v=" "/>
    <m/>
    <m/>
    <x v="1"/>
    <m/>
    <m/>
    <m/>
    <m/>
  </r>
  <r>
    <x v="1"/>
    <x v="8"/>
    <s v="group "/>
    <s v=" "/>
    <s v=" mean of mean fluo "/>
    <x v="2"/>
    <s v=" mean of total fluo "/>
    <s v=" SD total fluo "/>
    <s v=" n fluorescent "/>
    <s v=" n total"/>
  </r>
  <r>
    <x v="13"/>
    <x v="9"/>
    <s v="C:\Users\andre\Desktop\REACTIV CEFAS\Prochloraz\Prochloraz/20201219_Cefas_Test10_Run2/Plate 3/@11/ "/>
    <s v=" "/>
    <s v=" 40.8396 "/>
    <x v="36"/>
    <s v=" 469520.875 "/>
    <s v=" 256042.919 "/>
    <n v="30"/>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C:\Users\andre\Desktop\REACTIV CEFAS\Prochloraz\Prochloraz/20201219_Cefas_Test10_Run2/Plate 3/@12/A6_01.tif "/>
    <s v=" 4672.0572 "/>
    <s v=" 33.1157 "/>
    <x v="0"/>
    <n v="154719"/>
    <m/>
    <m/>
    <m/>
  </r>
  <r>
    <x v="14"/>
    <x v="0"/>
    <s v="C:\Users\andre\Desktop\REACTIV CEFAS\Prochloraz\Prochloraz/20201219_Cefas_Test10_Run2/Plate 3/@12/A6_02.tif "/>
    <s v=" 151.4093 "/>
    <s v=" 31.2857 "/>
    <x v="0"/>
    <n v="4737"/>
    <m/>
    <m/>
    <m/>
  </r>
  <r>
    <x v="14"/>
    <x v="0"/>
    <s v="C:\Users\andre\Desktop\REACTIV CEFAS\Prochloraz\Prochloraz/20201219_Cefas_Test10_Run2/Plate 3/@12/A6_03.tif "/>
    <s v=" 10901.4669 "/>
    <s v=" 43.8056 "/>
    <x v="0"/>
    <n v="477545"/>
    <m/>
    <m/>
    <m/>
  </r>
  <r>
    <x v="14"/>
    <x v="0"/>
    <s v="C:\Users\andre\Desktop\REACTIV CEFAS\Prochloraz\Prochloraz/20201219_Cefas_Test10_Run2/Plate 3/@12/A6_04.tif "/>
    <s v=" 2984.9255 "/>
    <s v=" 35.4783 "/>
    <x v="0"/>
    <n v="105900"/>
    <m/>
    <m/>
    <m/>
  </r>
  <r>
    <x v="14"/>
    <x v="1"/>
    <s v="C:\Users\andre\Desktop\REACTIV CEFAS\Prochloraz\Prochloraz/20201219_Cefas_Test10_Run2/Plate 3/@12/B6_01- exclu.tif"/>
    <m/>
    <m/>
    <x v="1"/>
    <m/>
    <m/>
    <m/>
    <m/>
  </r>
  <r>
    <x v="14"/>
    <x v="1"/>
    <s v="C:\Users\andre\Desktop\REACTIV CEFAS\Prochloraz\Prochloraz/20201219_Cefas_Test10_Run2/Plate 3/@12/B6_02- exclu.tif"/>
    <m/>
    <m/>
    <x v="1"/>
    <m/>
    <m/>
    <m/>
    <m/>
  </r>
  <r>
    <x v="14"/>
    <x v="1"/>
    <s v="C:\Users\andre\Desktop\REACTIV CEFAS\Prochloraz\Prochloraz/20201219_Cefas_Test10_Run2/Plate 3/@12/B6_03- exclu.tif"/>
    <m/>
    <m/>
    <x v="1"/>
    <m/>
    <m/>
    <m/>
    <m/>
  </r>
  <r>
    <x v="14"/>
    <x v="1"/>
    <s v="C:\Users\andre\Desktop\REACTIV CEFAS\Prochloraz\Prochloraz/20201219_Cefas_Test10_Run2/Plate 3/@12/B6_04- exclu.tif"/>
    <m/>
    <m/>
    <x v="1"/>
    <m/>
    <m/>
    <m/>
    <m/>
  </r>
  <r>
    <x v="14"/>
    <x v="2"/>
    <s v="C:\Users\andre\Desktop\REACTIV CEFAS\Prochloraz\Prochloraz/20201219_Cefas_Test10_Run2/Plate 3/@12/C6_01- exclu.tif"/>
    <m/>
    <m/>
    <x v="1"/>
    <m/>
    <m/>
    <m/>
    <m/>
  </r>
  <r>
    <x v="14"/>
    <x v="2"/>
    <s v="C:\Users\andre\Desktop\REACTIV CEFAS\Prochloraz\Prochloraz/20201219_Cefas_Test10_Run2/Plate 3/@12/C6_02.tif "/>
    <s v=" 9365.7444 "/>
    <s v=" 45.9861 "/>
    <x v="0"/>
    <n v="430694"/>
    <m/>
    <m/>
    <m/>
  </r>
  <r>
    <x v="14"/>
    <x v="2"/>
    <s v="C:\Users\andre\Desktop\REACTIV CEFAS\Prochloraz\Prochloraz/20201219_Cefas_Test10_Run2/Plate 3/@12/C6_03.tif "/>
    <s v=" 3568.9326 "/>
    <s v=" 34.103 "/>
    <x v="0"/>
    <n v="121711"/>
    <m/>
    <m/>
    <m/>
  </r>
  <r>
    <x v="14"/>
    <x v="2"/>
    <s v="C:\Users\andre\Desktop\REACTIV CEFAS\Prochloraz\Prochloraz/20201219_Cefas_Test10_Run2/Plate 3/@12/C6_04- exclu.tif"/>
    <m/>
    <m/>
    <x v="1"/>
    <m/>
    <m/>
    <m/>
    <m/>
  </r>
  <r>
    <x v="14"/>
    <x v="3"/>
    <s v="C:\Users\andre\Desktop\REACTIV CEFAS\Prochloraz\Prochloraz/20201219_Cefas_Test10_Run2/Plate 3/@12/D6_01.tif "/>
    <s v=" 173.0392 "/>
    <n v="32"/>
    <x v="0"/>
    <n v="5537"/>
    <m/>
    <m/>
    <m/>
  </r>
  <r>
    <x v="14"/>
    <x v="3"/>
    <s v="C:\Users\andre\Desktop\REACTIV CEFAS\Prochloraz\Prochloraz/20201219_Cefas_Test10_Run2/Plate 3/@12/D6_02.tif "/>
    <s v=" 108.1495 "/>
    <s v=" 30.4 "/>
    <x v="0"/>
    <n v="3288"/>
    <m/>
    <m/>
    <m/>
  </r>
  <r>
    <x v="14"/>
    <x v="3"/>
    <s v="C:\Users\andre\Desktop\REACTIV CEFAS\Prochloraz\Prochloraz/20201219_Cefas_Test10_Run2/Plate 3/@12/D6_03- exclu.tif"/>
    <m/>
    <m/>
    <x v="1"/>
    <m/>
    <m/>
    <m/>
    <m/>
  </r>
  <r>
    <x v="14"/>
    <x v="3"/>
    <s v="C:\Users\andre\Desktop\REACTIV CEFAS\Prochloraz\Prochloraz/20201219_Cefas_Test10_Run2/Plate 3/@12/D6_04.tif "/>
    <s v=" 1276.1638 "/>
    <s v=" 31.4915 "/>
    <x v="0"/>
    <n v="40188"/>
    <m/>
    <m/>
    <m/>
  </r>
  <r>
    <x v="14"/>
    <x v="4"/>
    <s v="C:\Users\andre\Desktop\REACTIV CEFAS\Prochloraz\Prochloraz/20201219_Cefas_Test10_Run2/Plate 3/@12/E6_01- exclu.tif"/>
    <m/>
    <m/>
    <x v="1"/>
    <m/>
    <m/>
    <m/>
    <m/>
  </r>
  <r>
    <x v="14"/>
    <x v="4"/>
    <s v="C:\Users\andre\Desktop\REACTIV CEFAS\Prochloraz\Prochloraz/20201219_Cefas_Test10_Run2/Plate 3/@12/E6_02- exclu.tif"/>
    <m/>
    <m/>
    <x v="1"/>
    <m/>
    <m/>
    <m/>
    <m/>
  </r>
  <r>
    <x v="14"/>
    <x v="4"/>
    <s v="C:\Users\andre\Desktop\REACTIV CEFAS\Prochloraz\Prochloraz/20201219_Cefas_Test10_Run2/Plate 3/@12/E6_03.tif "/>
    <s v=" 5688.6623 "/>
    <s v=" 38.4144 "/>
    <x v="0"/>
    <n v="218527"/>
    <m/>
    <m/>
    <m/>
  </r>
  <r>
    <x v="14"/>
    <x v="4"/>
    <s v="C:\Users\andre\Desktop\REACTIV CEFAS\Prochloraz\Prochloraz/20201219_Cefas_Test10_Run2/Plate 3/@12/E6_04.tif "/>
    <s v=" 8003.061 "/>
    <s v=" 38.973 "/>
    <x v="0"/>
    <n v="311903"/>
    <m/>
    <m/>
    <m/>
  </r>
  <r>
    <x v="14"/>
    <x v="5"/>
    <s v="C:\Users\andre\Desktop\REACTIV CEFAS\Prochloraz\Prochloraz/20201219_Cefas_Test10_Run2/Plate 3/@12/F6_01.tif "/>
    <s v=" 16114.2715 "/>
    <s v=" 49.051 "/>
    <x v="0"/>
    <n v="790421"/>
    <m/>
    <m/>
    <m/>
  </r>
  <r>
    <x v="14"/>
    <x v="5"/>
    <s v="C:\Users\andre\Desktop\REACTIV CEFAS\Prochloraz\Prochloraz/20201219_Cefas_Test10_Run2/Plate 3/@12/F6_02.tif "/>
    <s v=" 12285.7801 "/>
    <s v=" 45.8856 "/>
    <x v="0"/>
    <n v="563740"/>
    <m/>
    <m/>
    <m/>
  </r>
  <r>
    <x v="14"/>
    <x v="5"/>
    <s v="C:\Users\andre\Desktop\REACTIV CEFAS\Prochloraz\Prochloraz/20201219_Cefas_Test10_Run2/Plate 3/@12/F6_03- exclu.tif"/>
    <m/>
    <m/>
    <x v="1"/>
    <m/>
    <m/>
    <m/>
    <m/>
  </r>
  <r>
    <x v="14"/>
    <x v="5"/>
    <s v="C:\Users\andre\Desktop\REACTIV CEFAS\Prochloraz\Prochloraz/20201219_Cefas_Test10_Run2/Plate 3/@12/F6_04- exclu.tif"/>
    <m/>
    <m/>
    <x v="1"/>
    <m/>
    <m/>
    <m/>
    <m/>
  </r>
  <r>
    <x v="14"/>
    <x v="6"/>
    <s v="C:\Users\andre\Desktop\REACTIV CEFAS\Prochloraz\Prochloraz/20201219_Cefas_Test10_Run2/Plate 3/@12/G6_01.tif "/>
    <s v=" 8889.8867 "/>
    <s v=" 46.4112 "/>
    <x v="0"/>
    <n v="412590"/>
    <m/>
    <m/>
    <m/>
  </r>
  <r>
    <x v="14"/>
    <x v="6"/>
    <s v="C:\Users\andre\Desktop\REACTIV CEFAS\Prochloraz\Prochloraz/20201219_Cefas_Test10_Run2/Plate 3/@12/G6_02.tif "/>
    <s v=" 10274.1999 "/>
    <s v=" 46.8589 "/>
    <x v="0"/>
    <n v="481438"/>
    <m/>
    <m/>
    <m/>
  </r>
  <r>
    <x v="14"/>
    <x v="6"/>
    <s v="C:\Users\andre\Desktop\REACTIV CEFAS\Prochloraz\Prochloraz/20201219_Cefas_Test10_Run2/Plate 3/@12/G6_03.tif "/>
    <s v=" 8067.9507 "/>
    <s v=" 42.815 "/>
    <x v="0"/>
    <n v="345429"/>
    <m/>
    <m/>
    <m/>
  </r>
  <r>
    <x v="14"/>
    <x v="6"/>
    <s v="C:\Users\andre\Desktop\REACTIV CEFAS\Prochloraz\Prochloraz/20201219_Cefas_Test10_Run2/Plate 3/@12/G6_04.tif "/>
    <s v=" 8500.5486 "/>
    <s v=" 41.9313 "/>
    <x v="0"/>
    <n v="356439"/>
    <m/>
    <m/>
    <m/>
  </r>
  <r>
    <x v="14"/>
    <x v="7"/>
    <s v="C:\Users\andre\Desktop\REACTIV CEFAS\Prochloraz\Prochloraz/20201219_Cefas_Test10_Run2/Plate 3/@12/H6_01.tif "/>
    <s v=" 4455.7583 "/>
    <s v=" 34.6068 "/>
    <x v="0"/>
    <n v="154200"/>
    <m/>
    <m/>
    <m/>
  </r>
  <r>
    <x v="14"/>
    <x v="7"/>
    <s v="C:\Users\andre\Desktop\REACTIV CEFAS\Prochloraz\Prochloraz/20201219_Cefas_Test10_Run2/Plate 3/@12/H6_02.tif "/>
    <s v=" 4758.5768 "/>
    <s v=" 35.6545 "/>
    <x v="0"/>
    <n v="169665"/>
    <m/>
    <m/>
    <m/>
  </r>
  <r>
    <x v="14"/>
    <x v="7"/>
    <s v="C:\Users\andre\Desktop\REACTIV CEFAS\Prochloraz\Prochloraz/20201219_Cefas_Test10_Run2/Plate 3/@12/H6_03.tif "/>
    <s v=" 6597.1179 "/>
    <s v=" 36.6262 "/>
    <x v="0"/>
    <n v="241628"/>
    <m/>
    <m/>
    <m/>
  </r>
  <r>
    <x v="14"/>
    <x v="7"/>
    <s v="C:\Users\andre\Desktop\REACTIV CEFAS\Prochloraz\Prochloraz/20201219_Cefas_Test10_Run2/Plate 3/@12/H6_04.tif "/>
    <s v=" 7678.6126 "/>
    <s v=" 37.0817 "/>
    <x v="0"/>
    <n v="284736"/>
    <m/>
    <m/>
    <m/>
  </r>
  <r>
    <x v="1"/>
    <x v="8"/>
    <s v=" "/>
    <m/>
    <m/>
    <x v="1"/>
    <m/>
    <m/>
    <m/>
    <m/>
  </r>
  <r>
    <x v="1"/>
    <x v="8"/>
    <s v="group "/>
    <s v=" "/>
    <s v=" mean of mean fluo "/>
    <x v="2"/>
    <s v=" mean of total fluo "/>
    <s v=" SD total fluo "/>
    <s v=" n fluorescent "/>
    <s v=" n total"/>
  </r>
  <r>
    <x v="14"/>
    <x v="9"/>
    <s v="C:\Users\andre\Desktop\REACTIV CEFAS\Prochloraz\Prochloraz/20201219_Cefas_Test10_Run2/Plate 3/@12/ "/>
    <s v=" "/>
    <s v=" 38.8046 "/>
    <x v="37"/>
    <s v=" 318585.969 "/>
    <s v=" 271361.657 "/>
    <n v="31"/>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C:\Users\andre\Desktop\REACTIV CEFAS\Prochloraz\Prochloraz/20201219_Cefas_Test10_Run2/Plate 3/@17/A8_01.tif "/>
    <s v=" 48386.0743 "/>
    <s v=" 39.4148 "/>
    <x v="0"/>
    <n v="1907129"/>
    <m/>
    <m/>
    <m/>
  </r>
  <r>
    <x v="15"/>
    <x v="0"/>
    <s v="C:\Users\andre\Desktop\REACTIV CEFAS\Prochloraz\Prochloraz/20201219_Cefas_Test10_Run2/Plate 3/@17/A8_02.tif "/>
    <s v=" 60888.1534 "/>
    <s v=" 39.6238 "/>
    <x v="0"/>
    <n v="2412620"/>
    <m/>
    <m/>
    <m/>
  </r>
  <r>
    <x v="15"/>
    <x v="0"/>
    <s v="C:\Users\andre\Desktop\REACTIV CEFAS\Prochloraz\Prochloraz/20201219_Cefas_Test10_Run2/Plate 3/@17/A8_03.tif "/>
    <s v=" 60953.0431 "/>
    <s v=" 38.846 "/>
    <x v="0"/>
    <n v="2367781"/>
    <m/>
    <m/>
    <m/>
  </r>
  <r>
    <x v="15"/>
    <x v="0"/>
    <s v="C:\Users\andre\Desktop\REACTIV CEFAS\Prochloraz\Prochloraz/20201219_Cefas_Test10_Run2/Plate 3/@17/A8_04- exclu.tif"/>
    <m/>
    <m/>
    <x v="1"/>
    <m/>
    <m/>
    <m/>
    <m/>
  </r>
  <r>
    <x v="15"/>
    <x v="1"/>
    <s v="C:\Users\andre\Desktop\REACTIV CEFAS\Prochloraz\Prochloraz/20201219_Cefas_Test10_Run2/Plate 3/@17/B8_01.tif "/>
    <s v=" 35126.9489 "/>
    <s v=" 35.2254 "/>
    <x v="0"/>
    <n v="1237360"/>
    <m/>
    <m/>
    <m/>
  </r>
  <r>
    <x v="15"/>
    <x v="1"/>
    <s v="C:\Users\andre\Desktop\REACTIV CEFAS\Prochloraz\Prochloraz/20201219_Cefas_Test10_Run2/Plate 3/@17/B8_02.tif "/>
    <s v=" 50116.4659 "/>
    <s v=" 37.637 "/>
    <x v="0"/>
    <n v="1886235"/>
    <m/>
    <m/>
    <m/>
  </r>
  <r>
    <x v="15"/>
    <x v="1"/>
    <s v="C:\Users\andre\Desktop\REACTIV CEFAS\Prochloraz\Prochloraz/20201219_Cefas_Test10_Run2/Plate 3/@17/B8_03.tif "/>
    <s v=" 48321.1846 "/>
    <s v=" 37.5618 "/>
    <x v="0"/>
    <n v="1815029"/>
    <m/>
    <m/>
    <m/>
  </r>
  <r>
    <x v="15"/>
    <x v="1"/>
    <s v="C:\Users\andre\Desktop\REACTIV CEFAS\Prochloraz\Prochloraz/20201219_Cefas_Test10_Run2/Plate 3/@17/B8_04.tif "/>
    <s v=" 55610.4591 "/>
    <s v=" 37.9638 "/>
    <x v="0"/>
    <n v="2111186"/>
    <m/>
    <m/>
    <m/>
  </r>
  <r>
    <x v="15"/>
    <x v="2"/>
    <s v="C:\Users\andre\Desktop\REACTIV CEFAS\Prochloraz\Prochloraz/20201219_Cefas_Test10_Run2/Plate 3/@17/C8_01.tif "/>
    <s v=" 84789.1869 "/>
    <s v=" 45.9406 "/>
    <x v="0"/>
    <n v="3895263"/>
    <m/>
    <m/>
    <m/>
  </r>
  <r>
    <x v="15"/>
    <x v="2"/>
    <s v="C:\Users\andre\Desktop\REACTIV CEFAS\Prochloraz\Prochloraz/20201219_Cefas_Test10_Run2/Plate 3/@17/C8_02.tif "/>
    <s v=" 87298.2547 "/>
    <s v=" 47.7745 "/>
    <x v="0"/>
    <n v="4170633"/>
    <m/>
    <m/>
    <m/>
  </r>
  <r>
    <x v="15"/>
    <x v="2"/>
    <s v="C:\Users\andre\Desktop\REACTIV CEFAS\Prochloraz\Prochloraz/20201219_Cefas_Test10_Run2/Plate 3/@17/C8_03- exclu.tif"/>
    <m/>
    <m/>
    <x v="1"/>
    <m/>
    <m/>
    <m/>
    <m/>
  </r>
  <r>
    <x v="15"/>
    <x v="2"/>
    <s v="C:\Users\andre\Desktop\REACTIV CEFAS\Prochloraz\Prochloraz/20201219_Cefas_Test10_Run2/Plate 3/@17/C8_04- exclu.tif"/>
    <m/>
    <m/>
    <x v="1"/>
    <m/>
    <m/>
    <m/>
    <m/>
  </r>
  <r>
    <x v="15"/>
    <x v="3"/>
    <s v="C:\Users\andre\Desktop\REACTIV CEFAS\Prochloraz\Prochloraz/20201219_Cefas_Test10_Run2/Plate 3/@17/D8_01.tif "/>
    <s v=" 66706.595 "/>
    <s v=" 39.1845 "/>
    <x v="0"/>
    <n v="2613865"/>
    <m/>
    <m/>
    <m/>
  </r>
  <r>
    <x v="15"/>
    <x v="3"/>
    <s v="C:\Users\andre\Desktop\REACTIV CEFAS\Prochloraz\Prochloraz/20201219_Cefas_Test10_Run2/Plate 3/@17/D8_02.tif "/>
    <s v=" 74125.6489 "/>
    <s v=" 41.396 "/>
    <x v="0"/>
    <n v="3068503"/>
    <m/>
    <m/>
    <m/>
  </r>
  <r>
    <x v="15"/>
    <x v="3"/>
    <s v="C:\Users\andre\Desktop\REACTIV CEFAS\Prochloraz\Prochloraz/20201219_Cefas_Test10_Run2/Plate 3/@17/D8_03.tif "/>
    <s v=" 65127.6127 "/>
    <s v=" 41.2321 "/>
    <x v="0"/>
    <n v="2685351"/>
    <m/>
    <m/>
    <m/>
  </r>
  <r>
    <x v="15"/>
    <x v="3"/>
    <s v="C:\Users\andre\Desktop\REACTIV CEFAS\Prochloraz\Prochloraz/20201219_Cefas_Test10_Run2/Plate 3/@17/D8_04.tif "/>
    <s v=" 68847.9546 "/>
    <s v=" 41.9808 "/>
    <x v="0"/>
    <n v="2890295"/>
    <m/>
    <m/>
    <m/>
  </r>
  <r>
    <x v="15"/>
    <x v="4"/>
    <s v="C:\Users\andre\Desktop\REACTIV CEFAS\Prochloraz\Prochloraz/20201219_Cefas_Test10_Run2/Plate 3/@17/E8_01.tif "/>
    <s v=" 54896.6726 "/>
    <s v=" 35.6619 "/>
    <x v="0"/>
    <n v="1957722"/>
    <m/>
    <m/>
    <m/>
  </r>
  <r>
    <x v="15"/>
    <x v="4"/>
    <s v="C:\Users\andre\Desktop\REACTIV CEFAS\Prochloraz\Prochloraz/20201219_Cefas_Test10_Run2/Plate 3/@17/E8_02.tif "/>
    <s v=" 51673.8183 "/>
    <s v=" 34.8715 "/>
    <x v="0"/>
    <n v="1801943"/>
    <m/>
    <m/>
    <m/>
  </r>
  <r>
    <x v="15"/>
    <x v="4"/>
    <s v="C:\Users\andre\Desktop\REACTIV CEFAS\Prochloraz\Prochloraz/20201219_Cefas_Test10_Run2/Plate 3/@17/E8_03.tif "/>
    <s v=" 65322.2818 "/>
    <s v=" 36.7344 "/>
    <x v="0"/>
    <n v="2399577"/>
    <m/>
    <m/>
    <m/>
  </r>
  <r>
    <x v="15"/>
    <x v="4"/>
    <s v="C:\Users\andre\Desktop\REACTIV CEFAS\Prochloraz\Prochloraz/20201219_Cefas_Test10_Run2/Plate 3/@17/E8_04.tif "/>
    <s v=" 71897.7697 "/>
    <s v=" 37.4663 "/>
    <x v="0"/>
    <n v="2693744"/>
    <m/>
    <m/>
    <m/>
  </r>
  <r>
    <x v="15"/>
    <x v="5"/>
    <s v="C:\Users\andre\Desktop\REACTIV CEFAS\Prochloraz\Prochloraz/20201219_Cefas_Test10_Run2/Plate 3/@17/F8_01.tif "/>
    <s v=" 5861.7014 "/>
    <s v=" 36.797 "/>
    <x v="0"/>
    <n v="215693"/>
    <m/>
    <m/>
    <m/>
  </r>
  <r>
    <x v="15"/>
    <x v="5"/>
    <s v="C:\Users\andre\Desktop\REACTIV CEFAS\Prochloraz\Prochloraz/20201219_Cefas_Test10_Run2/Plate 3/@17/F8_02.tif "/>
    <s v=" 6078.0004 "/>
    <s v=" 37.8754 "/>
    <x v="0"/>
    <n v="230207"/>
    <m/>
    <m/>
    <m/>
  </r>
  <r>
    <x v="15"/>
    <x v="5"/>
    <s v="C:\Users\andre\Desktop\REACTIV CEFAS\Prochloraz\Prochloraz/20201219_Cefas_Test10_Run2/Plate 3/@17/F8_03.tif "/>
    <s v=" 7743.5023 "/>
    <s v=" 34.3575 "/>
    <x v="0"/>
    <n v="266048"/>
    <m/>
    <m/>
    <m/>
  </r>
  <r>
    <x v="15"/>
    <x v="5"/>
    <s v="C:\Users\andre\Desktop\REACTIV CEFAS\Prochloraz\Prochloraz/20201219_Cefas_Test10_Run2/Plate 3/@17/F8_04.tif "/>
    <s v=" 8435.6589 "/>
    <s v=" 31.6462 "/>
    <x v="0"/>
    <n v="266956"/>
    <m/>
    <m/>
    <m/>
  </r>
  <r>
    <x v="15"/>
    <x v="6"/>
    <s v="C:\Users\andre\Desktop\REACTIV CEFAS\Prochloraz\Prochloraz/20201219_Cefas_Test10_Run2/Plate 3/@17/G8_01.tif "/>
    <s v=" 81998.9305 "/>
    <s v=" 46.8446 "/>
    <x v="0"/>
    <n v="3841210"/>
    <m/>
    <m/>
    <m/>
  </r>
  <r>
    <x v="15"/>
    <x v="6"/>
    <s v="C:\Users\andre\Desktop\REACTIV CEFAS\Prochloraz\Prochloraz/20201219_Cefas_Test10_Run2/Plate 3/@17/G8_02.tif "/>
    <s v=" 82388.2686 "/>
    <s v=" 44.4327 "/>
    <x v="0"/>
    <n v="3660730"/>
    <m/>
    <m/>
    <m/>
  </r>
  <r>
    <x v="15"/>
    <x v="6"/>
    <s v="C:\Users\andre\Desktop\REACTIV CEFAS\Prochloraz\Prochloraz/20201219_Cefas_Test10_Run2/Plate 3/@17/G8_03.tif "/>
    <s v=" 76894.2754 "/>
    <s v=" 42.607 "/>
    <x v="0"/>
    <n v="3276237"/>
    <m/>
    <m/>
    <m/>
  </r>
  <r>
    <x v="15"/>
    <x v="6"/>
    <s v="C:\Users\andre\Desktop\REACTIV CEFAS\Prochloraz\Prochloraz/20201219_Cefas_Test10_Run2/Plate 3/@17/G8_04.tif "/>
    <s v=" 79554.7524 "/>
    <s v=" 45.103 "/>
    <x v="0"/>
    <n v="3588162"/>
    <m/>
    <m/>
    <m/>
  </r>
  <r>
    <x v="15"/>
    <x v="7"/>
    <s v="C:\Users\andre\Desktop\REACTIV CEFAS\Prochloraz\Prochloraz/20201219_Cefas_Test10_Run2/Plate 3/@17/H8_01.tif "/>
    <s v=" 2530.6977 "/>
    <s v=" 31.2991 "/>
    <x v="0"/>
    <n v="79209"/>
    <m/>
    <m/>
    <m/>
  </r>
  <r>
    <x v="15"/>
    <x v="7"/>
    <s v="C:\Users\andre\Desktop\REACTIV CEFAS\Prochloraz\Prochloraz/20201219_Cefas_Test10_Run2/Plate 3/@17/H8_02.tif "/>
    <s v=" 3136.3347 "/>
    <s v=" 31.6345 "/>
    <x v="0"/>
    <n v="99216"/>
    <m/>
    <m/>
    <m/>
  </r>
  <r>
    <x v="15"/>
    <x v="7"/>
    <s v="C:\Users\andre\Desktop\REACTIV CEFAS\Prochloraz\Prochloraz/20201219_Cefas_Test10_Run2/Plate 3/@17/H8_03.tif "/>
    <s v=" 14751.5881 "/>
    <s v=" 39.3754 "/>
    <x v="0"/>
    <n v="580849"/>
    <m/>
    <m/>
    <m/>
  </r>
  <r>
    <x v="15"/>
    <x v="7"/>
    <s v="C:\Users\andre\Desktop\REACTIV CEFAS\Prochloraz\Prochloraz/20201219_Cefas_Test10_Run2/Plate 3/@17/H8_04- exclu.tif"/>
    <m/>
    <m/>
    <x v="1"/>
    <m/>
    <m/>
    <m/>
    <m/>
  </r>
  <r>
    <x v="1"/>
    <x v="8"/>
    <s v=" "/>
    <m/>
    <m/>
    <x v="1"/>
    <m/>
    <m/>
    <m/>
    <m/>
  </r>
  <r>
    <x v="1"/>
    <x v="8"/>
    <s v="group "/>
    <s v=" "/>
    <s v=" mean of mean fluo "/>
    <x v="2"/>
    <s v=" mean of total fluo "/>
    <s v=" SD total fluo "/>
    <s v=" n fluorescent "/>
    <s v=" n total"/>
  </r>
  <r>
    <x v="15"/>
    <x v="9"/>
    <s v="C:\Users\andre\Desktop\REACTIV CEFAS\Prochloraz\Prochloraz/20201219_Cefas_Test10_Run2/Plate 3/@17/ "/>
    <s v=" "/>
    <s v=" 38.9629 "/>
    <x v="38"/>
    <s v=" 2112528.94 "/>
    <s v=" 1323566.68 "/>
    <n v="32"/>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C:\Users\andre\Desktop\REACTIV CEFAS\Prochloraz\Prochloraz/20201219_Cefas_Test10_Run2/Plate 3/@18/A9_01.tif "/>
    <s v=" 36251.7034 "/>
    <s v=" 37.0692 "/>
    <x v="0"/>
    <n v="1343822"/>
    <m/>
    <m/>
    <m/>
  </r>
  <r>
    <x v="16"/>
    <x v="0"/>
    <s v="C:\Users\andre\Desktop\REACTIV CEFAS\Prochloraz\Prochloraz/20201219_Cefas_Test10_Run2/Plate 3/@18/A9_02.tif "/>
    <s v=" 40750.7215 "/>
    <s v=" 38.0499 "/>
    <x v="0"/>
    <n v="1550561"/>
    <m/>
    <m/>
    <m/>
  </r>
  <r>
    <x v="16"/>
    <x v="0"/>
    <s v="C:\Users\andre\Desktop\REACTIV CEFAS\Prochloraz\Prochloraz/20201219_Cefas_Test10_Run2/Plate 3/@18/A9_03.tif "/>
    <s v=" 40534.4225 "/>
    <s v=" 37.2721 "/>
    <x v="0"/>
    <n v="1510805"/>
    <m/>
    <m/>
    <m/>
  </r>
  <r>
    <x v="16"/>
    <x v="0"/>
    <s v="C:\Users\andre\Desktop\REACTIV CEFAS\Prochloraz\Prochloraz/20201219_Cefas_Test10_Run2/Plate 3/@18/A9_04.tif "/>
    <s v=" 41529.3977 "/>
    <s v=" 38.5271 "/>
    <x v="0"/>
    <n v="1600007"/>
    <m/>
    <m/>
    <m/>
  </r>
  <r>
    <x v="16"/>
    <x v="1"/>
    <s v="C:\Users\andre\Desktop\REACTIV CEFAS\Prochloraz\Prochloraz/20201219_Cefas_Test10_Run2/Plate 3/@18/B9_01.tif "/>
    <s v=" 9668.5629 "/>
    <s v=" 39.3602 "/>
    <x v="0"/>
    <n v="380556"/>
    <m/>
    <m/>
    <m/>
  </r>
  <r>
    <x v="16"/>
    <x v="1"/>
    <s v="C:\Users\andre\Desktop\REACTIV CEFAS\Prochloraz\Prochloraz/20201219_Cefas_Test10_Run2/Plate 3/@18/B9_02.tif "/>
    <s v=" 6683.6374 "/>
    <s v=" 41.1456 "/>
    <x v="0"/>
    <n v="275002"/>
    <m/>
    <m/>
    <m/>
  </r>
  <r>
    <x v="16"/>
    <x v="1"/>
    <s v="C:\Users\andre\Desktop\REACTIV CEFAS\Prochloraz\Prochloraz/20201219_Cefas_Test10_Run2/Plate 3/@18/B9_03.tif "/>
    <s v=" 13324.0151 "/>
    <s v=" 37.8588 "/>
    <x v="0"/>
    <n v="504431"/>
    <m/>
    <m/>
    <m/>
  </r>
  <r>
    <x v="16"/>
    <x v="1"/>
    <s v="C:\Users\andre\Desktop\REACTIV CEFAS\Prochloraz\Prochloraz/20201219_Cefas_Test10_Run2/Plate 3/@18/B9_04.tif "/>
    <s v=" 6921.5663 "/>
    <s v=" 38.4906 "/>
    <x v="0"/>
    <n v="266415"/>
    <m/>
    <m/>
    <m/>
  </r>
  <r>
    <x v="16"/>
    <x v="2"/>
    <s v="C:\Users\andre\Desktop\REACTIV CEFAS\Prochloraz\Prochloraz/20201219_Cefas_Test10_Run2/Plate 3/@18/C9_01- exclu.tif"/>
    <m/>
    <m/>
    <x v="1"/>
    <m/>
    <m/>
    <m/>
    <m/>
  </r>
  <r>
    <x v="16"/>
    <x v="2"/>
    <s v="C:\Users\andre\Desktop\REACTIV CEFAS\Prochloraz\Prochloraz/20201219_Cefas_Test10_Run2/Plate 3/@18/C9_02.tif "/>
    <s v=" 62034.5378 "/>
    <s v=" 37.7043 "/>
    <x v="0"/>
    <n v="2338970"/>
    <m/>
    <m/>
    <m/>
  </r>
  <r>
    <x v="16"/>
    <x v="2"/>
    <s v="C:\Users\andre\Desktop\REACTIV CEFAS\Prochloraz\Prochloraz/20201219_Cefas_Test10_Run2/Plate 3/@18/C9_03.tif "/>
    <s v=" 58379.0856 "/>
    <s v=" 40.5417 "/>
    <x v="0"/>
    <n v="2366786"/>
    <m/>
    <m/>
    <m/>
  </r>
  <r>
    <x v="16"/>
    <x v="2"/>
    <s v="C:\Users\andre\Desktop\REACTIV CEFAS\Prochloraz\Prochloraz/20201219_Cefas_Test10_Run2/Plate 3/@18/C9_04.tif "/>
    <s v=" 62618.545 "/>
    <s v=" 37.9713 "/>
    <x v="0"/>
    <n v="2377709"/>
    <m/>
    <m/>
    <m/>
  </r>
  <r>
    <x v="16"/>
    <x v="3"/>
    <s v="C:\Users\andre\Desktop\REACTIV CEFAS\Prochloraz\Prochloraz/20201219_Cefas_Test10_Run2/Plate 3/@18/D9_01.tif "/>
    <s v=" 2400.9183 "/>
    <s v=" 32.9369 "/>
    <x v="0"/>
    <n v="79079"/>
    <m/>
    <m/>
    <m/>
  </r>
  <r>
    <x v="16"/>
    <x v="3"/>
    <s v="C:\Users\andre\Desktop\REACTIV CEFAS\Prochloraz\Prochloraz/20201219_Cefas_Test10_Run2/Plate 3/@18/D9_02- exclu.tif"/>
    <m/>
    <m/>
    <x v="1"/>
    <m/>
    <m/>
    <m/>
    <m/>
  </r>
  <r>
    <x v="16"/>
    <x v="3"/>
    <s v="C:\Users\andre\Desktop\REACTIV CEFAS\Prochloraz\Prochloraz/20201219_Cefas_Test10_Run2/Plate 3/@18/D9_03.tif "/>
    <s v=" 10663.5381 "/>
    <s v=" 39.5659 "/>
    <x v="0"/>
    <n v="421913"/>
    <m/>
    <m/>
    <m/>
  </r>
  <r>
    <x v="16"/>
    <x v="3"/>
    <s v="C:\Users\andre\Desktop\REACTIV CEFAS\Prochloraz\Prochloraz/20201219_Cefas_Test10_Run2/Plate 3/@18/D9_04.tif "/>
    <s v=" 13886.3924 "/>
    <s v=" 36.6355 "/>
    <x v="0"/>
    <n v="508735"/>
    <m/>
    <m/>
    <m/>
  </r>
  <r>
    <x v="16"/>
    <x v="4"/>
    <s v="C:\Users\andre\Desktop\REACTIV CEFAS\Prochloraz\Prochloraz/20201219_Cefas_Test10_Run2/Plate 3/@18/E9_01.tif "/>
    <s v=" 54269.4056 "/>
    <s v=" 37.7377 "/>
    <x v="0"/>
    <n v="2048005"/>
    <m/>
    <m/>
    <m/>
  </r>
  <r>
    <x v="16"/>
    <x v="4"/>
    <s v="C:\Users\andre\Desktop\REACTIV CEFAS\Prochloraz\Prochloraz/20201219_Cefas_Test10_Run2/Plate 3/@18/E9_02.tif "/>
    <s v=" 55069.7117 "/>
    <s v=" 38.7636 "/>
    <x v="0"/>
    <n v="2134698"/>
    <m/>
    <m/>
    <m/>
  </r>
  <r>
    <x v="16"/>
    <x v="4"/>
    <s v="C:\Users\andre\Desktop\REACTIV CEFAS\Prochloraz\Prochloraz/20201219_Cefas_Test10_Run2/Plate 3/@18/E9_03.tif "/>
    <s v=" 51435.8894 "/>
    <s v=" 39.5303 "/>
    <x v="0"/>
    <n v="2033275"/>
    <m/>
    <m/>
    <m/>
  </r>
  <r>
    <x v="16"/>
    <x v="4"/>
    <s v="C:\Users\andre\Desktop\REACTIV CEFAS\Prochloraz\Prochloraz/20201219_Cefas_Test10_Run2/Plate 3/@18/E9_04.tif "/>
    <s v=" 52949.9821 "/>
    <s v=" 37.1757 "/>
    <x v="0"/>
    <n v="1968450"/>
    <m/>
    <m/>
    <m/>
  </r>
  <r>
    <x v="16"/>
    <x v="5"/>
    <s v="C:\Users\andre\Desktop\REACTIV CEFAS\Prochloraz\Prochloraz/20201219_Cefas_Test10_Run2/Plate 3/@18/F9_01.tif "/>
    <s v=" 93895.3726 "/>
    <s v=" 50.405 "/>
    <x v="0"/>
    <n v="4732794"/>
    <m/>
    <m/>
    <m/>
  </r>
  <r>
    <x v="16"/>
    <x v="5"/>
    <s v="C:\Users\andre\Desktop\REACTIV CEFAS\Prochloraz\Prochloraz/20201219_Cefas_Test10_Run2/Plate 3/@18/F9_02.tif "/>
    <s v=" 92316.3903 "/>
    <s v=" 49.6082 "/>
    <x v="0"/>
    <n v="4579654"/>
    <m/>
    <m/>
    <m/>
  </r>
  <r>
    <x v="16"/>
    <x v="5"/>
    <s v="C:\Users\andre\Desktop\REACTIV CEFAS\Prochloraz\Prochloraz/20201219_Cefas_Test10_Run2/Plate 3/@18/F9_03.tif "/>
    <s v=" 90715.7781 "/>
    <s v=" 47.2368 "/>
    <x v="0"/>
    <n v="4285120"/>
    <m/>
    <m/>
    <m/>
  </r>
  <r>
    <x v="16"/>
    <x v="5"/>
    <s v="C:\Users\andre\Desktop\REACTIV CEFAS\Prochloraz\Prochloraz/20201219_Cefas_Test10_Run2/Plate 3/@18/F9_04.tif "/>
    <s v=" 77781.1011 "/>
    <s v=" 47.589 "/>
    <x v="0"/>
    <n v="3701524"/>
    <m/>
    <m/>
    <m/>
  </r>
  <r>
    <x v="16"/>
    <x v="6"/>
    <s v="C:\Users\andre\Desktop\REACTIV CEFAS\Prochloraz\Prochloraz/20201219_Cefas_Test10_Run2/Plate 3/@18/G9_01.tif "/>
    <s v=" 60412.2957 "/>
    <s v=" 44.121 "/>
    <x v="0"/>
    <n v="2665452"/>
    <m/>
    <m/>
    <m/>
  </r>
  <r>
    <x v="16"/>
    <x v="6"/>
    <s v="C:\Users\andre\Desktop\REACTIV CEFAS\Prochloraz\Prochloraz/20201219_Cefas_Test10_Run2/Plate 3/@18/G9_02.tif "/>
    <s v=" 58898.2031 "/>
    <s v=" 40.8476 "/>
    <x v="0"/>
    <n v="2405850"/>
    <m/>
    <m/>
    <m/>
  </r>
  <r>
    <x v="16"/>
    <x v="6"/>
    <s v="C:\Users\andre\Desktop\REACTIV CEFAS\Prochloraz\Prochloraz/20201219_Cefas_Test10_Run2/Plate 3/@18/G9_03.tif "/>
    <s v=" 65625.1003 "/>
    <s v=" 45.5138 "/>
    <x v="0"/>
    <n v="2986851"/>
    <m/>
    <m/>
    <m/>
  </r>
  <r>
    <x v="16"/>
    <x v="6"/>
    <s v="C:\Users\andre\Desktop\REACTIV CEFAS\Prochloraz\Prochloraz/20201219_Cefas_Test10_Run2/Plate 3/@18/G9_04.tif "/>
    <s v=" 66447.0363 "/>
    <s v=" 43.1051 "/>
    <x v="0"/>
    <n v="2864209"/>
    <m/>
    <m/>
    <m/>
  </r>
  <r>
    <x v="16"/>
    <x v="7"/>
    <s v="C:\Users\andre\Desktop\REACTIV CEFAS\Prochloraz\Prochloraz/20201219_Cefas_Test10_Run2/Plate 3/@18/H9_01.tif "/>
    <s v=" 43108.38 "/>
    <s v=" 38.1445 "/>
    <x v="0"/>
    <n v="1644348"/>
    <m/>
    <m/>
    <m/>
  </r>
  <r>
    <x v="16"/>
    <x v="7"/>
    <s v="C:\Users\andre\Desktop\REACTIV CEFAS\Prochloraz\Prochloraz/20201219_Cefas_Test10_Run2/Plate 3/@18/H9_02.tif "/>
    <s v=" 49013.3412 "/>
    <s v=" 36.5852 "/>
    <x v="0"/>
    <n v="1793162"/>
    <m/>
    <m/>
    <m/>
  </r>
  <r>
    <x v="16"/>
    <x v="7"/>
    <s v="C:\Users\andre\Desktop\REACTIV CEFAS\Prochloraz\Prochloraz/20201219_Cefas_Test10_Run2/Plate 3/@18/H9_03.tif "/>
    <s v=" 55632.089 "/>
    <s v=" 39.4479 "/>
    <x v="0"/>
    <n v="2194569"/>
    <m/>
    <m/>
    <m/>
  </r>
  <r>
    <x v="16"/>
    <x v="7"/>
    <s v="C:\Users\andre\Desktop\REACTIV CEFAS\Prochloraz\Prochloraz/20201219_Cefas_Test10_Run2/Plate 3/@18/H9_04.tif "/>
    <s v=" 56518.9147 "/>
    <s v=" 38.9208 "/>
    <x v="0"/>
    <n v="2199760"/>
    <m/>
    <m/>
    <m/>
  </r>
  <r>
    <x v="1"/>
    <x v="8"/>
    <s v=" "/>
    <m/>
    <m/>
    <x v="1"/>
    <m/>
    <m/>
    <m/>
    <m/>
  </r>
  <r>
    <x v="1"/>
    <x v="8"/>
    <s v="group "/>
    <s v=" "/>
    <s v=" mean of mean fluo "/>
    <x v="2"/>
    <s v=" mean of total fluo "/>
    <s v=" SD total fluo "/>
    <s v=" n fluorescent "/>
    <s v=" n total"/>
  </r>
  <r>
    <x v="16"/>
    <x v="9"/>
    <s v="C:\Users\andre\Desktop\REACTIV CEFAS\Prochloraz\Prochloraz/20201219_Cefas_Test10_Run2/Plate 3/@18/ "/>
    <s v=" "/>
    <s v=" 39.9664 "/>
    <x v="39"/>
    <s v=" 1930559.34 "/>
    <s v=" 1255562.64 "/>
    <n v="32"/>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C:\Users\andre\Desktop\REACTIV CEFAS\Prochloraz\Prochloraz/20201219_Cefas_Test10_Run2/Plate 3/@19/A10_01.tif "/>
    <s v=" 12977.9368 "/>
    <s v=" 40.9083 "/>
    <x v="0"/>
    <n v="530906"/>
    <m/>
    <m/>
    <m/>
  </r>
  <r>
    <x v="17"/>
    <x v="0"/>
    <s v="C:\Users\andre\Desktop\REACTIV CEFAS\Prochloraz\Prochloraz/20201219_Cefas_Test10_Run2/Plate 3/@19/A10_02.tif "/>
    <s v=" 18839.6382 "/>
    <s v=" 38.1263 "/>
    <x v="0"/>
    <n v="718286"/>
    <m/>
    <m/>
    <m/>
  </r>
  <r>
    <x v="17"/>
    <x v="0"/>
    <s v="C:\Users\andre\Desktop\REACTIV CEFAS\Prochloraz\Prochloraz/20201219_Cefas_Test10_Run2/Plate 3/@19/A10_03.tif "/>
    <s v=" 11766.6627 "/>
    <s v=" 39.4007 "/>
    <x v="0"/>
    <n v="463615"/>
    <m/>
    <m/>
    <m/>
  </r>
  <r>
    <x v="17"/>
    <x v="0"/>
    <s v="C:\Users\andre\Desktop\REACTIV CEFAS\Prochloraz\Prochloraz/20201219_Cefas_Test10_Run2/Plate 3/@19/A10_04.tif "/>
    <s v=" 12242.5204 "/>
    <s v=" 38.6961 "/>
    <x v="0"/>
    <n v="473738"/>
    <m/>
    <m/>
    <m/>
  </r>
  <r>
    <x v="17"/>
    <x v="1"/>
    <s v="C:\Users\andre\Desktop\REACTIV CEFAS\Prochloraz\Prochloraz/20201219_Cefas_Test10_Run2/Plate 3/@19/B10_01.tif "/>
    <s v=" 58335.8258 "/>
    <s v=" 40.0801 "/>
    <x v="0"/>
    <n v="2338105"/>
    <m/>
    <m/>
    <m/>
  </r>
  <r>
    <x v="17"/>
    <x v="1"/>
    <s v="C:\Users\andre\Desktop\REACTIV CEFAS\Prochloraz\Prochloraz/20201219_Cefas_Test10_Run2/Plate 3/@19/B10_02.tif "/>
    <s v=" 47845.3269 "/>
    <s v=" 36.9634 "/>
    <x v="0"/>
    <n v="1768525"/>
    <m/>
    <m/>
    <m/>
  </r>
  <r>
    <x v="17"/>
    <x v="1"/>
    <s v="C:\Users\andre\Desktop\REACTIV CEFAS\Prochloraz\Prochloraz/20201219_Cefas_Test10_Run2/Plate 3/@19/B10_03.tif "/>
    <s v=" 60304.1462 "/>
    <s v=" 39.3271 "/>
    <x v="0"/>
    <n v="2371588"/>
    <m/>
    <m/>
    <m/>
  </r>
  <r>
    <x v="17"/>
    <x v="1"/>
    <s v="C:\Users\andre\Desktop\REACTIV CEFAS\Prochloraz\Prochloraz/20201219_Cefas_Test10_Run2/Plate 3/@19/B10_04.tif "/>
    <s v=" 48494.2238 "/>
    <s v=" 37.8448 "/>
    <x v="0"/>
    <n v="1835253"/>
    <m/>
    <m/>
    <m/>
  </r>
  <r>
    <x v="17"/>
    <x v="2"/>
    <s v="C:\Users\andre\Desktop\REACTIV CEFAS\Prochloraz\Prochloraz/20201219_Cefas_Test10_Run2/Plate 3/@19/C10_01.tif "/>
    <s v=" 61515.4203 "/>
    <s v=" 39.8365 "/>
    <x v="0"/>
    <n v="2450559"/>
    <m/>
    <m/>
    <m/>
  </r>
  <r>
    <x v="17"/>
    <x v="2"/>
    <s v="C:\Users\andre\Desktop\REACTIV CEFAS\Prochloraz\Prochloraz/20201219_Cefas_Test10_Run2/Plate 3/@19/C10_02.tif "/>
    <s v=" 71789.6203 "/>
    <s v=" 44.0883 "/>
    <x v="0"/>
    <n v="3165081"/>
    <m/>
    <m/>
    <m/>
  </r>
  <r>
    <x v="17"/>
    <x v="2"/>
    <s v="C:\Users\andre\Desktop\REACTIV CEFAS\Prochloraz\Prochloraz/20201219_Cefas_Test10_Run2/Plate 3/@19/C10_03.tif "/>
    <s v=" 71421.9121 "/>
    <s v=" 45.3222 "/>
    <x v="0"/>
    <n v="3237000"/>
    <m/>
    <m/>
    <m/>
  </r>
  <r>
    <x v="17"/>
    <x v="2"/>
    <s v="C:\Users\andre\Desktop\REACTIV CEFAS\Prochloraz\Prochloraz/20201219_Cefas_Test10_Run2/Plate 3/@19/C10_04.tif "/>
    <s v=" 66338.8868 "/>
    <s v=" 42.0078 "/>
    <x v="0"/>
    <n v="2786752"/>
    <m/>
    <m/>
    <m/>
  </r>
  <r>
    <x v="17"/>
    <x v="3"/>
    <s v="C:\Users\andre\Desktop\REACTIV CEFAS\Prochloraz\Prochloraz/20201219_Cefas_Test10_Run2/Plate 3/@19/D10_01.tif "/>
    <s v=" 3915.0109 "/>
    <s v=" 37.3702 "/>
    <x v="0"/>
    <n v="146305"/>
    <m/>
    <m/>
    <m/>
  </r>
  <r>
    <x v="17"/>
    <x v="3"/>
    <s v="C:\Users\andre\Desktop\REACTIV CEFAS\Prochloraz\Prochloraz/20201219_Cefas_Test10_Run2/Plate 3/@19/D10_02.tif "/>
    <s v=" 7527.2033 "/>
    <s v=" 39.1466 "/>
    <x v="0"/>
    <n v="294664"/>
    <m/>
    <m/>
    <m/>
  </r>
  <r>
    <x v="17"/>
    <x v="3"/>
    <s v="C:\Users\andre\Desktop\REACTIV CEFAS\Prochloraz\Prochloraz/20201219_Cefas_Test10_Run2/Plate 3/@19/D10_03.tif "/>
    <s v=" 3720.3419 "/>
    <s v=" 34.686 "/>
    <x v="0"/>
    <n v="129044"/>
    <m/>
    <m/>
    <m/>
  </r>
  <r>
    <x v="17"/>
    <x v="3"/>
    <s v="C:\Users\andre\Desktop\REACTIV CEFAS\Prochloraz\Prochloraz/20201219_Cefas_Test10_Run2/Plate 3/@19/D10_04- exclu.tif"/>
    <m/>
    <m/>
    <x v="1"/>
    <m/>
    <m/>
    <m/>
    <m/>
  </r>
  <r>
    <x v="17"/>
    <x v="4"/>
    <s v="C:\Users\andre\Desktop\REACTIV CEFAS\Prochloraz\Prochloraz/20201219_Cefas_Test10_Run2/Plate 3/@19/E10_01.tif "/>
    <s v=" 30930.7493 "/>
    <s v=" 35.8636 "/>
    <x v="0"/>
    <n v="1109289"/>
    <m/>
    <m/>
    <m/>
  </r>
  <r>
    <x v="17"/>
    <x v="4"/>
    <s v="C:\Users\andre\Desktop\REACTIV CEFAS\Prochloraz\Prochloraz/20201219_Cefas_Test10_Run2/Plate 3/@19/E10_02.tif "/>
    <s v=" 30541.4112 "/>
    <s v=" 35.9894 "/>
    <x v="0"/>
    <n v="1099166"/>
    <m/>
    <m/>
    <m/>
  </r>
  <r>
    <x v="17"/>
    <x v="4"/>
    <s v="C:\Users\andre\Desktop\REACTIV CEFAS\Prochloraz\Prochloraz/20201219_Cefas_Test10_Run2/Plate 3/@19/E10_03.tif "/>
    <s v=" 35775.8457 "/>
    <s v=" 35.763 "/>
    <x v="0"/>
    <n v="1279452"/>
    <m/>
    <m/>
    <m/>
  </r>
  <r>
    <x v="17"/>
    <x v="4"/>
    <s v="C:\Users\andre\Desktop\REACTIV CEFAS\Prochloraz\Prochloraz/20201219_Cefas_Test10_Run2/Plate 3/@19/E10_04.tif "/>
    <s v=" 41486.1379 "/>
    <s v=" 36.4552 "/>
    <x v="0"/>
    <n v="1512384"/>
    <m/>
    <m/>
    <m/>
  </r>
  <r>
    <x v="17"/>
    <x v="5"/>
    <s v="C:\Users\andre\Desktop\REACTIV CEFAS\Prochloraz\Prochloraz/20201219_Cefas_Test10_Run2/Plate 3/@19/F10_01.tif "/>
    <s v=" 27859.3043 "/>
    <s v=" 36.5225 "/>
    <x v="0"/>
    <n v="1017492"/>
    <m/>
    <m/>
    <m/>
  </r>
  <r>
    <x v="17"/>
    <x v="5"/>
    <s v="C:\Users\andre\Desktop\REACTIV CEFAS\Prochloraz\Prochloraz/20201219_Cefas_Test10_Run2/Plate 3/@19/F10_02.tif "/>
    <s v=" 25826.0942 "/>
    <s v=" 34.701 "/>
    <x v="0"/>
    <n v="896191"/>
    <m/>
    <m/>
    <m/>
  </r>
  <r>
    <x v="17"/>
    <x v="5"/>
    <s v="C:\Users\andre\Desktop\REACTIV CEFAS\Prochloraz\Prochloraz/20201219_Cefas_Test10_Run2/Plate 3/@19/F10_03.tif "/>
    <s v=" 21478.4854 "/>
    <s v=" 35.8963 "/>
    <x v="0"/>
    <n v="770998"/>
    <m/>
    <m/>
    <m/>
  </r>
  <r>
    <x v="17"/>
    <x v="5"/>
    <s v="C:\Users\andre\Desktop\REACTIV CEFAS\Prochloraz\Prochloraz/20201219_Cefas_Test10_Run2/Plate 3/@19/F10_04.tif "/>
    <s v=" 24636.45 "/>
    <s v=" 36.9658 "/>
    <x v="0"/>
    <n v="910705"/>
    <m/>
    <m/>
    <m/>
  </r>
  <r>
    <x v="17"/>
    <x v="6"/>
    <s v="C:\Users\andre\Desktop\REACTIV CEFAS\Prochloraz\Prochloraz/20201219_Cefas_Test10_Run2/Plate 3/@19/G10_01- exclu.tif"/>
    <m/>
    <m/>
    <x v="1"/>
    <m/>
    <m/>
    <m/>
    <m/>
  </r>
  <r>
    <x v="17"/>
    <x v="6"/>
    <s v="C:\Users\andre\Desktop\REACTIV CEFAS\Prochloraz\Prochloraz/20201219_Cefas_Test10_Run2/Plate 3/@19/G10_02.tif "/>
    <s v=" 4152.9398 "/>
    <s v=" 34.5833 "/>
    <x v="0"/>
    <n v="143623"/>
    <m/>
    <m/>
    <m/>
  </r>
  <r>
    <x v="17"/>
    <x v="6"/>
    <s v="C:\Users\andre\Desktop\REACTIV CEFAS\Prochloraz\Prochloraz/20201219_Cefas_Test10_Run2/Plate 3/@19/G10_03.tif "/>
    <s v=" 3655.4522 "/>
    <s v=" 34.7811 "/>
    <x v="0"/>
    <n v="127141"/>
    <m/>
    <m/>
    <m/>
  </r>
  <r>
    <x v="17"/>
    <x v="6"/>
    <s v="C:\Users\andre\Desktop\REACTIV CEFAS\Prochloraz\Prochloraz/20201219_Cefas_Test10_Run2/Plate 3/@19/G10_04.tif "/>
    <s v=" 3028.1852 "/>
    <s v=" 34.8571 "/>
    <x v="0"/>
    <n v="105554"/>
    <m/>
    <m/>
    <m/>
  </r>
  <r>
    <x v="17"/>
    <x v="7"/>
    <s v="C:\Users\andre\Desktop\REACTIV CEFAS\Prochloraz\Prochloraz/20201219_Cefas_Test10_Run2/Plate 3/@19/H10_01.tif "/>
    <s v=" 22495.0904 "/>
    <s v=" 35.2894 "/>
    <x v="0"/>
    <n v="793839"/>
    <m/>
    <m/>
    <m/>
  </r>
  <r>
    <x v="17"/>
    <x v="7"/>
    <s v="C:\Users\andre\Desktop\REACTIV CEFAS\Prochloraz\Prochloraz/20201219_Cefas_Test10_Run2/Plate 3/@19/H10_02.tif "/>
    <s v=" 8349.1393 "/>
    <s v=" 36.5 "/>
    <x v="0"/>
    <n v="304744"/>
    <m/>
    <m/>
    <m/>
  </r>
  <r>
    <x v="17"/>
    <x v="7"/>
    <s v="C:\Users\andre\Desktop\REACTIV CEFAS\Prochloraz\Prochloraz/20201219_Cefas_Test10_Run2/Plate 3/@19/H10_03- exclu.tif"/>
    <m/>
    <m/>
    <x v="1"/>
    <m/>
    <m/>
    <m/>
    <m/>
  </r>
  <r>
    <x v="17"/>
    <x v="7"/>
    <s v="C:\Users\andre\Desktop\REACTIV CEFAS\Prochloraz\Prochloraz/20201219_Cefas_Test10_Run2/Plate 3/@19/H10_04.tif "/>
    <s v=" 35710.956 "/>
    <s v=" 36.636 "/>
    <x v="0"/>
    <n v="1308306"/>
    <m/>
    <m/>
    <m/>
  </r>
  <r>
    <x v="1"/>
    <x v="8"/>
    <s v=" "/>
    <m/>
    <m/>
    <x v="1"/>
    <m/>
    <m/>
    <m/>
    <m/>
  </r>
  <r>
    <x v="1"/>
    <x v="8"/>
    <s v="group "/>
    <s v=" "/>
    <s v=" mean of mean fluo "/>
    <x v="2"/>
    <s v=" mean of total fluo "/>
    <s v=" SD total fluo "/>
    <s v=" n fluorescent "/>
    <s v=" n total"/>
  </r>
  <r>
    <x v="17"/>
    <x v="9"/>
    <s v="C:\Users\andre\Desktop\REACTIV CEFAS\Prochloraz\Prochloraz/20201219_Cefas_Test10_Run2/Plate 3/@19/ "/>
    <s v=" "/>
    <s v=" 37.0708 "/>
    <x v="40"/>
    <s v=" 1073404.53 "/>
    <s v=" 959138.876 "/>
    <n v="32"/>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C:\Users\andre\Desktop\REACTIV CEFAS\Prochloraz\Prochloraz/20201219_Cefas_Test10_Run2/Plate 3/@20/A11_01.tif "/>
    <s v=" 50527.4339 "/>
    <s v=" 38.3801 "/>
    <x v="0"/>
    <n v="1939250"/>
    <m/>
    <m/>
    <m/>
  </r>
  <r>
    <x v="18"/>
    <x v="0"/>
    <s v="C:\Users\andre\Desktop\REACTIV CEFAS\Prochloraz\Prochloraz/20201219_Cefas_Test10_Run2/Plate 3/@20/A11_02.tif "/>
    <s v=" 46547.5332 "/>
    <s v=" 36.9563 "/>
    <x v="0"/>
    <n v="1720226"/>
    <m/>
    <m/>
    <m/>
  </r>
  <r>
    <x v="18"/>
    <x v="0"/>
    <s v="C:\Users\andre\Desktop\REACTIV CEFAS\Prochloraz\Prochloraz/20201219_Cefas_Test10_Run2/Plate 3/@20/A11_03.tif "/>
    <s v=" 50008.3164 "/>
    <s v=" 37.5043 "/>
    <x v="0"/>
    <n v="1875528"/>
    <m/>
    <m/>
    <m/>
  </r>
  <r>
    <x v="18"/>
    <x v="0"/>
    <s v="C:\Users\andre\Desktop\REACTIV CEFAS\Prochloraz\Prochloraz/20201219_Cefas_Test10_Run2/Plate 3/@20/A11_04.tif "/>
    <s v=" 67917.8691 "/>
    <s v=" 38.851 "/>
    <x v="0"/>
    <n v="2638674"/>
    <m/>
    <m/>
    <m/>
  </r>
  <r>
    <x v="18"/>
    <x v="1"/>
    <s v="C:\Users\andre\Desktop\REACTIV CEFAS\Prochloraz\Prochloraz/20201219_Cefas_Test10_Run2/Plate 3/@20/B11_01.tif "/>
    <s v=" 48710.5227 "/>
    <s v=" 37.0719 "/>
    <x v="0"/>
    <n v="1805793"/>
    <m/>
    <m/>
    <m/>
  </r>
  <r>
    <x v="18"/>
    <x v="1"/>
    <s v="C:\Users\andre\Desktop\REACTIV CEFAS\Prochloraz\Prochloraz/20201219_Cefas_Test10_Run2/Plate 3/@20/B11_02.tif "/>
    <s v=" 44038.4655 "/>
    <s v=" 37.2161 "/>
    <x v="0"/>
    <n v="1638940"/>
    <m/>
    <m/>
    <m/>
  </r>
  <r>
    <x v="18"/>
    <x v="1"/>
    <s v="C:\Users\andre\Desktop\REACTIV CEFAS\Prochloraz\Prochloraz/20201219_Cefas_Test10_Run2/Plate 3/@20/B11_03.tif "/>
    <s v=" 34672.7211 "/>
    <s v=" 34.6438 "/>
    <x v="0"/>
    <n v="1201195"/>
    <m/>
    <m/>
    <m/>
  </r>
  <r>
    <x v="18"/>
    <x v="1"/>
    <s v="C:\Users\andre\Desktop\REACTIV CEFAS\Prochloraz\Prochloraz/20201219_Cefas_Test10_Run2/Plate 3/@20/B11_04- exclu.tif"/>
    <m/>
    <m/>
    <x v="1"/>
    <m/>
    <m/>
    <m/>
    <m/>
  </r>
  <r>
    <x v="18"/>
    <x v="2"/>
    <s v="C:\Users\andre\Desktop\REACTIV CEFAS\Prochloraz\Prochloraz/20201219_Cefas_Test10_Run2/Plate 3/@20/C11_01- exclu.tif"/>
    <m/>
    <m/>
    <x v="1"/>
    <m/>
    <m/>
    <m/>
    <m/>
  </r>
  <r>
    <x v="18"/>
    <x v="2"/>
    <s v="C:\Users\andre\Desktop\REACTIV CEFAS\Prochloraz\Prochloraz/20201219_Cefas_Test10_Run2/Plate 3/@20/C11_02.tif "/>
    <s v=" 58725.1639 "/>
    <s v=" 39.011 "/>
    <x v="0"/>
    <n v="2290930"/>
    <m/>
    <m/>
    <m/>
  </r>
  <r>
    <x v="18"/>
    <x v="2"/>
    <s v="C:\Users\andre\Desktop\REACTIV CEFAS\Prochloraz\Prochloraz/20201219_Cefas_Test10_Run2/Plate 3/@20/C11_03.tif "/>
    <s v=" 52387.6048 "/>
    <s v=" 38.3728 "/>
    <x v="0"/>
    <n v="2010261"/>
    <m/>
    <m/>
    <m/>
  </r>
  <r>
    <x v="18"/>
    <x v="2"/>
    <s v="C:\Users\andre\Desktop\REACTIV CEFAS\Prochloraz\Prochloraz/20201219_Cefas_Test10_Run2/Plate 3/@20/C11_04.tif "/>
    <s v=" 52041.5265 "/>
    <s v=" 38.5125 "/>
    <x v="0"/>
    <n v="2004248"/>
    <m/>
    <m/>
    <m/>
  </r>
  <r>
    <x v="18"/>
    <x v="3"/>
    <s v="C:\Users\andre\Desktop\REACTIV CEFAS\Prochloraz\Prochloraz/20201219_Cefas_Test10_Run2/Plate 3/@20/D11_01.tif "/>
    <s v=" 43411.1985 "/>
    <s v=" 35.6373 "/>
    <x v="0"/>
    <n v="1547057"/>
    <m/>
    <m/>
    <m/>
  </r>
  <r>
    <x v="18"/>
    <x v="3"/>
    <s v="C:\Users\andre\Desktop\REACTIV CEFAS\Prochloraz\Prochloraz/20201219_Cefas_Test10_Run2/Plate 3/@20/D11_02- exclu.tif"/>
    <m/>
    <m/>
    <x v="1"/>
    <m/>
    <m/>
    <m/>
    <m/>
  </r>
  <r>
    <x v="18"/>
    <x v="3"/>
    <s v="C:\Users\andre\Desktop\REACTIV CEFAS\Prochloraz\Prochloraz/20201219_Cefas_Test10_Run2/Plate 3/@20/D11_03.tif "/>
    <s v=" 69302.1824 "/>
    <s v=" 40.6205 "/>
    <x v="0"/>
    <n v="2815088"/>
    <m/>
    <m/>
    <m/>
  </r>
  <r>
    <x v="18"/>
    <x v="3"/>
    <s v="C:\Users\andre\Desktop\REACTIV CEFAS\Prochloraz\Prochloraz/20201219_Cefas_Test10_Run2/Plate 3/@20/D11_04.tif "/>
    <s v=" 56540.5446 "/>
    <s v=" 39.6113 "/>
    <x v="0"/>
    <n v="2239646"/>
    <m/>
    <m/>
    <m/>
  </r>
  <r>
    <x v="18"/>
    <x v="4"/>
    <s v="C:\Users\andre\Desktop\REACTIV CEFAS\Prochloraz\Prochloraz/20201219_Cefas_Test10_Run2/Plate 3/@20/E11_01.tif "/>
    <s v=" 71183.9832 "/>
    <s v=" 41.0778 "/>
    <x v="0"/>
    <n v="2924081"/>
    <m/>
    <m/>
    <m/>
  </r>
  <r>
    <x v="18"/>
    <x v="4"/>
    <s v="C:\Users\andre\Desktop\REACTIV CEFAS\Prochloraz\Prochloraz/20201219_Cefas_Test10_Run2/Plate 3/@20/E11_02.tif "/>
    <s v=" 59849.9184 "/>
    <s v=" 39.4474 "/>
    <x v="0"/>
    <n v="2360925"/>
    <m/>
    <m/>
    <m/>
  </r>
  <r>
    <x v="18"/>
    <x v="4"/>
    <s v="C:\Users\andre\Desktop\REACTIV CEFAS\Prochloraz\Prochloraz/20201219_Cefas_Test10_Run2/Plate 3/@20/E11_03.tif "/>
    <s v=" 67874.6093 "/>
    <s v=" 41.2027 "/>
    <x v="0"/>
    <n v="2796616"/>
    <m/>
    <m/>
    <m/>
  </r>
  <r>
    <x v="18"/>
    <x v="4"/>
    <s v="C:\Users\andre\Desktop\REACTIV CEFAS\Prochloraz\Prochloraz/20201219_Cefas_Test10_Run2/Plate 3/@20/E11_04.tif "/>
    <s v=" 79922.4607 "/>
    <s v=" 43.7922 "/>
    <x v="0"/>
    <n v="3499977"/>
    <m/>
    <m/>
    <m/>
  </r>
  <r>
    <x v="18"/>
    <x v="5"/>
    <s v="C:\Users\andre\Desktop\REACTIV CEFAS\Prochloraz\Prochloraz/20201219_Cefas_Test10_Run2/Plate 3/@20/F11_01- exclu.tif"/>
    <m/>
    <m/>
    <x v="1"/>
    <m/>
    <m/>
    <m/>
    <m/>
  </r>
  <r>
    <x v="18"/>
    <x v="5"/>
    <s v="C:\Users\andre\Desktop\REACTIV CEFAS\Prochloraz\Prochloraz/20201219_Cefas_Test10_Run2/Plate 3/@20/F11_02.tif "/>
    <s v=" 76353.528 "/>
    <s v=" 39.2207 "/>
    <x v="0"/>
    <n v="2994637"/>
    <m/>
    <m/>
    <m/>
  </r>
  <r>
    <x v="18"/>
    <x v="5"/>
    <s v="C:\Users\andre\Desktop\REACTIV CEFAS\Prochloraz\Prochloraz/20201219_Cefas_Test10_Run2/Plate 3/@20/F11_03- exclu.tif"/>
    <m/>
    <m/>
    <x v="1"/>
    <m/>
    <m/>
    <m/>
    <m/>
  </r>
  <r>
    <x v="18"/>
    <x v="5"/>
    <s v="C:\Users\andre\Desktop\REACTIV CEFAS\Prochloraz\Prochloraz/20201219_Cefas_Test10_Run2/Plate 3/@20/F11_04.tif "/>
    <s v=" 71789.6203 "/>
    <s v=" 40.9991 "/>
    <x v="0"/>
    <n v="2943310"/>
    <m/>
    <m/>
    <m/>
  </r>
  <r>
    <x v="18"/>
    <x v="6"/>
    <s v="C:\Users\andre\Desktop\REACTIV CEFAS\Prochloraz\Prochloraz/20201219_Cefas_Test10_Run2/Plate 3/@20/G11_01.tif "/>
    <s v=" 55978.1673 "/>
    <s v=" 36.3269 "/>
    <x v="0"/>
    <n v="2033513"/>
    <m/>
    <m/>
    <m/>
  </r>
  <r>
    <x v="18"/>
    <x v="6"/>
    <s v="C:\Users\andre\Desktop\REACTIV CEFAS\Prochloraz\Prochloraz/20201219_Cefas_Test10_Run2/Plate 3/@20/G11_02.tif "/>
    <s v=" 53252.8006 "/>
    <s v=" 36.013 "/>
    <x v="0"/>
    <n v="1917793"/>
    <m/>
    <m/>
    <m/>
  </r>
  <r>
    <x v="18"/>
    <x v="6"/>
    <s v="C:\Users\andre\Desktop\REACTIV CEFAS\Prochloraz\Prochloraz/20201219_Cefas_Test10_Run2/Plate 3/@20/G11_03.tif "/>
    <s v=" 34737.6108 "/>
    <s v=" 34.3879 "/>
    <x v="0"/>
    <n v="1194554"/>
    <m/>
    <m/>
    <m/>
  </r>
  <r>
    <x v="18"/>
    <x v="6"/>
    <s v="C:\Users\andre\Desktop\REACTIV CEFAS\Prochloraz\Prochloraz/20201219_Cefas_Test10_Run2/Plate 3/@20/G11_04.tif "/>
    <s v=" 52236.1955 "/>
    <s v=" 35.9002 "/>
    <x v="0"/>
    <n v="1875290"/>
    <m/>
    <m/>
    <m/>
  </r>
  <r>
    <x v="18"/>
    <x v="7"/>
    <s v="C:\Users\andre\Desktop\REACTIV CEFAS\Prochloraz\Prochloraz/20201219_Cefas_Test10_Run2/Plate 3/@20/H11_01.tif "/>
    <s v=" 1622.2421 "/>
    <s v=" 34.96 "/>
    <x v="0"/>
    <n v="56714"/>
    <m/>
    <m/>
    <m/>
  </r>
  <r>
    <x v="18"/>
    <x v="7"/>
    <s v="C:\Users\andre\Desktop\REACTIV CEFAS\Prochloraz\Prochloraz/20201219_Cefas_Test10_Run2/Plate 3/@20/H11_02.tif "/>
    <n v="0"/>
    <n v="0"/>
    <x v="0"/>
    <n v="0"/>
    <m/>
    <m/>
    <m/>
  </r>
  <r>
    <x v="18"/>
    <x v="7"/>
    <s v="C:\Users\andre\Desktop\REACTIV CEFAS\Prochloraz\Prochloraz/20201219_Cefas_Test10_Run2/Plate 3/@20/H11_03.tif "/>
    <s v=" 43.2598 "/>
    <n v="30"/>
    <x v="0"/>
    <n v="1298"/>
    <m/>
    <m/>
    <m/>
  </r>
  <r>
    <x v="18"/>
    <x v="7"/>
    <s v="C:\Users\andre\Desktop\REACTIV CEFAS\Prochloraz\Prochloraz/20201219_Cefas_Test10_Run2/Plate 3/@20/H11_04.tif "/>
    <n v="0"/>
    <n v="0"/>
    <x v="0"/>
    <n v="0"/>
    <m/>
    <m/>
    <m/>
  </r>
  <r>
    <x v="1"/>
    <x v="8"/>
    <s v=" "/>
    <m/>
    <m/>
    <x v="1"/>
    <m/>
    <m/>
    <m/>
    <m/>
  </r>
  <r>
    <x v="1"/>
    <x v="8"/>
    <s v="group "/>
    <s v=" "/>
    <s v=" mean of mean fluo "/>
    <x v="2"/>
    <s v=" mean of total fluo "/>
    <s v=" SD total fluo "/>
    <s v=" n fluorescent "/>
    <s v=" n total"/>
  </r>
  <r>
    <x v="18"/>
    <x v="9"/>
    <s v="C:\Users\andre\Desktop\REACTIV CEFAS\Prochloraz\Prochloraz/20201219_Cefas_Test10_Run2/Plate 3/@20/ "/>
    <s v=" "/>
    <s v=" 35.2578 "/>
    <x v="41"/>
    <s v=" 1807183.91 "/>
    <s v=" 899980.709 "/>
    <n v="30"/>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C:\Users\andre\Desktop\REACTIV CEFAS\Prochloraz\Prochloraz/20201219_Cefas_Test10_Run2/Plate 3/@21/A12_01.tif "/>
    <s v=" 39799.0061 "/>
    <s v=" 35.219 "/>
    <x v="0"/>
    <n v="1401682"/>
    <m/>
    <m/>
    <m/>
  </r>
  <r>
    <x v="19"/>
    <x v="0"/>
    <s v="C:\Users\andre\Desktop\REACTIV CEFAS\Prochloraz\Prochloraz/20201219_Cefas_Test10_Run2/Plate 3/@21/A12_02.tif "/>
    <s v=" 31687.7956 "/>
    <s v=" 33.959 "/>
    <x v="0"/>
    <n v="1076087"/>
    <m/>
    <m/>
    <m/>
  </r>
  <r>
    <x v="19"/>
    <x v="0"/>
    <s v="C:\Users\andre\Desktop\REACTIV CEFAS\Prochloraz\Prochloraz/20201219_Cefas_Test10_Run2/Plate 3/@21/A12_03.tif "/>
    <s v=" 38912.1804 "/>
    <s v=" 36.3291 "/>
    <x v="0"/>
    <n v="1413643"/>
    <m/>
    <m/>
    <m/>
  </r>
  <r>
    <x v="19"/>
    <x v="0"/>
    <s v="C:\Users\andre\Desktop\REACTIV CEFAS\Prochloraz\Prochloraz/20201219_Cefas_Test10_Run2/Plate 3/@21/A12_04.tif "/>
    <s v=" 35970.5148 "/>
    <s v=" 36.6194 "/>
    <x v="0"/>
    <n v="1317217"/>
    <m/>
    <m/>
    <m/>
  </r>
  <r>
    <x v="19"/>
    <x v="1"/>
    <s v="C:\Users\andre\Desktop\REACTIV CEFAS\Prochloraz\Prochloraz/20201219_Cefas_Test10_Run2/Plate 3/@21/B12_01.tif "/>
    <s v=" 71724.7306 "/>
    <s v=" 37.7633 "/>
    <x v="0"/>
    <n v="2708560"/>
    <m/>
    <m/>
    <m/>
  </r>
  <r>
    <x v="19"/>
    <x v="1"/>
    <s v="C:\Users\andre\Desktop\REACTIV CEFAS\Prochloraz\Prochloraz/20201219_Cefas_Test10_Run2/Plate 3/@21/B12_02.tif "/>
    <s v=" 74666.3963 "/>
    <s v=" 38.7552 "/>
    <x v="0"/>
    <n v="2893712"/>
    <m/>
    <m/>
    <m/>
  </r>
  <r>
    <x v="19"/>
    <x v="1"/>
    <s v="C:\Users\andre\Desktop\REACTIV CEFAS\Prochloraz\Prochloraz/20201219_Cefas_Test10_Run2/Plate 3/@21/B12_03.tif "/>
    <s v=" 81696.112 "/>
    <s v=" 40.7577 "/>
    <x v="0"/>
    <n v="3329749"/>
    <m/>
    <m/>
    <m/>
  </r>
  <r>
    <x v="19"/>
    <x v="1"/>
    <s v="C:\Users\andre\Desktop\REACTIV CEFAS\Prochloraz\Prochloraz/20201219_Cefas_Test10_Run2/Plate 3/@21/B12_04.tif "/>
    <s v=" 78083.9196 "/>
    <s v=" 38.5094 "/>
    <x v="0"/>
    <n v="3006966"/>
    <m/>
    <m/>
    <m/>
  </r>
  <r>
    <x v="19"/>
    <x v="2"/>
    <s v="C:\Users\andre\Desktop\REACTIV CEFAS\Prochloraz\Prochloraz/20201219_Cefas_Test10_Run2/Plate 3/@21/C12_01.tif "/>
    <s v=" 39993.6752 "/>
    <s v=" 36.7664 "/>
    <x v="0"/>
    <n v="1470422"/>
    <m/>
    <m/>
    <m/>
  </r>
  <r>
    <x v="19"/>
    <x v="2"/>
    <s v="C:\Users\andre\Desktop\REACTIV CEFAS\Prochloraz\Prochloraz/20201219_Cefas_Test10_Run2/Plate 3/@21/C12_02.tif "/>
    <s v=" 42524.3728 "/>
    <s v=" 40.6017 "/>
    <x v="0"/>
    <n v="1726563"/>
    <m/>
    <m/>
    <m/>
  </r>
  <r>
    <x v="19"/>
    <x v="2"/>
    <s v="C:\Users\andre\Desktop\REACTIV CEFAS\Prochloraz\Prochloraz/20201219_Cefas_Test10_Run2/Plate 3/@21/C12_03.tif "/>
    <s v=" 51349.3698 "/>
    <s v=" 40.4836 "/>
    <x v="0"/>
    <n v="2078806"/>
    <m/>
    <m/>
    <m/>
  </r>
  <r>
    <x v="19"/>
    <x v="2"/>
    <s v="C:\Users\andre\Desktop\REACTIV CEFAS\Prochloraz\Prochloraz/20201219_Cefas_Test10_Run2/Plate 3/@21/C12_04- exclu.tif"/>
    <m/>
    <m/>
    <x v="1"/>
    <m/>
    <m/>
    <m/>
    <m/>
  </r>
  <r>
    <x v="19"/>
    <x v="3"/>
    <s v="C:\Users\andre\Desktop\REACTIV CEFAS\Prochloraz\Prochloraz/20201219_Cefas_Test10_Run2/Plate 3/@21/D12_01- exclu.tif"/>
    <m/>
    <m/>
    <x v="1"/>
    <m/>
    <m/>
    <m/>
    <m/>
  </r>
  <r>
    <x v="19"/>
    <x v="3"/>
    <s v="C:\Users\andre\Desktop\REACTIV CEFAS\Prochloraz\Prochloraz/20201219_Cefas_Test10_Run2/Plate 3/@21/D12_02.tif "/>
    <s v=" 18774.7485 "/>
    <s v=" 35.227 "/>
    <x v="0"/>
    <n v="661377"/>
    <m/>
    <m/>
    <m/>
  </r>
  <r>
    <x v="19"/>
    <x v="3"/>
    <s v="C:\Users\andre\Desktop\REACTIV CEFAS\Prochloraz\Prochloraz/20201219_Cefas_Test10_Run2/Plate 3/@21/D12_03- exclu.tif"/>
    <m/>
    <m/>
    <x v="1"/>
    <m/>
    <m/>
    <m/>
    <m/>
  </r>
  <r>
    <x v="19"/>
    <x v="3"/>
    <s v="C:\Users\andre\Desktop\REACTIV CEFAS\Prochloraz\Prochloraz/20201219_Cefas_Test10_Run2/Plate 3/@21/D12_04.tif "/>
    <s v=" 34759.2407 "/>
    <s v=" 35.336 "/>
    <x v="0"/>
    <n v="1228254"/>
    <m/>
    <m/>
    <m/>
  </r>
  <r>
    <x v="19"/>
    <x v="4"/>
    <s v="C:\Users\andre\Desktop\REACTIV CEFAS\Prochloraz\Prochloraz/20201219_Cefas_Test10_Run2/Plate 3/@21/E12_01.tif "/>
    <s v=" 54896.6726 "/>
    <s v=" 35.2813 "/>
    <x v="0"/>
    <n v="1936827"/>
    <m/>
    <m/>
    <m/>
  </r>
  <r>
    <x v="19"/>
    <x v="4"/>
    <s v="C:\Users\andre\Desktop\REACTIV CEFAS\Prochloraz\Prochloraz/20201219_Cefas_Test10_Run2/Plate 3/@21/E12_02.tif "/>
    <s v=" 52084.7863 "/>
    <s v=" 34.4431 "/>
    <x v="0"/>
    <n v="1793962"/>
    <m/>
    <m/>
    <m/>
  </r>
  <r>
    <x v="19"/>
    <x v="4"/>
    <s v="C:\Users\andre\Desktop\REACTIV CEFAS\Prochloraz\Prochloraz/20201219_Cefas_Test10_Run2/Plate 3/@21/E12_03.tif "/>
    <s v=" 68956.1041 "/>
    <s v=" 35.872 "/>
    <x v="0"/>
    <n v="2473595"/>
    <m/>
    <m/>
    <m/>
  </r>
  <r>
    <x v="19"/>
    <x v="4"/>
    <s v="C:\Users\andre\Desktop\REACTIV CEFAS\Prochloraz\Prochloraz/20201219_Cefas_Test10_Run2/Plate 3/@21/E12_04.tif "/>
    <s v=" 58508.865 "/>
    <s v=" 35.0362 "/>
    <x v="0"/>
    <n v="2049930"/>
    <m/>
    <m/>
    <m/>
  </r>
  <r>
    <x v="19"/>
    <x v="5"/>
    <s v="C:\Users\andre\Desktop\REACTIV CEFAS\Prochloraz\Prochloraz/20201219_Cefas_Test10_Run2/Plate 3/@21/F12_01.tif "/>
    <s v=" 55913.2776 "/>
    <s v=" 37.0476 "/>
    <x v="0"/>
    <n v="2071452"/>
    <m/>
    <m/>
    <m/>
  </r>
  <r>
    <x v="19"/>
    <x v="5"/>
    <s v="C:\Users\andre\Desktop\REACTIV CEFAS\Prochloraz\Prochloraz/20201219_Cefas_Test10_Run2/Plate 3/@21/F12_02.tif "/>
    <s v=" 31514.7565 "/>
    <s v=" 33.6191 "/>
    <x v="0"/>
    <n v="1059497"/>
    <m/>
    <m/>
    <m/>
  </r>
  <r>
    <x v="19"/>
    <x v="5"/>
    <s v="C:\Users\andre\Desktop\REACTIV CEFAS\Prochloraz\Prochloraz/20201219_Cefas_Test10_Run2/Plate 3/@21/F12_03.tif "/>
    <s v=" 45292.9994 "/>
    <s v=" 34.0019 "/>
    <x v="0"/>
    <n v="1540048"/>
    <m/>
    <m/>
    <m/>
  </r>
  <r>
    <x v="19"/>
    <x v="5"/>
    <s v="C:\Users\andre\Desktop\REACTIV CEFAS\Prochloraz\Prochloraz/20201219_Cefas_Test10_Run2/Plate 3/@21/F12_04.tif "/>
    <s v=" 55307.6406 "/>
    <s v=" 36.6465 "/>
    <x v="0"/>
    <n v="2026829"/>
    <m/>
    <m/>
    <m/>
  </r>
  <r>
    <x v="19"/>
    <x v="6"/>
    <s v="C:\Users\andre\Desktop\REACTIV CEFAS\Prochloraz\Prochloraz/20201219_Cefas_Test10_Run2/Plate 3/@21/G12_01- exclu.tif"/>
    <m/>
    <m/>
    <x v="1"/>
    <m/>
    <m/>
    <m/>
    <m/>
  </r>
  <r>
    <x v="19"/>
    <x v="6"/>
    <s v="C:\Users\andre\Desktop\REACTIV CEFAS\Prochloraz\Prochloraz/20201219_Cefas_Test10_Run2/Plate 3/@21/G12_02- exclu.tif"/>
    <m/>
    <m/>
    <x v="1"/>
    <m/>
    <m/>
    <m/>
    <m/>
  </r>
  <r>
    <x v="19"/>
    <x v="6"/>
    <s v="C:\Users\andre\Desktop\REACTIV CEFAS\Prochloraz\Prochloraz/20201219_Cefas_Test10_Run2/Plate 3/@21/G12_03.tif "/>
    <s v=" 55242.7509 "/>
    <s v=" 42.7486 "/>
    <x v="0"/>
    <n v="2361552"/>
    <m/>
    <m/>
    <m/>
  </r>
  <r>
    <x v="19"/>
    <x v="6"/>
    <s v="C:\Users\andre\Desktop\REACTIV CEFAS\Prochloraz\Prochloraz/20201219_Cefas_Test10_Run2/Plate 3/@21/G12_04.tif "/>
    <s v=" 57686.929 "/>
    <s v=" 39.1207 "/>
    <x v="0"/>
    <n v="2256755"/>
    <m/>
    <m/>
    <m/>
  </r>
  <r>
    <x v="19"/>
    <x v="7"/>
    <s v="C:\Users\andre\Desktop\REACTIV CEFAS\Prochloraz\Prochloraz/20201219_Cefas_Test10_Run2/Plate 3/@21/H12_01.tif "/>
    <s v=" 26669.6601 "/>
    <s v=" 39.1119 "/>
    <x v="0"/>
    <n v="1043102"/>
    <m/>
    <m/>
    <m/>
  </r>
  <r>
    <x v="19"/>
    <x v="7"/>
    <s v="C:\Users\andre\Desktop\REACTIV CEFAS\Prochloraz\Prochloraz/20201219_Cefas_Test10_Run2/Plate 3/@21/H12_02.tif "/>
    <s v=" 14946.2572 "/>
    <s v=" 36.0695 "/>
    <x v="0"/>
    <n v="539103"/>
    <m/>
    <m/>
    <m/>
  </r>
  <r>
    <x v="19"/>
    <x v="7"/>
    <s v="C:\Users\andre\Desktop\REACTIV CEFAS\Prochloraz\Prochloraz/20201219_Cefas_Test10_Run2/Plate 3/@21/H12_03.tif "/>
    <s v=" 26626.4003 "/>
    <s v=" 36.905 "/>
    <x v="0"/>
    <n v="982646"/>
    <m/>
    <m/>
    <m/>
  </r>
  <r>
    <x v="19"/>
    <x v="7"/>
    <s v="C:\Users\andre\Desktop\REACTIV CEFAS\Prochloraz\Prochloraz/20201219_Cefas_Test10_Run2/Plate 3/@21/H12_04.tif "/>
    <s v=" 17649.994 "/>
    <s v=" 36.8566 "/>
    <x v="0"/>
    <n v="650519"/>
    <m/>
    <m/>
    <m/>
  </r>
  <r>
    <x v="1"/>
    <x v="8"/>
    <s v=" "/>
    <m/>
    <m/>
    <x v="1"/>
    <m/>
    <m/>
    <m/>
    <m/>
  </r>
  <r>
    <x v="1"/>
    <x v="8"/>
    <s v="group "/>
    <s v=" "/>
    <s v=" mean of mean fluo "/>
    <x v="2"/>
    <s v=" mean of total fluo "/>
    <s v=" SD total fluo "/>
    <s v=" n fluorescent "/>
    <s v=" n total"/>
  </r>
  <r>
    <x v="19"/>
    <x v="9"/>
    <s v="C:\Users\andre\Desktop\REACTIV CEFAS\Prochloraz\Prochloraz/20201219_Cefas_Test10_Run2/Plate 3/@21/ "/>
    <s v=" "/>
    <s v=" 37.5485 "/>
    <x v="42"/>
    <s v=" 1726681.28 "/>
    <s v=" 752883.587 "/>
    <n v="32"/>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C:\Users\andre\Desktop\REACTIV CEFAS\Prochloraz\Prochloraz/20201219_Cefas_Test10_Run2/Plate 3/@8/A2_01.tif "/>
    <s v=" 4866.7263 "/>
    <s v=" 37.4578 "/>
    <x v="0"/>
    <n v="182297"/>
    <m/>
    <m/>
    <m/>
  </r>
  <r>
    <x v="20"/>
    <x v="0"/>
    <s v="C:\Users\andre\Desktop\REACTIV CEFAS\Prochloraz\Prochloraz/20201219_Cefas_Test10_Run2/Plate 3/@8/A2_02.tif "/>
    <s v=" 9387.3743 "/>
    <s v=" 36.2051 "/>
    <x v="0"/>
    <n v="339871"/>
    <m/>
    <m/>
    <m/>
  </r>
  <r>
    <x v="20"/>
    <x v="0"/>
    <s v="C:\Users\andre\Desktop\REACTIV CEFAS\Prochloraz\Prochloraz/20201219_Cefas_Test10_Run2/Plate 3/@8/A2_03.tif "/>
    <s v=" 7678.6126 "/>
    <s v=" 39.0901 "/>
    <x v="0"/>
    <n v="300158"/>
    <m/>
    <m/>
    <m/>
  </r>
  <r>
    <x v="20"/>
    <x v="0"/>
    <s v="C:\Users\andre\Desktop\REACTIV CEFAS\Prochloraz\Prochloraz/20201219_Cefas_Test10_Run2/Plate 3/@8/A2_04.tif "/>
    <s v=" 4001.5305 "/>
    <s v=" 40.6 "/>
    <x v="0"/>
    <n v="162462"/>
    <m/>
    <m/>
    <m/>
  </r>
  <r>
    <x v="20"/>
    <x v="1"/>
    <s v="C:\Users\andre\Desktop\REACTIV CEFAS\Prochloraz\Prochloraz/20201219_Cefas_Test10_Run2/Plate 3/@8/B2_01.tif "/>
    <s v=" 11615.2534 "/>
    <s v=" 40.4767 "/>
    <x v="0"/>
    <n v="470147"/>
    <m/>
    <m/>
    <m/>
  </r>
  <r>
    <x v="20"/>
    <x v="1"/>
    <s v="C:\Users\andre\Desktop\REACTIV CEFAS\Prochloraz\Prochloraz/20201219_Cefas_Test10_Run2/Plate 3/@8/B2_02.tif "/>
    <s v=" 12653.4884 "/>
    <s v=" 41.1128 "/>
    <x v="0"/>
    <n v="520221"/>
    <m/>
    <m/>
    <m/>
  </r>
  <r>
    <x v="20"/>
    <x v="1"/>
    <s v="C:\Users\andre\Desktop\REACTIV CEFAS\Prochloraz\Prochloraz/20201219_Cefas_Test10_Run2/Plate 3/@8/B2_03.tif "/>
    <s v=" 5558.8829 "/>
    <s v=" 40.856 "/>
    <x v="0"/>
    <n v="227114"/>
    <m/>
    <m/>
    <m/>
  </r>
  <r>
    <x v="20"/>
    <x v="1"/>
    <s v="C:\Users\andre\Desktop\REACTIV CEFAS\Prochloraz\Prochloraz/20201219_Cefas_Test10_Run2/Plate 3/@8/B2_04.tif "/>
    <s v=" 13302.3852 "/>
    <s v=" 39.2634 "/>
    <x v="0"/>
    <n v="522297"/>
    <m/>
    <m/>
    <m/>
  </r>
  <r>
    <x v="20"/>
    <x v="2"/>
    <s v="C:\Users\andre\Desktop\REACTIV CEFAS\Prochloraz\Prochloraz/20201219_Cefas_Test10_Run2/Plate 3/@8/C2_01- exclu.tif"/>
    <m/>
    <m/>
    <x v="1"/>
    <m/>
    <m/>
    <m/>
    <m/>
  </r>
  <r>
    <x v="20"/>
    <x v="2"/>
    <s v="C:\Users\andre\Desktop\REACTIV CEFAS\Prochloraz\Prochloraz/20201219_Cefas_Test10_Run2/Plate 3/@8/C2_02.tif "/>
    <s v=" 12372.2997 "/>
    <s v=" 38.5979 "/>
    <x v="0"/>
    <n v="477545"/>
    <m/>
    <m/>
    <m/>
  </r>
  <r>
    <x v="20"/>
    <x v="2"/>
    <s v="C:\Users\andre\Desktop\REACTIV CEFAS\Prochloraz\Prochloraz/20201219_Cefas_Test10_Run2/Plate 3/@8/C2_03.tif "/>
    <s v=" 7700.2425 "/>
    <s v=" 37.1882 "/>
    <x v="0"/>
    <n v="286358"/>
    <m/>
    <m/>
    <m/>
  </r>
  <r>
    <x v="20"/>
    <x v="2"/>
    <s v="C:\Users\andre\Desktop\REACTIV CEFAS\Prochloraz\Prochloraz/20201219_Cefas_Test10_Run2/Plate 3/@8/C2_04.tif "/>
    <s v=" 6294.2993 "/>
    <s v=" 38.1237 "/>
    <x v="0"/>
    <n v="239962"/>
    <m/>
    <m/>
    <m/>
  </r>
  <r>
    <x v="20"/>
    <x v="3"/>
    <s v="C:\Users\andre\Desktop\REACTIV CEFAS\Prochloraz\Prochloraz/20201219_Cefas_Test10_Run2/Plate 3/@8/D2_01.tif "/>
    <s v=" 11225.9153 "/>
    <s v=" 41.0732 "/>
    <x v="0"/>
    <n v="461084"/>
    <m/>
    <m/>
    <m/>
  </r>
  <r>
    <x v="20"/>
    <x v="3"/>
    <s v="C:\Users\andre\Desktop\REACTIV CEFAS\Prochloraz\Prochloraz/20201219_Cefas_Test10_Run2/Plate 3/@8/D2_02.tif "/>
    <s v=" 11550.3637 "/>
    <s v=" 41.9869 "/>
    <x v="0"/>
    <n v="484964"/>
    <m/>
    <m/>
    <m/>
  </r>
  <r>
    <x v="20"/>
    <x v="3"/>
    <s v="C:\Users\andre\Desktop\REACTIV CEFAS\Prochloraz\Prochloraz/20201219_Cefas_Test10_Run2/Plate 3/@8/D2_03.tif "/>
    <s v=" 11009.6164 "/>
    <s v=" 41.1984 "/>
    <x v="0"/>
    <n v="453579"/>
    <m/>
    <m/>
    <m/>
  </r>
  <r>
    <x v="20"/>
    <x v="3"/>
    <s v="C:\Users\andre\Desktop\REACTIV CEFAS\Prochloraz\Prochloraz/20201219_Cefas_Test10_Run2/Plate 3/@8/D2_04.tif "/>
    <s v=" 12026.2214 "/>
    <s v=" 41.25 "/>
    <x v="0"/>
    <n v="496082"/>
    <m/>
    <m/>
    <m/>
  </r>
  <r>
    <x v="20"/>
    <x v="4"/>
    <s v="C:\Users\andre\Desktop\REACTIV CEFAS\Prochloraz\Prochloraz/20201219_Cefas_Test10_Run2/Plate 3/@8/E2_01.tif "/>
    <s v=" 6748.5271 "/>
    <s v=" 42.9135 "/>
    <x v="0"/>
    <n v="289603"/>
    <m/>
    <m/>
    <m/>
  </r>
  <r>
    <x v="20"/>
    <x v="4"/>
    <s v="C:\Users\andre\Desktop\REACTIV CEFAS\Prochloraz\Prochloraz/20201219_Cefas_Test10_Run2/Plate 3/@8/E2_02.tif "/>
    <s v=" 3504.0429 "/>
    <s v=" 34.8642 "/>
    <x v="0"/>
    <n v="122166"/>
    <m/>
    <m/>
    <m/>
  </r>
  <r>
    <x v="20"/>
    <x v="4"/>
    <s v="C:\Users\andre\Desktop\REACTIV CEFAS\Prochloraz\Prochloraz/20201219_Cefas_Test10_Run2/Plate 3/@8/E2_03.tif "/>
    <s v=" 5580.5128 "/>
    <s v=" 40.9806 "/>
    <x v="0"/>
    <n v="228693"/>
    <m/>
    <m/>
    <m/>
  </r>
  <r>
    <x v="20"/>
    <x v="4"/>
    <s v="C:\Users\andre\Desktop\REACTIV CEFAS\Prochloraz\Prochloraz/20201219_Cefas_Test10_Run2/Plate 3/@8/E2_04- exclu.tif"/>
    <m/>
    <m/>
    <x v="1"/>
    <m/>
    <m/>
    <m/>
    <m/>
  </r>
  <r>
    <x v="20"/>
    <x v="5"/>
    <s v="C:\Users\andre\Desktop\REACTIV CEFAS\Prochloraz\Prochloraz/20201219_Cefas_Test10_Run2/Plate 3/@8/F2_01.tif "/>
    <s v=" 6272.6694 "/>
    <s v=" 39.8448 "/>
    <x v="0"/>
    <n v="249933"/>
    <m/>
    <m/>
    <m/>
  </r>
  <r>
    <x v="20"/>
    <x v="5"/>
    <s v="C:\Users\andre\Desktop\REACTIV CEFAS\Prochloraz\Prochloraz/20201219_Cefas_Test10_Run2/Plate 3/@8/F2_02.tif "/>
    <s v=" 6164.52 "/>
    <s v=" 41.4982 "/>
    <x v="0"/>
    <n v="255817"/>
    <m/>
    <m/>
    <m/>
  </r>
  <r>
    <x v="20"/>
    <x v="5"/>
    <s v="C:\Users\andre\Desktop\REACTIV CEFAS\Prochloraz\Prochloraz/20201219_Cefas_Test10_Run2/Plate 3/@8/F2_03.tif "/>
    <s v=" 5969.8509 "/>
    <s v=" 40.6993 "/>
    <x v="0"/>
    <n v="242969"/>
    <m/>
    <m/>
    <m/>
  </r>
  <r>
    <x v="20"/>
    <x v="5"/>
    <s v="C:\Users\andre\Desktop\REACTIV CEFAS\Prochloraz\Prochloraz/20201219_Cefas_Test10_Run2/Plate 3/@8/F2_04.tif "/>
    <s v=" 86.5196 "/>
    <s v=" 32.25 "/>
    <x v="0"/>
    <n v="2790"/>
    <m/>
    <m/>
    <m/>
  </r>
  <r>
    <x v="20"/>
    <x v="6"/>
    <s v="C:\Users\andre\Desktop\REACTIV CEFAS\Prochloraz\Prochloraz/20201219_Cefas_Test10_Run2/Plate 3/@8/G2_01.tif "/>
    <s v=" 12566.9688 "/>
    <s v=" 40.8176 "/>
    <x v="0"/>
    <n v="512953"/>
    <m/>
    <m/>
    <m/>
  </r>
  <r>
    <x v="20"/>
    <x v="6"/>
    <s v="C:\Users\andre\Desktop\REACTIV CEFAS\Prochloraz\Prochloraz/20201219_Cefas_Test10_Run2/Plate 3/@8/G2_02.tif "/>
    <s v=" 13734.9831 "/>
    <s v=" 40.9008 "/>
    <x v="0"/>
    <n v="561772"/>
    <m/>
    <m/>
    <m/>
  </r>
  <r>
    <x v="20"/>
    <x v="6"/>
    <s v="C:\Users\andre\Desktop\REACTIV CEFAS\Prochloraz\Prochloraz/20201219_Cefas_Test10_Run2/Plate 3/@8/G2_03.tif "/>
    <s v=" 9755.0825 "/>
    <s v=" 32.5078 "/>
    <x v="0"/>
    <n v="317116"/>
    <m/>
    <m/>
    <m/>
  </r>
  <r>
    <x v="20"/>
    <x v="6"/>
    <s v="C:\Users\andre\Desktop\REACTIV CEFAS\Prochloraz\Prochloraz/20201219_Cefas_Test10_Run2/Plate 3/@8/G2_04.tif "/>
    <s v=" 14492.0294 "/>
    <s v=" 41.9403 "/>
    <x v="0"/>
    <n v="607800"/>
    <m/>
    <m/>
    <m/>
  </r>
  <r>
    <x v="20"/>
    <x v="7"/>
    <s v="C:\Users\andre\Desktop\REACTIV CEFAS\Prochloraz\Prochloraz/20201219_Cefas_Test10_Run2/Plate 3/@8/H2_01.tif "/>
    <s v=" 9322.4846 "/>
    <s v=" 37.993 "/>
    <x v="0"/>
    <n v="354190"/>
    <m/>
    <m/>
    <m/>
  </r>
  <r>
    <x v="20"/>
    <x v="7"/>
    <s v="C:\Users\andre\Desktop\REACTIV CEFAS\Prochloraz\Prochloraz/20201219_Cefas_Test10_Run2/Plate 3/@8/H2_02.tif "/>
    <s v=" 11831.5524 "/>
    <s v=" 40.2413 "/>
    <x v="0"/>
    <n v="476117"/>
    <m/>
    <m/>
    <m/>
  </r>
  <r>
    <x v="20"/>
    <x v="7"/>
    <s v="C:\Users\andre\Desktop\REACTIV CEFAS\Prochloraz\Prochloraz/20201219_Cefas_Test10_Run2/Plate 3/@8/H2_03.tif "/>
    <s v=" 14448.7696 "/>
    <s v=" 35.8323 "/>
    <x v="0"/>
    <n v="517733"/>
    <m/>
    <m/>
    <m/>
  </r>
  <r>
    <x v="20"/>
    <x v="7"/>
    <s v="C:\Users\andre\Desktop\REACTIV CEFAS\Prochloraz\Prochloraz/20201219_Cefas_Test10_Run2/Plate 3/@8/H2_04- exclu.tif"/>
    <m/>
    <m/>
    <x v="1"/>
    <m/>
    <m/>
    <m/>
    <m/>
  </r>
  <r>
    <x v="1"/>
    <x v="8"/>
    <s v=" "/>
    <m/>
    <m/>
    <x v="1"/>
    <m/>
    <m/>
    <m/>
    <m/>
  </r>
  <r>
    <x v="1"/>
    <x v="8"/>
    <s v="group "/>
    <s v=" "/>
    <s v=" mean of mean fluo "/>
    <x v="2"/>
    <s v=" mean of total fluo "/>
    <s v=" SD total fluo "/>
    <s v=" n fluorescent "/>
    <s v=" n total"/>
  </r>
  <r>
    <x v="20"/>
    <x v="9"/>
    <s v="C:\Users\andre\Desktop\REACTIV CEFAS\Prochloraz\Prochloraz/20201219_Cefas_Test10_Run2/Plate 3/@8/ "/>
    <s v=" "/>
    <s v=" 37.7273 "/>
    <x v="43"/>
    <s v=" 333149.781 "/>
    <s v=" 165392.023 "/>
    <n v="31"/>
    <n v="32"/>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C:\Users\andre\Desktop\REACTIV CEFAS\Prochloraz\Prochloraz/20201219_Cefas_Test10_Run2/Plate 3/@9/A3_01.tif "/>
    <s v=" 1514.0926 "/>
    <s v=" 32.5286 "/>
    <x v="0"/>
    <n v="49251"/>
    <m/>
    <m/>
    <m/>
  </r>
  <r>
    <x v="21"/>
    <x v="0"/>
    <s v="C:\Users\andre\Desktop\REACTIV CEFAS\Prochloraz\Prochloraz/20201219_Cefas_Test10_Run2/Plate 3/@9/A3_02.tif "/>
    <s v=" 3568.9326 "/>
    <s v=" 34.0242 "/>
    <x v="0"/>
    <n v="121430"/>
    <m/>
    <m/>
    <m/>
  </r>
  <r>
    <x v="21"/>
    <x v="0"/>
    <s v="C:\Users\andre\Desktop\REACTIV CEFAS\Prochloraz\Prochloraz/20201219_Cefas_Test10_Run2/Plate 3/@9/A3_03.tif "/>
    <s v=" 4412.4985 "/>
    <s v=" 34.6961 "/>
    <x v="0"/>
    <n v="153096"/>
    <m/>
    <m/>
    <m/>
  </r>
  <r>
    <x v="21"/>
    <x v="0"/>
    <s v="C:\Users\andre\Desktop\REACTIV CEFAS\Prochloraz\Prochloraz/20201219_Cefas_Test10_Run2/Plate 3/@9/A3_04.tif "/>
    <s v=" 3741.9718 "/>
    <s v=" 35.1329 "/>
    <x v="0"/>
    <n v="131466"/>
    <m/>
    <m/>
    <m/>
  </r>
  <r>
    <x v="21"/>
    <x v="1"/>
    <s v="C:\Users\andre\Desktop\REACTIV CEFAS\Prochloraz\Prochloraz/20201219_Cefas_Test10_Run2/Plate 3/@9/B3_01.tif "/>
    <s v=" 8154.4703 "/>
    <s v=" 36.9416 "/>
    <x v="0"/>
    <n v="301240"/>
    <m/>
    <m/>
    <m/>
  </r>
  <r>
    <x v="21"/>
    <x v="1"/>
    <s v="C:\Users\andre\Desktop\REACTIV CEFAS\Prochloraz\Prochloraz/20201219_Cefas_Test10_Run2/Plate 3/@9/B3_02.tif "/>
    <s v=" 4931.616 "/>
    <s v=" 35.2632 "/>
    <x v="0"/>
    <n v="173904"/>
    <m/>
    <m/>
    <m/>
  </r>
  <r>
    <x v="21"/>
    <x v="1"/>
    <s v="C:\Users\andre\Desktop\REACTIV CEFAS\Prochloraz\Prochloraz/20201219_Cefas_Test10_Run2/Plate 3/@9/B3_03.tif "/>
    <s v=" 3806.8615 "/>
    <s v=" 36.0511 "/>
    <x v="0"/>
    <n v="137242"/>
    <m/>
    <m/>
    <m/>
  </r>
  <r>
    <x v="21"/>
    <x v="1"/>
    <s v="C:\Users\andre\Desktop\REACTIV CEFAS\Prochloraz\Prochloraz/20201219_Cefas_Test10_Run2/Plate 3/@9/B3_04- exclu.tif"/>
    <m/>
    <m/>
    <x v="1"/>
    <m/>
    <m/>
    <m/>
    <m/>
  </r>
  <r>
    <x v="21"/>
    <x v="2"/>
    <s v="C:\Users\andre\Desktop\REACTIV CEFAS\Prochloraz\Prochloraz/20201219_Cefas_Test10_Run2/Plate 3/@9/C3_01.tif "/>
    <s v=" 5840.0715 "/>
    <s v=" 39.2556 "/>
    <x v="0"/>
    <n v="229255"/>
    <m/>
    <m/>
    <m/>
  </r>
  <r>
    <x v="21"/>
    <x v="2"/>
    <s v="C:\Users\andre\Desktop\REACTIV CEFAS\Prochloraz\Prochloraz/20201219_Cefas_Test10_Run2/Plate 3/@9/C3_02.tif "/>
    <s v=" 11312.4349 "/>
    <s v=" 41.5277 "/>
    <x v="0"/>
    <n v="469780"/>
    <m/>
    <m/>
    <m/>
  </r>
  <r>
    <x v="21"/>
    <x v="2"/>
    <s v="C:\Users\andre\Desktop\REACTIV CEFAS\Prochloraz\Prochloraz/20201219_Cefas_Test10_Run2/Plate 3/@9/C3_03.tif "/>
    <s v=" 9041.296 "/>
    <s v=" 40.0861 "/>
    <x v="0"/>
    <n v="362431"/>
    <m/>
    <m/>
    <m/>
  </r>
  <r>
    <x v="21"/>
    <x v="2"/>
    <s v="C:\Users\andre\Desktop\REACTIV CEFAS\Prochloraz\Prochloraz/20201219_Cefas_Test10_Run2/Plate 3/@9/C3_04.tif "/>
    <s v=" 9473.8938 "/>
    <s v=" 40.4795 "/>
    <x v="0"/>
    <n v="383498"/>
    <m/>
    <m/>
    <m/>
  </r>
  <r>
    <x v="21"/>
    <x v="3"/>
    <s v="C:\Users\andre\Desktop\REACTIV CEFAS\Prochloraz\Prochloraz/20201219_Cefas_Test10_Run2/Plate 3/@9/D3_01.tif "/>
    <s v=" 6510.5983 "/>
    <s v=" 37.0033 "/>
    <x v="0"/>
    <n v="240914"/>
    <m/>
    <m/>
    <m/>
  </r>
  <r>
    <x v="21"/>
    <x v="3"/>
    <s v="C:\Users\andre\Desktop\REACTIV CEFAS\Prochloraz\Prochloraz/20201219_Cefas_Test10_Run2/Plate 3/@9/D3_02.tif "/>
    <s v=" 5818.4417 "/>
    <s v=" 35.8476 "/>
    <x v="0"/>
    <n v="208577"/>
    <m/>
    <m/>
    <m/>
  </r>
  <r>
    <x v="21"/>
    <x v="3"/>
    <s v="C:\Users\andre\Desktop\REACTIV CEFAS\Prochloraz\Prochloraz/20201219_Cefas_Test10_Run2/Plate 3/@9/D3_03.tif "/>
    <s v=" 865.1958 "/>
    <s v=" 32.625 "/>
    <x v="0"/>
    <n v="28227"/>
    <m/>
    <m/>
    <m/>
  </r>
  <r>
    <x v="21"/>
    <x v="3"/>
    <s v="C:\Users\andre\Desktop\REACTIV CEFAS\Prochloraz\Prochloraz/20201219_Cefas_Test10_Run2/Plate 3/@9/D3_04.tif "/>
    <s v=" 9668.5629 "/>
    <s v=" 39.0805 "/>
    <x v="0"/>
    <n v="377853"/>
    <m/>
    <m/>
    <m/>
  </r>
  <r>
    <x v="21"/>
    <x v="4"/>
    <s v="C:\Users\andre\Desktop\REACTIV CEFAS\Prochloraz\Prochloraz/20201219_Cefas_Test10_Run2/Plate 3/@9/E3_01.tif "/>
    <s v=" 11982.9616 "/>
    <s v=" 40.1155 "/>
    <x v="0"/>
    <n v="480703"/>
    <m/>
    <m/>
    <m/>
  </r>
  <r>
    <x v="21"/>
    <x v="4"/>
    <s v="C:\Users\andre\Desktop\REACTIV CEFAS\Prochloraz\Prochloraz/20201219_Cefas_Test10_Run2/Plate 3/@9/E3_02.tif "/>
    <s v=" 9062.9258 "/>
    <s v=" 38.3675 "/>
    <x v="0"/>
    <n v="347722"/>
    <m/>
    <m/>
    <m/>
  </r>
  <r>
    <x v="21"/>
    <x v="4"/>
    <s v="C:\Users\andre\Desktop\REACTIV CEFAS\Prochloraz\Prochloraz/20201219_Cefas_Test10_Run2/Plate 3/@9/E3_03.tif "/>
    <s v=" 9300.8547 "/>
    <s v=" 39.5953 "/>
    <x v="0"/>
    <n v="368271"/>
    <m/>
    <m/>
    <m/>
  </r>
  <r>
    <x v="21"/>
    <x v="4"/>
    <s v="C:\Users\andre\Desktop\REACTIV CEFAS\Prochloraz\Prochloraz/20201219_Cefas_Test10_Run2/Plate 3/@9/E3_04.tif "/>
    <s v=" 8846.6269 "/>
    <s v=" 42.3105 "/>
    <x v="0"/>
    <n v="374305"/>
    <m/>
    <m/>
    <m/>
  </r>
  <r>
    <x v="21"/>
    <x v="5"/>
    <s v="C:\Users\andre\Desktop\REACTIV CEFAS\Prochloraz\Prochloraz/20201219_Cefas_Test10_Run2/Plate 3/@9/F3_01.tif "/>
    <s v=" 86.5196 "/>
    <s v=" 30.25 "/>
    <x v="0"/>
    <n v="2617"/>
    <m/>
    <m/>
    <m/>
  </r>
  <r>
    <x v="21"/>
    <x v="5"/>
    <s v="C:\Users\andre\Desktop\REACTIV CEFAS\Prochloraz\Prochloraz/20201219_Cefas_Test10_Run2/Plate 3/@9/F3_02.tif "/>
    <s v=" 9928.1216 "/>
    <s v=" 38.4161 "/>
    <x v="0"/>
    <n v="381400"/>
    <m/>
    <m/>
    <m/>
  </r>
  <r>
    <x v="21"/>
    <x v="5"/>
    <s v="C:\Users\andre\Desktop\REACTIV CEFAS\Prochloraz\Prochloraz/20201219_Cefas_Test10_Run2/Plate 3/@9/F3_03.tif "/>
    <s v=" 8716.8475 "/>
    <s v=" 37.5012 "/>
    <x v="0"/>
    <n v="326893"/>
    <m/>
    <m/>
    <m/>
  </r>
  <r>
    <x v="21"/>
    <x v="5"/>
    <s v="C:\Users\andre\Desktop\REACTIV CEFAS\Prochloraz\Prochloraz/20201219_Cefas_Test10_Run2/Plate 3/@9/F3_04.tif "/>
    <s v=" 12913.0471 "/>
    <s v=" 42.0134 "/>
    <x v="0"/>
    <n v="542521"/>
    <m/>
    <m/>
    <m/>
  </r>
  <r>
    <x v="21"/>
    <x v="6"/>
    <s v="C:\Users\andre\Desktop\REACTIV CEFAS\Prochloraz\Prochloraz/20201219_Cefas_Test10_Run2/Plate 3/@9/G3_01.tif "/>
    <s v=" 13908.0222 "/>
    <s v=" 47.633 "/>
    <x v="0"/>
    <n v="662480"/>
    <m/>
    <m/>
    <m/>
  </r>
  <r>
    <x v="21"/>
    <x v="6"/>
    <s v="C:\Users\andre\Desktop\REACTIV CEFAS\Prochloraz\Prochloraz/20201219_Cefas_Test10_Run2/Plate 3/@9/G3_02.tif "/>
    <s v=" 12783.2677 "/>
    <s v=" 47.4264 "/>
    <x v="0"/>
    <n v="606264"/>
    <m/>
    <m/>
    <m/>
  </r>
  <r>
    <x v="21"/>
    <x v="6"/>
    <s v="C:\Users\andre\Desktop\REACTIV CEFAS\Prochloraz\Prochloraz/20201219_Cefas_Test10_Run2/Plate 3/@9/G3_03.tif "/>
    <s v=" 11615.2534 "/>
    <s v=" 46.486 "/>
    <x v="0"/>
    <n v="539947"/>
    <m/>
    <m/>
    <m/>
  </r>
  <r>
    <x v="21"/>
    <x v="6"/>
    <s v="C:\Users\andre\Desktop\REACTIV CEFAS\Prochloraz\Prochloraz/20201219_Cefas_Test10_Run2/Plate 3/@9/G3_04.tif "/>
    <s v=" 10360.7195 "/>
    <s v=" 39.261 "/>
    <x v="0"/>
    <n v="406772"/>
    <m/>
    <m/>
    <m/>
  </r>
  <r>
    <x v="21"/>
    <x v="7"/>
    <s v="C:\Users\andre\Desktop\REACTIV CEFAS\Prochloraz\Prochloraz/20201219_Cefas_Test10_Run2/Plate 3/@9/H3_01.tif "/>
    <s v=" 2076.4699 "/>
    <s v=" 35.1979 "/>
    <x v="0"/>
    <n v="73087"/>
    <m/>
    <m/>
    <m/>
  </r>
  <r>
    <x v="21"/>
    <x v="7"/>
    <s v="C:\Users\andre\Desktop\REACTIV CEFAS\Prochloraz\Prochloraz/20201219_Cefas_Test10_Run2/Plate 3/@9/H3_02.tif "/>
    <s v=" 9755.0825 "/>
    <s v=" 39.5654 "/>
    <x v="0"/>
    <n v="385964"/>
    <m/>
    <m/>
    <m/>
  </r>
  <r>
    <x v="21"/>
    <x v="7"/>
    <s v="C:\Users\andre\Desktop\REACTIV CEFAS\Prochloraz\Prochloraz/20201219_Cefas_Test10_Run2/Plate 3/@9/H3_03.tif "/>
    <s v=" 9646.933 "/>
    <s v=" 38.8991 "/>
    <x v="0"/>
    <n v="375257"/>
    <m/>
    <m/>
    <m/>
  </r>
  <r>
    <x v="21"/>
    <x v="7"/>
    <s v="C:\Users\andre\Desktop\REACTIV CEFAS\Prochloraz\Prochloraz/20201219_Cefas_Test10_Run2/Plate 3/@9/H3_04- exclu.tif"/>
    <m/>
    <m/>
    <x v="1"/>
    <m/>
    <m/>
    <m/>
    <m/>
  </r>
  <r>
    <x v="1"/>
    <x v="8"/>
    <s v=" "/>
    <m/>
    <m/>
    <x v="1"/>
    <m/>
    <m/>
    <m/>
    <m/>
  </r>
  <r>
    <x v="1"/>
    <x v="8"/>
    <s v="group "/>
    <s v=" "/>
    <s v=" mean of mean fluo "/>
    <x v="2"/>
    <s v=" mean of total fluo "/>
    <s v=" SD total fluo "/>
    <s v=" n fluorescent "/>
    <s v=" n total"/>
  </r>
  <r>
    <x v="21"/>
    <x v="9"/>
    <s v="C:\Users\andre\Desktop\REACTIV CEFAS\Prochloraz\Prochloraz/20201219_Cefas_Test10_Run2/Plate 3/@9/ "/>
    <s v=" "/>
    <s v=" 38.1594 "/>
    <x v="44"/>
    <s v=" 305458.719 "/>
    <s v=" 169842.146 "/>
    <n v="32"/>
    <n v="32"/>
  </r>
  <r>
    <x v="1"/>
    <x v="8"/>
    <m/>
    <m/>
    <m/>
    <x v="1"/>
    <m/>
    <m/>
    <m/>
    <m/>
  </r>
  <r>
    <x v="1"/>
    <x v="8"/>
    <m/>
    <m/>
    <m/>
    <x v="1"/>
    <m/>
    <m/>
    <m/>
    <m/>
  </r>
  <r>
    <x v="1"/>
    <x v="8"/>
    <m/>
    <m/>
    <m/>
    <x v="1"/>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C:\Users\andre\Desktop\REACTIV CEFAS\Prochloraz\Prochloraz/20201116_Cefas_Test6-Run1/Plate 1/@1/A10_01.tif "/>
    <s v=" 9473.8938 "/>
    <s v=" 38.9132 "/>
    <x v="0"/>
    <n v="368660"/>
    <m/>
    <m/>
    <m/>
  </r>
  <r>
    <x v="0"/>
    <x v="0"/>
    <s v="C:\Users\andre\Desktop\REACTIV CEFAS\Prochloraz\Prochloraz/20201116_Cefas_Test6-Run1/Plate 1/@1/A10_02.tif "/>
    <s v=" 2746.9966 "/>
    <s v=" 38.8819 "/>
    <x v="0"/>
    <n v="106808"/>
    <m/>
    <m/>
    <m/>
  </r>
  <r>
    <x v="0"/>
    <x v="0"/>
    <s v="C:\Users\andre\Desktop\REACTIV CEFAS\Prochloraz\Prochloraz/20201116_Cefas_Test6-Run1/Plate 1/@1/A10_03.tif "/>
    <s v=" 4563.9078 "/>
    <s v=" 33.7488 "/>
    <x v="0"/>
    <n v="154026"/>
    <m/>
    <m/>
    <m/>
  </r>
  <r>
    <x v="0"/>
    <x v="1"/>
    <s v="C:\Users\andre\Desktop\REACTIV CEFAS\Prochloraz\Prochloraz/20201116_Cefas_Test6-Run1/Plate 1/@1/B10_01.tif "/>
    <s v=" 3741.9718 "/>
    <s v=" 39.4566 "/>
    <x v="0"/>
    <n v="147646"/>
    <m/>
    <m/>
    <m/>
  </r>
  <r>
    <x v="0"/>
    <x v="1"/>
    <s v="C:\Users\andre\Desktop\REACTIV CEFAS\Prochloraz\Prochloraz/20201116_Cefas_Test6-Run1/Plate 1/@1/B10_02.tif "/>
    <s v=" 5818.4417 "/>
    <s v=" 39.7286 "/>
    <x v="0"/>
    <n v="231159"/>
    <m/>
    <m/>
    <m/>
  </r>
  <r>
    <x v="0"/>
    <x v="1"/>
    <s v="C:\Users\andre\Desktop\REACTIV CEFAS\Prochloraz\Prochloraz/20201116_Cefas_Test6-Run1/Plate 1/@1/B10_03.tif "/>
    <s v=" 7246.0147 "/>
    <s v=" 37.4627 "/>
    <x v="0"/>
    <n v="271455"/>
    <m/>
    <m/>
    <m/>
  </r>
  <r>
    <x v="0"/>
    <x v="2"/>
    <s v="C:\Users\andre\Desktop\REACTIV CEFAS\Prochloraz\Prochloraz/20201116_Cefas_Test6-Run1/Plate 1/@1/C10_01.tif "/>
    <s v=" 14297.3603 "/>
    <s v=" 43.6263 "/>
    <x v="0"/>
    <n v="623741"/>
    <m/>
    <m/>
    <m/>
  </r>
  <r>
    <x v="0"/>
    <x v="2"/>
    <s v="C:\Users\andre\Desktop\REACTIV CEFAS\Prochloraz\Prochloraz/20201116_Cefas_Test6-Run1/Plate 1/@1/C10_02.tif "/>
    <s v=" 11398.9545 "/>
    <s v=" 42.8577 "/>
    <x v="0"/>
    <n v="488533"/>
    <m/>
    <m/>
    <m/>
  </r>
  <r>
    <x v="0"/>
    <x v="2"/>
    <s v="C:\Users\andre\Desktop\REACTIV CEFAS\Prochloraz\Prochloraz/20201116_Cefas_Test6-Run1/Plate 1/@1/C10_03.tif "/>
    <s v=" 3893.381 "/>
    <s v=" 37.2444 "/>
    <x v="0"/>
    <n v="145007"/>
    <m/>
    <m/>
    <m/>
  </r>
  <r>
    <x v="0"/>
    <x v="3"/>
    <s v="C:\Users\andre\Desktop\REACTIV CEFAS\Prochloraz\Prochloraz/20201116_Cefas_Test6-Run1/Plate 1/@1/D10_01.tif "/>
    <s v=" 10166.0505 "/>
    <s v=" 41.4787 "/>
    <x v="0"/>
    <n v="421675"/>
    <m/>
    <m/>
    <m/>
  </r>
  <r>
    <x v="0"/>
    <x v="3"/>
    <s v="C:\Users\andre\Desktop\REACTIV CEFAS\Prochloraz\Prochloraz/20201116_Cefas_Test6-Run1/Plate 1/@1/D10_02.tif "/>
    <s v=" 5083.0252 "/>
    <s v=" 40.0809 "/>
    <x v="0"/>
    <n v="203732"/>
    <m/>
    <m/>
    <m/>
  </r>
  <r>
    <x v="0"/>
    <x v="3"/>
    <s v="C:\Users\andre\Desktop\REACTIV CEFAS\Prochloraz\Prochloraz/20201116_Cefas_Test6-Run1/Plate 1/@1/D10_03.tif "/>
    <s v=" 497.4876 "/>
    <s v=" 31.3043 "/>
    <x v="0"/>
    <n v="15574"/>
    <m/>
    <m/>
    <m/>
  </r>
  <r>
    <x v="0"/>
    <x v="4"/>
    <s v="C:\Users\andre\Desktop\REACTIV CEFAS\Prochloraz\Prochloraz/20201116_Cefas_Test6-Run1/Plate 1/@1/E10_01.tif "/>
    <s v=" 7332.5343 "/>
    <s v=" 37.8643 "/>
    <x v="0"/>
    <n v="277641"/>
    <m/>
    <m/>
    <m/>
  </r>
  <r>
    <x v="0"/>
    <x v="4"/>
    <s v="C:\Users\andre\Desktop\REACTIV CEFAS\Prochloraz\Prochloraz/20201116_Cefas_Test6-Run1/Plate 1/@1/E10_02.tif "/>
    <s v=" 7072.9755 "/>
    <s v=" 34.7034 "/>
    <x v="0"/>
    <n v="245456"/>
    <m/>
    <m/>
    <m/>
  </r>
  <r>
    <x v="0"/>
    <x v="4"/>
    <s v="C:\Users\andre\Desktop\REACTIV CEFAS\Prochloraz\Prochloraz/20201116_Cefas_Test6-Run1/Plate 1/@1/E10_03.tif "/>
    <s v=" 10295.8298 "/>
    <s v=" 35.7563 "/>
    <x v="0"/>
    <n v="368141"/>
    <m/>
    <m/>
    <m/>
  </r>
  <r>
    <x v="0"/>
    <x v="5"/>
    <s v="C:\Users\andre\Desktop\REACTIV CEFAS\Prochloraz\Prochloraz/20201116_Cefas_Test6-Run1/Plate 1/@1/F10_01.tif "/>
    <s v=" 4996.5057 "/>
    <s v=" 36.4719 "/>
    <x v="0"/>
    <n v="182232"/>
    <m/>
    <m/>
    <m/>
  </r>
  <r>
    <x v="0"/>
    <x v="5"/>
    <s v="C:\Users\andre\Desktop\REACTIV CEFAS\Prochloraz\Prochloraz/20201116_Cefas_Test6-Run1/Plate 1/@1/F10_02.tif "/>
    <s v=" 2898.4059 "/>
    <s v=" 35.7388 "/>
    <x v="0"/>
    <n v="103586"/>
    <m/>
    <m/>
    <m/>
  </r>
  <r>
    <x v="0"/>
    <x v="5"/>
    <s v="C:\Users\andre\Desktop\REACTIV CEFAS\Prochloraz\Prochloraz/20201116_Cefas_Test6-Run1/Plate 1/@1/F10_03.tif "/>
    <s v=" 2660.477 "/>
    <s v=" 33.5854 "/>
    <x v="0"/>
    <n v="89353"/>
    <m/>
    <m/>
    <m/>
  </r>
  <r>
    <x v="0"/>
    <x v="6"/>
    <s v="C:\Users\andre\Desktop\REACTIV CEFAS\Prochloraz\Prochloraz/20201116_Cefas_Test6-Run1/Plate 1/@1/G10_01.tif "/>
    <s v=" 4412.4985 "/>
    <s v=" 37.0343 "/>
    <x v="0"/>
    <n v="163414"/>
    <m/>
    <m/>
    <m/>
  </r>
  <r>
    <x v="0"/>
    <x v="6"/>
    <s v="C:\Users\andre\Desktop\REACTIV CEFAS\Prochloraz\Prochloraz/20201116_Cefas_Test6-Run1/Plate 1/@1/G10_02.tif "/>
    <s v=" 3655.4522 "/>
    <s v=" 40.3609 "/>
    <x v="0"/>
    <n v="147538"/>
    <m/>
    <m/>
    <m/>
  </r>
  <r>
    <x v="0"/>
    <x v="6"/>
    <s v="C:\Users\andre\Desktop\REACTIV CEFAS\Prochloraz\Prochloraz/20201116_Cefas_Test6-Run1/Plate 1/@1/G10_03.tif "/>
    <s v=" 43.2598 "/>
    <n v="30"/>
    <x v="0"/>
    <n v="1298"/>
    <m/>
    <m/>
    <m/>
  </r>
  <r>
    <x v="0"/>
    <x v="7"/>
    <s v="C:\Users\andre\Desktop\REACTIV CEFAS\Prochloraz\Prochloraz/20201116_Cefas_Test6-Run1/Plate 1/@1/H10_01.tif "/>
    <s v=" 1124.7545 "/>
    <s v=" 32.8269 "/>
    <x v="0"/>
    <n v="36922"/>
    <m/>
    <m/>
    <m/>
  </r>
  <r>
    <x v="0"/>
    <x v="7"/>
    <s v="C:\Users\andre\Desktop\REACTIV CEFAS\Prochloraz\Prochloraz/20201116_Cefas_Test6-Run1/Plate 1/@1/H10_02.tif "/>
    <s v=" 3071.445 "/>
    <s v=" 36.2113 "/>
    <x v="0"/>
    <n v="111221"/>
    <m/>
    <m/>
    <m/>
  </r>
  <r>
    <x v="0"/>
    <x v="7"/>
    <s v="C:\Users\andre\Desktop\REACTIV CEFAS\Prochloraz\Prochloraz/20201116_Cefas_Test6-Run1/Plate 1/@1/H10_03.tif "/>
    <s v=" 2876.776 "/>
    <s v=" 35.1429 "/>
    <x v="0"/>
    <n v="101098"/>
    <m/>
    <m/>
    <m/>
  </r>
  <r>
    <x v="1"/>
    <x v="8"/>
    <s v=" "/>
    <m/>
    <m/>
    <x v="1"/>
    <m/>
    <m/>
    <m/>
    <m/>
  </r>
  <r>
    <x v="1"/>
    <x v="8"/>
    <s v="group "/>
    <s v=" "/>
    <s v=" mean of mean fluo "/>
    <x v="2"/>
    <s v=" mean of total fluo "/>
    <s v=" SD total fluo "/>
    <s v=" n fluorescent "/>
    <s v=" n total"/>
  </r>
  <r>
    <x v="0"/>
    <x v="9"/>
    <s v="C:\Users\andre\Desktop\REACTIV CEFAS\Prochloraz\Prochloraz/20201116_Cefas_Test6-Run1/Plate 1/@1/ "/>
    <s v=" "/>
    <s v=" 37.1034 "/>
    <x v="3"/>
    <s v=" 208579.833 "/>
    <s v=" 153416.88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C:\Users\andre\Desktop\REACTIV CEFAS\Prochloraz\Prochloraz/20201116_Cefas_Test6-Run1/Plate 1/@13/A8_01.tif "/>
    <s v=" 54658.7437 "/>
    <s v=" 36.9577 "/>
    <x v="0"/>
    <n v="2020059"/>
    <m/>
    <m/>
    <m/>
  </r>
  <r>
    <x v="2"/>
    <x v="0"/>
    <s v="C:\Users\andre\Desktop\REACTIV CEFAS\Prochloraz\Prochloraz/20201116_Cefas_Test6-Run1/Plate 1/@13/A8_02.tif "/>
    <s v=" 38782.4011 "/>
    <s v=" 34.9927 "/>
    <x v="0"/>
    <n v="1357103"/>
    <m/>
    <m/>
    <m/>
  </r>
  <r>
    <x v="2"/>
    <x v="0"/>
    <s v="C:\Users\andre\Desktop\REACTIV CEFAS\Prochloraz\Prochloraz/20201116_Cefas_Test6-Run1/Plate 1/@13/A8_03.tif "/>
    <s v=" 47758.8073 "/>
    <s v=" 35.5077 "/>
    <x v="0"/>
    <n v="1695805"/>
    <m/>
    <m/>
    <m/>
  </r>
  <r>
    <x v="2"/>
    <x v="1"/>
    <s v="C:\Users\andre\Desktop\REACTIV CEFAS\Prochloraz\Prochloraz/20201116_Cefas_Test6-Run1/Plate 1/@13/B8_01.tif "/>
    <s v=" 994.9752 "/>
    <s v=" 31.6957 "/>
    <x v="0"/>
    <n v="31536"/>
    <m/>
    <m/>
    <m/>
  </r>
  <r>
    <x v="2"/>
    <x v="1"/>
    <s v="C:\Users\andre\Desktop\REACTIV CEFAS\Prochloraz\Prochloraz/20201116_Cefas_Test6-Run1/Plate 1/@13/B8_02.tif "/>
    <s v=" 1427.573 "/>
    <s v=" 31.1061 "/>
    <x v="0"/>
    <n v="44406"/>
    <m/>
    <m/>
    <m/>
  </r>
  <r>
    <x v="2"/>
    <x v="1"/>
    <s v="C:\Users\andre\Desktop\REACTIV CEFAS\Prochloraz\Prochloraz/20201116_Cefas_Test6-Run1/Plate 1/@13/B8_03.tif "/>
    <s v=" 4455.7583 "/>
    <s v=" 31.7184 "/>
    <x v="0"/>
    <n v="141330"/>
    <m/>
    <m/>
    <m/>
  </r>
  <r>
    <x v="2"/>
    <x v="2"/>
    <s v="C:\Users\andre\Desktop\REACTIV CEFAS\Prochloraz\Prochloraz/20201116_Cefas_Test6-Run1/Plate 1/@13/C8_01.tif "/>
    <s v=" 47196.4301 "/>
    <s v=" 36.9418 "/>
    <x v="0"/>
    <n v="1743521"/>
    <m/>
    <m/>
    <m/>
  </r>
  <r>
    <x v="2"/>
    <x v="2"/>
    <s v="C:\Users\andre\Desktop\REACTIV CEFAS\Prochloraz\Prochloraz/20201116_Cefas_Test6-Run1/Plate 1/@13/C8_02.tif "/>
    <s v=" 34045.4541 "/>
    <s v=" 34.6499 "/>
    <x v="0"/>
    <n v="1179673"/>
    <m/>
    <m/>
    <m/>
  </r>
  <r>
    <x v="2"/>
    <x v="2"/>
    <s v="C:\Users\andre\Desktop\REACTIV CEFAS\Prochloraz\Prochloraz/20201116_Cefas_Test6-Run1/Plate 1/@13/C8_03.tif "/>
    <s v=" 41983.6255 "/>
    <s v=" 36.1783 "/>
    <x v="0"/>
    <n v="1518894"/>
    <m/>
    <m/>
    <m/>
  </r>
  <r>
    <x v="2"/>
    <x v="3"/>
    <s v="C:\Users\andre\Desktop\REACTIV CEFAS\Prochloraz\Prochloraz/20201116_Cefas_Test6-Run1/Plate 1/@13/D8_01.tif "/>
    <s v=" 24528.3005 "/>
    <s v=" 33.0467 "/>
    <x v="0"/>
    <n v="810580"/>
    <m/>
    <m/>
    <m/>
  </r>
  <r>
    <x v="2"/>
    <x v="3"/>
    <s v="C:\Users\andre\Desktop\REACTIV CEFAS\Prochloraz\Prochloraz/20201116_Cefas_Test6-Run1/Plate 1/@13/D8_02- exclu.tif"/>
    <m/>
    <m/>
    <x v="1"/>
    <m/>
    <m/>
    <m/>
    <m/>
  </r>
  <r>
    <x v="2"/>
    <x v="3"/>
    <s v="C:\Users\andre\Desktop\REACTIV CEFAS\Prochloraz\Prochloraz/20201116_Cefas_Test6-Run1/Plate 1/@13/D8_03.tif "/>
    <s v=" 37679.2764 "/>
    <s v=" 34.7365 "/>
    <x v="0"/>
    <n v="1308847"/>
    <m/>
    <m/>
    <m/>
  </r>
  <r>
    <x v="2"/>
    <x v="4"/>
    <s v="C:\Users\andre\Desktop\REACTIV CEFAS\Prochloraz\Prochloraz/20201116_Cefas_Test6-Run1/Plate 1/@13/E8_01.tif "/>
    <s v=" 14340.6201 "/>
    <s v=" 34.0332 "/>
    <x v="0"/>
    <n v="488057"/>
    <m/>
    <m/>
    <m/>
  </r>
  <r>
    <x v="2"/>
    <x v="4"/>
    <s v="C:\Users\andre\Desktop\REACTIV CEFAS\Prochloraz\Prochloraz/20201116_Cefas_Test6-Run1/Plate 1/@13/E8_02.tif "/>
    <s v=" 9300.8547 "/>
    <s v=" 32.8163 "/>
    <x v="0"/>
    <n v="305219"/>
    <m/>
    <m/>
    <m/>
  </r>
  <r>
    <x v="2"/>
    <x v="4"/>
    <s v="C:\Users\andre\Desktop\REACTIV CEFAS\Prochloraz\Prochloraz/20201116_Cefas_Test6-Run1/Plate 1/@13/E8_03.tif "/>
    <s v=" 6683.6374 "/>
    <s v=" 32.7217 "/>
    <x v="0"/>
    <n v="218700"/>
    <m/>
    <m/>
    <m/>
  </r>
  <r>
    <x v="2"/>
    <x v="5"/>
    <s v="C:\Users\andre\Desktop\REACTIV CEFAS\Prochloraz\Prochloraz/20201116_Cefas_Test6-Run1/Plate 1/@13/F8_01.tif "/>
    <s v=" 57405.7403 "/>
    <s v=" 39.8425 "/>
    <x v="0"/>
    <n v="2287188"/>
    <m/>
    <m/>
    <m/>
  </r>
  <r>
    <x v="2"/>
    <x v="5"/>
    <s v="C:\Users\andre\Desktop\REACTIV CEFAS\Prochloraz\Prochloraz/20201116_Cefas_Test6-Run1/Plate 1/@13/F8_02.tif "/>
    <s v=" 42978.6006 "/>
    <s v=" 37.4459 "/>
    <x v="0"/>
    <n v="1609372"/>
    <m/>
    <m/>
    <m/>
  </r>
  <r>
    <x v="2"/>
    <x v="5"/>
    <s v="C:\Users\andre\Desktop\REACTIV CEFAS\Prochloraz\Prochloraz/20201116_Cefas_Test6-Run1/Plate 1/@13/F8_03.tif "/>
    <s v=" 56194.4662 "/>
    <s v=" 40.0481 "/>
    <x v="0"/>
    <n v="2250482"/>
    <m/>
    <m/>
    <m/>
  </r>
  <r>
    <x v="2"/>
    <x v="6"/>
    <s v="C:\Users\andre\Desktop\REACTIV CEFAS\Prochloraz\Prochloraz/20201116_Cefas_Test6-Run1/Plate 1/@13/G8_01.tif "/>
    <s v=" 129.7794 "/>
    <s v=" 31.3333 "/>
    <x v="0"/>
    <n v="4066"/>
    <m/>
    <m/>
    <m/>
  </r>
  <r>
    <x v="2"/>
    <x v="6"/>
    <s v="C:\Users\andre\Desktop\REACTIV CEFAS\Prochloraz\Prochloraz/20201116_Cefas_Test6-Run1/Plate 1/@13/G8_02.tif "/>
    <s v=" 1838.541 "/>
    <s v=" 34.6 "/>
    <x v="0"/>
    <n v="63614"/>
    <m/>
    <m/>
    <m/>
  </r>
  <r>
    <x v="2"/>
    <x v="6"/>
    <s v="C:\Users\andre\Desktop\REACTIV CEFAS\Prochloraz\Prochloraz/20201116_Cefas_Test6-Run1/Plate 1/@13/G8_03.tif "/>
    <s v=" 216.2989 "/>
    <s v=" 31.4 "/>
    <x v="0"/>
    <n v="6792"/>
    <m/>
    <m/>
    <m/>
  </r>
  <r>
    <x v="2"/>
    <x v="7"/>
    <s v="C:\Users\andre\Desktop\REACTIV CEFAS\Prochloraz\Prochloraz/20201116_Cefas_Test6-Run1/Plate 1/@13/H8_01.tif "/>
    <s v=" 13670.0934 "/>
    <s v=" 35.4589 "/>
    <x v="0"/>
    <n v="484726"/>
    <m/>
    <m/>
    <m/>
  </r>
  <r>
    <x v="2"/>
    <x v="7"/>
    <s v="C:\Users\andre\Desktop\REACTIV CEFAS\Prochloraz\Prochloraz/20201116_Cefas_Test6-Run1/Plate 1/@13/H8_02- exclu.tif"/>
    <m/>
    <m/>
    <x v="1"/>
    <m/>
    <m/>
    <m/>
    <m/>
  </r>
  <r>
    <x v="2"/>
    <x v="7"/>
    <s v="C:\Users\andre\Desktop\REACTIV CEFAS\Prochloraz\Prochloraz/20201116_Cefas_Test6-Run1/Plate 1/@13/H8_03- exclu.tif"/>
    <m/>
    <m/>
    <x v="1"/>
    <m/>
    <m/>
    <m/>
    <m/>
  </r>
  <r>
    <x v="1"/>
    <x v="8"/>
    <s v=" "/>
    <m/>
    <m/>
    <x v="1"/>
    <m/>
    <m/>
    <m/>
    <m/>
  </r>
  <r>
    <x v="1"/>
    <x v="8"/>
    <s v="group "/>
    <s v=" "/>
    <s v=" mean of mean fluo "/>
    <x v="2"/>
    <s v=" mean of total fluo "/>
    <s v=" SD total fluo "/>
    <s v=" n fluorescent "/>
    <s v=" n total"/>
  </r>
  <r>
    <x v="2"/>
    <x v="9"/>
    <s v="C:\Users\andre\Desktop\REACTIV CEFAS\Prochloraz\Prochloraz/20201116_Cefas_Test6-Run1/Plate 1/@13/ "/>
    <s v=" "/>
    <s v=" 35.253 "/>
    <x v="4"/>
    <s v=" 899741.375 "/>
    <s v=" 764905.49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C:\Users\andre\Desktop\REACTIV CEFAS\Prochloraz\Prochloraz/20201116_Cefas_Test6-Run1/Plate 1/@14/A9_01.tif "/>
    <s v=" 2422.5482 "/>
    <s v=" 34.5179 "/>
    <x v="0"/>
    <n v="83621"/>
    <m/>
    <m/>
    <m/>
  </r>
  <r>
    <x v="3"/>
    <x v="0"/>
    <s v="C:\Users\andre\Desktop\REACTIV CEFAS\Prochloraz\Prochloraz/20201116_Cefas_Test6-Run1/Plate 1/@14/A9_02.tif "/>
    <s v=" 3049.8151 "/>
    <s v=" 39.5887 "/>
    <x v="0"/>
    <n v="120738"/>
    <m/>
    <m/>
    <m/>
  </r>
  <r>
    <x v="3"/>
    <x v="0"/>
    <s v="C:\Users\andre\Desktop\REACTIV CEFAS\Prochloraz\Prochloraz/20201116_Cefas_Test6-Run1/Plate 1/@14/A9_03.tif "/>
    <s v=" 151.4093 "/>
    <s v=" 30.8571 "/>
    <x v="0"/>
    <n v="4672"/>
    <m/>
    <m/>
    <m/>
  </r>
  <r>
    <x v="3"/>
    <x v="1"/>
    <s v="C:\Users\andre\Desktop\REACTIV CEFAS\Prochloraz\Prochloraz/20201116_Cefas_Test6-Run1/Plate 1/@14/B9_01.tif "/>
    <s v=" 3049.8151 "/>
    <s v=" 33.7589 "/>
    <x v="0"/>
    <n v="102958"/>
    <m/>
    <m/>
    <m/>
  </r>
  <r>
    <x v="3"/>
    <x v="1"/>
    <s v="C:\Users\andre\Desktop\REACTIV CEFAS\Prochloraz\Prochloraz/20201116_Cefas_Test6-Run1/Plate 1/@14/B9_02.tif "/>
    <s v=" 1384.3133 "/>
    <s v=" 31.4531 "/>
    <x v="0"/>
    <n v="43541"/>
    <m/>
    <m/>
    <m/>
  </r>
  <r>
    <x v="3"/>
    <x v="1"/>
    <s v="C:\Users\andre\Desktop\REACTIV CEFAS\Prochloraz\Prochloraz/20201116_Cefas_Test6-Run1/Plate 1/@14/B9_03.tif "/>
    <s v=" 1730.3916 "/>
    <s v=" 32.25 "/>
    <x v="0"/>
    <n v="55805"/>
    <m/>
    <m/>
    <m/>
  </r>
  <r>
    <x v="3"/>
    <x v="2"/>
    <s v="C:\Users\andre\Desktop\REACTIV CEFAS\Prochloraz\Prochloraz/20201116_Cefas_Test6-Run1/Plate 1/@14/C9_01.tif "/>
    <s v=" 44060.0954 "/>
    <s v=" 38.1816 "/>
    <x v="0"/>
    <n v="1682287"/>
    <m/>
    <m/>
    <m/>
  </r>
  <r>
    <x v="3"/>
    <x v="2"/>
    <s v="C:\Users\andre\Desktop\REACTIV CEFAS\Prochloraz\Prochloraz/20201116_Cefas_Test6-Run1/Plate 1/@14/C9_02.tif "/>
    <s v=" 45509.2983 "/>
    <s v=" 38.9187 "/>
    <x v="0"/>
    <n v="1771164"/>
    <m/>
    <m/>
    <m/>
  </r>
  <r>
    <x v="3"/>
    <x v="2"/>
    <s v="C:\Users\andre\Desktop\REACTIV CEFAS\Prochloraz\Prochloraz/20201116_Cefas_Test6-Run1/Plate 1/@14/C9_03.tif "/>
    <s v=" 46547.5332 "/>
    <s v=" 40.0316 "/>
    <x v="0"/>
    <n v="1863372"/>
    <m/>
    <m/>
    <m/>
  </r>
  <r>
    <x v="3"/>
    <x v="3"/>
    <s v="C:\Users\andre\Desktop\REACTIV CEFAS\Prochloraz\Prochloraz/20201116_Cefas_Test6-Run1/Plate 1/@14/D9_01- exclu.tif"/>
    <m/>
    <m/>
    <x v="1"/>
    <m/>
    <m/>
    <m/>
    <m/>
  </r>
  <r>
    <x v="3"/>
    <x v="3"/>
    <s v="C:\Users\andre\Desktop\REACTIV CEFAS\Prochloraz\Prochloraz/20201116_Cefas_Test6-Run1/Plate 1/@14/D9_02- exclu.tif"/>
    <m/>
    <m/>
    <x v="1"/>
    <m/>
    <m/>
    <m/>
    <m/>
  </r>
  <r>
    <x v="3"/>
    <x v="3"/>
    <s v="C:\Users\andre\Desktop\REACTIV CEFAS\Prochloraz\Prochloraz/20201116_Cefas_Test6-Run1/Plate 1/@14/D9_03- exclu.tif"/>
    <m/>
    <m/>
    <x v="1"/>
    <m/>
    <m/>
    <m/>
    <m/>
  </r>
  <r>
    <x v="3"/>
    <x v="4"/>
    <s v="C:\Users\andre\Desktop\REACTIV CEFAS\Prochloraz\Prochloraz/20201116_Cefas_Test6-Run1/Plate 1/@14/E9_01.tif "/>
    <s v=" 16114.2715 "/>
    <s v=" 32.5732 "/>
    <x v="0"/>
    <n v="524893"/>
    <m/>
    <m/>
    <m/>
  </r>
  <r>
    <x v="3"/>
    <x v="4"/>
    <s v="C:\Users\andre\Desktop\REACTIV CEFAS\Prochloraz\Prochloraz/20201116_Cefas_Test6-Run1/Plate 1/@14/E9_02.tif "/>
    <s v=" 8760.1073 "/>
    <s v=" 31.6691 "/>
    <x v="0"/>
    <n v="277425"/>
    <m/>
    <m/>
    <m/>
  </r>
  <r>
    <x v="3"/>
    <x v="4"/>
    <s v="C:\Users\andre\Desktop\REACTIV CEFAS\Prochloraz\Prochloraz/20201116_Cefas_Test6-Run1/Plate 1/@14/E9_03.tif "/>
    <s v=" 10447.2391 "/>
    <s v=" 31.9379 "/>
    <x v="0"/>
    <n v="333663"/>
    <m/>
    <m/>
    <m/>
  </r>
  <r>
    <x v="3"/>
    <x v="5"/>
    <s v="C:\Users\andre\Desktop\REACTIV CEFAS\Prochloraz\Prochloraz/20201116_Cefas_Test6-Run1/Plate 1/@14/F9_01.tif "/>
    <s v=" 13324.0151 "/>
    <s v=" 33.2451 "/>
    <x v="0"/>
    <n v="442959"/>
    <m/>
    <m/>
    <m/>
  </r>
  <r>
    <x v="3"/>
    <x v="5"/>
    <s v="C:\Users\andre\Desktop\REACTIV CEFAS\Prochloraz\Prochloraz/20201116_Cefas_Test6-Run1/Plate 1/@14/F9_02.tif "/>
    <s v=" 15184.186 "/>
    <s v=" 33.584 "/>
    <x v="0"/>
    <n v="509946"/>
    <m/>
    <m/>
    <m/>
  </r>
  <r>
    <x v="3"/>
    <x v="5"/>
    <s v="C:\Users\andre\Desktop\REACTIV CEFAS\Prochloraz\Prochloraz/20201116_Cefas_Test6-Run1/Plate 1/@14/F9_03.tif "/>
    <s v=" 18861.2681 "/>
    <s v=" 33.836 "/>
    <x v="0"/>
    <n v="638190"/>
    <m/>
    <m/>
    <m/>
  </r>
  <r>
    <x v="3"/>
    <x v="6"/>
    <s v="C:\Users\andre\Desktop\REACTIV CEFAS\Prochloraz\Prochloraz/20201116_Cefas_Test6-Run1/Plate 1/@14/G9_01.tif "/>
    <s v=" 6575.488 "/>
    <s v=" 36.1447 "/>
    <x v="0"/>
    <n v="237669"/>
    <m/>
    <m/>
    <m/>
  </r>
  <r>
    <x v="3"/>
    <x v="6"/>
    <s v="C:\Users\andre\Desktop\REACTIV CEFAS\Prochloraz\Prochloraz/20201116_Cefas_Test6-Run1/Plate 1/@14/G9_02.tif "/>
    <s v=" 4109.68 "/>
    <s v=" 34.9895 "/>
    <x v="0"/>
    <n v="143796"/>
    <m/>
    <m/>
    <m/>
  </r>
  <r>
    <x v="3"/>
    <x v="6"/>
    <s v="C:\Users\andre\Desktop\REACTIV CEFAS\Prochloraz\Prochloraz/20201116_Cefas_Test6-Run1/Plate 1/@14/G9_03.tif "/>
    <s v=" 4758.5768 "/>
    <s v=" 36.7727 "/>
    <x v="0"/>
    <n v="174986"/>
    <m/>
    <m/>
    <m/>
  </r>
  <r>
    <x v="3"/>
    <x v="7"/>
    <s v="C:\Users\andre\Desktop\REACTIV CEFAS\Prochloraz\Prochloraz/20201116_Cefas_Test6-Run1/Plate 1/@14/H9_01.tif "/>
    <s v=" 18969.4176 "/>
    <s v=" 32.7241 "/>
    <x v="0"/>
    <n v="620756"/>
    <m/>
    <m/>
    <m/>
  </r>
  <r>
    <x v="3"/>
    <x v="7"/>
    <s v="C:\Users\andre\Desktop\REACTIV CEFAS\Prochloraz\Prochloraz/20201116_Cefas_Test6-Run1/Plate 1/@14/H9_02.tif "/>
    <s v=" 26280.322 "/>
    <s v=" 33.8543 "/>
    <x v="0"/>
    <n v="889702"/>
    <m/>
    <m/>
    <m/>
  </r>
  <r>
    <x v="3"/>
    <x v="7"/>
    <s v="C:\Users\andre\Desktop\REACTIV CEFAS\Prochloraz\Prochloraz/20201116_Cefas_Test6-Run1/Plate 1/@14/H9_03.tif "/>
    <s v=" 17065.9869 "/>
    <s v=" 33.4081 "/>
    <x v="0"/>
    <n v="570142"/>
    <m/>
    <m/>
    <m/>
  </r>
  <r>
    <x v="1"/>
    <x v="8"/>
    <s v=" "/>
    <m/>
    <m/>
    <x v="1"/>
    <m/>
    <m/>
    <m/>
    <m/>
  </r>
  <r>
    <x v="1"/>
    <x v="8"/>
    <s v="group "/>
    <s v=" "/>
    <s v=" mean of mean fluo "/>
    <x v="2"/>
    <s v=" mean of total fluo "/>
    <s v=" SD total fluo "/>
    <s v=" n fluorescent "/>
    <s v=" n total"/>
  </r>
  <r>
    <x v="3"/>
    <x v="9"/>
    <s v="C:\Users\andre\Desktop\REACTIV CEFAS\Prochloraz\Prochloraz/20201116_Cefas_Test6-Run1/Plate 1/@14/ "/>
    <s v=" "/>
    <s v=" 34.8573 "/>
    <x v="5"/>
    <s v=" 513082.708 "/>
    <s v=" 544247.10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C:\Users\andre\Desktop\REACTIV CEFAS\Prochloraz\Prochloraz/20201116_Cefas_Test6-Run1/Plate 1/@15/A11_01.tif "/>
    <s v=" 99648.9246 "/>
    <s v=" 51.2633 "/>
    <x v="0"/>
    <n v="5108332"/>
    <m/>
    <m/>
    <m/>
  </r>
  <r>
    <x v="4"/>
    <x v="0"/>
    <s v="C:\Users\andre\Desktop\REACTIV CEFAS\Prochloraz\Prochloraz/20201116_Cefas_Test6-Run1/Plate 1/@15/A11_02.tif "/>
    <s v=" 100254.562 "/>
    <s v=" 50.2412 "/>
    <x v="0"/>
    <n v="5036910"/>
    <m/>
    <m/>
    <m/>
  </r>
  <r>
    <x v="4"/>
    <x v="0"/>
    <s v="C:\Users\andre\Desktop\REACTIV CEFAS\Prochloraz\Prochloraz/20201116_Cefas_Test6-Run1/Plate 1/@15/A11_03.tif "/>
    <s v=" 95517.6147 "/>
    <s v=" 54.0562 "/>
    <x v="0"/>
    <n v="5163315"/>
    <m/>
    <m/>
    <m/>
  </r>
  <r>
    <x v="4"/>
    <x v="1"/>
    <s v="C:\Users\andre\Desktop\REACTIV CEFAS\Prochloraz\Prochloraz/20201116_Cefas_Test6-Run1/Plate 1/@15/B11_01.tif "/>
    <s v=" 82907.3861 "/>
    <s v=" 52.2507 "/>
    <x v="0"/>
    <n v="4331970"/>
    <m/>
    <m/>
    <m/>
  </r>
  <r>
    <x v="4"/>
    <x v="1"/>
    <s v="C:\Users\andre\Desktop\REACTIV CEFAS\Prochloraz\Prochloraz/20201116_Cefas_Test6-Run1/Plate 1/@15/B11_02.tif "/>
    <s v=" 79273.5638 "/>
    <s v=" 49.949 "/>
    <x v="0"/>
    <n v="3959633"/>
    <m/>
    <m/>
    <m/>
  </r>
  <r>
    <x v="4"/>
    <x v="1"/>
    <s v="C:\Users\andre\Desktop\REACTIV CEFAS\Prochloraz\Prochloraz/20201116_Cefas_Test6-Run1/Plate 1/@15/B11_03.tif "/>
    <s v=" 83058.7954 "/>
    <s v=" 49.032 "/>
    <x v="0"/>
    <n v="4072541"/>
    <m/>
    <m/>
    <m/>
  </r>
  <r>
    <x v="4"/>
    <x v="2"/>
    <s v="C:\Users\andre\Desktop\REACTIV CEFAS\Prochloraz\Prochloraz/20201116_Cefas_Test6-Run1/Plate 1/@15/C11_01.tif "/>
    <s v=" 76829.3857 "/>
    <s v=" 49.2123 "/>
    <x v="0"/>
    <n v="3780949"/>
    <m/>
    <m/>
    <m/>
  </r>
  <r>
    <x v="4"/>
    <x v="2"/>
    <s v="C:\Users\andre\Desktop\REACTIV CEFAS\Prochloraz\Prochloraz/20201116_Cefas_Test6-Run1/Plate 1/@15/C11_02.tif "/>
    <s v=" 78213.699 "/>
    <s v=" 50.9051 "/>
    <x v="0"/>
    <n v="3981480"/>
    <m/>
    <m/>
    <m/>
  </r>
  <r>
    <x v="4"/>
    <x v="2"/>
    <s v="C:\Users\andre\Desktop\REACTIV CEFAS\Prochloraz\Prochloraz/20201116_Cefas_Test6-Run1/Plate 1/@15/C11_03.tif "/>
    <s v=" 79944.0905 "/>
    <s v=" 51.7018 "/>
    <x v="0"/>
    <n v="4133257"/>
    <m/>
    <m/>
    <m/>
  </r>
  <r>
    <x v="4"/>
    <x v="3"/>
    <s v="C:\Users\andre\Desktop\REACTIV CEFAS\Prochloraz\Prochloraz/20201116_Cefas_Test6-Run1/Plate 1/@15/D11_01.tif "/>
    <s v=" 74168.9087 "/>
    <s v=" 45.5894 "/>
    <x v="0"/>
    <n v="3381315"/>
    <m/>
    <m/>
    <m/>
  </r>
  <r>
    <x v="4"/>
    <x v="3"/>
    <s v="C:\Users\andre\Desktop\REACTIV CEFAS\Prochloraz\Prochloraz/20201116_Cefas_Test6-Run1/Plate 1/@15/D11_02.tif "/>
    <s v=" 73736.3108 "/>
    <s v=" 44.2077 "/>
    <x v="0"/>
    <n v="3259712"/>
    <m/>
    <m/>
    <m/>
  </r>
  <r>
    <x v="4"/>
    <x v="3"/>
    <s v="C:\Users\andre\Desktop\REACTIV CEFAS\Prochloraz\Prochloraz/20201116_Cefas_Test6-Run1/Plate 1/@15/D11_03.tif "/>
    <s v=" 81003.9554 "/>
    <s v=" 47.2475 "/>
    <x v="0"/>
    <n v="3827237"/>
    <m/>
    <m/>
    <m/>
  </r>
  <r>
    <x v="4"/>
    <x v="4"/>
    <s v="C:\Users\andre\Desktop\REACTIV CEFAS\Prochloraz\Prochloraz/20201116_Cefas_Test6-Run1/Plate 1/@15/E11_01.tif "/>
    <s v=" 47412.729 "/>
    <s v=" 42.927 "/>
    <x v="0"/>
    <n v="2035287"/>
    <m/>
    <m/>
    <m/>
  </r>
  <r>
    <x v="4"/>
    <x v="4"/>
    <s v="C:\Users\andre\Desktop\REACTIV CEFAS\Prochloraz\Prochloraz/20201116_Cefas_Test6-Run1/Plate 1/@15/E11_02.tif "/>
    <s v=" 41010.2802 "/>
    <s v=" 41.6108 "/>
    <x v="0"/>
    <n v="1706469"/>
    <m/>
    <m/>
    <m/>
  </r>
  <r>
    <x v="4"/>
    <x v="4"/>
    <s v="C:\Users\andre\Desktop\REACTIV CEFAS\Prochloraz\Prochloraz/20201116_Cefas_Test6-Run1/Plate 1/@15/E11_03.tif "/>
    <s v=" 43043.4903 "/>
    <s v=" 43.8065 "/>
    <x v="0"/>
    <n v="1885586"/>
    <m/>
    <m/>
    <m/>
  </r>
  <r>
    <x v="4"/>
    <x v="5"/>
    <s v="C:\Users\andre\Desktop\REACTIV CEFAS\Prochloraz\Prochloraz/20201116_Cefas_Test6-Run1/Plate 1/@15/F11_01.tif "/>
    <s v=" 64846.4241 "/>
    <s v=" 45.6044 "/>
    <x v="0"/>
    <n v="2957282"/>
    <m/>
    <m/>
    <m/>
  </r>
  <r>
    <x v="4"/>
    <x v="5"/>
    <s v="C:\Users\andre\Desktop\REACTIV CEFAS\Prochloraz\Prochloraz/20201116_Cefas_Test6-Run1/Plate 1/@15/F11_02.tif "/>
    <s v=" 60606.9648 "/>
    <s v=" 51.2434 "/>
    <x v="0"/>
    <n v="3105707"/>
    <m/>
    <m/>
    <m/>
  </r>
  <r>
    <x v="4"/>
    <x v="5"/>
    <s v="C:\Users\andre\Desktop\REACTIV CEFAS\Prochloraz\Prochloraz/20201116_Cefas_Test6-Run1/Plate 1/@15/F11_03.tif "/>
    <s v=" 60542.0751 "/>
    <s v=" 48.1168 "/>
    <x v="0"/>
    <n v="2913093"/>
    <m/>
    <m/>
    <m/>
  </r>
  <r>
    <x v="4"/>
    <x v="6"/>
    <s v="C:\Users\andre\Desktop\REACTIV CEFAS\Prochloraz\Prochloraz/20201116_Cefas_Test6-Run1/Plate 1/@15/G11_01.tif "/>
    <s v=" 74731.2859 "/>
    <s v=" 45.2104 "/>
    <x v="0"/>
    <n v="3378633"/>
    <m/>
    <m/>
    <m/>
  </r>
  <r>
    <x v="4"/>
    <x v="6"/>
    <s v="C:\Users\andre\Desktop\REACTIV CEFAS\Prochloraz\Prochloraz/20201116_Cefas_Test6-Run1/Plate 1/@15/G11_02.tif "/>
    <s v=" 76937.5352 "/>
    <s v=" 48.8336 "/>
    <x v="0"/>
    <n v="3757134"/>
    <m/>
    <m/>
    <m/>
  </r>
  <r>
    <x v="4"/>
    <x v="6"/>
    <s v="C:\Users\andre\Desktop\REACTIV CEFAS\Prochloraz\Prochloraz/20201116_Cefas_Test6-Run1/Plate 1/@15/G11_03.tif "/>
    <s v=" 77975.7701 "/>
    <s v=" 49.6419 "/>
    <x v="0"/>
    <n v="3870864"/>
    <m/>
    <m/>
    <m/>
  </r>
  <r>
    <x v="4"/>
    <x v="7"/>
    <s v="C:\Users\andre\Desktop\REACTIV CEFAS\Prochloraz\Prochloraz/20201116_Cefas_Test6-Run1/Plate 1/@15/H11_01.tif "/>
    <s v=" 81328.4038 "/>
    <s v=" 41.8516 "/>
    <x v="0"/>
    <n v="3403723"/>
    <m/>
    <m/>
    <m/>
  </r>
  <r>
    <x v="4"/>
    <x v="7"/>
    <s v="C:\Users\andre\Desktop\REACTIV CEFAS\Prochloraz\Prochloraz/20201116_Cefas_Test6-Run1/Plate 1/@15/H11_02.tif "/>
    <s v=" 90737.408 "/>
    <s v=" 41.2737 "/>
    <x v="0"/>
    <n v="3745065"/>
    <m/>
    <m/>
    <m/>
  </r>
  <r>
    <x v="4"/>
    <x v="7"/>
    <s v="C:\Users\andre\Desktop\REACTIV CEFAS\Prochloraz\Prochloraz/20201116_Cefas_Test6-Run1/Plate 1/@15/H11_03.tif "/>
    <s v=" 71119.0935 "/>
    <s v=" 41.8656 "/>
    <x v="0"/>
    <n v="2977442"/>
    <m/>
    <m/>
    <m/>
  </r>
  <r>
    <x v="1"/>
    <x v="8"/>
    <s v=" "/>
    <m/>
    <m/>
    <x v="1"/>
    <m/>
    <m/>
    <m/>
    <m/>
  </r>
  <r>
    <x v="1"/>
    <x v="8"/>
    <s v="group "/>
    <s v=" "/>
    <s v=" mean of mean fluo "/>
    <x v="2"/>
    <s v=" mean of total fluo "/>
    <s v=" SD total fluo "/>
    <s v=" n fluorescent "/>
    <s v=" n total"/>
  </r>
  <r>
    <x v="4"/>
    <x v="9"/>
    <s v="C:\Users\andre\Desktop\REACTIV CEFAS\Prochloraz\Prochloraz/20201116_Cefas_Test6-Run1/Plate 1/@15/ "/>
    <s v=" "/>
    <s v=" 47.4017 "/>
    <x v="6"/>
    <s v=" 3573872.33 "/>
    <s v=" 909613.12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C:\Users\andre\Desktop\REACTIV CEFAS\Prochloraz\Prochloraz/20201116_Cefas_Test6-Run1/Plate 1/@16/A12_01.tif "/>
    <s v=" 1146.3844 "/>
    <s v=" 33.8868 "/>
    <x v="0"/>
    <n v="38847"/>
    <m/>
    <m/>
    <m/>
  </r>
  <r>
    <x v="5"/>
    <x v="0"/>
    <s v="C:\Users\andre\Desktop\REACTIV CEFAS\Prochloraz\Prochloraz/20201116_Cefas_Test6-Run1/Plate 1/@16/A12_02.tif "/>
    <s v=" 2098.0998 "/>
    <s v=" 34.6804 "/>
    <x v="0"/>
    <n v="72763"/>
    <m/>
    <m/>
    <m/>
  </r>
  <r>
    <x v="5"/>
    <x v="0"/>
    <s v="C:\Users\andre\Desktop\REACTIV CEFAS\Prochloraz\Prochloraz/20201116_Cefas_Test6-Run1/Plate 1/@16/A12_03.tif "/>
    <s v=" 1211.2741 "/>
    <s v=" 32.1429 "/>
    <x v="0"/>
    <n v="38934"/>
    <m/>
    <m/>
    <m/>
  </r>
  <r>
    <x v="5"/>
    <x v="1"/>
    <s v="C:\Users\andre\Desktop\REACTIV CEFAS\Prochloraz\Prochloraz/20201116_Cefas_Test6-Run1/Plate 1/@16/B12_01.tif "/>
    <s v=" 2898.4059 "/>
    <s v=" 36.7388 "/>
    <x v="0"/>
    <n v="106484"/>
    <m/>
    <m/>
    <m/>
  </r>
  <r>
    <x v="5"/>
    <x v="1"/>
    <s v="C:\Users\andre\Desktop\REACTIV CEFAS\Prochloraz\Prochloraz/20201116_Cefas_Test6-Run1/Plate 1/@16/B12_02.tif "/>
    <s v=" 2054.84 "/>
    <s v=" 34.7158 "/>
    <x v="0"/>
    <n v="71335"/>
    <m/>
    <m/>
    <m/>
  </r>
  <r>
    <x v="5"/>
    <x v="1"/>
    <s v="C:\Users\andre\Desktop\REACTIV CEFAS\Prochloraz\Prochloraz/20201116_Cefas_Test6-Run1/Plate 1/@16/B12_03.tif "/>
    <s v=" 6078.0004 "/>
    <s v=" 36.4199 "/>
    <x v="0"/>
    <n v="221360"/>
    <m/>
    <m/>
    <m/>
  </r>
  <r>
    <x v="5"/>
    <x v="2"/>
    <s v="C:\Users\andre\Desktop\REACTIV CEFAS\Prochloraz\Prochloraz/20201116_Cefas_Test6-Run1/Plate 1/@16/C12_01.tif "/>
    <s v=" 1276.1638 "/>
    <s v=" 34.6271 "/>
    <x v="0"/>
    <n v="44190"/>
    <m/>
    <m/>
    <m/>
  </r>
  <r>
    <x v="5"/>
    <x v="2"/>
    <s v="C:\Users\andre\Desktop\REACTIV CEFAS\Prochloraz\Prochloraz/20201116_Cefas_Test6-Run1/Plate 1/@16/C12_02- exclu.tif"/>
    <m/>
    <m/>
    <x v="1"/>
    <m/>
    <m/>
    <m/>
    <m/>
  </r>
  <r>
    <x v="5"/>
    <x v="2"/>
    <s v="C:\Users\andre\Desktop\REACTIV CEFAS\Prochloraz\Prochloraz/20201116_Cefas_Test6-Run1/Plate 1/@16/C12_03.tif "/>
    <s v=" 3633.8223 "/>
    <s v=" 36.131 "/>
    <x v="0"/>
    <n v="131293"/>
    <m/>
    <m/>
    <m/>
  </r>
  <r>
    <x v="5"/>
    <x v="3"/>
    <s v="C:\Users\andre\Desktop\REACTIV CEFAS\Prochloraz\Prochloraz/20201116_Cefas_Test6-Run1/Plate 1/@16/D12_01.tif "/>
    <s v=" 2855.1461 "/>
    <s v=" 36.8636 "/>
    <x v="0"/>
    <n v="105251"/>
    <m/>
    <m/>
    <m/>
  </r>
  <r>
    <x v="5"/>
    <x v="3"/>
    <s v="C:\Users\andre\Desktop\REACTIV CEFAS\Prochloraz\Prochloraz/20201116_Cefas_Test6-Run1/Plate 1/@16/D12_02.tif "/>
    <s v=" 1557.3524 "/>
    <s v=" 33.625 "/>
    <x v="0"/>
    <n v="52366"/>
    <m/>
    <m/>
    <m/>
  </r>
  <r>
    <x v="5"/>
    <x v="3"/>
    <s v="C:\Users\andre\Desktop\REACTIV CEFAS\Prochloraz\Prochloraz/20201116_Cefas_Test6-Run1/Plate 1/@16/D12_03.tif "/>
    <s v=" 237.9288 "/>
    <s v=" 31.2727 "/>
    <x v="0"/>
    <n v="7441"/>
    <m/>
    <m/>
    <m/>
  </r>
  <r>
    <x v="5"/>
    <x v="4"/>
    <s v="C:\Users\andre\Desktop\REACTIV CEFAS\Prochloraz\Prochloraz/20201116_Cefas_Test6-Run1/Plate 1/@16/E12_01.tif "/>
    <s v=" 2444.1781 "/>
    <s v=" 31.0265 "/>
    <x v="0"/>
    <n v="75834"/>
    <m/>
    <m/>
    <m/>
  </r>
  <r>
    <x v="5"/>
    <x v="4"/>
    <s v="C:\Users\andre\Desktop\REACTIV CEFAS\Prochloraz\Prochloraz/20201116_Cefas_Test6-Run1/Plate 1/@16/E12_02.tif "/>
    <s v=" 9646.933 "/>
    <s v=" 36.704 "/>
    <x v="0"/>
    <n v="354081"/>
    <m/>
    <m/>
    <m/>
  </r>
  <r>
    <x v="5"/>
    <x v="4"/>
    <s v="C:\Users\andre\Desktop\REACTIV CEFAS\Prochloraz\Prochloraz/20201116_Cefas_Test6-Run1/Plate 1/@16/E12_03.tif "/>
    <s v=" 9949.7515 "/>
    <s v=" 40.5152 "/>
    <x v="0"/>
    <n v="403116"/>
    <m/>
    <m/>
    <m/>
  </r>
  <r>
    <x v="5"/>
    <x v="5"/>
    <s v="C:\Users\andre\Desktop\REACTIV CEFAS\Prochloraz\Prochloraz/20201116_Cefas_Test6-Run1/Plate 1/@16/F12_01.tif "/>
    <s v=" 1405.9432 "/>
    <s v=" 32.9385 "/>
    <x v="0"/>
    <n v="46310"/>
    <m/>
    <m/>
    <m/>
  </r>
  <r>
    <x v="5"/>
    <x v="5"/>
    <s v="C:\Users\andre\Desktop\REACTIV CEFAS\Prochloraz\Prochloraz/20201116_Cefas_Test6-Run1/Plate 1/@16/F12_02.tif "/>
    <s v=" 1535.7225 "/>
    <s v=" 32.6056 "/>
    <x v="0"/>
    <n v="50073"/>
    <m/>
    <m/>
    <m/>
  </r>
  <r>
    <x v="5"/>
    <x v="5"/>
    <s v="C:\Users\andre\Desktop\REACTIV CEFAS\Prochloraz\Prochloraz/20201116_Cefas_Test6-Run1/Plate 1/@16/F12_03.tif "/>
    <n v="0"/>
    <n v="0"/>
    <x v="0"/>
    <n v="0"/>
    <m/>
    <m/>
    <m/>
  </r>
  <r>
    <x v="5"/>
    <x v="6"/>
    <s v="C:\Users\andre\Desktop\REACTIV CEFAS\Prochloraz\Prochloraz/20201116_Cefas_Test6-Run1/Plate 1/@16/G12_01.tif "/>
    <s v=" 4412.4985 "/>
    <s v=" 41.4657 "/>
    <x v="0"/>
    <n v="182967"/>
    <m/>
    <m/>
    <m/>
  </r>
  <r>
    <x v="5"/>
    <x v="6"/>
    <s v="C:\Users\andre\Desktop\REACTIV CEFAS\Prochloraz\Prochloraz/20201116_Cefas_Test6-Run1/Plate 1/@16/G12_02.tif "/>
    <s v=" 584.0072 "/>
    <s v=" 31.8519 "/>
    <x v="0"/>
    <n v="18602"/>
    <m/>
    <m/>
    <m/>
  </r>
  <r>
    <x v="5"/>
    <x v="6"/>
    <s v="C:\Users\andre\Desktop\REACTIV CEFAS\Prochloraz\Prochloraz/20201116_Cefas_Test6-Run1/Plate 1/@16/G12_03.tif "/>
    <s v=" 1643.872 "/>
    <s v=" 32.8684 "/>
    <x v="0"/>
    <n v="54031"/>
    <m/>
    <m/>
    <m/>
  </r>
  <r>
    <x v="5"/>
    <x v="7"/>
    <s v="C:\Users\andre\Desktop\REACTIV CEFAS\Prochloraz\Prochloraz/20201116_Cefas_Test6-Run1/Plate 1/@16/H12_01.tif "/>
    <s v=" 7483.9435 "/>
    <s v=" 37.3728 "/>
    <x v="0"/>
    <n v="279696"/>
    <m/>
    <m/>
    <m/>
  </r>
  <r>
    <x v="5"/>
    <x v="7"/>
    <s v="C:\Users\andre\Desktop\REACTIV CEFAS\Prochloraz\Prochloraz/20201116_Cefas_Test6-Run1/Plate 1/@16/H12_02.tif "/>
    <s v=" 5775.1819 "/>
    <s v=" 37.1873 "/>
    <x v="0"/>
    <n v="214763"/>
    <m/>
    <m/>
    <m/>
  </r>
  <r>
    <x v="5"/>
    <x v="7"/>
    <s v="C:\Users\andre\Desktop\REACTIV CEFAS\Prochloraz\Prochloraz/20201116_Cefas_Test6-Run1/Plate 1/@16/H12_03.tif "/>
    <s v=" 2941.6657 "/>
    <s v=" 33.5588 "/>
    <x v="0"/>
    <n v="98719"/>
    <m/>
    <m/>
    <m/>
  </r>
  <r>
    <x v="1"/>
    <x v="8"/>
    <s v=" "/>
    <m/>
    <m/>
    <x v="1"/>
    <m/>
    <m/>
    <m/>
    <m/>
  </r>
  <r>
    <x v="1"/>
    <x v="8"/>
    <s v="group "/>
    <s v=" "/>
    <s v=" mean of mean fluo "/>
    <x v="2"/>
    <s v=" mean of total fluo "/>
    <s v=" SD total fluo "/>
    <s v=" n fluorescent "/>
    <s v=" n total"/>
  </r>
  <r>
    <x v="5"/>
    <x v="9"/>
    <s v="C:\Users\andre\Desktop\REACTIV CEFAS\Prochloraz\Prochloraz/20201116_Cefas_Test6-Run1/Plate 1/@16/ "/>
    <s v=" "/>
    <s v=" 33.415 "/>
    <x v="7"/>
    <s v=" 114020.083 "/>
    <s v=" 108055.155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C:\Users\andre\Desktop\REACTIV CEFAS\Prochloraz\Prochloraz/20201116_Cefas_Test6-Run1/Plate 1/@2/A2_01.tif "/>
    <s v=" 7419.0539 "/>
    <s v=" 36.3907 "/>
    <x v="0"/>
    <n v="269984"/>
    <m/>
    <m/>
    <m/>
  </r>
  <r>
    <x v="6"/>
    <x v="0"/>
    <s v="C:\Users\andre\Desktop\REACTIV CEFAS\Prochloraz\Prochloraz/20201116_Cefas_Test6-Run1/Plate 1/@2/A2_02.tif "/>
    <s v=" 10079.5309 "/>
    <s v=" 36.7146 "/>
    <x v="0"/>
    <n v="370066"/>
    <m/>
    <m/>
    <m/>
  </r>
  <r>
    <x v="6"/>
    <x v="0"/>
    <s v="C:\Users\andre\Desktop\REACTIV CEFAS\Prochloraz\Prochloraz/20201116_Cefas_Test6-Run1/Plate 1/@2/A2_03.tif "/>
    <s v=" 3179.5945 "/>
    <s v=" 33.898 "/>
    <x v="0"/>
    <n v="107782"/>
    <m/>
    <m/>
    <m/>
  </r>
  <r>
    <x v="6"/>
    <x v="1"/>
    <s v="C:\Users\andre\Desktop\REACTIV CEFAS\Prochloraz\Prochloraz/20201116_Cefas_Test6-Run1/Plate 1/@2/B2_01.tif "/>
    <s v=" 21.6299 "/>
    <n v="30"/>
    <x v="0"/>
    <n v="649"/>
    <m/>
    <m/>
    <m/>
  </r>
  <r>
    <x v="6"/>
    <x v="1"/>
    <s v="C:\Users\andre\Desktop\REACTIV CEFAS\Prochloraz\Prochloraz/20201116_Cefas_Test6-Run1/Plate 1/@2/B2_02.tif "/>
    <s v=" 86.5196 "/>
    <s v=" 31.25 "/>
    <x v="0"/>
    <n v="2704"/>
    <m/>
    <m/>
    <m/>
  </r>
  <r>
    <x v="6"/>
    <x v="1"/>
    <s v="C:\Users\andre\Desktop\REACTIV CEFAS\Prochloraz\Prochloraz/20201116_Cefas_Test6-Run1/Plate 1/@2/B2_03.tif "/>
    <s v=" 3395.8935 "/>
    <s v=" 33.4968 "/>
    <x v="0"/>
    <n v="113752"/>
    <m/>
    <m/>
    <m/>
  </r>
  <r>
    <x v="6"/>
    <x v="2"/>
    <s v="C:\Users\andre\Desktop\REACTIV CEFAS\Prochloraz\Prochloraz/20201116_Cefas_Test6-Run1/Plate 1/@2/C2_01.tif "/>
    <s v=" 5320.9541 "/>
    <s v=" 36.378 "/>
    <x v="0"/>
    <n v="193566"/>
    <m/>
    <m/>
    <m/>
  </r>
  <r>
    <x v="6"/>
    <x v="2"/>
    <s v="C:\Users\andre\Desktop\REACTIV CEFAS\Prochloraz\Prochloraz/20201116_Cefas_Test6-Run1/Plate 1/@2/C2_02.tif "/>
    <s v=" 2898.4059 "/>
    <s v=" 34.8582 "/>
    <x v="0"/>
    <n v="101033"/>
    <m/>
    <m/>
    <m/>
  </r>
  <r>
    <x v="6"/>
    <x v="2"/>
    <s v="C:\Users\andre\Desktop\REACTIV CEFAS\Prochloraz\Prochloraz/20201116_Cefas_Test6-Run1/Plate 1/@2/C2_03.tif "/>
    <s v=" 4888.3562 "/>
    <s v=" 36.9956 "/>
    <x v="0"/>
    <n v="180848"/>
    <m/>
    <m/>
    <m/>
  </r>
  <r>
    <x v="6"/>
    <x v="3"/>
    <s v="C:\Users\andre\Desktop\REACTIV CEFAS\Prochloraz\Prochloraz/20201116_Cefas_Test6-Run1/Plate 1/@2/D2_01.tif "/>
    <s v=" 5904.9612 "/>
    <s v=" 40.8132 "/>
    <x v="0"/>
    <n v="241000"/>
    <m/>
    <m/>
    <m/>
  </r>
  <r>
    <x v="6"/>
    <x v="3"/>
    <s v="C:\Users\andre\Desktop\REACTIV CEFAS\Prochloraz\Prochloraz/20201116_Cefas_Test6-Run1/Plate 1/@2/D2_02.tif "/>
    <s v=" 4044.7903 "/>
    <s v=" 37.1497 "/>
    <x v="0"/>
    <n v="150263"/>
    <m/>
    <m/>
    <m/>
  </r>
  <r>
    <x v="6"/>
    <x v="3"/>
    <s v="C:\Users\andre\Desktop\REACTIV CEFAS\Prochloraz\Prochloraz/20201116_Cefas_Test6-Run1/Plate 1/@2/D2_03.tif "/>
    <s v=" 3266.1141 "/>
    <s v=" 37.1589 "/>
    <x v="0"/>
    <n v="121365"/>
    <m/>
    <m/>
    <m/>
  </r>
  <r>
    <x v="6"/>
    <x v="4"/>
    <s v="C:\Users\andre\Desktop\REACTIV CEFAS\Prochloraz\Prochloraz/20201116_Cefas_Test6-Run1/Plate 1/@2/E2_01- exclu.tif"/>
    <m/>
    <m/>
    <x v="1"/>
    <m/>
    <m/>
    <m/>
    <m/>
  </r>
  <r>
    <x v="6"/>
    <x v="4"/>
    <s v="C:\Users\andre\Desktop\REACTIV CEFAS\Prochloraz\Prochloraz/20201116_Cefas_Test6-Run1/Plate 1/@2/E2_02- exclu.tif"/>
    <m/>
    <m/>
    <x v="1"/>
    <m/>
    <m/>
    <m/>
    <m/>
  </r>
  <r>
    <x v="6"/>
    <x v="4"/>
    <s v="C:\Users\andre\Desktop\REACTIV CEFAS\Prochloraz\Prochloraz/20201116_Cefas_Test6-Run1/Plate 1/@2/E2_03- exclu.tif"/>
    <m/>
    <m/>
    <x v="1"/>
    <m/>
    <m/>
    <m/>
    <m/>
  </r>
  <r>
    <x v="6"/>
    <x v="5"/>
    <s v="C:\Users\andre\Desktop\REACTIV CEFAS\Prochloraz\Prochloraz/20201116_Cefas_Test6-Run1/Plate 1/@2/F2_01.tif "/>
    <s v=" 15335.5953 "/>
    <s v=" 38.0409 "/>
    <x v="0"/>
    <n v="583380"/>
    <m/>
    <m/>
    <m/>
  </r>
  <r>
    <x v="6"/>
    <x v="5"/>
    <s v="C:\Users\andre\Desktop\REACTIV CEFAS\Prochloraz\Prochloraz/20201116_Cefas_Test6-Run1/Plate 1/@2/F2_02.tif "/>
    <s v=" 11182.6555 "/>
    <s v=" 38.8414 "/>
    <x v="0"/>
    <n v="434350"/>
    <m/>
    <m/>
    <m/>
  </r>
  <r>
    <x v="6"/>
    <x v="5"/>
    <s v="C:\Users\andre\Desktop\REACTIV CEFAS\Prochloraz\Prochloraz/20201116_Cefas_Test6-Run1/Plate 1/@2/F2_03.tif "/>
    <s v=" 16633.389 "/>
    <s v=" 37.6931 "/>
    <x v="0"/>
    <n v="626964"/>
    <m/>
    <m/>
    <m/>
  </r>
  <r>
    <x v="6"/>
    <x v="6"/>
    <s v="C:\Users\andre\Desktop\REACTIV CEFAS\Prochloraz\Prochloraz/20201116_Cefas_Test6-Run1/Plate 1/@2/G2_01.tif "/>
    <s v=" 7029.7158 "/>
    <s v=" 36.3231 "/>
    <x v="0"/>
    <n v="255341"/>
    <m/>
    <m/>
    <m/>
  </r>
  <r>
    <x v="6"/>
    <x v="6"/>
    <s v="C:\Users\andre\Desktop\REACTIV CEFAS\Prochloraz\Prochloraz/20201116_Cefas_Test6-Run1/Plate 1/@2/G2_02.tif "/>
    <s v=" 4736.9469 "/>
    <s v=" 38.6712 "/>
    <x v="0"/>
    <n v="183184"/>
    <m/>
    <m/>
    <m/>
  </r>
  <r>
    <x v="6"/>
    <x v="6"/>
    <s v="C:\Users\andre\Desktop\REACTIV CEFAS\Prochloraz\Prochloraz/20201116_Cefas_Test6-Run1/Plate 1/@2/G2_03.tif "/>
    <s v=" 3093.0749 "/>
    <s v=" 37.5105 "/>
    <x v="0"/>
    <n v="116023"/>
    <m/>
    <m/>
    <m/>
  </r>
  <r>
    <x v="6"/>
    <x v="7"/>
    <s v="C:\Users\andre\Desktop\REACTIV CEFAS\Prochloraz\Prochloraz/20201116_Cefas_Test6-Run1/Plate 1/@2/H2_01.tif "/>
    <s v=" 3287.744 "/>
    <s v=" 34.4474 "/>
    <x v="0"/>
    <n v="113254"/>
    <m/>
    <m/>
    <m/>
  </r>
  <r>
    <x v="6"/>
    <x v="7"/>
    <s v="C:\Users\andre\Desktop\REACTIV CEFAS\Prochloraz\Prochloraz/20201116_Cefas_Test6-Run1/Plate 1/@2/H2_02.tif "/>
    <n v="0"/>
    <n v="0"/>
    <x v="0"/>
    <n v="0"/>
    <m/>
    <m/>
    <m/>
  </r>
  <r>
    <x v="6"/>
    <x v="7"/>
    <s v="C:\Users\andre\Desktop\REACTIV CEFAS\Prochloraz\Prochloraz/20201116_Cefas_Test6-Run1/Plate 1/@2/H2_03.tif "/>
    <s v=" 2768.6265 "/>
    <s v=" 32.0391 "/>
    <x v="0"/>
    <n v="88704"/>
    <m/>
    <m/>
    <m/>
  </r>
  <r>
    <x v="1"/>
    <x v="8"/>
    <s v=" "/>
    <m/>
    <m/>
    <x v="1"/>
    <m/>
    <m/>
    <m/>
    <m/>
  </r>
  <r>
    <x v="1"/>
    <x v="8"/>
    <s v="group "/>
    <s v=" "/>
    <s v=" mean of mean fluo "/>
    <x v="2"/>
    <s v=" mean of total fluo "/>
    <s v=" SD total fluo "/>
    <s v=" n fluorescent "/>
    <s v=" n total"/>
  </r>
  <r>
    <x v="6"/>
    <x v="9"/>
    <s v="C:\Users\andre\Desktop\REACTIV CEFAS\Prochloraz\Prochloraz/20201116_Cefas_Test6-Run1/Plate 1/@2/ "/>
    <s v=" "/>
    <s v=" 33.4716 "/>
    <x v="8"/>
    <s v=" 208391.458 "/>
    <s v=" 174745.777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C:\Users\andre\Desktop\REACTIV CEFAS\Prochloraz\Prochloraz/20201116_Cefas_Test6-Run1/Plate 1/@3/A3_01.tif "/>
    <s v=" 8651.9579 "/>
    <s v=" 34.8525 "/>
    <x v="0"/>
    <n v="301542"/>
    <m/>
    <m/>
    <m/>
  </r>
  <r>
    <x v="7"/>
    <x v="0"/>
    <s v="C:\Users\andre\Desktop\REACTIV CEFAS\Prochloraz\Prochloraz/20201116_Cefas_Test6-Run1/Plate 1/@3/A3_02.tif "/>
    <s v=" 3677.0821 "/>
    <s v=" 32.8706 "/>
    <x v="0"/>
    <n v="120868"/>
    <m/>
    <m/>
    <m/>
  </r>
  <r>
    <x v="7"/>
    <x v="0"/>
    <s v="C:\Users\andre\Desktop\REACTIV CEFAS\Prochloraz\Prochloraz/20201116_Cefas_Test6-Run1/Plate 1/@3/A3_03.tif "/>
    <s v=" 1038.2349 "/>
    <s v=" 31.1875 "/>
    <x v="0"/>
    <n v="32380"/>
    <m/>
    <m/>
    <m/>
  </r>
  <r>
    <x v="7"/>
    <x v="1"/>
    <s v="C:\Users\andre\Desktop\REACTIV CEFAS\Prochloraz\Prochloraz/20201116_Cefas_Test6-Run1/Plate 1/@3/B3_01.tif "/>
    <s v=" 3266.1141 "/>
    <s v=" 33.5033 "/>
    <x v="0"/>
    <n v="109426"/>
    <m/>
    <m/>
    <m/>
  </r>
  <r>
    <x v="7"/>
    <x v="1"/>
    <s v="C:\Users\andre\Desktop\REACTIV CEFAS\Prochloraz\Prochloraz/20201116_Cefas_Test6-Run1/Plate 1/@3/B3_02- exclu.tif"/>
    <m/>
    <m/>
    <x v="1"/>
    <m/>
    <m/>
    <m/>
    <m/>
  </r>
  <r>
    <x v="7"/>
    <x v="1"/>
    <s v="C:\Users\andre\Desktop\REACTIV CEFAS\Prochloraz\Prochloraz/20201116_Cefas_Test6-Run1/Plate 1/@3/B3_03.tif "/>
    <s v=" 2595.5874 "/>
    <s v=" 33.4083 "/>
    <x v="0"/>
    <n v="86714"/>
    <m/>
    <m/>
    <m/>
  </r>
  <r>
    <x v="7"/>
    <x v="2"/>
    <s v="C:\Users\andre\Desktop\REACTIV CEFAS\Prochloraz\Prochloraz/20201116_Cefas_Test6-Run1/Plate 1/@3/C3_01.tif "/>
    <s v=" 8630.328 "/>
    <s v=" 37.3333 "/>
    <x v="0"/>
    <n v="322199"/>
    <m/>
    <m/>
    <m/>
  </r>
  <r>
    <x v="7"/>
    <x v="2"/>
    <s v="C:\Users\andre\Desktop\REACTIV CEFAS\Prochloraz\Prochloraz/20201116_Cefas_Test6-Run1/Plate 1/@3/C3_02.tif "/>
    <s v=" 4607.1676 "/>
    <s v=" 37.4742 "/>
    <x v="0"/>
    <n v="172650"/>
    <m/>
    <m/>
    <m/>
  </r>
  <r>
    <x v="7"/>
    <x v="2"/>
    <s v="C:\Users\andre\Desktop\REACTIV CEFAS\Prochloraz\Prochloraz/20201116_Cefas_Test6-Run1/Plate 1/@3/C3_03.tif "/>
    <s v=" 3093.0749 "/>
    <s v=" 34.9371 "/>
    <x v="0"/>
    <n v="108063"/>
    <m/>
    <m/>
    <m/>
  </r>
  <r>
    <x v="7"/>
    <x v="3"/>
    <s v="C:\Users\andre\Desktop\REACTIV CEFAS\Prochloraz\Prochloraz/20201116_Cefas_Test6-Run1/Plate 1/@3/D3_01.tif "/>
    <s v=" 6229.4097 "/>
    <s v=" 35.1181 "/>
    <x v="0"/>
    <n v="218765"/>
    <m/>
    <m/>
    <m/>
  </r>
  <r>
    <x v="7"/>
    <x v="3"/>
    <s v="C:\Users\andre\Desktop\REACTIV CEFAS\Prochloraz\Prochloraz/20201116_Cefas_Test6-Run1/Plate 1/@3/D3_02.tif "/>
    <s v=" 1557.3524 "/>
    <s v=" 31.5833 "/>
    <x v="0"/>
    <n v="49186"/>
    <m/>
    <m/>
    <m/>
  </r>
  <r>
    <x v="7"/>
    <x v="3"/>
    <s v="C:\Users\andre\Desktop\REACTIV CEFAS\Prochloraz\Prochloraz/20201116_Cefas_Test6-Run1/Plate 1/@3/D3_03.tif "/>
    <s v=" 9452.264 "/>
    <s v=" 34.0114 "/>
    <x v="0"/>
    <n v="321485"/>
    <m/>
    <m/>
    <m/>
  </r>
  <r>
    <x v="7"/>
    <x v="4"/>
    <s v="C:\Users\andre\Desktop\REACTIV CEFAS\Prochloraz\Prochloraz/20201116_Cefas_Test6-Run1/Plate 1/@3/E3_01.tif "/>
    <s v=" 4109.68 "/>
    <s v=" 32.7632 "/>
    <x v="0"/>
    <n v="134646"/>
    <m/>
    <m/>
    <m/>
  </r>
  <r>
    <x v="7"/>
    <x v="4"/>
    <s v="C:\Users\andre\Desktop\REACTIV CEFAS\Prochloraz\Prochloraz/20201116_Cefas_Test6-Run1/Plate 1/@3/E3_02.tif "/>
    <s v=" 3309.3739 "/>
    <s v=" 33.3072 "/>
    <x v="0"/>
    <n v="110226"/>
    <m/>
    <m/>
    <m/>
  </r>
  <r>
    <x v="7"/>
    <x v="4"/>
    <s v="C:\Users\andre\Desktop\REACTIV CEFAS\Prochloraz\Prochloraz/20201116_Cefas_Test6-Run1/Plate 1/@3/E3_03.tif "/>
    <s v=" 3525.6728 "/>
    <n v="35"/>
    <x v="0"/>
    <n v="123399"/>
    <m/>
    <m/>
    <m/>
  </r>
  <r>
    <x v="7"/>
    <x v="5"/>
    <s v="C:\Users\andre\Desktop\REACTIV CEFAS\Prochloraz\Prochloraz/20201116_Cefas_Test6-Run1/Plate 1/@3/F3_01.tif "/>
    <s v=" 4520.648 "/>
    <s v=" 37.0335 "/>
    <x v="0"/>
    <n v="167415"/>
    <m/>
    <m/>
    <m/>
  </r>
  <r>
    <x v="7"/>
    <x v="5"/>
    <s v="C:\Users\andre\Desktop\REACTIV CEFAS\Prochloraz\Prochloraz/20201116_Cefas_Test6-Run1/Plate 1/@3/F3_02.tif "/>
    <s v=" 2984.9255 "/>
    <s v=" 31.587 "/>
    <x v="0"/>
    <n v="94285"/>
    <m/>
    <m/>
    <m/>
  </r>
  <r>
    <x v="7"/>
    <x v="5"/>
    <s v="C:\Users\andre\Desktop\REACTIV CEFAS\Prochloraz\Prochloraz/20201116_Cefas_Test6-Run1/Plate 1/@3/F3_03.tif "/>
    <s v=" 3287.744 "/>
    <s v=" 37.4079 "/>
    <x v="0"/>
    <n v="122988"/>
    <m/>
    <m/>
    <m/>
  </r>
  <r>
    <x v="7"/>
    <x v="6"/>
    <s v="C:\Users\andre\Desktop\REACTIV CEFAS\Prochloraz\Prochloraz/20201116_Cefas_Test6-Run1/Plate 1/@3/G3_01.tif "/>
    <s v=" 22559.9801 "/>
    <s v=" 33.0786 "/>
    <x v="0"/>
    <n v="746253"/>
    <m/>
    <m/>
    <m/>
  </r>
  <r>
    <x v="7"/>
    <x v="6"/>
    <s v="C:\Users\andre\Desktop\REACTIV CEFAS\Prochloraz\Prochloraz/20201116_Cefas_Test6-Run1/Plate 1/@3/G3_02.tif "/>
    <s v=" 34889.02 "/>
    <s v=" 34.7328 "/>
    <x v="0"/>
    <n v="1211793"/>
    <m/>
    <m/>
    <m/>
  </r>
  <r>
    <x v="7"/>
    <x v="6"/>
    <s v="C:\Users\andre\Desktop\REACTIV CEFAS\Prochloraz\Prochloraz/20201116_Cefas_Test6-Run1/Plate 1/@3/G3_03.tif "/>
    <s v=" 1341.0535 "/>
    <s v=" 30.9355 "/>
    <x v="0"/>
    <n v="41486"/>
    <m/>
    <m/>
    <m/>
  </r>
  <r>
    <x v="7"/>
    <x v="7"/>
    <s v="C:\Users\andre\Desktop\REACTIV CEFAS\Prochloraz\Prochloraz/20201116_Cefas_Test6-Run1/Plate 1/@3/H3_01.tif "/>
    <s v=" 3460.7831 "/>
    <s v=" 31.6438 "/>
    <x v="0"/>
    <n v="109512"/>
    <m/>
    <m/>
    <m/>
  </r>
  <r>
    <x v="7"/>
    <x v="7"/>
    <s v="C:\Users\andre\Desktop\REACTIV CEFAS\Prochloraz\Prochloraz/20201116_Cefas_Test6-Run1/Plate 1/@3/H3_02.tif "/>
    <s v=" 3720.3419 "/>
    <s v=" 31.7791 "/>
    <x v="0"/>
    <n v="118229"/>
    <m/>
    <m/>
    <m/>
  </r>
  <r>
    <x v="7"/>
    <x v="7"/>
    <s v="C:\Users\andre\Desktop\REACTIV CEFAS\Prochloraz\Prochloraz/20201116_Cefas_Test6-Run1/Plate 1/@3/H3_03.tif "/>
    <s v=" 7224.3848 "/>
    <s v=" 32.6347 "/>
    <x v="0"/>
    <n v="235766"/>
    <m/>
    <m/>
    <m/>
  </r>
  <r>
    <x v="1"/>
    <x v="8"/>
    <s v=" "/>
    <m/>
    <m/>
    <x v="1"/>
    <m/>
    <m/>
    <m/>
    <m/>
  </r>
  <r>
    <x v="1"/>
    <x v="8"/>
    <s v="group "/>
    <s v=" "/>
    <s v=" mean of mean fluo "/>
    <x v="2"/>
    <s v=" mean of total fluo "/>
    <s v=" SD total fluo "/>
    <s v=" n fluorescent "/>
    <s v=" n total"/>
  </r>
  <r>
    <x v="7"/>
    <x v="9"/>
    <s v="C:\Users\andre\Desktop\REACTIV CEFAS\Prochloraz\Prochloraz/20201116_Cefas_Test6-Run1/Plate 1/@3/ "/>
    <s v=" "/>
    <s v=" 32.4243 "/>
    <x v="9"/>
    <s v=" 210803.167 "/>
    <s v=" 260822.988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C:\Users\andre\Desktop\REACTIV CEFAS\Prochloraz\Prochloraz/20201116_Cefas_Test6-Run1/Plate 1/@4/A4_01.tif "/>
    <s v=" 20245.5814 "/>
    <s v=" 34.969 "/>
    <x v="0"/>
    <n v="707968"/>
    <m/>
    <m/>
    <m/>
  </r>
  <r>
    <x v="8"/>
    <x v="0"/>
    <s v="C:\Users\andre\Desktop\REACTIV CEFAS\Prochloraz\Prochloraz/20201116_Cefas_Test6-Run1/Plate 1/@4/A4_02.tif "/>
    <s v=" 9452.264 "/>
    <s v=" 40.5149 "/>
    <x v="0"/>
    <n v="382957"/>
    <m/>
    <m/>
    <m/>
  </r>
  <r>
    <x v="8"/>
    <x v="0"/>
    <s v="C:\Users\andre\Desktop\REACTIV CEFAS\Prochloraz\Prochloraz/20201116_Cefas_Test6-Run1/Plate 1/@4/A4_03.tif "/>
    <s v=" 18125.8517 "/>
    <s v=" 35.0823 "/>
    <x v="0"/>
    <n v="635897"/>
    <m/>
    <m/>
    <m/>
  </r>
  <r>
    <x v="8"/>
    <x v="1"/>
    <s v="C:\Users\andre\Desktop\REACTIV CEFAS\Prochloraz\Prochloraz/20201116_Cefas_Test6-Run1/Plate 1/@4/B4_01.tif "/>
    <s v=" 54442.4448 "/>
    <s v=" 39.4358 "/>
    <x v="0"/>
    <n v="2146983"/>
    <m/>
    <m/>
    <m/>
  </r>
  <r>
    <x v="8"/>
    <x v="1"/>
    <s v="C:\Users\andre\Desktop\REACTIV CEFAS\Prochloraz\Prochloraz/20201116_Cefas_Test6-Run1/Plate 1/@4/B4_02.tif "/>
    <s v=" 37527.8672 "/>
    <s v=" 40.717 "/>
    <x v="0"/>
    <n v="1528022"/>
    <m/>
    <m/>
    <m/>
  </r>
  <r>
    <x v="8"/>
    <x v="1"/>
    <s v="C:\Users\andre\Desktop\REACTIV CEFAS\Prochloraz\Prochloraz/20201116_Cefas_Test6-Run1/Plate 1/@4/B4_03- exclu.tif"/>
    <m/>
    <m/>
    <x v="1"/>
    <m/>
    <m/>
    <m/>
    <m/>
  </r>
  <r>
    <x v="8"/>
    <x v="2"/>
    <s v="C:\Users\andre\Desktop\REACTIV CEFAS\Prochloraz\Prochloraz/20201116_Cefas_Test6-Run1/Plate 1/@4/C4_01.tif "/>
    <s v=" 10490.4989 "/>
    <s v=" 33.1773 "/>
    <x v="0"/>
    <n v="348047"/>
    <m/>
    <m/>
    <m/>
  </r>
  <r>
    <x v="8"/>
    <x v="2"/>
    <s v="C:\Users\andre\Desktop\REACTIV CEFAS\Prochloraz\Prochloraz/20201116_Cefas_Test6-Run1/Plate 1/@4/C4_02.tif "/>
    <s v=" 2595.5874 "/>
    <s v=" 31.6833 "/>
    <x v="0"/>
    <n v="82237"/>
    <m/>
    <m/>
    <m/>
  </r>
  <r>
    <x v="8"/>
    <x v="2"/>
    <s v="C:\Users\andre\Desktop\REACTIV CEFAS\Prochloraz\Prochloraz/20201116_Cefas_Test6-Run1/Plate 1/@4/C4_03.tif "/>
    <s v=" 12653.4884 "/>
    <s v=" 33.1658 "/>
    <x v="0"/>
    <n v="419663"/>
    <m/>
    <m/>
    <m/>
  </r>
  <r>
    <x v="8"/>
    <x v="3"/>
    <s v="C:\Users\andre\Desktop\REACTIV CEFAS\Prochloraz\Prochloraz/20201116_Cefas_Test6-Run1/Plate 1/@4/D4_01.tif "/>
    <s v=" 65235.7622 "/>
    <s v=" 40.4015 "/>
    <x v="0"/>
    <n v="2635624"/>
    <m/>
    <m/>
    <m/>
  </r>
  <r>
    <x v="8"/>
    <x v="3"/>
    <s v="C:\Users\andre\Desktop\REACTIV CEFAS\Prochloraz\Prochloraz/20201116_Cefas_Test6-Run1/Plate 1/@4/D4_02.tif "/>
    <s v=" 66922.894 "/>
    <s v=" 39.914 "/>
    <x v="0"/>
    <n v="2671162"/>
    <m/>
    <m/>
    <m/>
  </r>
  <r>
    <x v="8"/>
    <x v="3"/>
    <s v="C:\Users\andre\Desktop\REACTIV CEFAS\Prochloraz\Prochloraz/20201116_Cefas_Test6-Run1/Plate 1/@4/D4_03.tif "/>
    <s v=" 66641.7054 "/>
    <s v=" 41.5748 "/>
    <x v="0"/>
    <n v="2770616"/>
    <m/>
    <m/>
    <m/>
  </r>
  <r>
    <x v="8"/>
    <x v="4"/>
    <s v="C:\Users\andre\Desktop\REACTIV CEFAS\Prochloraz\Prochloraz/20201116_Cefas_Test6-Run1/Plate 1/@4/E4_01.tif "/>
    <s v=" 8543.8084 "/>
    <s v=" 31.9215 "/>
    <x v="0"/>
    <n v="272731"/>
    <m/>
    <m/>
    <m/>
  </r>
  <r>
    <x v="8"/>
    <x v="4"/>
    <s v="C:\Users\andre\Desktop\REACTIV CEFAS\Prochloraz\Prochloraz/20201116_Cefas_Test6-Run1/Plate 1/@4/E4_02.tif "/>
    <s v=" 4131.3099 "/>
    <s v=" 31.911 "/>
    <x v="0"/>
    <n v="131834"/>
    <m/>
    <m/>
    <m/>
  </r>
  <r>
    <x v="8"/>
    <x v="4"/>
    <s v="C:\Users\andre\Desktop\REACTIV CEFAS\Prochloraz\Prochloraz/20201116_Cefas_Test6-Run1/Plate 1/@4/E4_03.tif "/>
    <s v=" 6359.189 "/>
    <s v=" 38.8027 "/>
    <x v="0"/>
    <n v="246754"/>
    <m/>
    <m/>
    <m/>
  </r>
  <r>
    <x v="8"/>
    <x v="5"/>
    <s v="C:\Users\andre\Desktop\REACTIV CEFAS\Prochloraz\Prochloraz/20201116_Cefas_Test6-Run1/Plate 1/@4/F4_01.tif "/>
    <s v=" 64.8897 "/>
    <n v="33"/>
    <x v="0"/>
    <n v="2141"/>
    <m/>
    <m/>
    <m/>
  </r>
  <r>
    <x v="8"/>
    <x v="5"/>
    <s v="C:\Users\andre\Desktop\REACTIV CEFAS\Prochloraz\Prochloraz/20201116_Cefas_Test6-Run1/Plate 1/@4/F4_02.tif "/>
    <s v=" 3374.2636 "/>
    <s v=" 35.4487 "/>
    <x v="0"/>
    <n v="119613"/>
    <m/>
    <m/>
    <m/>
  </r>
  <r>
    <x v="8"/>
    <x v="5"/>
    <s v="C:\Users\andre\Desktop\REACTIV CEFAS\Prochloraz\Prochloraz/20201116_Cefas_Test6-Run1/Plate 1/@4/F4_03.tif "/>
    <s v=" 6770.157 "/>
    <s v=" 39.2875 "/>
    <x v="0"/>
    <n v="265983"/>
    <m/>
    <m/>
    <m/>
  </r>
  <r>
    <x v="8"/>
    <x v="6"/>
    <s v="C:\Users\andre\Desktop\REACTIV CEFAS\Prochloraz\Prochloraz/20201116_Cefas_Test6-Run1/Plate 1/@4/G4_01.tif "/>
    <s v=" 38479.5825 "/>
    <s v=" 34.5346 "/>
    <x v="0"/>
    <n v="1328876"/>
    <m/>
    <m/>
    <m/>
  </r>
  <r>
    <x v="8"/>
    <x v="6"/>
    <s v="C:\Users\andre\Desktop\REACTIV CEFAS\Prochloraz\Prochloraz/20201116_Cefas_Test6-Run1/Plate 1/@4/G4_02.tif "/>
    <s v=" 32769.2904 "/>
    <s v=" 34.3465 "/>
    <x v="0"/>
    <n v="1125512"/>
    <m/>
    <m/>
    <m/>
  </r>
  <r>
    <x v="8"/>
    <x v="6"/>
    <s v="C:\Users\andre\Desktop\REACTIV CEFAS\Prochloraz\Prochloraz/20201116_Cefas_Test6-Run1/Plate 1/@4/G4_03.tif "/>
    <s v=" 37052.0095 "/>
    <s v=" 33.7782 "/>
    <x v="0"/>
    <n v="1251549"/>
    <m/>
    <m/>
    <m/>
  </r>
  <r>
    <x v="8"/>
    <x v="7"/>
    <s v="C:\Users\andre\Desktop\REACTIV CEFAS\Prochloraz\Prochloraz/20201116_Cefas_Test6-Run1/Plate 1/@4/H4_01.tif "/>
    <s v=" 65127.6127 "/>
    <s v=" 38.4756 "/>
    <x v="0"/>
    <n v="2505823"/>
    <m/>
    <m/>
    <m/>
  </r>
  <r>
    <x v="8"/>
    <x v="7"/>
    <s v="C:\Users\andre\Desktop\REACTIV CEFAS\Prochloraz\Prochloraz/20201116_Cefas_Test6-Run1/Plate 1/@4/H4_02.tif "/>
    <s v=" 62185.9471 "/>
    <s v=" 38.408 "/>
    <x v="0"/>
    <n v="2388438"/>
    <m/>
    <m/>
    <m/>
  </r>
  <r>
    <x v="8"/>
    <x v="7"/>
    <s v="C:\Users\andre\Desktop\REACTIV CEFAS\Prochloraz\Prochloraz/20201116_Cefas_Test6-Run1/Plate 1/@4/H4_03.tif "/>
    <s v=" 53360.95 "/>
    <s v=" 35.7921 "/>
    <x v="0"/>
    <n v="1909898"/>
    <m/>
    <m/>
    <m/>
  </r>
  <r>
    <x v="1"/>
    <x v="8"/>
    <s v=" "/>
    <m/>
    <m/>
    <x v="1"/>
    <m/>
    <m/>
    <m/>
    <m/>
  </r>
  <r>
    <x v="1"/>
    <x v="8"/>
    <s v="group "/>
    <s v=" "/>
    <s v=" mean of mean fluo "/>
    <x v="2"/>
    <s v=" mean of total fluo "/>
    <s v=" SD total fluo "/>
    <s v=" n fluorescent "/>
    <s v=" n total"/>
  </r>
  <r>
    <x v="8"/>
    <x v="9"/>
    <s v="C:\Users\andre\Desktop\REACTIV CEFAS\Prochloraz\Prochloraz/20201116_Cefas_Test6-Run1/Plate 1/@4/ "/>
    <s v=" "/>
    <s v=" 36.5336 "/>
    <x v="10"/>
    <s v=" 1156559.38 "/>
    <s v=" 977012.75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C:\Users\andre\Desktop\REACTIV CEFAS\Prochloraz\Prochloraz/20201116_Cefas_Test6-Run1/Plate 1/@5/A5_01.tif "/>
    <s v=" 76937.5352 "/>
    <s v=" 41.0869 "/>
    <x v="0"/>
    <n v="3161123"/>
    <m/>
    <m/>
    <m/>
  </r>
  <r>
    <x v="9"/>
    <x v="0"/>
    <s v="C:\Users\andre\Desktop\REACTIV CEFAS\Prochloraz\Prochloraz/20201116_Cefas_Test6-Run1/Plate 1/@5/A5_02.tif "/>
    <s v=" 68436.9866 "/>
    <s v=" 34.3056 "/>
    <x v="0"/>
    <n v="2347774"/>
    <m/>
    <m/>
    <m/>
  </r>
  <r>
    <x v="9"/>
    <x v="0"/>
    <s v="C:\Users\andre\Desktop\REACTIV CEFAS\Prochloraz\Prochloraz/20201116_Cefas_Test6-Run1/Plate 1/@5/A5_03.tif "/>
    <s v=" 73952.6097 "/>
    <s v=" 40.7672 "/>
    <x v="0"/>
    <n v="3014840"/>
    <m/>
    <m/>
    <m/>
  </r>
  <r>
    <x v="9"/>
    <x v="1"/>
    <s v="C:\Users\andre\Desktop\REACTIV CEFAS\Prochloraz\Prochloraz/20201116_Cefas_Test6-Run1/Plate 1/@5/B5_01.tif "/>
    <s v=" 37376.4579 "/>
    <s v=" 38.4977 "/>
    <x v="0"/>
    <n v="1438907"/>
    <m/>
    <m/>
    <m/>
  </r>
  <r>
    <x v="9"/>
    <x v="1"/>
    <s v="C:\Users\andre\Desktop\REACTIV CEFAS\Prochloraz\Prochloraz/20201116_Cefas_Test6-Run1/Plate 1/@5/B5_02.tif "/>
    <s v=" 39214.999 "/>
    <s v=" 38.6674 "/>
    <x v="0"/>
    <n v="1516342"/>
    <m/>
    <m/>
    <m/>
  </r>
  <r>
    <x v="9"/>
    <x v="1"/>
    <s v="C:\Users\andre\Desktop\REACTIV CEFAS\Prochloraz\Prochloraz/20201116_Cefas_Test6-Run1/Plate 1/@5/B5_03.tif "/>
    <s v=" 44081.7253 "/>
    <s v=" 43.5751 "/>
    <x v="0"/>
    <n v="1920864"/>
    <m/>
    <m/>
    <m/>
  </r>
  <r>
    <x v="9"/>
    <x v="2"/>
    <s v="C:\Users\andre\Desktop\REACTIV CEFAS\Prochloraz\Prochloraz/20201116_Cefas_Test6-Run1/Plate 1/@5/C5_01.tif "/>
    <s v=" 70491.8266 "/>
    <s v=" 40.7389 "/>
    <x v="0"/>
    <n v="2871758"/>
    <m/>
    <m/>
    <m/>
  </r>
  <r>
    <x v="9"/>
    <x v="2"/>
    <s v="C:\Users\andre\Desktop\REACTIV CEFAS\Prochloraz\Prochloraz/20201116_Cefas_Test6-Run1/Plate 1/@5/C5_02.tif "/>
    <s v=" 70729.7554 "/>
    <s v=" 41.4128 "/>
    <x v="0"/>
    <n v="2929120"/>
    <m/>
    <m/>
    <m/>
  </r>
  <r>
    <x v="9"/>
    <x v="2"/>
    <s v="C:\Users\andre\Desktop\REACTIV CEFAS\Prochloraz\Prochloraz/20201116_Cefas_Test6-Run1/Plate 1/@5/C5_03.tif "/>
    <s v=" 69453.5917 "/>
    <s v=" 41.0972 "/>
    <x v="0"/>
    <n v="2854346"/>
    <m/>
    <m/>
    <m/>
  </r>
  <r>
    <x v="9"/>
    <x v="3"/>
    <s v="C:\Users\andre\Desktop\REACTIV CEFAS\Prochloraz\Prochloraz/20201116_Cefas_Test6-Run1/Plate 1/@5/D5_01.tif "/>
    <s v=" 56713.5837 "/>
    <s v=" 39.7616 "/>
    <x v="0"/>
    <n v="2255025"/>
    <m/>
    <m/>
    <m/>
  </r>
  <r>
    <x v="9"/>
    <x v="3"/>
    <s v="C:\Users\andre\Desktop\REACTIV CEFAS\Prochloraz\Prochloraz/20201116_Cefas_Test6-Run1/Plate 1/@5/D5_02.tif "/>
    <s v=" 54572.2241 "/>
    <s v=" 38.4308 "/>
    <x v="0"/>
    <n v="2097256"/>
    <m/>
    <m/>
    <m/>
  </r>
  <r>
    <x v="9"/>
    <x v="3"/>
    <s v="C:\Users\andre\Desktop\REACTIV CEFAS\Prochloraz\Prochloraz/20201116_Cefas_Test6-Run1/Plate 1/@5/D5_03.tif "/>
    <s v=" 58790.0536 "/>
    <s v=" 39.94 "/>
    <x v="0"/>
    <n v="2348076"/>
    <m/>
    <m/>
    <m/>
  </r>
  <r>
    <x v="9"/>
    <x v="4"/>
    <s v="C:\Users\andre\Desktop\REACTIV CEFAS\Prochloraz\Prochloraz/20201116_Cefas_Test6-Run1/Plate 1/@5/E5_01.tif "/>
    <s v=" 58400.7155 "/>
    <s v=" 47.9378 "/>
    <x v="0"/>
    <n v="2799601"/>
    <m/>
    <m/>
    <m/>
  </r>
  <r>
    <x v="9"/>
    <x v="4"/>
    <s v="C:\Users\andre\Desktop\REACTIV CEFAS\Prochloraz\Prochloraz/20201116_Cefas_Test6-Run1/Plate 1/@5/E5_02.tif "/>
    <s v=" 68047.6485 "/>
    <s v=" 47.5842 "/>
    <x v="0"/>
    <n v="3237995"/>
    <m/>
    <m/>
    <m/>
  </r>
  <r>
    <x v="9"/>
    <x v="4"/>
    <s v="C:\Users\andre\Desktop\REACTIV CEFAS\Prochloraz\Prochloraz/20201116_Cefas_Test6-Run1/Plate 1/@5/E5_03.tif "/>
    <s v=" 64543.6056 "/>
    <s v=" 46.7983 "/>
    <x v="0"/>
    <n v="3020528"/>
    <m/>
    <m/>
    <m/>
  </r>
  <r>
    <x v="9"/>
    <x v="5"/>
    <s v="C:\Users\andre\Desktop\REACTIV CEFAS\Prochloraz\Prochloraz/20201116_Cefas_Test6-Run1/Plate 1/@5/F5_01.tif "/>
    <s v=" 38933.8103 "/>
    <s v=" 37.5089 "/>
    <x v="0"/>
    <n v="1460364"/>
    <m/>
    <m/>
    <m/>
  </r>
  <r>
    <x v="9"/>
    <x v="5"/>
    <s v="C:\Users\andre\Desktop\REACTIV CEFAS\Prochloraz\Prochloraz/20201116_Cefas_Test6-Run1/Plate 1/@5/F5_02.tif "/>
    <s v=" 39452.9278 "/>
    <s v=" 41.0099 "/>
    <x v="0"/>
    <n v="1617959"/>
    <m/>
    <m/>
    <m/>
  </r>
  <r>
    <x v="9"/>
    <x v="5"/>
    <s v="C:\Users\andre\Desktop\REACTIV CEFAS\Prochloraz\Prochloraz/20201116_Cefas_Test6-Run1/Plate 1/@5/F5_03.tif "/>
    <s v=" 34002.1944 "/>
    <s v=" 39.1972 "/>
    <x v="0"/>
    <n v="1332791"/>
    <m/>
    <m/>
    <m/>
  </r>
  <r>
    <x v="9"/>
    <x v="6"/>
    <s v="C:\Users\andre\Desktop\REACTIV CEFAS\Prochloraz\Prochloraz/20201116_Cefas_Test6-Run1/Plate 1/@5/G5_01.tif "/>
    <s v=" 67701.5702 "/>
    <s v=" 41.3486 "/>
    <x v="0"/>
    <n v="2799363"/>
    <m/>
    <m/>
    <m/>
  </r>
  <r>
    <x v="9"/>
    <x v="6"/>
    <s v="C:\Users\andre\Desktop\REACTIV CEFAS\Prochloraz\Prochloraz/20201116_Cefas_Test6-Run1/Plate 1/@5/G5_02.tif "/>
    <s v=" 68242.3176 "/>
    <s v=" 41.6406 "/>
    <x v="0"/>
    <n v="2841649"/>
    <m/>
    <m/>
    <m/>
  </r>
  <r>
    <x v="9"/>
    <x v="6"/>
    <s v="C:\Users\andre\Desktop\REACTIV CEFAS\Prochloraz\Prochloraz/20201116_Cefas_Test6-Run1/Plate 1/@5/G5_03.tif "/>
    <s v=" 61234.2317 "/>
    <s v=" 41.3539 "/>
    <x v="0"/>
    <n v="2532277"/>
    <m/>
    <m/>
    <m/>
  </r>
  <r>
    <x v="9"/>
    <x v="7"/>
    <s v="C:\Users\andre\Desktop\REACTIV CEFAS\Prochloraz\Prochloraz/20201116_Cefas_Test6-Run1/Plate 1/@5/H5_01.tif "/>
    <s v=" 71075.8338 "/>
    <s v=" 41.8561 "/>
    <x v="0"/>
    <n v="2974954"/>
    <m/>
    <m/>
    <m/>
  </r>
  <r>
    <x v="9"/>
    <x v="7"/>
    <s v="C:\Users\andre\Desktop\REACTIV CEFAS\Prochloraz\Prochloraz/20201116_Cefas_Test6-Run1/Plate 1/@5/H5_02.tif "/>
    <s v=" 65019.4633 "/>
    <s v=" 42.345 "/>
    <x v="0"/>
    <n v="2753248"/>
    <m/>
    <m/>
    <m/>
  </r>
  <r>
    <x v="9"/>
    <x v="7"/>
    <s v="C:\Users\andre\Desktop\REACTIV CEFAS\Prochloraz\Prochloraz/20201116_Cefas_Test6-Run1/Plate 1/@5/H5_03.tif "/>
    <s v=" 59482.2102 "/>
    <s v=" 37.6633 "/>
    <x v="0"/>
    <n v="2240295"/>
    <m/>
    <m/>
    <m/>
  </r>
  <r>
    <x v="1"/>
    <x v="8"/>
    <s v=" "/>
    <m/>
    <m/>
    <x v="1"/>
    <m/>
    <m/>
    <m/>
    <m/>
  </r>
  <r>
    <x v="1"/>
    <x v="8"/>
    <s v="group "/>
    <s v=" "/>
    <s v=" mean of mean fluo "/>
    <x v="2"/>
    <s v=" mean of total fluo "/>
    <s v=" SD total fluo "/>
    <s v=" n fluorescent "/>
    <s v=" n total"/>
  </r>
  <r>
    <x v="9"/>
    <x v="9"/>
    <s v="C:\Users\andre\Desktop\REACTIV CEFAS\Prochloraz\Prochloraz/20201116_Cefas_Test6-Run1/Plate 1/@5/ "/>
    <s v=" "/>
    <s v=" 41.0219 "/>
    <x v="11"/>
    <s v=" 2431935.62 "/>
    <s v=" 605315.05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C:\Users\andre\Desktop\REACTIV CEFAS\Prochloraz\Prochloraz/20201116_Cefas_Test6-Run1/Plate 1/@6/A6_01.tif "/>
    <s v=" 65279.022 "/>
    <s v=" 47.0971 "/>
    <x v="0"/>
    <n v="3074452"/>
    <m/>
    <m/>
    <m/>
  </r>
  <r>
    <x v="10"/>
    <x v="0"/>
    <s v="C:\Users\andre\Desktop\REACTIV CEFAS\Prochloraz\Prochloraz/20201116_Cefas_Test6-Run1/Plate 1/@6/A6_02.tif "/>
    <s v=" 67593.4207 "/>
    <s v=" 48.3126 "/>
    <x v="0"/>
    <n v="3265617"/>
    <m/>
    <m/>
    <m/>
  </r>
  <r>
    <x v="10"/>
    <x v="0"/>
    <s v="C:\Users\andre\Desktop\REACTIV CEFAS\Prochloraz\Prochloraz/20201116_Cefas_Test6-Run1/Plate 1/@6/A6_03.tif "/>
    <s v=" 59633.6195 "/>
    <s v=" 47.4868 "/>
    <x v="0"/>
    <n v="2831807"/>
    <m/>
    <m/>
    <m/>
  </r>
  <r>
    <x v="10"/>
    <x v="1"/>
    <s v="C:\Users\andre\Desktop\REACTIV CEFAS\Prochloraz\Prochloraz/20201116_Cefas_Test6-Run1/Plate 1/@6/B6_01.tif "/>
    <s v=" 8651.9579 "/>
    <s v=" 33.135 "/>
    <x v="0"/>
    <n v="286683"/>
    <m/>
    <m/>
    <m/>
  </r>
  <r>
    <x v="10"/>
    <x v="1"/>
    <s v="C:\Users\andre\Desktop\REACTIV CEFAS\Prochloraz\Prochloraz/20201116_Cefas_Test6-Run1/Plate 1/@6/B6_02.tif "/>
    <s v=" 14189.2109 "/>
    <s v=" 38.8613 "/>
    <x v="0"/>
    <n v="551411"/>
    <m/>
    <m/>
    <m/>
  </r>
  <r>
    <x v="10"/>
    <x v="1"/>
    <s v="C:\Users\andre\Desktop\REACTIV CEFAS\Prochloraz\Prochloraz/20201116_Cefas_Test6-Run1/Plate 1/@6/B6_03.tif "/>
    <s v=" 13972.9119 "/>
    <s v=" 38.356 "/>
    <x v="0"/>
    <n v="535946"/>
    <m/>
    <m/>
    <m/>
  </r>
  <r>
    <x v="10"/>
    <x v="2"/>
    <s v="C:\Users\andre\Desktop\REACTIV CEFAS\Prochloraz\Prochloraz/20201116_Cefas_Test6-Run1/Plate 1/@6/C6_01.tif "/>
    <s v=" 60628.5946 "/>
    <s v=" 52.7039 "/>
    <x v="0"/>
    <n v="3195363"/>
    <m/>
    <m/>
    <m/>
  </r>
  <r>
    <x v="10"/>
    <x v="2"/>
    <s v="C:\Users\andre\Desktop\REACTIV CEFAS\Prochloraz\Prochloraz/20201116_Cefas_Test6-Run1/Plate 1/@6/C6_02- exclu.tif"/>
    <m/>
    <m/>
    <x v="1"/>
    <m/>
    <m/>
    <m/>
    <m/>
  </r>
  <r>
    <x v="10"/>
    <x v="2"/>
    <s v="C:\Users\andre\Desktop\REACTIV CEFAS\Prochloraz\Prochloraz/20201116_Cefas_Test6-Run1/Plate 1/@6/C6_03.tif "/>
    <s v=" 63202.5521 "/>
    <s v=" 49.9493 "/>
    <x v="0"/>
    <n v="3156926"/>
    <m/>
    <m/>
    <m/>
  </r>
  <r>
    <x v="10"/>
    <x v="3"/>
    <s v="C:\Users\andre\Desktop\REACTIV CEFAS\Prochloraz\Prochloraz/20201116_Cefas_Test6-Run1/Plate 1/@6/D6_01.tif "/>
    <s v=" 81176.9945 "/>
    <s v=" 48.016 "/>
    <x v="0"/>
    <n v="3897794"/>
    <m/>
    <m/>
    <m/>
  </r>
  <r>
    <x v="10"/>
    <x v="3"/>
    <s v="C:\Users\andre\Desktop\REACTIV CEFAS\Prochloraz\Prochloraz/20201116_Cefas_Test6-Run1/Plate 1/@6/D6_02.tif "/>
    <s v=" 82885.7562 "/>
    <s v=" 51.3578 "/>
    <x v="0"/>
    <n v="4256828"/>
    <m/>
    <m/>
    <m/>
  </r>
  <r>
    <x v="10"/>
    <x v="3"/>
    <s v="C:\Users\andre\Desktop\REACTIV CEFAS\Prochloraz\Prochloraz/20201116_Cefas_Test6-Run1/Plate 1/@6/D6_03.tif "/>
    <s v=" 75380.1828 "/>
    <s v=" 47.6494 "/>
    <x v="0"/>
    <n v="3591817"/>
    <m/>
    <m/>
    <m/>
  </r>
  <r>
    <x v="10"/>
    <x v="4"/>
    <s v="C:\Users\andre\Desktop\REACTIV CEFAS\Prochloraz\Prochloraz/20201116_Cefas_Test6-Run1/Plate 1/@6/E6_01.tif "/>
    <s v=" 92640.8387 "/>
    <s v=" 50.4982 "/>
    <x v="0"/>
    <n v="4678200"/>
    <m/>
    <m/>
    <m/>
  </r>
  <r>
    <x v="10"/>
    <x v="4"/>
    <s v="C:\Users\andre\Desktop\REACTIV CEFAS\Prochloraz\Prochloraz/20201116_Cefas_Test6-Run1/Plate 1/@6/E6_02.tif "/>
    <s v=" 99865.2235 "/>
    <s v=" 50.3405 "/>
    <x v="0"/>
    <n v="5027263"/>
    <m/>
    <m/>
    <m/>
  </r>
  <r>
    <x v="10"/>
    <x v="4"/>
    <s v="C:\Users\andre\Desktop\REACTIV CEFAS\Prochloraz\Prochloraz/20201116_Cefas_Test6-Run1/Plate 1/@6/E6_03.tif "/>
    <s v=" 88574.4185 "/>
    <s v=" 48.6369 "/>
    <x v="0"/>
    <n v="4307983"/>
    <m/>
    <m/>
    <m/>
  </r>
  <r>
    <x v="10"/>
    <x v="5"/>
    <s v="C:\Users\andre\Desktop\REACTIV CEFAS\Prochloraz\Prochloraz/20201116_Cefas_Test6-Run1/Plate 1/@6/F6_01.tif "/>
    <s v=" 73433.4923 "/>
    <s v=" 44.8872 "/>
    <x v="0"/>
    <n v="3296223"/>
    <m/>
    <m/>
    <m/>
  </r>
  <r>
    <x v="10"/>
    <x v="5"/>
    <s v="C:\Users\andre\Desktop\REACTIV CEFAS\Prochloraz\Prochloraz/20201116_Cefas_Test6-Run1/Plate 1/@6/F6_02.tif "/>
    <s v=" 69150.7731 "/>
    <s v=" 41.9697 "/>
    <x v="0"/>
    <n v="2902234"/>
    <m/>
    <m/>
    <m/>
  </r>
  <r>
    <x v="10"/>
    <x v="5"/>
    <s v="C:\Users\andre\Desktop\REACTIV CEFAS\Prochloraz\Prochloraz/20201116_Cefas_Test6-Run1/Plate 1/@6/F6_03.tif "/>
    <s v=" 69020.9938 "/>
    <s v=" 41.4698 "/>
    <x v="0"/>
    <n v="2862284"/>
    <m/>
    <m/>
    <m/>
  </r>
  <r>
    <x v="10"/>
    <x v="6"/>
    <s v="C:\Users\andre\Desktop\REACTIV CEFAS\Prochloraz\Prochloraz/20201116_Cefas_Test6-Run1/Plate 1/@6/G6_01- exclu.tif"/>
    <m/>
    <m/>
    <x v="1"/>
    <m/>
    <m/>
    <m/>
    <m/>
  </r>
  <r>
    <x v="10"/>
    <x v="6"/>
    <s v="C:\Users\andre\Desktop\REACTIV CEFAS\Prochloraz\Prochloraz/20201116_Cefas_Test6-Run1/Plate 1/@6/G6_02- exclu.tif"/>
    <m/>
    <m/>
    <x v="1"/>
    <m/>
    <m/>
    <m/>
    <m/>
  </r>
  <r>
    <x v="10"/>
    <x v="6"/>
    <s v="C:\Users\andre\Desktop\REACTIV CEFAS\Prochloraz\Prochloraz/20201116_Cefas_Test6-Run1/Plate 1/@6/G6_03- exclu.tif"/>
    <m/>
    <m/>
    <x v="1"/>
    <m/>
    <m/>
    <m/>
    <m/>
  </r>
  <r>
    <x v="10"/>
    <x v="7"/>
    <s v="C:\Users\andre\Desktop\REACTIV CEFAS\Prochloraz\Prochloraz/20201116_Cefas_Test6-Run1/Plate 1/@6/H6_01.tif "/>
    <s v=" 39323.1484 "/>
    <s v=" 38.2525 "/>
    <x v="0"/>
    <n v="1504208"/>
    <m/>
    <m/>
    <m/>
  </r>
  <r>
    <x v="10"/>
    <x v="7"/>
    <s v="C:\Users\andre\Desktop\REACTIV CEFAS\Prochloraz\Prochloraz/20201116_Cefas_Test6-Run1/Plate 1/@6/H6_02.tif "/>
    <s v=" 48083.2558 "/>
    <s v=" 37.9613 "/>
    <x v="0"/>
    <n v="1825304"/>
    <m/>
    <m/>
    <m/>
  </r>
  <r>
    <x v="10"/>
    <x v="7"/>
    <s v="C:\Users\andre\Desktop\REACTIV CEFAS\Prochloraz\Prochloraz/20201116_Cefas_Test6-Run1/Plate 1/@6/H6_03.tif "/>
    <s v=" 24960.8984 "/>
    <s v=" 42.1464 "/>
    <x v="0"/>
    <n v="1052013"/>
    <m/>
    <m/>
    <m/>
  </r>
  <r>
    <x v="1"/>
    <x v="8"/>
    <s v=" "/>
    <m/>
    <m/>
    <x v="1"/>
    <m/>
    <m/>
    <m/>
    <m/>
  </r>
  <r>
    <x v="1"/>
    <x v="8"/>
    <s v="group "/>
    <s v=" "/>
    <s v=" mean of mean fluo "/>
    <x v="2"/>
    <s v=" mean of total fluo "/>
    <s v=" SD total fluo "/>
    <s v=" n fluorescent "/>
    <s v=" n total"/>
  </r>
  <r>
    <x v="10"/>
    <x v="9"/>
    <s v="C:\Users\andre\Desktop\REACTIV CEFAS\Prochloraz\Prochloraz/20201116_Cefas_Test6-Run1/Plate 1/@6/ "/>
    <s v=" "/>
    <s v=" 43.5561 "/>
    <x v="12"/>
    <s v=" 2409464.88 "/>
    <s v=" 1595160.5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C:\Users\andre\Desktop\REACTIV CEFAS\Prochloraz\Prochloraz/20201116_Cefas_Test6-Run1/Plate 1/@7/A7_01.tif "/>
    <s v=" 76872.6455 "/>
    <s v=" 58.3655 "/>
    <x v="0"/>
    <n v="4486711"/>
    <m/>
    <m/>
    <m/>
  </r>
  <r>
    <x v="11"/>
    <x v="0"/>
    <s v="C:\Users\andre\Desktop\REACTIV CEFAS\Prochloraz\Prochloraz/20201116_Cefas_Test6-Run1/Plate 1/@7/A7_02.tif "/>
    <s v=" 73563.2716 "/>
    <s v=" 51.4699 "/>
    <x v="0"/>
    <n v="3786291"/>
    <m/>
    <m/>
    <m/>
  </r>
  <r>
    <x v="11"/>
    <x v="0"/>
    <s v="C:\Users\andre\Desktop\REACTIV CEFAS\Prochloraz\Prochloraz/20201116_Cefas_Test6-Run1/Plate 1/@7/A7_03.tif "/>
    <s v=" 79662.9019 "/>
    <s v=" 52.3649 "/>
    <x v="0"/>
    <n v="4171541"/>
    <m/>
    <m/>
    <m/>
  </r>
  <r>
    <x v="11"/>
    <x v="1"/>
    <s v="C:\Users\andre\Desktop\REACTIV CEFAS\Prochloraz\Prochloraz/20201116_Cefas_Test6-Run1/Plate 1/@7/B7_01.tif "/>
    <s v=" 64911.3138 "/>
    <s v=" 53.7048 "/>
    <x v="0"/>
    <n v="3486047"/>
    <m/>
    <m/>
    <m/>
  </r>
  <r>
    <x v="11"/>
    <x v="1"/>
    <s v="C:\Users\andre\Desktop\REACTIV CEFAS\Prochloraz\Prochloraz/20201116_Cefas_Test6-Run1/Plate 1/@7/B7_02.tif "/>
    <s v=" 67831.3496 "/>
    <s v=" 53.6489 "/>
    <x v="0"/>
    <n v="3639078"/>
    <m/>
    <m/>
    <m/>
  </r>
  <r>
    <x v="11"/>
    <x v="1"/>
    <s v="C:\Users\andre\Desktop\REACTIV CEFAS\Prochloraz\Prochloraz/20201116_Cefas_Test6-Run1/Plate 1/@7/B7_03.tif "/>
    <s v=" 72438.5171 "/>
    <s v=" 57.0911 "/>
    <x v="0"/>
    <n v="4135593"/>
    <m/>
    <m/>
    <m/>
  </r>
  <r>
    <x v="11"/>
    <x v="2"/>
    <s v="C:\Users\andre\Desktop\REACTIV CEFAS\Prochloraz\Prochloraz/20201116_Cefas_Test6-Run1/Plate 1/@7/C7_01.tif "/>
    <s v=" 84551.2581 "/>
    <s v=" 62.3154 "/>
    <x v="0"/>
    <n v="5268848"/>
    <m/>
    <m/>
    <m/>
  </r>
  <r>
    <x v="11"/>
    <x v="2"/>
    <s v="C:\Users\andre\Desktop\REACTIV CEFAS\Prochloraz\Prochloraz/20201116_Cefas_Test6-Run1/Plate 1/@7/C7_02.tif "/>
    <s v=" 90110.141 "/>
    <s v=" 59.2712 "/>
    <x v="0"/>
    <n v="5340940"/>
    <m/>
    <m/>
    <m/>
  </r>
  <r>
    <x v="11"/>
    <x v="2"/>
    <s v="C:\Users\andre\Desktop\REACTIV CEFAS\Prochloraz\Prochloraz/20201116_Cefas_Test6-Run1/Plate 1/@7/C7_03.tif "/>
    <s v=" 85438.0838 "/>
    <s v=" 58.2729 "/>
    <x v="0"/>
    <n v="4978726"/>
    <m/>
    <m/>
    <m/>
  </r>
  <r>
    <x v="11"/>
    <x v="3"/>
    <s v="C:\Users\andre\Desktop\REACTIV CEFAS\Prochloraz\Prochloraz/20201116_Cefas_Test6-Run1/Plate 1/@7/D7_01.tif "/>
    <s v=" 73130.6737 "/>
    <s v=" 55.0834 "/>
    <x v="0"/>
    <n v="4028287"/>
    <m/>
    <m/>
    <m/>
  </r>
  <r>
    <x v="11"/>
    <x v="3"/>
    <s v="C:\Users\andre\Desktop\REACTIV CEFAS\Prochloraz\Prochloraz/20201116_Cefas_Test6-Run1/Plate 1/@7/D7_02.tif "/>
    <s v=" 72481.7769 "/>
    <s v=" 61.5936 "/>
    <x v="0"/>
    <n v="4464410"/>
    <m/>
    <m/>
    <m/>
  </r>
  <r>
    <x v="11"/>
    <x v="3"/>
    <s v="C:\Users\andre\Desktop\REACTIV CEFAS\Prochloraz\Prochloraz/20201116_Cefas_Test6-Run1/Plate 1/@7/D7_03.tif "/>
    <s v=" 70318.7874 "/>
    <s v=" 61.2931 "/>
    <x v="0"/>
    <n v="4310059"/>
    <m/>
    <m/>
    <m/>
  </r>
  <r>
    <x v="11"/>
    <x v="4"/>
    <s v="C:\Users\andre\Desktop\REACTIV CEFAS\Prochloraz\Prochloraz/20201116_Cefas_Test6-Run1/Plate 1/@7/E7_01- exclu.tif"/>
    <m/>
    <m/>
    <x v="1"/>
    <m/>
    <m/>
    <m/>
    <m/>
  </r>
  <r>
    <x v="11"/>
    <x v="4"/>
    <s v="C:\Users\andre\Desktop\REACTIV CEFAS\Prochloraz\Prochloraz/20201116_Cefas_Test6-Run1/Plate 1/@7/E7_02.tif "/>
    <s v=" 76267.0085 "/>
    <s v=" 58.6653 "/>
    <x v="0"/>
    <n v="4474230"/>
    <m/>
    <m/>
    <m/>
  </r>
  <r>
    <x v="11"/>
    <x v="4"/>
    <s v="C:\Users\andre\Desktop\REACTIV CEFAS\Prochloraz\Prochloraz/20201116_Cefas_Test6-Run1/Plate 1/@7/E7_03.tif "/>
    <s v=" 64240.787 "/>
    <s v=" 61.8593 "/>
    <x v="0"/>
    <n v="3973888"/>
    <m/>
    <m/>
    <m/>
  </r>
  <r>
    <x v="11"/>
    <x v="5"/>
    <s v="C:\Users\andre\Desktop\REACTIV CEFAS\Prochloraz\Prochloraz/20201116_Cefas_Test6-Run1/Plate 1/@7/F7_01.tif "/>
    <s v=" 79208.6741 "/>
    <s v=" 52.3815 "/>
    <x v="0"/>
    <n v="4149068"/>
    <m/>
    <m/>
    <m/>
  </r>
  <r>
    <x v="11"/>
    <x v="5"/>
    <s v="C:\Users\andre\Desktop\REACTIV CEFAS\Prochloraz\Prochloraz/20201116_Cefas_Test6-Run1/Plate 1/@7/F7_02.tif "/>
    <s v=" 69669.8906 "/>
    <s v=" 53.9618 "/>
    <x v="0"/>
    <n v="3759514"/>
    <m/>
    <m/>
    <m/>
  </r>
  <r>
    <x v="11"/>
    <x v="5"/>
    <s v="C:\Users\andre\Desktop\REACTIV CEFAS\Prochloraz\Prochloraz/20201116_Cefas_Test6-Run1/Plate 1/@7/F7_03.tif "/>
    <s v=" 77175.464 "/>
    <s v=" 53.9986 "/>
    <x v="0"/>
    <n v="4167367"/>
    <m/>
    <m/>
    <m/>
  </r>
  <r>
    <x v="11"/>
    <x v="6"/>
    <s v="C:\Users\andre\Desktop\REACTIV CEFAS\Prochloraz\Prochloraz/20201116_Cefas_Test6-Run1/Plate 1/@7/G7_01.tif "/>
    <s v=" 88833.9772 "/>
    <s v=" 54.5103 "/>
    <x v="0"/>
    <n v="4842371"/>
    <m/>
    <m/>
    <m/>
  </r>
  <r>
    <x v="11"/>
    <x v="6"/>
    <s v="C:\Users\andre\Desktop\REACTIV CEFAS\Prochloraz\Prochloraz/20201116_Cefas_Test6-Run1/Plate 1/@7/G7_02.tif "/>
    <s v=" 92727.3583 "/>
    <s v=" 58.4616 "/>
    <x v="0"/>
    <n v="5420992"/>
    <m/>
    <m/>
    <m/>
  </r>
  <r>
    <x v="11"/>
    <x v="6"/>
    <s v="C:\Users\andre\Desktop\REACTIV CEFAS\Prochloraz\Prochloraz/20201116_Cefas_Test6-Run1/Plate 1/@7/G7_03.tif "/>
    <s v=" 92316.3903 "/>
    <s v=" 58.6354 "/>
    <x v="0"/>
    <n v="5413011"/>
    <m/>
    <m/>
    <m/>
  </r>
  <r>
    <x v="11"/>
    <x v="7"/>
    <s v="C:\Users\andre\Desktop\REACTIV CEFAS\Prochloraz\Prochloraz/20201116_Cefas_Test6-Run1/Plate 1/@7/H7_01.tif "/>
    <s v=" 81068.8451 "/>
    <s v=" 51.5229 "/>
    <x v="0"/>
    <n v="4176906"/>
    <m/>
    <m/>
    <m/>
  </r>
  <r>
    <x v="11"/>
    <x v="7"/>
    <s v="C:\Users\andre\Desktop\REACTIV CEFAS\Prochloraz\Prochloraz/20201116_Cefas_Test6-Run1/Plate 1/@7/H7_02.tif "/>
    <s v=" 79944.0905 "/>
    <s v=" 49.0087 "/>
    <x v="0"/>
    <n v="3917953"/>
    <m/>
    <m/>
    <m/>
  </r>
  <r>
    <x v="11"/>
    <x v="7"/>
    <s v="C:\Users\andre\Desktop\REACTIV CEFAS\Prochloraz\Prochloraz/20201116_Cefas_Test6-Run1/Plate 1/@7/H7_03.tif "/>
    <s v=" 68934.4742 "/>
    <s v=" 52.8337 "/>
    <x v="0"/>
    <n v="3642063"/>
    <m/>
    <m/>
    <m/>
  </r>
  <r>
    <x v="1"/>
    <x v="8"/>
    <s v=" "/>
    <m/>
    <m/>
    <x v="1"/>
    <m/>
    <m/>
    <m/>
    <m/>
  </r>
  <r>
    <x v="1"/>
    <x v="8"/>
    <s v="group "/>
    <s v=" "/>
    <s v=" mean of mean fluo "/>
    <x v="2"/>
    <s v=" mean of total fluo "/>
    <s v=" SD total fluo "/>
    <s v=" n fluorescent "/>
    <s v=" n total"/>
  </r>
  <r>
    <x v="11"/>
    <x v="9"/>
    <s v="C:\Users\andre\Desktop\REACTIV CEFAS\Prochloraz\Prochloraz/20201116_Cefas_Test6-Run1/Plate 1/@7/ "/>
    <s v=" "/>
    <s v=" 56.2702 "/>
    <x v="13"/>
    <s v=" 4269810.62 "/>
    <s v=" 701246.65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C:\Users\andre\Desktop\REACTIV CEFAS\Prochloraz\Prochloraz/20201116_Cefas_Test6-Run1/Plate 5/@10/A4_01- exclu.tif"/>
    <m/>
    <m/>
    <x v="1"/>
    <m/>
    <m/>
    <m/>
    <m/>
  </r>
  <r>
    <x v="12"/>
    <x v="0"/>
    <s v="C:\Users\andre\Desktop\REACTIV CEFAS\Prochloraz\Prochloraz/20201116_Cefas_Test6-Run1/Plate 5/@10/A4_02.tif "/>
    <s v=" 13367.2749 "/>
    <s v=" 38.8026 "/>
    <x v="0"/>
    <n v="518685"/>
    <m/>
    <m/>
    <m/>
  </r>
  <r>
    <x v="12"/>
    <x v="0"/>
    <s v="C:\Users\andre\Desktop\REACTIV CEFAS\Prochloraz\Prochloraz/20201116_Cefas_Test6-Run1/Plate 5/@10/A4_03.tif "/>
    <s v=" 10166.0505 "/>
    <s v=" 35.0085 "/>
    <x v="0"/>
    <n v="355898"/>
    <m/>
    <m/>
    <m/>
  </r>
  <r>
    <x v="12"/>
    <x v="1"/>
    <s v="C:\Users\andre\Desktop\REACTIV CEFAS\Prochloraz\Prochloraz/20201116_Cefas_Test6-Run1/Plate 5/@10/B4_01.tif "/>
    <s v=" 9603.6732 "/>
    <s v=" 38.3198 "/>
    <x v="0"/>
    <n v="368011"/>
    <m/>
    <m/>
    <m/>
  </r>
  <r>
    <x v="12"/>
    <x v="1"/>
    <s v="C:\Users\andre\Desktop\REACTIV CEFAS\Prochloraz\Prochloraz/20201116_Cefas_Test6-Run1/Plate 5/@10/B4_02.tif "/>
    <s v=" 8543.8084 "/>
    <s v=" 38.4785 "/>
    <x v="0"/>
    <n v="328753"/>
    <m/>
    <m/>
    <m/>
  </r>
  <r>
    <x v="12"/>
    <x v="1"/>
    <s v="C:\Users\andre\Desktop\REACTIV CEFAS\Prochloraz\Prochloraz/20201116_Cefas_Test6-Run1/Plate 5/@10/B4_03.tif "/>
    <s v=" 11658.5132 "/>
    <s v=" 40.2523 "/>
    <x v="0"/>
    <n v="469282"/>
    <m/>
    <m/>
    <m/>
  </r>
  <r>
    <x v="12"/>
    <x v="2"/>
    <s v="C:\Users\andre\Desktop\REACTIV CEFAS\Prochloraz\Prochloraz/20201116_Cefas_Test6-Run1/Plate 5/@10/C4_01- exclu.tif"/>
    <m/>
    <m/>
    <x v="1"/>
    <m/>
    <m/>
    <m/>
    <m/>
  </r>
  <r>
    <x v="12"/>
    <x v="2"/>
    <s v="C:\Users\andre\Desktop\REACTIV CEFAS\Prochloraz\Prochloraz/20201116_Cefas_Test6-Run1/Plate 5/@10/C4_02.tif "/>
    <s v=" 8630.328 "/>
    <s v=" 38.7719 "/>
    <x v="0"/>
    <n v="334614"/>
    <m/>
    <m/>
    <m/>
  </r>
  <r>
    <x v="12"/>
    <x v="2"/>
    <s v="C:\Users\andre\Desktop\REACTIV CEFAS\Prochloraz\Prochloraz/20201116_Cefas_Test6-Run1/Plate 5/@10/C4_03.tif "/>
    <s v=" 5277.6943 "/>
    <s v=" 38.1066 "/>
    <x v="0"/>
    <n v="201115"/>
    <m/>
    <m/>
    <m/>
  </r>
  <r>
    <x v="12"/>
    <x v="3"/>
    <s v="C:\Users\andre\Desktop\REACTIV CEFAS\Prochloraz\Prochloraz/20201116_Cefas_Test6-Run1/Plate 5/@10/D4_01.tif "/>
    <n v="0"/>
    <n v="0"/>
    <x v="0"/>
    <n v="0"/>
    <m/>
    <m/>
    <m/>
  </r>
  <r>
    <x v="12"/>
    <x v="3"/>
    <s v="C:\Users\andre\Desktop\REACTIV CEFAS\Prochloraz\Prochloraz/20201116_Cefas_Test6-Run1/Plate 5/@10/D4_02.tif "/>
    <n v="0"/>
    <n v="0"/>
    <x v="0"/>
    <n v="0"/>
    <m/>
    <m/>
    <m/>
  </r>
  <r>
    <x v="12"/>
    <x v="3"/>
    <s v="C:\Users\andre\Desktop\REACTIV CEFAS\Prochloraz\Prochloraz/20201116_Cefas_Test6-Run1/Plate 5/@10/D4_03.tif "/>
    <s v=" 7635.3528 "/>
    <s v=" 36.7422 "/>
    <x v="0"/>
    <n v="280540"/>
    <m/>
    <m/>
    <m/>
  </r>
  <r>
    <x v="12"/>
    <x v="4"/>
    <s v="C:\Users\andre\Desktop\REACTIV CEFAS\Prochloraz\Prochloraz/20201116_Cefas_Test6-Run1/Plate 5/@10/E4_01.tif "/>
    <s v=" 6294.2993 "/>
    <s v=" 39.7079 "/>
    <x v="0"/>
    <n v="249933"/>
    <m/>
    <m/>
    <m/>
  </r>
  <r>
    <x v="12"/>
    <x v="4"/>
    <s v="C:\Users\andre\Desktop\REACTIV CEFAS\Prochloraz\Prochloraz/20201116_Cefas_Test6-Run1/Plate 5/@10/E4_02.tif "/>
    <s v=" 6402.4488 "/>
    <s v=" 38.5203 "/>
    <x v="0"/>
    <n v="246624"/>
    <m/>
    <m/>
    <m/>
  </r>
  <r>
    <x v="12"/>
    <x v="4"/>
    <s v="C:\Users\andre\Desktop\REACTIV CEFAS\Prochloraz\Prochloraz/20201116_Cefas_Test6-Run1/Plate 5/@10/E4_03.tif "/>
    <s v=" 4023.1604 "/>
    <s v=" 31.6129 "/>
    <x v="0"/>
    <n v="127184"/>
    <m/>
    <m/>
    <m/>
  </r>
  <r>
    <x v="12"/>
    <x v="5"/>
    <s v="C:\Users\andre\Desktop\REACTIV CEFAS\Prochloraz\Prochloraz/20201116_Cefas_Test6-Run1/Plate 5/@10/F4_01.tif "/>
    <s v=" 3741.9718 "/>
    <s v=" 35.3757 "/>
    <x v="0"/>
    <n v="132375"/>
    <m/>
    <m/>
    <m/>
  </r>
  <r>
    <x v="12"/>
    <x v="5"/>
    <s v="C:\Users\andre\Desktop\REACTIV CEFAS\Prochloraz\Prochloraz/20201116_Cefas_Test6-Run1/Plate 5/@10/F4_02.tif "/>
    <n v="0"/>
    <n v="0"/>
    <x v="0"/>
    <n v="0"/>
    <m/>
    <m/>
    <m/>
  </r>
  <r>
    <x v="12"/>
    <x v="5"/>
    <s v="C:\Users\andre\Desktop\REACTIV CEFAS\Prochloraz\Prochloraz/20201116_Cefas_Test6-Run1/Plate 5/@10/F4_03.tif "/>
    <s v=" 3871.7511 "/>
    <s v=" 41.2793 "/>
    <x v="0"/>
    <n v="159823"/>
    <m/>
    <m/>
    <m/>
  </r>
  <r>
    <x v="12"/>
    <x v="6"/>
    <s v="C:\Users\andre\Desktop\REACTIV CEFAS\Prochloraz\Prochloraz/20201116_Cefas_Test6-Run1/Plate 5/@10/G4_01.tif "/>
    <s v=" 5234.4345 "/>
    <s v=" 35.6612 "/>
    <x v="0"/>
    <n v="186666"/>
    <m/>
    <m/>
    <m/>
  </r>
  <r>
    <x v="12"/>
    <x v="6"/>
    <s v="C:\Users\andre\Desktop\REACTIV CEFAS\Prochloraz\Prochloraz/20201116_Cefas_Test6-Run1/Plate 5/@10/G4_02.tif "/>
    <s v=" 4931.616 "/>
    <s v=" 36.9254 "/>
    <x v="0"/>
    <n v="182102"/>
    <m/>
    <m/>
    <m/>
  </r>
  <r>
    <x v="12"/>
    <x v="6"/>
    <s v="C:\Users\andre\Desktop\REACTIV CEFAS\Prochloraz\Prochloraz/20201116_Cefas_Test6-Run1/Plate 5/@10/G4_03.tif "/>
    <s v=" 5039.7654 "/>
    <s v=" 37.1459 "/>
    <x v="0"/>
    <n v="187207"/>
    <m/>
    <m/>
    <m/>
  </r>
  <r>
    <x v="12"/>
    <x v="7"/>
    <s v="C:\Users\andre\Desktop\REACTIV CEFAS\Prochloraz\Prochloraz/20201116_Cefas_Test6-Run1/Plate 5/@10/H4_01.tif "/>
    <s v=" 4693.6871 "/>
    <s v=" 33.3917 "/>
    <x v="0"/>
    <n v="156730"/>
    <m/>
    <m/>
    <m/>
  </r>
  <r>
    <x v="12"/>
    <x v="7"/>
    <s v="C:\Users\andre\Desktop\REACTIV CEFAS\Prochloraz\Prochloraz/20201116_Cefas_Test6-Run1/Plate 5/@10/H4_02.tif "/>
    <s v=" 21.6299 "/>
    <n v="31"/>
    <x v="0"/>
    <n v="671"/>
    <m/>
    <m/>
    <m/>
  </r>
  <r>
    <x v="12"/>
    <x v="7"/>
    <s v="C:\Users\andre\Desktop\REACTIV CEFAS\Prochloraz\Prochloraz/20201116_Cefas_Test6-Run1/Plate 5/@10/H4_03.tif "/>
    <s v=" 951.7154 "/>
    <s v=" 31.1818 "/>
    <x v="0"/>
    <n v="29676"/>
    <m/>
    <m/>
    <m/>
  </r>
  <r>
    <x v="1"/>
    <x v="8"/>
    <s v=" "/>
    <m/>
    <m/>
    <x v="1"/>
    <m/>
    <m/>
    <m/>
    <m/>
  </r>
  <r>
    <x v="1"/>
    <x v="8"/>
    <s v="group "/>
    <s v=" "/>
    <s v=" mean of mean fluo "/>
    <x v="2"/>
    <s v=" mean of total fluo "/>
    <s v=" SD total fluo "/>
    <s v=" n fluorescent "/>
    <s v=" n total"/>
  </r>
  <r>
    <x v="12"/>
    <x v="9"/>
    <s v="C:\Users\andre\Desktop\REACTIV CEFAS\Prochloraz\Prochloraz/20201116_Cefas_Test6-Run1/Plate 5/@10/ "/>
    <s v=" "/>
    <s v=" 29.0119 "/>
    <x v="14"/>
    <s v=" 188162.042 "/>
    <s v=" 154899.788 "/>
    <n v="19"/>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C:\Users\andre\Desktop\REACTIV CEFAS\Prochloraz\Prochloraz/20201116_Cefas_Test6-Run1/Plate 5/@11/A5_01.tif "/>
    <s v=" 8176.1002 "/>
    <s v=" 37.7249 "/>
    <x v="0"/>
    <n v="308442"/>
    <m/>
    <m/>
    <m/>
  </r>
  <r>
    <x v="13"/>
    <x v="0"/>
    <s v="C:\Users\andre\Desktop\REACTIV CEFAS\Prochloraz\Prochloraz/20201116_Cefas_Test6-Run1/Plate 5/@11/A5_02.tif "/>
    <s v=" 9041.296 "/>
    <s v=" 36.323 "/>
    <x v="0"/>
    <n v="328407"/>
    <m/>
    <m/>
    <m/>
  </r>
  <r>
    <x v="13"/>
    <x v="0"/>
    <s v="C:\Users\andre\Desktop\REACTIV CEFAS\Prochloraz\Prochloraz/20201116_Cefas_Test6-Run1/Plate 5/@11/A5_03.tif "/>
    <s v=" 43.2598 "/>
    <n v="31"/>
    <x v="0"/>
    <n v="1341"/>
    <m/>
    <m/>
    <m/>
  </r>
  <r>
    <x v="13"/>
    <x v="1"/>
    <s v="C:\Users\andre\Desktop\REACTIV CEFAS\Prochloraz\Prochloraz/20201116_Cefas_Test6-Run1/Plate 5/@11/B5_01.tif "/>
    <s v=" 6424.0787 "/>
    <s v=" 35.8586 "/>
    <x v="0"/>
    <n v="230358"/>
    <m/>
    <m/>
    <m/>
  </r>
  <r>
    <x v="13"/>
    <x v="1"/>
    <s v="C:\Users\andre\Desktop\REACTIV CEFAS\Prochloraz\Prochloraz/20201116_Cefas_Test6-Run1/Plate 5/@11/B5_02.tif "/>
    <s v=" 3936.6408 "/>
    <s v=" 37.3077 "/>
    <x v="0"/>
    <n v="146867"/>
    <m/>
    <m/>
    <m/>
  </r>
  <r>
    <x v="13"/>
    <x v="1"/>
    <s v="C:\Users\andre\Desktop\REACTIV CEFAS\Prochloraz\Prochloraz/20201116_Cefas_Test6-Run1/Plate 5/@11/B5_03.tif "/>
    <s v=" 5126.285 "/>
    <s v=" 38.7553 "/>
    <x v="0"/>
    <n v="198671"/>
    <m/>
    <m/>
    <m/>
  </r>
  <r>
    <x v="13"/>
    <x v="2"/>
    <s v="C:\Users\andre\Desktop\REACTIV CEFAS\Prochloraz\Prochloraz/20201116_Cefas_Test6-Run1/Plate 5/@11/C5_01.tif "/>
    <s v=" 2422.5482 "/>
    <s v=" 33.8661 "/>
    <x v="0"/>
    <n v="82042"/>
    <m/>
    <m/>
    <m/>
  </r>
  <r>
    <x v="13"/>
    <x v="2"/>
    <s v="C:\Users\andre\Desktop\REACTIV CEFAS\Prochloraz\Prochloraz/20201116_Cefas_Test6-Run1/Plate 5/@11/C5_02.tif "/>
    <s v=" 1622.2421 "/>
    <s v=" 33.7067 "/>
    <x v="0"/>
    <n v="54680"/>
    <m/>
    <m/>
    <m/>
  </r>
  <r>
    <x v="13"/>
    <x v="2"/>
    <s v="C:\Users\andre\Desktop\REACTIV CEFAS\Prochloraz\Prochloraz/20201116_Cefas_Test6-Run1/Plate 5/@11/C5_03.tif "/>
    <s v=" 735.4164 "/>
    <s v=" 30.6765 "/>
    <x v="0"/>
    <n v="22560"/>
    <m/>
    <m/>
    <m/>
  </r>
  <r>
    <x v="13"/>
    <x v="3"/>
    <s v="C:\Users\andre\Desktop\REACTIV CEFAS\Prochloraz\Prochloraz/20201116_Cefas_Test6-Run1/Plate 5/@11/D5_01.tif "/>
    <s v=" 7224.3848 "/>
    <s v=" 36.6587 "/>
    <x v="0"/>
    <n v="264836"/>
    <m/>
    <m/>
    <m/>
  </r>
  <r>
    <x v="13"/>
    <x v="3"/>
    <s v="C:\Users\andre\Desktop\REACTIV CEFAS\Prochloraz\Prochloraz/20201116_Cefas_Test6-Run1/Plate 5/@11/D5_02.tif "/>
    <s v=" 5256.0644 "/>
    <s v=" 37.5761 "/>
    <x v="0"/>
    <n v="197503"/>
    <m/>
    <m/>
    <m/>
  </r>
  <r>
    <x v="13"/>
    <x v="3"/>
    <s v="C:\Users\andre\Desktop\REACTIV CEFAS\Prochloraz\Prochloraz/20201116_Cefas_Test6-Run1/Plate 5/@11/D5_03.tif "/>
    <s v=" 8327.5094 "/>
    <s v=" 38.7455 "/>
    <x v="0"/>
    <n v="322653"/>
    <m/>
    <m/>
    <m/>
  </r>
  <r>
    <x v="13"/>
    <x v="4"/>
    <s v="C:\Users\andre\Desktop\REACTIV CEFAS\Prochloraz\Prochloraz/20201116_Cefas_Test6-Run1/Plate 5/@11/E5_01.tif "/>
    <s v=" 3287.744 "/>
    <s v=" 37.2763 "/>
    <x v="0"/>
    <n v="122555"/>
    <m/>
    <m/>
    <m/>
  </r>
  <r>
    <x v="13"/>
    <x v="4"/>
    <s v="C:\Users\andre\Desktop\REACTIV CEFAS\Prochloraz\Prochloraz/20201116_Cefas_Test6-Run1/Plate 5/@11/E5_02.tif "/>
    <s v=" 5147.9149 "/>
    <s v=" 35.458 "/>
    <x v="0"/>
    <n v="182535"/>
    <m/>
    <m/>
    <m/>
  </r>
  <r>
    <x v="13"/>
    <x v="4"/>
    <s v="C:\Users\andre\Desktop\REACTIV CEFAS\Prochloraz\Prochloraz/20201116_Cefas_Test6-Run1/Plate 5/@11/E5_03.tif "/>
    <s v=" 5061.3953 "/>
    <s v=" 36.3974 "/>
    <x v="0"/>
    <n v="184222"/>
    <m/>
    <m/>
    <m/>
  </r>
  <r>
    <x v="13"/>
    <x v="5"/>
    <s v="C:\Users\andre\Desktop\REACTIV CEFAS\Prochloraz\Prochloraz/20201116_Cefas_Test6-Run1/Plate 5/@11/F5_01.tif "/>
    <s v=" 7419.0539 "/>
    <s v=" 41.4344 "/>
    <x v="0"/>
    <n v="307404"/>
    <m/>
    <m/>
    <m/>
  </r>
  <r>
    <x v="13"/>
    <x v="5"/>
    <s v="C:\Users\andre\Desktop\REACTIV CEFAS\Prochloraz\Prochloraz/20201116_Cefas_Test6-Run1/Plate 5/@11/F5_02.tif "/>
    <s v=" 5429.1036 "/>
    <s v=" 35.8127 "/>
    <x v="0"/>
    <n v="194431"/>
    <m/>
    <m/>
    <m/>
  </r>
  <r>
    <x v="13"/>
    <x v="5"/>
    <s v="C:\Users\andre\Desktop\REACTIV CEFAS\Prochloraz\Prochloraz/20201116_Cefas_Test6-Run1/Plate 5/@11/F5_03.tif "/>
    <s v=" 9127.8155 "/>
    <s v=" 37.3981 "/>
    <x v="0"/>
    <n v="341363"/>
    <m/>
    <m/>
    <m/>
  </r>
  <r>
    <x v="13"/>
    <x v="6"/>
    <s v="C:\Users\andre\Desktop\REACTIV CEFAS\Prochloraz\Prochloraz/20201116_Cefas_Test6-Run1/Plate 5/@11/G5_01.tif "/>
    <s v=" 3698.712 "/>
    <s v=" 37.8246 "/>
    <x v="0"/>
    <n v="139902"/>
    <m/>
    <m/>
    <m/>
  </r>
  <r>
    <x v="13"/>
    <x v="6"/>
    <s v="C:\Users\andre\Desktop\REACTIV CEFAS\Prochloraz\Prochloraz/20201116_Cefas_Test6-Run1/Plate 5/@11/G5_02.tif "/>
    <s v=" 6532.2282 "/>
    <s v=" 39.8411 "/>
    <x v="0"/>
    <n v="260251"/>
    <m/>
    <m/>
    <m/>
  </r>
  <r>
    <x v="13"/>
    <x v="6"/>
    <s v="C:\Users\andre\Desktop\REACTIV CEFAS\Prochloraz\Prochloraz/20201116_Cefas_Test6-Run1/Plate 5/@11/G5_03.tif "/>
    <s v=" 4563.9078 "/>
    <s v=" 37.2038 "/>
    <x v="0"/>
    <n v="169795"/>
    <m/>
    <m/>
    <m/>
  </r>
  <r>
    <x v="13"/>
    <x v="7"/>
    <s v="C:\Users\andre\Desktop\REACTIV CEFAS\Prochloraz\Prochloraz/20201116_Cefas_Test6-Run1/Plate 5/@11/H5_01.tif "/>
    <s v=" 8327.5094 "/>
    <s v=" 44.4571 "/>
    <x v="0"/>
    <n v="370217"/>
    <m/>
    <m/>
    <m/>
  </r>
  <r>
    <x v="13"/>
    <x v="7"/>
    <s v="C:\Users\andre\Desktop\REACTIV CEFAS\Prochloraz\Prochloraz/20201116_Cefas_Test6-Run1/Plate 5/@11/H5_02.tif "/>
    <s v=" 6164.52 "/>
    <s v=" 42.2316 "/>
    <x v="0"/>
    <n v="260337"/>
    <m/>
    <m/>
    <m/>
  </r>
  <r>
    <x v="13"/>
    <x v="7"/>
    <s v="C:\Users\andre\Desktop\REACTIV CEFAS\Prochloraz\Prochloraz/20201116_Cefas_Test6-Run1/Plate 5/@11/H5_03.tif "/>
    <s v=" 4888.3562 "/>
    <s v=" 39.1814 "/>
    <x v="0"/>
    <n v="191533"/>
    <m/>
    <m/>
    <m/>
  </r>
  <r>
    <x v="1"/>
    <x v="8"/>
    <s v=" "/>
    <m/>
    <m/>
    <x v="1"/>
    <m/>
    <m/>
    <m/>
    <m/>
  </r>
  <r>
    <x v="1"/>
    <x v="8"/>
    <s v="group "/>
    <s v=" "/>
    <s v=" mean of mean fluo "/>
    <x v="2"/>
    <s v=" mean of total fluo "/>
    <s v=" SD total fluo "/>
    <s v=" n fluorescent "/>
    <s v=" n total"/>
  </r>
  <r>
    <x v="13"/>
    <x v="9"/>
    <s v="C:\Users\andre\Desktop\REACTIV CEFAS\Prochloraz\Prochloraz/20201116_Cefas_Test6-Run1/Plate 5/@11/ "/>
    <s v=" "/>
    <s v=" 37.1965 "/>
    <x v="15"/>
    <s v=" 203454.375 "/>
    <s v=" 101271.56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C:\Users\andre\Desktop\REACTIV CEFAS\Prochloraz\Prochloraz/20201116_Cefas_Test6-Run1/Plate 5/@12/A6_01- exclu.tif"/>
    <m/>
    <m/>
    <x v="1"/>
    <m/>
    <m/>
    <m/>
    <m/>
  </r>
  <r>
    <x v="14"/>
    <x v="0"/>
    <s v="C:\Users\andre\Desktop\REACTIV CEFAS\Prochloraz\Prochloraz/20201116_Cefas_Test6-Run1/Plate 5/@12/A6_02.tif "/>
    <s v=" 7916.5414 "/>
    <s v=" 40.8579 "/>
    <x v="0"/>
    <n v="323453"/>
    <m/>
    <m/>
    <m/>
  </r>
  <r>
    <x v="14"/>
    <x v="0"/>
    <s v="C:\Users\andre\Desktop\REACTIV CEFAS\Prochloraz\Prochloraz/20201116_Cefas_Test6-Run1/Plate 5/@12/A6_03.tif "/>
    <s v=" 5277.6943 "/>
    <s v=" 39.7459 "/>
    <x v="0"/>
    <n v="209767"/>
    <m/>
    <m/>
    <m/>
  </r>
  <r>
    <x v="14"/>
    <x v="1"/>
    <s v="C:\Users\andre\Desktop\REACTIV CEFAS\Prochloraz\Prochloraz/20201116_Cefas_Test6-Run1/Plate 5/@12/B6_01.tif "/>
    <s v=" 8089.5806 "/>
    <s v=" 35.7701 "/>
    <x v="0"/>
    <n v="289365"/>
    <m/>
    <m/>
    <m/>
  </r>
  <r>
    <x v="14"/>
    <x v="1"/>
    <s v="C:\Users\andre\Desktop\REACTIV CEFAS\Prochloraz\Prochloraz/20201116_Cefas_Test6-Run1/Plate 5/@12/B6_02.tif "/>
    <s v=" 9430.6341 "/>
    <s v=" 38.617 "/>
    <x v="0"/>
    <n v="364183"/>
    <m/>
    <m/>
    <m/>
  </r>
  <r>
    <x v="14"/>
    <x v="1"/>
    <s v="C:\Users\andre\Desktop\REACTIV CEFAS\Prochloraz\Prochloraz/20201116_Cefas_Test6-Run1/Plate 5/@12/B6_03.tif "/>
    <s v=" 9214.3351 "/>
    <s v=" 40.0352 "/>
    <x v="0"/>
    <n v="368898"/>
    <m/>
    <m/>
    <m/>
  </r>
  <r>
    <x v="14"/>
    <x v="2"/>
    <s v="C:\Users\andre\Desktop\REACTIV CEFAS\Prochloraz\Prochloraz/20201116_Cefas_Test6-Run1/Plate 5/@12/C6_01.tif "/>
    <s v=" 5840.0715 "/>
    <s v=" 35.0333 "/>
    <x v="0"/>
    <n v="204597"/>
    <m/>
    <m/>
    <m/>
  </r>
  <r>
    <x v="14"/>
    <x v="2"/>
    <s v="C:\Users\andre\Desktop\REACTIV CEFAS\Prochloraz\Prochloraz/20201116_Cefas_Test6-Run1/Plate 5/@12/C6_02.tif "/>
    <s v=" 3049.8151 "/>
    <s v=" 37.1064 "/>
    <x v="0"/>
    <n v="113168"/>
    <m/>
    <m/>
    <m/>
  </r>
  <r>
    <x v="14"/>
    <x v="2"/>
    <s v="C:\Users\andre\Desktop\REACTIV CEFAS\Prochloraz\Prochloraz/20201116_Cefas_Test6-Run1/Plate 5/@12/C6_03- exclu.tif"/>
    <m/>
    <m/>
    <x v="1"/>
    <m/>
    <m/>
    <m/>
    <m/>
  </r>
  <r>
    <x v="14"/>
    <x v="3"/>
    <s v="C:\Users\andre\Desktop\REACTIV CEFAS\Prochloraz\Prochloraz/20201116_Cefas_Test6-Run1/Plate 5/@12/D6_01.tif "/>
    <s v=" 4888.3562 "/>
    <s v=" 42.4469 "/>
    <x v="0"/>
    <n v="207496"/>
    <m/>
    <m/>
    <m/>
  </r>
  <r>
    <x v="14"/>
    <x v="3"/>
    <s v="C:\Users\andre\Desktop\REACTIV CEFAS\Prochloraz\Prochloraz/20201116_Cefas_Test6-Run1/Plate 5/@12/D6_02.tif "/>
    <s v=" 5018.1356 "/>
    <s v=" 41.4741 "/>
    <x v="0"/>
    <n v="208123"/>
    <m/>
    <m/>
    <m/>
  </r>
  <r>
    <x v="14"/>
    <x v="3"/>
    <s v="C:\Users\andre\Desktop\REACTIV CEFAS\Prochloraz\Prochloraz/20201116_Cefas_Test6-Run1/Plate 5/@12/D6_03.tif "/>
    <s v=" 2379.2884 "/>
    <s v=" 32.7909 "/>
    <x v="0"/>
    <n v="78019"/>
    <m/>
    <m/>
    <m/>
  </r>
  <r>
    <x v="14"/>
    <x v="4"/>
    <s v="C:\Users\andre\Desktop\REACTIV CEFAS\Prochloraz\Prochloraz/20201116_Cefas_Test6-Run1/Plate 5/@12/E6_01.tif "/>
    <s v=" 9041.296 "/>
    <s v=" 41.0263 "/>
    <x v="0"/>
    <n v="370931"/>
    <m/>
    <m/>
    <m/>
  </r>
  <r>
    <x v="14"/>
    <x v="4"/>
    <s v="C:\Users\andre\Desktop\REACTIV CEFAS\Prochloraz\Prochloraz/20201116_Cefas_Test6-Run1/Plate 5/@12/E6_02- exclu.tif"/>
    <m/>
    <m/>
    <x v="1"/>
    <m/>
    <m/>
    <m/>
    <m/>
  </r>
  <r>
    <x v="14"/>
    <x v="4"/>
    <s v="C:\Users\andre\Desktop\REACTIV CEFAS\Prochloraz\Prochloraz/20201116_Cefas_Test6-Run1/Plate 5/@12/E6_03- exclu.tif"/>
    <m/>
    <m/>
    <x v="1"/>
    <m/>
    <m/>
    <m/>
    <m/>
  </r>
  <r>
    <x v="14"/>
    <x v="5"/>
    <s v="C:\Users\andre\Desktop\REACTIV CEFAS\Prochloraz\Prochloraz/20201116_Cefas_Test6-Run1/Plate 5/@12/F6_01.tif "/>
    <s v=" 7332.5343 "/>
    <s v=" 35.9912 "/>
    <x v="0"/>
    <n v="263906"/>
    <m/>
    <m/>
    <m/>
  </r>
  <r>
    <x v="14"/>
    <x v="5"/>
    <s v="C:\Users\andre\Desktop\REACTIV CEFAS\Prochloraz\Prochloraz/20201116_Cefas_Test6-Run1/Plate 5/@12/F6_02.tif "/>
    <s v=" 4823.4665 "/>
    <s v=" 34.4888 "/>
    <x v="0"/>
    <n v="166356"/>
    <m/>
    <m/>
    <m/>
  </r>
  <r>
    <x v="14"/>
    <x v="5"/>
    <s v="C:\Users\andre\Desktop\REACTIV CEFAS\Prochloraz\Prochloraz/20201116_Cefas_Test6-Run1/Plate 5/@12/F6_03.tif "/>
    <n v="0"/>
    <n v="0"/>
    <x v="0"/>
    <n v="0"/>
    <m/>
    <m/>
    <m/>
  </r>
  <r>
    <x v="14"/>
    <x v="6"/>
    <s v="C:\Users\andre\Desktop\REACTIV CEFAS\Prochloraz\Prochloraz/20201116_Cefas_Test6-Run1/Plate 5/@12/G6_01.tif "/>
    <s v=" 7332.5343 "/>
    <s v=" 38.2891 "/>
    <x v="0"/>
    <n v="280756"/>
    <m/>
    <m/>
    <m/>
  </r>
  <r>
    <x v="14"/>
    <x v="6"/>
    <s v="C:\Users\andre\Desktop\REACTIV CEFAS\Prochloraz\Prochloraz/20201116_Cefas_Test6-Run1/Plate 5/@12/G6_02.tif "/>
    <s v=" 7202.7549 "/>
    <s v=" 39.5676 "/>
    <x v="0"/>
    <n v="284995"/>
    <m/>
    <m/>
    <m/>
  </r>
  <r>
    <x v="14"/>
    <x v="6"/>
    <s v="C:\Users\andre\Desktop\REACTIV CEFAS\Prochloraz\Prochloraz/20201116_Cefas_Test6-Run1/Plate 5/@12/G6_03.tif "/>
    <s v=" 8522.1785 "/>
    <s v=" 38.9721 "/>
    <x v="0"/>
    <n v="332127"/>
    <m/>
    <m/>
    <m/>
  </r>
  <r>
    <x v="14"/>
    <x v="7"/>
    <s v="C:\Users\andre\Desktop\REACTIV CEFAS\Prochloraz\Prochloraz/20201116_Cefas_Test6-Run1/Plate 5/@12/H6_01.tif "/>
    <s v=" 9971.3814 "/>
    <s v=" 37.6421 "/>
    <x v="0"/>
    <n v="375344"/>
    <m/>
    <m/>
    <m/>
  </r>
  <r>
    <x v="14"/>
    <x v="7"/>
    <s v="C:\Users\andre\Desktop\REACTIV CEFAS\Prochloraz\Prochloraz/20201116_Cefas_Test6-Run1/Plate 5/@12/H6_02.tif "/>
    <s v=" 13388.9048 "/>
    <s v=" 37.5137 "/>
    <x v="0"/>
    <n v="502268"/>
    <m/>
    <m/>
    <m/>
  </r>
  <r>
    <x v="14"/>
    <x v="7"/>
    <s v="C:\Users\andre\Desktop\REACTIV CEFAS\Prochloraz\Prochloraz/20201116_Cefas_Test6-Run1/Plate 5/@12/H6_03.tif "/>
    <s v=" 11809.9225 "/>
    <s v=" 38.8919 "/>
    <x v="0"/>
    <n v="459311"/>
    <m/>
    <m/>
    <m/>
  </r>
  <r>
    <x v="1"/>
    <x v="8"/>
    <s v=" "/>
    <m/>
    <m/>
    <x v="1"/>
    <m/>
    <m/>
    <m/>
    <m/>
  </r>
  <r>
    <x v="1"/>
    <x v="8"/>
    <s v="group "/>
    <s v=" "/>
    <s v=" mean of mean fluo "/>
    <x v="2"/>
    <s v=" mean of total fluo "/>
    <s v=" SD total fluo "/>
    <s v=" n fluorescent "/>
    <s v=" n total"/>
  </r>
  <r>
    <x v="14"/>
    <x v="9"/>
    <s v="C:\Users\andre\Desktop\REACTIV CEFAS\Prochloraz\Prochloraz/20201116_Cefas_Test6-Run1/Plate 5/@12/ "/>
    <s v=" "/>
    <s v=" 37.5399 "/>
    <x v="16"/>
    <s v=" 305670.167 "/>
    <s v=" 185881.169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C:\Users\andre\Desktop\REACTIV CEFAS\Prochloraz\Prochloraz/20201116_Cefas_Test6-Run1/Plate 5/@17/A8_01- exclu.tif"/>
    <m/>
    <m/>
    <x v="1"/>
    <m/>
    <m/>
    <m/>
    <m/>
  </r>
  <r>
    <x v="15"/>
    <x v="0"/>
    <s v="C:\Users\andre\Desktop\REACTIV CEFAS\Prochloraz\Prochloraz/20201116_Cefas_Test6-Run1/Plate 5/@17/A8_02- exclu.tif"/>
    <m/>
    <m/>
    <x v="1"/>
    <m/>
    <m/>
    <m/>
    <m/>
  </r>
  <r>
    <x v="15"/>
    <x v="0"/>
    <s v="C:\Users\andre\Desktop\REACTIV CEFAS\Prochloraz\Prochloraz/20201116_Cefas_Test6-Run1/Plate 5/@17/A8_03.tif "/>
    <s v=" 51890.1172 "/>
    <s v=" 41.0396 "/>
    <x v="0"/>
    <n v="2129550"/>
    <m/>
    <m/>
    <m/>
  </r>
  <r>
    <x v="15"/>
    <x v="1"/>
    <s v="C:\Users\andre\Desktop\REACTIV CEFAS\Prochloraz\Prochloraz/20201116_Cefas_Test6-Run1/Plate 5/@17/B8_01.tif "/>
    <s v=" 24722.9696 "/>
    <s v=" 34.1899 "/>
    <x v="0"/>
    <n v="845275"/>
    <m/>
    <m/>
    <m/>
  </r>
  <r>
    <x v="15"/>
    <x v="1"/>
    <s v="C:\Users\andre\Desktop\REACTIV CEFAS\Prochloraz\Prochloraz/20201116_Cefas_Test6-Run1/Plate 5/@17/B8_02.tif "/>
    <s v=" 37246.6786 "/>
    <s v=" 36.3293 "/>
    <x v="0"/>
    <n v="1353145"/>
    <m/>
    <m/>
    <m/>
  </r>
  <r>
    <x v="15"/>
    <x v="1"/>
    <s v="C:\Users\andre\Desktop\REACTIV CEFAS\Prochloraz\Prochloraz/20201116_Cefas_Test6-Run1/Plate 5/@17/B8_03.tif "/>
    <s v=" 29330.1371 "/>
    <s v=" 34.4189 "/>
    <x v="0"/>
    <n v="1009510"/>
    <m/>
    <m/>
    <m/>
  </r>
  <r>
    <x v="15"/>
    <x v="2"/>
    <s v="C:\Users\andre\Desktop\REACTIV CEFAS\Prochloraz\Prochloraz/20201116_Cefas_Test6-Run1/Plate 5/@17/C8_01.tif "/>
    <s v=" 59049.6123 "/>
    <s v=" 40.1509 "/>
    <x v="0"/>
    <n v="2370896"/>
    <m/>
    <m/>
    <m/>
  </r>
  <r>
    <x v="15"/>
    <x v="2"/>
    <s v="C:\Users\andre\Desktop\REACTIV CEFAS\Prochloraz\Prochloraz/20201116_Cefas_Test6-Run1/Plate 5/@17/C8_02.tif "/>
    <s v=" 64024.4881 "/>
    <s v=" 40.9003 "/>
    <x v="0"/>
    <n v="2618623"/>
    <m/>
    <m/>
    <m/>
  </r>
  <r>
    <x v="15"/>
    <x v="2"/>
    <s v="C:\Users\andre\Desktop\REACTIV CEFAS\Prochloraz\Prochloraz/20201116_Cefas_Test6-Run1/Plate 5/@17/C8_03.tif "/>
    <s v=" 68956.1041 "/>
    <s v=" 41.6324 "/>
    <x v="0"/>
    <n v="2870806"/>
    <m/>
    <m/>
    <m/>
  </r>
  <r>
    <x v="15"/>
    <x v="3"/>
    <s v="C:\Users\andre\Desktop\REACTIV CEFAS\Prochloraz\Prochloraz/20201116_Cefas_Test6-Run1/Plate 5/@17/D8_01.tif "/>
    <s v=" 38414.6929 "/>
    <s v=" 35.174 "/>
    <x v="0"/>
    <n v="1351198"/>
    <m/>
    <m/>
    <m/>
  </r>
  <r>
    <x v="15"/>
    <x v="3"/>
    <s v="C:\Users\andre\Desktop\REACTIV CEFAS\Prochloraz\Prochloraz/20201116_Cefas_Test6-Run1/Plate 5/@17/D8_02.tif "/>
    <s v=" 49013.3412 "/>
    <s v=" 37.8274 "/>
    <x v="0"/>
    <n v="1854050"/>
    <m/>
    <m/>
    <m/>
  </r>
  <r>
    <x v="15"/>
    <x v="3"/>
    <s v="C:\Users\andre\Desktop\REACTIV CEFAS\Prochloraz\Prochloraz/20201116_Cefas_Test6-Run1/Plate 5/@17/D8_03.tif "/>
    <s v=" 49489.1989 "/>
    <s v=" 38.5372 "/>
    <x v="0"/>
    <n v="1907173"/>
    <m/>
    <m/>
    <m/>
  </r>
  <r>
    <x v="15"/>
    <x v="4"/>
    <s v="C:\Users\andre\Desktop\REACTIV CEFAS\Prochloraz\Prochloraz/20201116_Cefas_Test6-Run1/Plate 5/@17/E8_01.tif "/>
    <s v=" 3331.0038 "/>
    <s v=" 31.7597 "/>
    <x v="0"/>
    <n v="105792"/>
    <m/>
    <m/>
    <m/>
  </r>
  <r>
    <x v="15"/>
    <x v="4"/>
    <s v="C:\Users\andre\Desktop\REACTIV CEFAS\Prochloraz\Prochloraz/20201116_Cefas_Test6-Run1/Plate 5/@17/E8_02.tif "/>
    <s v=" 9819.9722 "/>
    <s v=" 32.9251 "/>
    <x v="0"/>
    <n v="323324"/>
    <m/>
    <m/>
    <m/>
  </r>
  <r>
    <x v="15"/>
    <x v="4"/>
    <s v="C:\Users\andre\Desktop\REACTIV CEFAS\Prochloraz\Prochloraz/20201116_Cefas_Test6-Run1/Plate 5/@17/E8_03.tif "/>
    <s v=" 13107.7161 "/>
    <s v=" 33.8416 "/>
    <x v="0"/>
    <n v="443586"/>
    <m/>
    <m/>
    <m/>
  </r>
  <r>
    <x v="15"/>
    <x v="5"/>
    <s v="C:\Users\andre\Desktop\REACTIV CEFAS\Prochloraz\Prochloraz/20201116_Cefas_Test6-Run1/Plate 5/@17/F8_01.tif "/>
    <s v=" 30173.703 "/>
    <s v=" 36.714 "/>
    <x v="0"/>
    <n v="1107797"/>
    <m/>
    <m/>
    <m/>
  </r>
  <r>
    <x v="15"/>
    <x v="5"/>
    <s v="C:\Users\andre\Desktop\REACTIV CEFAS\Prochloraz\Prochloraz/20201116_Cefas_Test6-Run1/Plate 5/@17/F8_02.tif "/>
    <s v=" 20526.77 "/>
    <s v=" 36.2202 "/>
    <x v="0"/>
    <n v="743484"/>
    <m/>
    <m/>
    <m/>
  </r>
  <r>
    <x v="15"/>
    <x v="5"/>
    <s v="C:\Users\andre\Desktop\REACTIV CEFAS\Prochloraz\Prochloraz/20201116_Cefas_Test6-Run1/Plate 5/@17/F8_03.tif "/>
    <s v=" 30065.5535 "/>
    <s v=" 36.7094 "/>
    <x v="0"/>
    <n v="1103687"/>
    <m/>
    <m/>
    <m/>
  </r>
  <r>
    <x v="15"/>
    <x v="6"/>
    <s v="C:\Users\andre\Desktop\REACTIV CEFAS\Prochloraz\Prochloraz/20201116_Cefas_Test6-Run1/Plate 5/@17/G8_01- exclu.tif"/>
    <m/>
    <m/>
    <x v="1"/>
    <m/>
    <m/>
    <m/>
    <m/>
  </r>
  <r>
    <x v="15"/>
    <x v="6"/>
    <s v="C:\Users\andre\Desktop\REACTIV CEFAS\Prochloraz\Prochloraz/20201116_Cefas_Test6-Run1/Plate 5/@17/G8_02- exclu.tif"/>
    <m/>
    <m/>
    <x v="1"/>
    <m/>
    <m/>
    <m/>
    <m/>
  </r>
  <r>
    <x v="15"/>
    <x v="6"/>
    <s v="C:\Users\andre\Desktop\REACTIV CEFAS\Prochloraz\Prochloraz/20201116_Cefas_Test6-Run1/Plate 5/@17/G8_03- exclu.tif"/>
    <m/>
    <m/>
    <x v="1"/>
    <m/>
    <m/>
    <m/>
    <m/>
  </r>
  <r>
    <x v="15"/>
    <x v="7"/>
    <s v="C:\Users\andre\Desktop\REACTIV CEFAS\Prochloraz\Prochloraz/20201116_Cefas_Test6-Run1/Plate 5/@17/H8_01.tif "/>
    <s v=" 25999.1333 "/>
    <s v=" 33.2463 "/>
    <x v="0"/>
    <n v="864374"/>
    <m/>
    <m/>
    <m/>
  </r>
  <r>
    <x v="15"/>
    <x v="7"/>
    <s v="C:\Users\andre\Desktop\REACTIV CEFAS\Prochloraz\Prochloraz/20201116_Cefas_Test6-Run1/Plate 5/@17/H8_02.tif "/>
    <s v=" 26929.2188 "/>
    <s v=" 33.4924 "/>
    <x v="0"/>
    <n v="901923"/>
    <m/>
    <m/>
    <m/>
  </r>
  <r>
    <x v="15"/>
    <x v="7"/>
    <s v="C:\Users\andre\Desktop\REACTIV CEFAS\Prochloraz\Prochloraz/20201116_Cefas_Test6-Run1/Plate 5/@17/H8_03.tif "/>
    <s v=" 31839.2049 "/>
    <s v=" 34.4783 "/>
    <x v="0"/>
    <n v="1097760"/>
    <m/>
    <m/>
    <m/>
  </r>
  <r>
    <x v="1"/>
    <x v="8"/>
    <s v=" "/>
    <m/>
    <m/>
    <x v="1"/>
    <m/>
    <m/>
    <m/>
    <m/>
  </r>
  <r>
    <x v="1"/>
    <x v="8"/>
    <s v="group "/>
    <s v=" "/>
    <s v=" mean of mean fluo "/>
    <x v="2"/>
    <s v=" mean of total fluo "/>
    <s v=" SD total fluo "/>
    <s v=" n fluorescent "/>
    <s v=" n total"/>
  </r>
  <r>
    <x v="15"/>
    <x v="9"/>
    <s v="C:\Users\andre\Desktop\REACTIV CEFAS\Prochloraz\Prochloraz/20201116_Cefas_Test6-Run1/Plate 5/@17/ "/>
    <s v=" "/>
    <s v=" 36.5432 "/>
    <x v="17"/>
    <s v=" 1138324.58 "/>
    <s v=" 780614.26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C:\Users\andre\Desktop\REACTIV CEFAS\Prochloraz\Prochloraz/20201116_Cefas_Test6-Run1/Plate 5/@18/A9_01- exclu.tif"/>
    <m/>
    <m/>
    <x v="1"/>
    <m/>
    <m/>
    <m/>
    <m/>
  </r>
  <r>
    <x v="16"/>
    <x v="0"/>
    <s v="C:\Users\andre\Desktop\REACTIV CEFAS\Prochloraz\Prochloraz/20201116_Cefas_Test6-Run1/Plate 5/@18/A9_02- exclu.tif"/>
    <m/>
    <m/>
    <x v="1"/>
    <m/>
    <m/>
    <m/>
    <m/>
  </r>
  <r>
    <x v="16"/>
    <x v="0"/>
    <s v="C:\Users\andre\Desktop\REACTIV CEFAS\Prochloraz\Prochloraz/20201116_Cefas_Test6-Run1/Plate 5/@18/A9_03- exclu.tif"/>
    <m/>
    <m/>
    <x v="1"/>
    <m/>
    <m/>
    <m/>
    <m/>
  </r>
  <r>
    <x v="16"/>
    <x v="1"/>
    <s v="C:\Users\andre\Desktop\REACTIV CEFAS\Prochloraz\Prochloraz/20201116_Cefas_Test6-Run1/Plate 5/@18/B9_01.tif "/>
    <s v=" 23273.7666 "/>
    <s v=" 33.8773 "/>
    <x v="0"/>
    <n v="788453"/>
    <m/>
    <m/>
    <m/>
  </r>
  <r>
    <x v="16"/>
    <x v="1"/>
    <s v="C:\Users\andre\Desktop\REACTIV CEFAS\Prochloraz\Prochloraz/20201116_Cefas_Test6-Run1/Plate 5/@18/B9_02.tif "/>
    <s v=" 38695.8815 "/>
    <s v=" 37.5204 "/>
    <x v="0"/>
    <n v="1451885"/>
    <m/>
    <m/>
    <m/>
  </r>
  <r>
    <x v="16"/>
    <x v="1"/>
    <s v="C:\Users\andre\Desktop\REACTIV CEFAS\Prochloraz\Prochloraz/20201116_Cefas_Test6-Run1/Plate 5/@18/B9_03.tif "/>
    <s v=" 25285.3468 "/>
    <s v=" 34.3935 "/>
    <x v="0"/>
    <n v="869652"/>
    <m/>
    <m/>
    <m/>
  </r>
  <r>
    <x v="16"/>
    <x v="2"/>
    <s v="C:\Users\andre\Desktop\REACTIV CEFAS\Prochloraz\Prochloraz/20201116_Cefas_Test6-Run1/Plate 5/@18/C9_01.tif "/>
    <s v=" 53317.6903 "/>
    <s v=" 39.6592 "/>
    <x v="0"/>
    <n v="2114538"/>
    <m/>
    <m/>
    <m/>
  </r>
  <r>
    <x v="16"/>
    <x v="2"/>
    <s v="C:\Users\andre\Desktop\REACTIV CEFAS\Prochloraz\Prochloraz/20201116_Cefas_Test6-Run1/Plate 5/@18/C9_02.tif "/>
    <s v=" 46374.4941 "/>
    <s v=" 37.1423 "/>
    <x v="0"/>
    <n v="1722453"/>
    <m/>
    <m/>
    <m/>
  </r>
  <r>
    <x v="16"/>
    <x v="2"/>
    <s v="C:\Users\andre\Desktop\REACTIV CEFAS\Prochloraz\Prochloraz/20201116_Cefas_Test6-Run1/Plate 5/@18/C9_03.tif "/>
    <s v=" 59893.1782 "/>
    <s v=" 40.3395 "/>
    <x v="0"/>
    <n v="2416059"/>
    <m/>
    <m/>
    <m/>
  </r>
  <r>
    <x v="16"/>
    <x v="3"/>
    <s v="C:\Users\andre\Desktop\REACTIV CEFAS\Prochloraz\Prochloraz/20201116_Cefas_Test6-Run1/Plate 5/@18/D9_01.tif "/>
    <s v=" 35343.2478 "/>
    <s v=" 36.4945 "/>
    <x v="0"/>
    <n v="1289834"/>
    <m/>
    <m/>
    <m/>
  </r>
  <r>
    <x v="16"/>
    <x v="3"/>
    <s v="C:\Users\andre\Desktop\REACTIV CEFAS\Prochloraz\Prochloraz/20201116_Cefas_Test6-Run1/Plate 5/@18/D9_02.tif "/>
    <s v=" 23230.5068 "/>
    <s v=" 34.7663 "/>
    <x v="0"/>
    <n v="807639"/>
    <m/>
    <m/>
    <m/>
  </r>
  <r>
    <x v="16"/>
    <x v="3"/>
    <s v="C:\Users\andre\Desktop\REACTIV CEFAS\Prochloraz\Prochloraz/20201116_Cefas_Test6-Run1/Plate 5/@18/D9_03.tif "/>
    <s v=" 25674.6849 "/>
    <s v=" 34.3454 "/>
    <x v="0"/>
    <n v="881808"/>
    <m/>
    <m/>
    <m/>
  </r>
  <r>
    <x v="16"/>
    <x v="4"/>
    <s v="C:\Users\andre\Desktop\REACTIV CEFAS\Prochloraz\Prochloraz/20201116_Cefas_Test6-Run1/Plate 5/@18/E9_01.tif "/>
    <s v=" 56454.025 "/>
    <s v=" 43.5973 "/>
    <x v="0"/>
    <n v="2461244"/>
    <m/>
    <m/>
    <m/>
  </r>
  <r>
    <x v="16"/>
    <x v="4"/>
    <s v="C:\Users\andre\Desktop\REACTIV CEFAS\Prochloraz\Prochloraz/20201116_Cefas_Test6-Run1/Plate 5/@18/E9_02.tif "/>
    <s v=" 53793.5479 "/>
    <s v=" 40.955 "/>
    <x v="0"/>
    <n v="2203113"/>
    <m/>
    <m/>
    <m/>
  </r>
  <r>
    <x v="16"/>
    <x v="4"/>
    <s v="C:\Users\andre\Desktop\REACTIV CEFAS\Prochloraz\Prochloraz/20201116_Cefas_Test6-Run1/Plate 5/@18/E9_03.tif "/>
    <s v=" 51738.708 "/>
    <s v=" 35.2094 "/>
    <x v="0"/>
    <n v="1821691"/>
    <m/>
    <m/>
    <m/>
  </r>
  <r>
    <x v="16"/>
    <x v="5"/>
    <s v="C:\Users\andre\Desktop\REACTIV CEFAS\Prochloraz\Prochloraz/20201116_Cefas_Test6-Run1/Plate 5/@18/F9_01.tif "/>
    <s v=" 49489.1989 "/>
    <s v=" 36.1399 "/>
    <x v="0"/>
    <n v="1788533"/>
    <m/>
    <m/>
    <m/>
  </r>
  <r>
    <x v="16"/>
    <x v="5"/>
    <s v="C:\Users\andre\Desktop\REACTIV CEFAS\Prochloraz\Prochloraz/20201116_Cefas_Test6-Run1/Plate 5/@18/F9_02.tif "/>
    <s v=" 38977.0701 "/>
    <s v=" 34.5499 "/>
    <x v="0"/>
    <n v="1346656"/>
    <m/>
    <m/>
    <m/>
  </r>
  <r>
    <x v="16"/>
    <x v="5"/>
    <s v="C:\Users\andre\Desktop\REACTIV CEFAS\Prochloraz\Prochloraz/20201116_Cefas_Test6-Run1/Plate 5/@18/F9_03.tif "/>
    <s v=" 35624.4365 "/>
    <s v=" 34.1633 "/>
    <x v="0"/>
    <n v="1217049"/>
    <m/>
    <m/>
    <m/>
  </r>
  <r>
    <x v="16"/>
    <x v="6"/>
    <s v="C:\Users\andre\Desktop\REACTIV CEFAS\Prochloraz\Prochloraz/20201116_Cefas_Test6-Run1/Plate 5/@18/G9_01.tif "/>
    <s v=" 3114.7048 "/>
    <s v=" 33.5069 "/>
    <x v="0"/>
    <n v="104364"/>
    <m/>
    <m/>
    <m/>
  </r>
  <r>
    <x v="16"/>
    <x v="6"/>
    <s v="C:\Users\andre\Desktop\REACTIV CEFAS\Prochloraz\Prochloraz/20201116_Cefas_Test6-Run1/Plate 5/@18/G9_02.tif "/>
    <s v=" 3763.6017 "/>
    <s v=" 33.1437 "/>
    <x v="0"/>
    <n v="124740"/>
    <m/>
    <m/>
    <m/>
  </r>
  <r>
    <x v="16"/>
    <x v="6"/>
    <s v="C:\Users\andre\Desktop\REACTIV CEFAS\Prochloraz\Prochloraz/20201116_Cefas_Test6-Run1/Plate 5/@18/G9_03.tif "/>
    <s v=" 3244.4842 "/>
    <s v=" 33.04 "/>
    <x v="0"/>
    <n v="107198"/>
    <m/>
    <m/>
    <m/>
  </r>
  <r>
    <x v="16"/>
    <x v="7"/>
    <s v="C:\Users\andre\Desktop\REACTIV CEFAS\Prochloraz\Prochloraz/20201116_Cefas_Test6-Run1/Plate 5/@18/H9_01.tif "/>
    <s v=" 21262.1864 "/>
    <s v=" 33.531 "/>
    <x v="0"/>
    <n v="712943"/>
    <m/>
    <m/>
    <m/>
  </r>
  <r>
    <x v="16"/>
    <x v="7"/>
    <s v="C:\Users\andre\Desktop\REACTIV CEFAS\Prochloraz\Prochloraz/20201116_Cefas_Test6-Run1/Plate 5/@18/H9_02.tif "/>
    <s v=" 19012.6774 "/>
    <s v=" 33.3424 "/>
    <x v="0"/>
    <n v="633929"/>
    <m/>
    <m/>
    <m/>
  </r>
  <r>
    <x v="16"/>
    <x v="7"/>
    <s v="C:\Users\andre\Desktop\REACTIV CEFAS\Prochloraz\Prochloraz/20201116_Cefas_Test6-Run1/Plate 5/@18/H9_03.tif "/>
    <s v=" 9344.1145 "/>
    <s v=" 31.7847 "/>
    <x v="0"/>
    <n v="297000"/>
    <m/>
    <m/>
    <m/>
  </r>
  <r>
    <x v="1"/>
    <x v="8"/>
    <s v=" "/>
    <m/>
    <m/>
    <x v="1"/>
    <m/>
    <m/>
    <m/>
    <m/>
  </r>
  <r>
    <x v="1"/>
    <x v="8"/>
    <s v="group "/>
    <s v=" "/>
    <s v=" mean of mean fluo "/>
    <x v="2"/>
    <s v=" mean of total fluo "/>
    <s v=" SD total fluo "/>
    <s v=" n fluorescent "/>
    <s v=" n total"/>
  </r>
  <r>
    <x v="16"/>
    <x v="9"/>
    <s v="C:\Users\andre\Desktop\REACTIV CEFAS\Prochloraz\Prochloraz/20201116_Cefas_Test6-Run1/Plate 5/@18/ "/>
    <s v=" "/>
    <s v=" 36.771 "/>
    <x v="18"/>
    <s v=" 1101989.08 "/>
    <s v=" 754315.25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C:\Users\andre\Desktop\REACTIV CEFAS\Prochloraz\Prochloraz/20201116_Cefas_Test6-Run1/Plate 5/@19/A10_01.tif "/>
    <s v=" 77261.9836 "/>
    <s v=" 52.6405 "/>
    <x v="0"/>
    <n v="4067112"/>
    <m/>
    <m/>
    <m/>
  </r>
  <r>
    <x v="17"/>
    <x v="0"/>
    <s v="C:\Users\andre\Desktop\REACTIV CEFAS\Prochloraz\Prochloraz/20201116_Cefas_Test6-Run1/Plate 5/@19/A10_02.tif "/>
    <s v=" 74255.4283 "/>
    <s v=" 54.8273 "/>
    <x v="0"/>
    <n v="4071222"/>
    <m/>
    <m/>
    <m/>
  </r>
  <r>
    <x v="17"/>
    <x v="0"/>
    <s v="C:\Users\andre\Desktop\REACTIV CEFAS\Prochloraz\Prochloraz/20201116_Cefas_Test6-Run1/Plate 5/@19/A10_03.tif "/>
    <s v=" 74104.019 "/>
    <s v=" 50.772 "/>
    <x v="0"/>
    <n v="3762412"/>
    <m/>
    <m/>
    <m/>
  </r>
  <r>
    <x v="17"/>
    <x v="1"/>
    <s v="C:\Users\andre\Desktop\REACTIV CEFAS\Prochloraz\Prochloraz/20201116_Cefas_Test6-Run1/Plate 5/@19/B10_01.tif "/>
    <s v=" 87579.4434 "/>
    <s v=" 52.0741 "/>
    <x v="0"/>
    <n v="4560620"/>
    <m/>
    <m/>
    <m/>
  </r>
  <r>
    <x v="17"/>
    <x v="1"/>
    <s v="C:\Users\andre\Desktop\REACTIV CEFAS\Prochloraz\Prochloraz/20201116_Cefas_Test6-Run1/Plate 5/@19/B10_02.tif "/>
    <s v=" 87968.7815 "/>
    <s v=" 51.4175 "/>
    <x v="0"/>
    <n v="4523135"/>
    <m/>
    <m/>
    <m/>
  </r>
  <r>
    <x v="17"/>
    <x v="1"/>
    <s v="C:\Users\andre\Desktop\REACTIV CEFAS\Prochloraz\Prochloraz/20201116_Cefas_Test6-Run1/Plate 5/@19/B10_03.tif "/>
    <s v=" 81609.5924 "/>
    <s v=" 54.0329 "/>
    <x v="0"/>
    <n v="4409600"/>
    <m/>
    <m/>
    <m/>
  </r>
  <r>
    <x v="17"/>
    <x v="2"/>
    <s v="C:\Users\andre\Desktop\REACTIV CEFAS\Prochloraz\Prochloraz/20201116_Cefas_Test6-Run1/Plate 5/@19/C10_01.tif "/>
    <s v=" 58054.6372 "/>
    <s v=" 50.9668 "/>
    <x v="0"/>
    <n v="2958861"/>
    <m/>
    <m/>
    <m/>
  </r>
  <r>
    <x v="17"/>
    <x v="2"/>
    <s v="C:\Users\andre\Desktop\REACTIV CEFAS\Prochloraz\Prochloraz/20201116_Cefas_Test6-Run1/Plate 5/@19/C10_02.tif "/>
    <s v=" 56821.7332 "/>
    <s v=" 50.2273 "/>
    <x v="0"/>
    <n v="2854000"/>
    <m/>
    <m/>
    <m/>
  </r>
  <r>
    <x v="17"/>
    <x v="2"/>
    <s v="C:\Users\andre\Desktop\REACTIV CEFAS\Prochloraz\Prochloraz/20201116_Cefas_Test6-Run1/Plate 5/@19/C10_03.tif "/>
    <s v=" 55480.6797 "/>
    <s v=" 50.7567 "/>
    <x v="0"/>
    <n v="2816018"/>
    <m/>
    <m/>
    <m/>
  </r>
  <r>
    <x v="17"/>
    <x v="3"/>
    <s v="C:\Users\andre\Desktop\REACTIV CEFAS\Prochloraz\Prochloraz/20201116_Cefas_Test6-Run1/Plate 5/@19/D10_01.tif "/>
    <s v=" 41724.0667 "/>
    <s v=" 40.9575 "/>
    <x v="0"/>
    <n v="1708913"/>
    <m/>
    <m/>
    <m/>
  </r>
  <r>
    <x v="17"/>
    <x v="3"/>
    <s v="C:\Users\andre\Desktop\REACTIV CEFAS\Prochloraz\Prochloraz/20201116_Cefas_Test6-Run1/Plate 5/@19/D10_02.tif "/>
    <s v=" 46006.7859 "/>
    <s v=" 43.7489 "/>
    <x v="0"/>
    <n v="2012748"/>
    <m/>
    <m/>
    <m/>
  </r>
  <r>
    <x v="17"/>
    <x v="3"/>
    <s v="C:\Users\andre\Desktop\REACTIV CEFAS\Prochloraz\Prochloraz/20201116_Cefas_Test6-Run1/Plate 5/@19/D10_03.tif "/>
    <s v=" 50159.7256 "/>
    <s v=" 42.934 "/>
    <x v="0"/>
    <n v="2153559"/>
    <m/>
    <m/>
    <m/>
  </r>
  <r>
    <x v="17"/>
    <x v="4"/>
    <s v="C:\Users\andre\Desktop\REACTIV CEFAS\Prochloraz\Prochloraz/20201116_Cefas_Test6-Run1/Plate 5/@19/E10_01.tif "/>
    <s v=" 53123.0212 "/>
    <s v=" 50.5542 "/>
    <x v="0"/>
    <n v="2685589"/>
    <m/>
    <m/>
    <m/>
  </r>
  <r>
    <x v="17"/>
    <x v="4"/>
    <s v="C:\Users\andre\Desktop\REACTIV CEFAS\Prochloraz\Prochloraz/20201116_Cefas_Test6-Run1/Plate 5/@19/E10_02.tif "/>
    <s v=" 53836.8077 "/>
    <s v=" 52.36 "/>
    <x v="0"/>
    <n v="2818894"/>
    <m/>
    <m/>
    <m/>
  </r>
  <r>
    <x v="17"/>
    <x v="4"/>
    <s v="C:\Users\andre\Desktop\REACTIV CEFAS\Prochloraz\Prochloraz/20201116_Cefas_Test6-Run1/Plate 5/@19/E10_03.tif "/>
    <s v=" 62142.6873 "/>
    <s v=" 54.8559 "/>
    <x v="0"/>
    <n v="3408893"/>
    <m/>
    <m/>
    <m/>
  </r>
  <r>
    <x v="17"/>
    <x v="5"/>
    <s v="C:\Users\andre\Desktop\REACTIV CEFAS\Prochloraz\Prochloraz/20201116_Cefas_Test6-Run1/Plate 5/@19/F10_01.tif "/>
    <s v=" 36446.3724 "/>
    <s v=" 38.2973 "/>
    <x v="0"/>
    <n v="1395799"/>
    <m/>
    <m/>
    <m/>
  </r>
  <r>
    <x v="17"/>
    <x v="5"/>
    <s v="C:\Users\andre\Desktop\REACTIV CEFAS\Prochloraz\Prochloraz/20201116_Cefas_Test6-Run1/Plate 5/@19/F10_02.tif "/>
    <s v=" 36532.892 "/>
    <s v=" 41.4772 "/>
    <x v="0"/>
    <n v="1515282"/>
    <m/>
    <m/>
    <m/>
  </r>
  <r>
    <x v="17"/>
    <x v="5"/>
    <s v="C:\Users\andre\Desktop\REACTIV CEFAS\Prochloraz\Prochloraz/20201116_Cefas_Test6-Run1/Plate 5/@19/F10_03.tif "/>
    <s v=" 41010.2802 "/>
    <s v=" 43.2885 "/>
    <x v="0"/>
    <n v="1775274"/>
    <m/>
    <m/>
    <m/>
  </r>
  <r>
    <x v="17"/>
    <x v="6"/>
    <s v="C:\Users\andre\Desktop\REACTIV CEFAS\Prochloraz\Prochloraz/20201116_Cefas_Test6-Run1/Plate 5/@19/G10_01.tif "/>
    <s v=" 69431.9618 "/>
    <s v=" 43.1589 "/>
    <x v="0"/>
    <n v="2996606"/>
    <m/>
    <m/>
    <m/>
  </r>
  <r>
    <x v="17"/>
    <x v="6"/>
    <s v="C:\Users\andre\Desktop\REACTIV CEFAS\Prochloraz\Prochloraz/20201116_Cefas_Test6-Run1/Plate 5/@19/G10_02.tif "/>
    <s v=" 70967.6843 "/>
    <s v=" 44.8281 "/>
    <x v="0"/>
    <n v="3181347"/>
    <m/>
    <m/>
    <m/>
  </r>
  <r>
    <x v="17"/>
    <x v="6"/>
    <s v="C:\Users\andre\Desktop\REACTIV CEFAS\Prochloraz\Prochloraz/20201116_Cefas_Test6-Run1/Plate 5/@19/G10_03.tif "/>
    <s v=" 73649.7912 "/>
    <s v=" 45.9486 "/>
    <x v="0"/>
    <n v="3384105"/>
    <m/>
    <m/>
    <m/>
  </r>
  <r>
    <x v="17"/>
    <x v="7"/>
    <s v="C:\Users\andre\Desktop\REACTIV CEFAS\Prochloraz\Prochloraz/20201116_Cefas_Test6-Run1/Plate 5/@19/H10_01.tif "/>
    <s v=" 62056.1677 "/>
    <s v=" 41.0687 "/>
    <x v="0"/>
    <n v="2548564"/>
    <m/>
    <m/>
    <m/>
  </r>
  <r>
    <x v="17"/>
    <x v="7"/>
    <s v="C:\Users\andre\Desktop\REACTIV CEFAS\Prochloraz\Prochloraz/20201116_Cefas_Test6-Run1/Plate 5/@19/H10_02.tif "/>
    <s v=" 62921.3635 "/>
    <s v=" 43.9986 "/>
    <x v="0"/>
    <n v="2768453"/>
    <m/>
    <m/>
    <m/>
  </r>
  <r>
    <x v="17"/>
    <x v="7"/>
    <s v="C:\Users\andre\Desktop\REACTIV CEFAS\Prochloraz\Prochloraz/20201116_Cefas_Test6-Run1/Plate 5/@19/H10_03.tif "/>
    <s v=" 69518.4813 "/>
    <s v=" 44.7638 "/>
    <x v="0"/>
    <n v="3111915"/>
    <m/>
    <m/>
    <m/>
  </r>
  <r>
    <x v="1"/>
    <x v="8"/>
    <s v=" "/>
    <m/>
    <m/>
    <x v="1"/>
    <m/>
    <m/>
    <m/>
    <m/>
  </r>
  <r>
    <x v="1"/>
    <x v="8"/>
    <s v="group "/>
    <s v=" "/>
    <s v=" mean of mean fluo "/>
    <x v="2"/>
    <s v=" mean of total fluo "/>
    <s v=" SD total fluo "/>
    <s v=" n fluorescent "/>
    <s v=" n total"/>
  </r>
  <r>
    <x v="17"/>
    <x v="9"/>
    <s v="C:\Users\andre\Desktop\REACTIV CEFAS\Prochloraz\Prochloraz/20201116_Cefas_Test6-Run1/Plate 5/@19/ "/>
    <s v=" "/>
    <s v=" 47.4981 "/>
    <x v="19"/>
    <s v=" 2978705.04 "/>
    <s v=" 933459.91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C:\Users\andre\Desktop\REACTIV CEFAS\Prochloraz\Prochloraz/20201116_Cefas_Test6-Run1/Plate 5/@20/A11_01.tif "/>
    <s v=" 2076.4699 "/>
    <s v=" 31.5417 "/>
    <x v="0"/>
    <n v="65495"/>
    <m/>
    <m/>
    <m/>
  </r>
  <r>
    <x v="18"/>
    <x v="0"/>
    <s v="C:\Users\andre\Desktop\REACTIV CEFAS\Prochloraz\Prochloraz/20201116_Cefas_Test6-Run1/Plate 5/@20/A11_02.tif "/>
    <s v=" 1643.872 "/>
    <s v=" 31.0132 "/>
    <x v="0"/>
    <n v="50982"/>
    <m/>
    <m/>
    <m/>
  </r>
  <r>
    <x v="18"/>
    <x v="0"/>
    <s v="C:\Users\andre\Desktop\REACTIV CEFAS\Prochloraz\Prochloraz/20201116_Cefas_Test6-Run1/Plate 5/@20/A11_03.tif "/>
    <s v=" 973.3453 "/>
    <s v=" 32.4 "/>
    <x v="0"/>
    <n v="31536"/>
    <m/>
    <m/>
    <m/>
  </r>
  <r>
    <x v="18"/>
    <x v="1"/>
    <s v="C:\Users\andre\Desktop\REACTIV CEFAS\Prochloraz\Prochloraz/20201116_Cefas_Test6-Run1/Plate 5/@20/B11_01.tif "/>
    <s v=" 17282.2858 "/>
    <s v=" 33.7647 "/>
    <x v="0"/>
    <n v="583531"/>
    <m/>
    <m/>
    <m/>
  </r>
  <r>
    <x v="18"/>
    <x v="1"/>
    <s v="C:\Users\andre\Desktop\REACTIV CEFAS\Prochloraz\Prochloraz/20201116_Cefas_Test6-Run1/Plate 5/@20/B11_02.tif "/>
    <s v=" 27643.0053 "/>
    <s v=" 34.5876 "/>
    <x v="0"/>
    <n v="956106"/>
    <m/>
    <m/>
    <m/>
  </r>
  <r>
    <x v="18"/>
    <x v="1"/>
    <s v="C:\Users\andre\Desktop\REACTIV CEFAS\Prochloraz\Prochloraz/20201116_Cefas_Test6-Run1/Plate 5/@20/B11_03.tif "/>
    <s v=" 26561.5106 "/>
    <s v=" 35.329 "/>
    <x v="0"/>
    <n v="938391"/>
    <m/>
    <m/>
    <m/>
  </r>
  <r>
    <x v="18"/>
    <x v="2"/>
    <s v="C:\Users\andre\Desktop\REACTIV CEFAS\Prochloraz\Prochloraz/20201116_Cefas_Test6-Run1/Plate 5/@20/C11_01.tif "/>
    <s v=" 1600.6122 "/>
    <s v=" 31.2432 "/>
    <x v="0"/>
    <n v="50008"/>
    <m/>
    <m/>
    <m/>
  </r>
  <r>
    <x v="18"/>
    <x v="2"/>
    <s v="C:\Users\andre\Desktop\REACTIV CEFAS\Prochloraz\Prochloraz/20201116_Cefas_Test6-Run1/Plate 5/@20/C11_02.tif "/>
    <s v=" 19531.7948 "/>
    <s v=" 33.8981 "/>
    <x v="0"/>
    <n v="662091"/>
    <m/>
    <m/>
    <m/>
  </r>
  <r>
    <x v="18"/>
    <x v="2"/>
    <s v="C:\Users\andre\Desktop\REACTIV CEFAS\Prochloraz\Prochloraz/20201116_Cefas_Test6-Run1/Plate 5/@20/C11_03- exclu.tif"/>
    <m/>
    <m/>
    <x v="1"/>
    <m/>
    <m/>
    <m/>
    <m/>
  </r>
  <r>
    <x v="18"/>
    <x v="3"/>
    <s v="C:\Users\andre\Desktop\REACTIV CEFAS\Prochloraz\Prochloraz/20201116_Cefas_Test6-Run1/Plate 5/@20/D11_01.tif "/>
    <s v=" 24787.8592 "/>
    <s v=" 34.9974 "/>
    <x v="0"/>
    <n v="867510"/>
    <m/>
    <m/>
    <m/>
  </r>
  <r>
    <x v="18"/>
    <x v="3"/>
    <s v="C:\Users\andre\Desktop\REACTIV CEFAS\Prochloraz\Prochloraz/20201116_Cefas_Test6-Run1/Plate 5/@20/D11_02.tif "/>
    <s v=" 25047.418 "/>
    <s v=" 32.9093 "/>
    <x v="0"/>
    <n v="824294"/>
    <m/>
    <m/>
    <m/>
  </r>
  <r>
    <x v="18"/>
    <x v="3"/>
    <s v="C:\Users\andre\Desktop\REACTIV CEFAS\Prochloraz\Prochloraz/20201116_Cefas_Test6-Run1/Plate 5/@20/D11_03.tif "/>
    <s v=" 27296.927 "/>
    <s v=" 35.4216 "/>
    <x v="0"/>
    <n v="966900"/>
    <m/>
    <m/>
    <m/>
  </r>
  <r>
    <x v="18"/>
    <x v="4"/>
    <s v="C:\Users\andre\Desktop\REACTIV CEFAS\Prochloraz\Prochloraz/20201116_Cefas_Test6-Run1/Plate 5/@20/E11_01.tif "/>
    <s v=" 11355.6947 "/>
    <s v=" 40.0514 "/>
    <x v="0"/>
    <n v="454812"/>
    <m/>
    <m/>
    <m/>
  </r>
  <r>
    <x v="18"/>
    <x v="4"/>
    <s v="C:\Users\andre\Desktop\REACTIV CEFAS\Prochloraz\Prochloraz/20201116_Cefas_Test6-Run1/Plate 5/@20/E11_02.tif "/>
    <s v=" 15465.3747 "/>
    <s v=" 40.1315 "/>
    <x v="0"/>
    <n v="620648"/>
    <m/>
    <m/>
    <m/>
  </r>
  <r>
    <x v="18"/>
    <x v="4"/>
    <s v="C:\Users\andre\Desktop\REACTIV CEFAS\Prochloraz\Prochloraz/20201116_Cefas_Test6-Run1/Plate 5/@20/E11_03.tif "/>
    <s v=" 9300.8547 "/>
    <s v=" 33.2884 "/>
    <x v="0"/>
    <n v="309610"/>
    <m/>
    <m/>
    <m/>
  </r>
  <r>
    <x v="18"/>
    <x v="5"/>
    <s v="C:\Users\andre\Desktop\REACTIV CEFAS\Prochloraz\Prochloraz/20201116_Cefas_Test6-Run1/Plate 5/@20/F11_01.tif "/>
    <s v=" 33266.7779 "/>
    <s v=" 32.2789 "/>
    <x v="0"/>
    <n v="1073816"/>
    <m/>
    <m/>
    <m/>
  </r>
  <r>
    <x v="18"/>
    <x v="5"/>
    <s v="C:\Users\andre\Desktop\REACTIV CEFAS\Prochloraz\Prochloraz/20201116_Cefas_Test6-Run1/Plate 5/@20/F11_02.tif "/>
    <s v=" 30260.2226 "/>
    <s v=" 33.1851 "/>
    <x v="0"/>
    <n v="1004189"/>
    <m/>
    <m/>
    <m/>
  </r>
  <r>
    <x v="18"/>
    <x v="5"/>
    <s v="C:\Users\andre\Desktop\REACTIV CEFAS\Prochloraz\Prochloraz/20201116_Cefas_Test6-Run1/Plate 5/@20/F11_03.tif "/>
    <s v=" 57622.0393 "/>
    <s v=" 34.8198 "/>
    <x v="0"/>
    <n v="2006389"/>
    <m/>
    <m/>
    <m/>
  </r>
  <r>
    <x v="18"/>
    <x v="6"/>
    <s v="C:\Users\andre\Desktop\REACTIV CEFAS\Prochloraz\Prochloraz/20201116_Cefas_Test6-Run1/Plate 5/@20/G11_01.tif "/>
    <s v=" 5256.0644 "/>
    <s v=" 34.6996 "/>
    <x v="0"/>
    <n v="182383"/>
    <m/>
    <m/>
    <m/>
  </r>
  <r>
    <x v="18"/>
    <x v="6"/>
    <s v="C:\Users\andre\Desktop\REACTIV CEFAS\Prochloraz\Prochloraz/20201116_Cefas_Test6-Run1/Plate 5/@20/G11_02.tif "/>
    <s v=" 3374.2636 "/>
    <s v=" 33.5128 "/>
    <x v="0"/>
    <n v="113081"/>
    <m/>
    <m/>
    <m/>
  </r>
  <r>
    <x v="18"/>
    <x v="6"/>
    <s v="C:\Users\andre\Desktop\REACTIV CEFAS\Prochloraz\Prochloraz/20201116_Cefas_Test6-Run1/Plate 5/@20/G11_03.tif "/>
    <s v=" 7246.0147 "/>
    <s v=" 33.8478 "/>
    <x v="0"/>
    <n v="245261"/>
    <m/>
    <m/>
    <m/>
  </r>
  <r>
    <x v="18"/>
    <x v="7"/>
    <s v="C:\Users\andre\Desktop\REACTIV CEFAS\Prochloraz\Prochloraz/20201116_Cefas_Test6-Run1/Plate 5/@20/H11_01.tif "/>
    <n v="0"/>
    <n v="0"/>
    <x v="0"/>
    <n v="0"/>
    <m/>
    <m/>
    <m/>
  </r>
  <r>
    <x v="18"/>
    <x v="7"/>
    <s v="C:\Users\andre\Desktop\REACTIV CEFAS\Prochloraz\Prochloraz/20201116_Cefas_Test6-Run1/Plate 5/@20/H11_02.tif "/>
    <n v="0"/>
    <n v="0"/>
    <x v="0"/>
    <n v="0"/>
    <m/>
    <m/>
    <m/>
  </r>
  <r>
    <x v="18"/>
    <x v="7"/>
    <s v="C:\Users\andre\Desktop\REACTIV CEFAS\Prochloraz\Prochloraz/20201116_Cefas_Test6-Run1/Plate 5/@20/H11_03.tif "/>
    <s v=" 2336.0286 "/>
    <s v=" 34.9352 "/>
    <x v="0"/>
    <n v="81610"/>
    <m/>
    <m/>
    <m/>
  </r>
  <r>
    <x v="1"/>
    <x v="8"/>
    <s v=" "/>
    <m/>
    <m/>
    <x v="1"/>
    <m/>
    <m/>
    <m/>
    <m/>
  </r>
  <r>
    <x v="1"/>
    <x v="8"/>
    <s v="group "/>
    <s v=" "/>
    <s v=" mean of mean fluo "/>
    <x v="2"/>
    <s v=" mean of total fluo "/>
    <s v=" SD total fluo "/>
    <s v=" n fluorescent "/>
    <s v=" n total"/>
  </r>
  <r>
    <x v="18"/>
    <x v="9"/>
    <s v="C:\Users\andre\Desktop\REACTIV CEFAS\Prochloraz\Prochloraz/20201116_Cefas_Test6-Run1/Plate 5/@20/ "/>
    <s v=" "/>
    <s v=" 31.2109 "/>
    <x v="20"/>
    <s v=" 506027.667 "/>
    <s v=" 502011.561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C:\Users\andre\Desktop\REACTIV CEFAS\Prochloraz\Prochloraz/20201116_Cefas_Test6-Run1/Plate 5/@21/A12_01.tif "/>
    <s v=" 22408.5708 "/>
    <s v=" 33.4199 "/>
    <x v="0"/>
    <n v="748892"/>
    <m/>
    <m/>
    <m/>
  </r>
  <r>
    <x v="19"/>
    <x v="0"/>
    <s v="C:\Users\andre\Desktop\REACTIV CEFAS\Prochloraz\Prochloraz/20201116_Cefas_Test6-Run1/Plate 5/@21/A12_02.tif "/>
    <s v=" 39214.999 "/>
    <s v=" 34.2808 "/>
    <x v="0"/>
    <n v="1344320"/>
    <m/>
    <m/>
    <m/>
  </r>
  <r>
    <x v="19"/>
    <x v="0"/>
    <s v="C:\Users\andre\Desktop\REACTIV CEFAS\Prochloraz\Prochloraz/20201116_Cefas_Test6-Run1/Plate 5/@21/A12_03.tif "/>
    <s v=" 45487.6684 "/>
    <s v=" 34.9534 "/>
    <x v="0"/>
    <n v="1589949"/>
    <m/>
    <m/>
    <m/>
  </r>
  <r>
    <x v="19"/>
    <x v="1"/>
    <s v="C:\Users\andre\Desktop\REACTIV CEFAS\Prochloraz\Prochloraz/20201116_Cefas_Test6-Run1/Plate 5/@21/B12_01.tif "/>
    <s v=" 3071.445 "/>
    <s v=" 34.9437 "/>
    <x v="0"/>
    <n v="107328"/>
    <m/>
    <m/>
    <m/>
  </r>
  <r>
    <x v="19"/>
    <x v="1"/>
    <s v="C:\Users\andre\Desktop\REACTIV CEFAS\Prochloraz\Prochloraz/20201116_Cefas_Test6-Run1/Plate 5/@21/B12_02.tif "/>
    <s v=" 389.3381 "/>
    <s v=" 31.4444 "/>
    <x v="0"/>
    <n v="12243"/>
    <m/>
    <m/>
    <m/>
  </r>
  <r>
    <x v="19"/>
    <x v="1"/>
    <s v="C:\Users\andre\Desktop\REACTIV CEFAS\Prochloraz\Prochloraz/20201116_Cefas_Test6-Run1/Plate 5/@21/B12_03.tif "/>
    <s v=" 2552.3276 "/>
    <s v=" 34.7034 "/>
    <x v="0"/>
    <n v="88574"/>
    <m/>
    <m/>
    <m/>
  </r>
  <r>
    <x v="19"/>
    <x v="2"/>
    <s v="C:\Users\andre\Desktop\REACTIV CEFAS\Prochloraz\Prochloraz/20201116_Cefas_Test6-Run1/Plate 5/@21/C12_01.tif "/>
    <s v=" 5342.584 "/>
    <s v=" 36.7652 "/>
    <x v="0"/>
    <n v="196421"/>
    <m/>
    <m/>
    <m/>
  </r>
  <r>
    <x v="19"/>
    <x v="2"/>
    <s v="C:\Users\andre\Desktop\REACTIV CEFAS\Prochloraz\Prochloraz/20201116_Cefas_Test6-Run1/Plate 5/@21/C12_02.tif "/>
    <s v=" 8911.5166 "/>
    <s v=" 35.1456 "/>
    <x v="0"/>
    <n v="313201"/>
    <m/>
    <m/>
    <m/>
  </r>
  <r>
    <x v="19"/>
    <x v="2"/>
    <s v="C:\Users\andre\Desktop\REACTIV CEFAS\Prochloraz\Prochloraz/20201116_Cefas_Test6-Run1/Plate 5/@21/C12_03.tif "/>
    <s v=" 627.2669 "/>
    <s v=" 31.1379 "/>
    <x v="0"/>
    <n v="19532"/>
    <m/>
    <m/>
    <m/>
  </r>
  <r>
    <x v="19"/>
    <x v="3"/>
    <s v="C:\Users\andre\Desktop\REACTIV CEFAS\Prochloraz\Prochloraz/20201116_Cefas_Test6-Run1/Plate 5/@21/D12_01.tif "/>
    <s v=" 3374.2636 "/>
    <s v=" 35.7436 "/>
    <x v="0"/>
    <n v="120608"/>
    <m/>
    <m/>
    <m/>
  </r>
  <r>
    <x v="19"/>
    <x v="3"/>
    <s v="C:\Users\andre\Desktop\REACTIV CEFAS\Prochloraz\Prochloraz/20201116_Cefas_Test6-Run1/Plate 5/@21/D12_02.tif "/>
    <s v=" 1665.5019 "/>
    <s v=" 32.4675 "/>
    <x v="0"/>
    <n v="54075"/>
    <m/>
    <m/>
    <m/>
  </r>
  <r>
    <x v="19"/>
    <x v="3"/>
    <s v="C:\Users\andre\Desktop\REACTIV CEFAS\Prochloraz\Prochloraz/20201116_Cefas_Test6-Run1/Plate 5/@21/D12_03- exclu.tif"/>
    <m/>
    <m/>
    <x v="1"/>
    <m/>
    <m/>
    <m/>
    <m/>
  </r>
  <r>
    <x v="19"/>
    <x v="4"/>
    <s v="C:\Users\andre\Desktop\REACTIV CEFAS\Prochloraz\Prochloraz/20201116_Cefas_Test6-Run1/Plate 5/@21/E12_01.tif "/>
    <s v=" 29957.4041 "/>
    <s v=" 34.9069 "/>
    <x v="0"/>
    <n v="1045719"/>
    <m/>
    <m/>
    <m/>
  </r>
  <r>
    <x v="19"/>
    <x v="4"/>
    <s v="C:\Users\andre\Desktop\REACTIV CEFAS\Prochloraz\Prochloraz/20201116_Cefas_Test6-Run1/Plate 5/@21/E12_02.tif "/>
    <s v=" 26301.9519 "/>
    <s v=" 35.9622 "/>
    <x v="0"/>
    <n v="945875"/>
    <m/>
    <m/>
    <m/>
  </r>
  <r>
    <x v="19"/>
    <x v="4"/>
    <s v="C:\Users\andre\Desktop\REACTIV CEFAS\Prochloraz\Prochloraz/20201116_Cefas_Test6-Run1/Plate 5/@21/E12_03.tif "/>
    <s v=" 29373.3969 "/>
    <s v=" 35.6819 "/>
    <x v="0"/>
    <n v="1048098"/>
    <m/>
    <m/>
    <m/>
  </r>
  <r>
    <x v="19"/>
    <x v="5"/>
    <s v="C:\Users\andre\Desktop\REACTIV CEFAS\Prochloraz\Prochloraz/20201116_Cefas_Test6-Run1/Plate 5/@21/F12_01.tif "/>
    <s v=" 3093.0749 "/>
    <s v=" 34.958 "/>
    <x v="0"/>
    <n v="108128"/>
    <m/>
    <m/>
    <m/>
  </r>
  <r>
    <x v="19"/>
    <x v="5"/>
    <s v="C:\Users\andre\Desktop\REACTIV CEFAS\Prochloraz\Prochloraz/20201116_Cefas_Test6-Run1/Plate 5/@21/F12_02.tif "/>
    <s v=" 8976.4063 "/>
    <s v=" 40.2867 "/>
    <x v="0"/>
    <n v="361630"/>
    <m/>
    <m/>
    <m/>
  </r>
  <r>
    <x v="19"/>
    <x v="5"/>
    <s v="C:\Users\andre\Desktop\REACTIV CEFAS\Prochloraz\Prochloraz/20201116_Cefas_Test6-Run1/Plate 5/@21/F12_03.tif "/>
    <s v=" 108.1495 "/>
    <s v=" 30.8 "/>
    <x v="0"/>
    <n v="3331"/>
    <m/>
    <m/>
    <m/>
  </r>
  <r>
    <x v="19"/>
    <x v="6"/>
    <s v="C:\Users\andre\Desktop\REACTIV CEFAS\Prochloraz\Prochloraz/20201116_Cefas_Test6-Run1/Plate 5/@21/G12_01.tif "/>
    <s v=" 10533.7587 "/>
    <s v=" 39.1191 "/>
    <x v="0"/>
    <n v="412071"/>
    <m/>
    <m/>
    <m/>
  </r>
  <r>
    <x v="19"/>
    <x v="6"/>
    <s v="C:\Users\andre\Desktop\REACTIV CEFAS\Prochloraz\Prochloraz/20201116_Cefas_Test6-Run1/Plate 5/@21/G12_02.tif "/>
    <s v=" 3633.8223 "/>
    <s v=" 36.2262 "/>
    <x v="0"/>
    <n v="131640"/>
    <m/>
    <m/>
    <m/>
  </r>
  <r>
    <x v="19"/>
    <x v="6"/>
    <s v="C:\Users\andre\Desktop\REACTIV CEFAS\Prochloraz\Prochloraz/20201116_Cefas_Test6-Run1/Plate 5/@21/G12_03.tif "/>
    <s v=" 4066.4202 "/>
    <s v=" 36.25 "/>
    <x v="0"/>
    <n v="147408"/>
    <m/>
    <m/>
    <m/>
  </r>
  <r>
    <x v="19"/>
    <x v="7"/>
    <s v="C:\Users\andre\Desktop\REACTIV CEFAS\Prochloraz\Prochloraz/20201116_Cefas_Test6-Run1/Plate 5/@21/H12_01.tif "/>
    <s v=" 69669.8906 "/>
    <s v=" 37.4176 "/>
    <x v="0"/>
    <n v="2606878"/>
    <m/>
    <m/>
    <m/>
  </r>
  <r>
    <x v="19"/>
    <x v="7"/>
    <s v="C:\Users\andre\Desktop\REACTIV CEFAS\Prochloraz\Prochloraz/20201116_Cefas_Test6-Run1/Plate 5/@21/H12_02.tif "/>
    <s v=" 60325.7761 "/>
    <s v=" 36.038 "/>
    <x v="0"/>
    <n v="2174021"/>
    <m/>
    <m/>
    <m/>
  </r>
  <r>
    <x v="19"/>
    <x v="7"/>
    <s v="C:\Users\andre\Desktop\REACTIV CEFAS\Prochloraz\Prochloraz/20201116_Cefas_Test6-Run1/Plate 5/@21/H12_03.tif "/>
    <s v=" 60325.7761 "/>
    <s v=" 36.8691 "/>
    <x v="0"/>
    <n v="2224159"/>
    <m/>
    <m/>
    <m/>
  </r>
  <r>
    <x v="1"/>
    <x v="8"/>
    <s v=" "/>
    <m/>
    <m/>
    <x v="1"/>
    <m/>
    <m/>
    <m/>
    <m/>
  </r>
  <r>
    <x v="1"/>
    <x v="8"/>
    <s v="group "/>
    <s v=" "/>
    <s v=" mean of mean fluo "/>
    <x v="2"/>
    <s v=" mean of total fluo "/>
    <s v=" SD total fluo "/>
    <s v=" n fluorescent "/>
    <s v=" n total"/>
  </r>
  <r>
    <x v="19"/>
    <x v="9"/>
    <s v="C:\Users\andre\Desktop\REACTIV CEFAS\Prochloraz\Prochloraz/20201116_Cefas_Test6-Run1/Plate 5/@21/ "/>
    <s v=" "/>
    <s v=" 35.295 "/>
    <x v="21"/>
    <s v=" 669843.667 "/>
    <s v=" 788025.2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C:\Users\andre\Desktop\REACTIV CEFAS\Prochloraz\Prochloraz/20201116_Cefas_Test6-Run1/Plate 5/@8/A2_01.tif "/>
    <s v=" 4909.9861 "/>
    <s v=" 35.8943 "/>
    <x v="0"/>
    <n v="176240"/>
    <m/>
    <m/>
    <m/>
  </r>
  <r>
    <x v="20"/>
    <x v="0"/>
    <s v="C:\Users\andre\Desktop\REACTIV CEFAS\Prochloraz\Prochloraz/20201116_Cefas_Test6-Run1/Plate 5/@8/A2_02.tif "/>
    <s v=" 8067.9507 "/>
    <s v=" 43.7158 "/>
    <x v="0"/>
    <n v="352697"/>
    <m/>
    <m/>
    <m/>
  </r>
  <r>
    <x v="20"/>
    <x v="0"/>
    <s v="C:\Users\andre\Desktop\REACTIV CEFAS\Prochloraz\Prochloraz/20201116_Cefas_Test6-Run1/Plate 5/@8/A2_03.tif "/>
    <s v=" 194.6691 "/>
    <s v=" 31.5556 "/>
    <x v="0"/>
    <n v="6143"/>
    <m/>
    <m/>
    <m/>
  </r>
  <r>
    <x v="20"/>
    <x v="1"/>
    <s v="C:\Users\andre\Desktop\REACTIV CEFAS\Prochloraz\Prochloraz/20201116_Cefas_Test6-Run1/Plate 5/@8/B2_01.tif "/>
    <s v=" 2682.1069 "/>
    <s v=" 33.2339 "/>
    <x v="0"/>
    <n v="89137"/>
    <m/>
    <m/>
    <m/>
  </r>
  <r>
    <x v="20"/>
    <x v="1"/>
    <s v="C:\Users\andre\Desktop\REACTIV CEFAS\Prochloraz\Prochloraz/20201116_Cefas_Test6-Run1/Plate 5/@8/B2_02.tif "/>
    <s v=" 4909.9861 "/>
    <s v=" 37.1278 "/>
    <x v="0"/>
    <n v="182297"/>
    <m/>
    <m/>
    <m/>
  </r>
  <r>
    <x v="20"/>
    <x v="1"/>
    <s v="C:\Users\andre\Desktop\REACTIV CEFAS\Prochloraz\Prochloraz/20201116_Cefas_Test6-Run1/Plate 5/@8/B2_03.tif "/>
    <s v=" 1319.4236 "/>
    <s v=" 33.4262 "/>
    <x v="0"/>
    <n v="44103"/>
    <m/>
    <m/>
    <m/>
  </r>
  <r>
    <x v="20"/>
    <x v="2"/>
    <s v="C:\Users\andre\Desktop\REACTIV CEFAS\Prochloraz\Prochloraz/20201116_Cefas_Test6-Run1/Plate 5/@8/C2_01.tif "/>
    <s v=" 3547.3027 "/>
    <s v=" 36.8354 "/>
    <x v="0"/>
    <n v="130666"/>
    <m/>
    <m/>
    <m/>
  </r>
  <r>
    <x v="20"/>
    <x v="2"/>
    <s v="C:\Users\andre\Desktop\REACTIV CEFAS\Prochloraz\Prochloraz/20201116_Cefas_Test6-Run1/Plate 5/@8/C2_02.tif "/>
    <s v=" 4866.7263 "/>
    <s v=" 37.36 "/>
    <x v="0"/>
    <n v="181821"/>
    <m/>
    <m/>
    <m/>
  </r>
  <r>
    <x v="20"/>
    <x v="2"/>
    <s v="C:\Users\andre\Desktop\REACTIV CEFAS\Prochloraz\Prochloraz/20201116_Cefas_Test6-Run1/Plate 5/@8/C2_03.tif "/>
    <s v=" 5277.6943 "/>
    <s v=" 39.75 "/>
    <x v="0"/>
    <n v="209788"/>
    <m/>
    <m/>
    <m/>
  </r>
  <r>
    <x v="20"/>
    <x v="3"/>
    <s v="C:\Users\andre\Desktop\REACTIV CEFAS\Prochloraz\Prochloraz/20201116_Cefas_Test6-Run1/Plate 5/@8/D2_01.tif "/>
    <s v=" 8695.2176 "/>
    <s v=" 39.8682 "/>
    <x v="0"/>
    <n v="346662"/>
    <m/>
    <m/>
    <m/>
  </r>
  <r>
    <x v="20"/>
    <x v="3"/>
    <s v="C:\Users\andre\Desktop\REACTIV CEFAS\Prochloraz\Prochloraz/20201116_Cefas_Test6-Run1/Plate 5/@8/D2_02.tif "/>
    <s v=" 3871.7511 "/>
    <s v=" 38.6592 "/>
    <x v="0"/>
    <n v="149679"/>
    <m/>
    <m/>
    <m/>
  </r>
  <r>
    <x v="20"/>
    <x v="3"/>
    <s v="C:\Users\andre\Desktop\REACTIV CEFAS\Prochloraz\Prochloraz/20201116_Cefas_Test6-Run1/Plate 5/@8/D2_03.tif "/>
    <s v=" 6078.0004 "/>
    <s v=" 37.968 "/>
    <x v="0"/>
    <n v="230769"/>
    <m/>
    <m/>
    <m/>
  </r>
  <r>
    <x v="20"/>
    <x v="4"/>
    <s v="C:\Users\andre\Desktop\REACTIV CEFAS\Prochloraz\Prochloraz/20201116_Cefas_Test6-Run1/Plate 5/@8/E2_01.tif "/>
    <s v=" 4888.3562 "/>
    <s v=" 36.854 "/>
    <x v="0"/>
    <n v="180155"/>
    <m/>
    <m/>
    <m/>
  </r>
  <r>
    <x v="20"/>
    <x v="4"/>
    <s v="C:\Users\andre\Desktop\REACTIV CEFAS\Prochloraz\Prochloraz/20201116_Cefas_Test6-Run1/Plate 5/@8/E2_02.tif "/>
    <s v=" 5493.9932 "/>
    <s v=" 35.4291 "/>
    <x v="0"/>
    <n v="194647"/>
    <m/>
    <m/>
    <m/>
  </r>
  <r>
    <x v="20"/>
    <x v="4"/>
    <s v="C:\Users\andre\Desktop\REACTIV CEFAS\Prochloraz\Prochloraz/20201116_Cefas_Test6-Run1/Plate 5/@8/E2_03.tif "/>
    <s v=" 9344.1145 "/>
    <s v=" 38.9884 "/>
    <x v="0"/>
    <n v="364312"/>
    <m/>
    <m/>
    <m/>
  </r>
  <r>
    <x v="20"/>
    <x v="5"/>
    <s v="C:\Users\andre\Desktop\REACTIV CEFAS\Prochloraz\Prochloraz/20201116_Cefas_Test6-Run1/Plate 5/@8/F2_01.tif "/>
    <s v=" 7786.7621 "/>
    <s v=" 40.3528 "/>
    <x v="0"/>
    <n v="314217"/>
    <m/>
    <m/>
    <m/>
  </r>
  <r>
    <x v="20"/>
    <x v="5"/>
    <s v="C:\Users\andre\Desktop\REACTIV CEFAS\Prochloraz\Prochloraz/20201116_Cefas_Test6-Run1/Plate 5/@8/F2_02.tif "/>
    <s v=" 11658.5132 "/>
    <s v=" 40.3451 "/>
    <x v="0"/>
    <n v="470364"/>
    <m/>
    <m/>
    <m/>
  </r>
  <r>
    <x v="20"/>
    <x v="5"/>
    <s v="C:\Users\andre\Desktop\REACTIV CEFAS\Prochloraz\Prochloraz/20201116_Cefas_Test6-Run1/Plate 5/@8/F2_03.tif "/>
    <s v=" 13864.7625 "/>
    <s v=" 43.3994 "/>
    <x v="0"/>
    <n v="601722"/>
    <m/>
    <m/>
    <m/>
  </r>
  <r>
    <x v="20"/>
    <x v="6"/>
    <s v="C:\Users\andre\Desktop\REACTIV CEFAS\Prochloraz\Prochloraz/20201116_Cefas_Test6-Run1/Plate 5/@8/G2_01.tif "/>
    <s v=" 389.3381 "/>
    <s v=" 31.3333 "/>
    <x v="0"/>
    <n v="12199"/>
    <m/>
    <m/>
    <m/>
  </r>
  <r>
    <x v="20"/>
    <x v="6"/>
    <s v="C:\Users\andre\Desktop\REACTIV CEFAS\Prochloraz\Prochloraz/20201116_Cefas_Test6-Run1/Plate 5/@8/G2_02.tif "/>
    <s v=" 2573.9575 "/>
    <s v=" 32.9412 "/>
    <x v="0"/>
    <n v="84789"/>
    <m/>
    <m/>
    <m/>
  </r>
  <r>
    <x v="20"/>
    <x v="6"/>
    <s v="C:\Users\andre\Desktop\REACTIV CEFAS\Prochloraz\Prochloraz/20201116_Cefas_Test6-Run1/Plate 5/@8/G2_03.tif "/>
    <s v=" 2098.0998 "/>
    <s v=" 32.6701 "/>
    <x v="0"/>
    <n v="68545"/>
    <m/>
    <m/>
    <m/>
  </r>
  <r>
    <x v="20"/>
    <x v="7"/>
    <s v="C:\Users\andre\Desktop\REACTIV CEFAS\Prochloraz\Prochloraz/20201116_Cefas_Test6-Run1/Plate 5/@8/H2_01.tif "/>
    <s v=" 4607.1676 "/>
    <s v=" 36.23 "/>
    <x v="0"/>
    <n v="166918"/>
    <m/>
    <m/>
    <m/>
  </r>
  <r>
    <x v="20"/>
    <x v="7"/>
    <s v="C:\Users\andre\Desktop\REACTIV CEFAS\Prochloraz\Prochloraz/20201116_Cefas_Test6-Run1/Plate 5/@8/H2_02.tif "/>
    <s v=" 6813.4168 "/>
    <s v=" 38.1905 "/>
    <x v="0"/>
    <n v="260208"/>
    <m/>
    <m/>
    <m/>
  </r>
  <r>
    <x v="20"/>
    <x v="7"/>
    <s v="C:\Users\andre\Desktop\REACTIV CEFAS\Prochloraz\Prochloraz/20201116_Cefas_Test6-Run1/Plate 5/@8/H2_03.tif "/>
    <s v=" 7072.9755 "/>
    <s v=" 41.0275 "/>
    <x v="0"/>
    <n v="290187"/>
    <m/>
    <m/>
    <m/>
  </r>
  <r>
    <x v="1"/>
    <x v="8"/>
    <s v=" "/>
    <m/>
    <m/>
    <x v="1"/>
    <m/>
    <m/>
    <m/>
    <m/>
  </r>
  <r>
    <x v="1"/>
    <x v="8"/>
    <s v="group "/>
    <s v=" "/>
    <s v=" mean of mean fluo "/>
    <x v="2"/>
    <s v=" mean of total fluo "/>
    <s v=" SD total fluo "/>
    <s v=" n fluorescent "/>
    <s v=" n total"/>
  </r>
  <r>
    <x v="20"/>
    <x v="9"/>
    <s v="C:\Users\andre\Desktop\REACTIV CEFAS\Prochloraz\Prochloraz/20201116_Cefas_Test6-Run1/Plate 5/@8/ "/>
    <s v=" "/>
    <s v=" 37.2148 "/>
    <x v="22"/>
    <s v=" 212844.375 "/>
    <s v=" 144199.74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C:\Users\andre\Desktop\REACTIV CEFAS\Prochloraz\Prochloraz/20201116_Cefas_Test6-Run1/Plate 5/@9/A3_01.tif "/>
    <s v=" 1405.9432 "/>
    <s v=" 32.5385 "/>
    <x v="0"/>
    <n v="45747"/>
    <m/>
    <m/>
    <m/>
  </r>
  <r>
    <x v="21"/>
    <x v="0"/>
    <s v="C:\Users\andre\Desktop\REACTIV CEFAS\Prochloraz\Prochloraz/20201116_Cefas_Test6-Run1/Plate 5/@9/A3_02.tif "/>
    <s v=" 324.4484 "/>
    <s v=" 31.2667 "/>
    <x v="0"/>
    <n v="10144"/>
    <m/>
    <m/>
    <m/>
  </r>
  <r>
    <x v="21"/>
    <x v="0"/>
    <s v="C:\Users\andre\Desktop\REACTIV CEFAS\Prochloraz\Prochloraz/20201116_Cefas_Test6-Run1/Plate 5/@9/A3_03.tif "/>
    <s v=" 43.2598 "/>
    <n v="30"/>
    <x v="0"/>
    <n v="1298"/>
    <m/>
    <m/>
    <m/>
  </r>
  <r>
    <x v="21"/>
    <x v="1"/>
    <s v="C:\Users\andre\Desktop\REACTIV CEFAS\Prochloraz\Prochloraz/20201116_Cefas_Test6-Run1/Plate 5/@9/B3_01.tif "/>
    <s v=" 3590.5625 "/>
    <s v=" 33.0241 "/>
    <x v="0"/>
    <n v="118575"/>
    <m/>
    <m/>
    <m/>
  </r>
  <r>
    <x v="21"/>
    <x v="1"/>
    <s v="C:\Users\andre\Desktop\REACTIV CEFAS\Prochloraz\Prochloraz/20201116_Cefas_Test6-Run1/Plate 5/@9/B3_02.tif "/>
    <s v=" 3850.1212 "/>
    <s v=" 33.8315 "/>
    <x v="0"/>
    <n v="130255"/>
    <m/>
    <m/>
    <m/>
  </r>
  <r>
    <x v="21"/>
    <x v="1"/>
    <s v="C:\Users\andre\Desktop\REACTIV CEFAS\Prochloraz\Prochloraz/20201116_Cefas_Test6-Run1/Plate 5/@9/B3_03.tif "/>
    <s v=" 3720.3419 "/>
    <s v=" 34.8023 "/>
    <x v="0"/>
    <n v="129477"/>
    <m/>
    <m/>
    <m/>
  </r>
  <r>
    <x v="21"/>
    <x v="2"/>
    <s v="C:\Users\andre\Desktop\REACTIV CEFAS\Prochloraz\Prochloraz/20201116_Cefas_Test6-Run1/Plate 5/@9/C3_01.tif "/>
    <s v=" 3071.445 "/>
    <s v=" 32.3662 "/>
    <x v="0"/>
    <n v="99411"/>
    <m/>
    <m/>
    <m/>
  </r>
  <r>
    <x v="21"/>
    <x v="2"/>
    <s v="C:\Users\andre\Desktop\REACTIV CEFAS\Prochloraz\Prochloraz/20201116_Cefas_Test6-Run1/Plate 5/@9/C3_02.tif "/>
    <s v=" 3222.8543 "/>
    <s v=" 35.8255 "/>
    <x v="0"/>
    <n v="115460"/>
    <m/>
    <m/>
    <m/>
  </r>
  <r>
    <x v="21"/>
    <x v="2"/>
    <s v="C:\Users\andre\Desktop\REACTIV CEFAS\Prochloraz\Prochloraz/20201116_Cefas_Test6-Run1/Plate 5/@9/C3_03.tif "/>
    <s v=" 692.1566 "/>
    <s v=" 30.6562 "/>
    <x v="0"/>
    <n v="21219"/>
    <m/>
    <m/>
    <m/>
  </r>
  <r>
    <x v="21"/>
    <x v="3"/>
    <s v="C:\Users\andre\Desktop\REACTIV CEFAS\Prochloraz\Prochloraz/20201116_Cefas_Test6-Run1/Plate 5/@9/D3_01.tif "/>
    <s v=" 367.7082 "/>
    <n v="34"/>
    <x v="0"/>
    <n v="12502"/>
    <m/>
    <m/>
    <m/>
  </r>
  <r>
    <x v="21"/>
    <x v="3"/>
    <s v="C:\Users\andre\Desktop\REACTIV CEFAS\Prochloraz\Prochloraz/20201116_Cefas_Test6-Run1/Plate 5/@9/D3_02.tif "/>
    <s v=" 497.4876 "/>
    <s v=" 31.8261 "/>
    <x v="0"/>
    <n v="15833"/>
    <m/>
    <m/>
    <m/>
  </r>
  <r>
    <x v="21"/>
    <x v="3"/>
    <s v="C:\Users\andre\Desktop\REACTIV CEFAS\Prochloraz\Prochloraz/20201116_Cefas_Test6-Run1/Plate 5/@9/D3_03.tif "/>
    <s v=" 1211.2741 "/>
    <s v=" 33.7857 "/>
    <x v="0"/>
    <n v="40924"/>
    <m/>
    <m/>
    <m/>
  </r>
  <r>
    <x v="21"/>
    <x v="4"/>
    <s v="C:\Users\andre\Desktop\REACTIV CEFAS\Prochloraz\Prochloraz/20201116_Cefas_Test6-Run1/Plate 5/@9/E3_01.tif "/>
    <s v=" 4217.8295 "/>
    <s v=" 38.1385 "/>
    <x v="0"/>
    <n v="160862"/>
    <m/>
    <m/>
    <m/>
  </r>
  <r>
    <x v="21"/>
    <x v="4"/>
    <s v="C:\Users\andre\Desktop\REACTIV CEFAS\Prochloraz\Prochloraz/20201116_Cefas_Test6-Run1/Plate 5/@9/E3_02.tif "/>
    <s v=" 3525.6728 "/>
    <s v=" 39.3374 "/>
    <x v="0"/>
    <n v="138691"/>
    <m/>
    <m/>
    <m/>
  </r>
  <r>
    <x v="21"/>
    <x v="4"/>
    <s v="C:\Users\andre\Desktop\REACTIV CEFAS\Prochloraz\Prochloraz/20201116_Cefas_Test6-Run1/Plate 5/@9/E3_03.tif "/>
    <s v=" 6380.8189 "/>
    <s v=" 36.9186 "/>
    <x v="0"/>
    <n v="235571"/>
    <m/>
    <m/>
    <m/>
  </r>
  <r>
    <x v="21"/>
    <x v="5"/>
    <s v="C:\Users\andre\Desktop\REACTIV CEFAS\Prochloraz\Prochloraz/20201116_Cefas_Test6-Run1/Plate 5/@9/F3_01.tif "/>
    <s v=" 7008.0859 "/>
    <s v=" 41.1852 "/>
    <x v="0"/>
    <n v="288629"/>
    <m/>
    <m/>
    <m/>
  </r>
  <r>
    <x v="21"/>
    <x v="5"/>
    <s v="C:\Users\andre\Desktop\REACTIV CEFAS\Prochloraz\Prochloraz/20201116_Cefas_Test6-Run1/Plate 5/@9/F3_02.tif "/>
    <s v=" 8197.7301 "/>
    <s v=" 43.6253 "/>
    <x v="0"/>
    <n v="357629"/>
    <m/>
    <m/>
    <m/>
  </r>
  <r>
    <x v="21"/>
    <x v="5"/>
    <s v="C:\Users\andre\Desktop\REACTIV CEFAS\Prochloraz\Prochloraz/20201116_Cefas_Test6-Run1/Plate 5/@9/F3_03.tif "/>
    <s v=" 3395.8935 "/>
    <s v=" 38.3567 "/>
    <x v="0"/>
    <n v="130255"/>
    <m/>
    <m/>
    <m/>
  </r>
  <r>
    <x v="21"/>
    <x v="6"/>
    <s v="C:\Users\andre\Desktop\REACTIV CEFAS\Prochloraz\Prochloraz/20201116_Cefas_Test6-Run1/Plate 5/@9/G3_01.tif "/>
    <s v=" 3741.9718 "/>
    <s v=" 36.8035 "/>
    <x v="0"/>
    <n v="137718"/>
    <m/>
    <m/>
    <m/>
  </r>
  <r>
    <x v="21"/>
    <x v="6"/>
    <s v="C:\Users\andre\Desktop\REACTIV CEFAS\Prochloraz\Prochloraz/20201116_Cefas_Test6-Run1/Plate 5/@9/G3_02.tif "/>
    <s v=" 6683.6374 "/>
    <s v=" 36.4434 "/>
    <x v="0"/>
    <n v="243574"/>
    <m/>
    <m/>
    <m/>
  </r>
  <r>
    <x v="21"/>
    <x v="6"/>
    <s v="C:\Users\andre\Desktop\REACTIV CEFAS\Prochloraz\Prochloraz/20201116_Cefas_Test6-Run1/Plate 5/@9/G3_03.tif "/>
    <s v=" 6142.8901 "/>
    <s v=" 35.007 "/>
    <x v="0"/>
    <n v="215044"/>
    <m/>
    <m/>
    <m/>
  </r>
  <r>
    <x v="21"/>
    <x v="7"/>
    <s v="C:\Users\andre\Desktop\REACTIV CEFAS\Prochloraz\Prochloraz/20201116_Cefas_Test6-Run1/Plate 5/@9/H3_01.tif "/>
    <s v=" 7505.5734 "/>
    <s v=" 39.4438 "/>
    <x v="0"/>
    <n v="296048"/>
    <m/>
    <m/>
    <m/>
  </r>
  <r>
    <x v="21"/>
    <x v="7"/>
    <s v="C:\Users\andre\Desktop\REACTIV CEFAS\Prochloraz\Prochloraz/20201116_Cefas_Test6-Run1/Plate 5/@9/H3_02.tif "/>
    <s v=" 5537.253 "/>
    <s v=" 38.2461 "/>
    <x v="0"/>
    <n v="211778"/>
    <m/>
    <m/>
    <m/>
  </r>
  <r>
    <x v="21"/>
    <x v="7"/>
    <s v="C:\Users\andre\Desktop\REACTIV CEFAS\Prochloraz\Prochloraz/20201116_Cefas_Test6-Run1/Plate 5/@9/H3_03.tif "/>
    <s v=" 6078.0004 "/>
    <s v=" 38.1886 "/>
    <x v="0"/>
    <n v="232110"/>
    <m/>
    <m/>
    <m/>
  </r>
  <r>
    <x v="1"/>
    <x v="8"/>
    <s v=" "/>
    <m/>
    <m/>
    <x v="1"/>
    <m/>
    <m/>
    <m/>
    <m/>
  </r>
  <r>
    <x v="1"/>
    <x v="8"/>
    <s v="group "/>
    <s v=" "/>
    <s v=" mean of mean fluo "/>
    <x v="2"/>
    <s v=" mean of total fluo "/>
    <s v=" SD total fluo "/>
    <s v=" n fluorescent "/>
    <s v=" n total"/>
  </r>
  <r>
    <x v="21"/>
    <x v="9"/>
    <s v="C:\Users\andre\Desktop\REACTIV CEFAS\Prochloraz\Prochloraz/20201116_Cefas_Test6-Run1/Plate 5/@9/ "/>
    <s v=" "/>
    <s v=" 35.6507 "/>
    <x v="23"/>
    <s v=" 141198.083 "/>
    <s v=" 101495.973 "/>
    <n v="24"/>
    <n v="24"/>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11"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4">
        <item m="1" x="22"/>
        <item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0"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46">
        <item x="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9"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8"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11" firstHeaderRow="1" firstDataRow="1" firstDataCol="1" rowPageCount="2" colPageCount="1"/>
  <pivotFields count="6">
    <pivotField axis="axisRow" showAll="0" defaultSubtotal="0">
      <items count="23">
        <item x="22"/>
        <item x="13"/>
        <item x="1"/>
        <item x="2"/>
        <item x="3"/>
        <item x="4"/>
        <item x="5"/>
        <item x="6"/>
        <item x="7"/>
        <item x="15"/>
        <item x="16"/>
        <item x="14"/>
        <item x="0"/>
        <item x="8"/>
        <item x="9"/>
        <item x="10"/>
        <item x="11"/>
        <item x="12"/>
        <item x="17"/>
        <item x="18"/>
        <item x="19"/>
        <item x="20"/>
        <item x="2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i>
    <i>
      <x v="18"/>
    </i>
    <i>
      <x v="19"/>
    </i>
    <i>
      <x v="20"/>
    </i>
    <i>
      <x v="21"/>
    </i>
    <i>
      <x v="22"/>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8"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11" firstHeaderRow="1" firstDataRow="1" firstDataCol="1" rowPageCount="2" colPageCount="1"/>
  <pivotFields count="6">
    <pivotField axis="axisRow" showAll="0" defaultSubtotal="0">
      <items count="23">
        <item x="22"/>
        <item x="13"/>
        <item x="1"/>
        <item x="2"/>
        <item x="3"/>
        <item x="4"/>
        <item x="5"/>
        <item x="6"/>
        <item x="7"/>
        <item x="15"/>
        <item x="16"/>
        <item x="14"/>
        <item x="0"/>
        <item x="8"/>
        <item x="9"/>
        <item x="10"/>
        <item x="11"/>
        <item x="12"/>
        <item x="17"/>
        <item x="18"/>
        <item x="19"/>
        <item x="20"/>
        <item x="2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v="1"/>
    </i>
    <i>
      <x v="13"/>
    </i>
    <i>
      <x v="14"/>
    </i>
    <i>
      <x v="15"/>
    </i>
    <i>
      <x v="16"/>
    </i>
    <i>
      <x v="17"/>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32">
      <calculatedColumnFormula>IFERROR(LEFT(RIGHT(C2,LEN(C2)-SEARCH("@",C2)),SEARCH("/",RIGHT(C2,LEN(C2)-SEARCH("@",C2)-1))),"")</calculatedColumnFormula>
    </tableColumn>
    <tableColumn id="2" xr3:uid="{00000000-0010-0000-0200-000002000000}" name="N° de valeur" dataDxfId="31">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979CB6BB-7ED5-438A-B0E7-917AB298C72B}" name="Colonne1"/>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30">
      <calculatedColumnFormula>IFERROR(LEFT(RIGHT(C2,LEN(C2)-SEARCH("@",C2)),SEARCH("/",RIGHT(C2,LEN(C2)-SEARCH("@",C2)-1))),"")</calculatedColumnFormula>
    </tableColumn>
    <tableColumn id="2" xr3:uid="{00000000-0010-0000-0300-000002000000}" name="N° de valeur" dataDxfId="29">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0FE08CB6-91E2-4319-B1CB-C9F48CE52F3D}"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J1711" totalsRowShown="0">
  <autoFilter ref="A1:J1711" xr:uid="{00000000-0009-0000-0100-000006000000}"/>
  <tableColumns count="10">
    <tableColumn id="1" xr3:uid="{00000000-0010-0000-0400-000001000000}" name="Nom groupe" dataDxfId="28">
      <calculatedColumnFormula>IFERROR(LEFT(RIGHT(C2,LEN(C2)-SEARCH("@",C2)),SEARCH("/",RIGHT(C2,LEN(C2)-SEARCH("@",C2)-1))),"")</calculatedColumnFormula>
    </tableColumn>
    <tableColumn id="2" xr3:uid="{00000000-0010-0000-0400-000002000000}" name="N° de valeur" dataDxfId="27">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 id="10" xr3:uid="{58FA3236-9AC3-4425-8166-1CDFADD7814A}" name="Colonne1"/>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6" dataDxfId="25" tableBorderDxfId="24">
  <autoFilter ref="A1:G2" xr:uid="{00000000-0009-0000-0100-000002000000}"/>
  <tableColumns count="7">
    <tableColumn id="1" xr3:uid="{00000000-0010-0000-0500-000001000000}" name="Description" dataDxfId="23"/>
    <tableColumn id="2" xr3:uid="{00000000-0010-0000-0500-000002000000}" name="Problème" dataDxfId="22"/>
    <tableColumn id="3" xr3:uid="{00000000-0010-0000-0500-000003000000}" name="EqH RAPPORT" dataDxfId="21"/>
    <tableColumn id="4" xr3:uid="{00000000-0010-0000-0500-000004000000}" name="% atteinte du seuil RAPPORT" dataDxfId="20"/>
    <tableColumn id="5" xr3:uid="{00000000-0010-0000-0500-000005000000}" name="Valeur échelle sur graphique RAPPORT" dataDxfId="19"/>
    <tableColumn id="6" xr3:uid="{00000000-0010-0000-0500-000006000000}" name="EqH BASE DE DONNEES" dataDxfId="18"/>
    <tableColumn id="7" xr3:uid="{00000000-0010-0000-0500-000007000000}" name="% BASE DE DONNEES" dataDxfId="17"/>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6">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15">
      <calculatedColumnFormula>U6</calculatedColumnFormula>
    </tableColumn>
    <tableColumn id="3" xr3:uid="{00000000-0010-0000-0600-000003000000}" name="CHG-protocole"/>
    <tableColumn id="4" xr3:uid="{00000000-0010-0000-0600-000004000000}" name="CHG-dilution" dataDxfId="14">
      <calculatedColumnFormula>CONCATENATE(VLOOKUP(Tableau3[[#This Row],[Nom ND]],liste_groupe[],3,FALSE),VLOOKUP(Tableau3[[#This Row],[Nom ND]],liste_groupe[],4,FALSE))</calculatedColumnFormula>
    </tableColumn>
    <tableColumn id="5" xr3:uid="{00000000-0010-0000-0600-000005000000}" name="CHG-induction ND" dataDxfId="13">
      <calculatedColumnFormula>HLOOKUP(Tableau3[[#This Row],[Nom ND]],'pooled normalised values'!$B$74:$AK$83,4,FALSE)</calculatedColumnFormula>
    </tableColumn>
    <tableColumn id="6" xr3:uid="{00000000-0010-0000-0600-000006000000}" name="CHG-test ND" dataDxfId="12">
      <calculatedColumnFormula>HLOOKUP(Tableau3[[#This Row],[Nom ND]],'pooled normalised values'!$B$74:$AK$83,8,FALSE)</calculatedColumnFormula>
    </tableColumn>
    <tableColumn id="8" xr3:uid="{00000000-0010-0000-0600-000008000000}" name="CHG-EQH ND" dataDxfId="11">
      <calculatedColumnFormula>VLOOKUP(Tableau3[[#This Row],[Nom ND]],'summary results'!$A$6:$N$26,9,FALSE)</calculatedColumnFormula>
    </tableColumn>
    <tableColumn id="9" xr3:uid="{00000000-0010-0000-0600-000009000000}" name="CHG-% atteinte du seuil ND" dataDxfId="10">
      <calculatedColumnFormula>VLOOKUP(Tableau3[[#This Row],[Nom ND]],'summary results'!$A$6:$N$26,11,FALSE)</calculatedColumnFormula>
    </tableColumn>
    <tableColumn id="10" xr3:uid="{00000000-0010-0000-0600-00000A000000}" name="CHG-induction D" dataDxfId="9">
      <calculatedColumnFormula>HLOOKUP(Tableau3[[#This Row],[Nom D]],'pooled normalised values'!$B$74:$AK$83,4,FALSE)</calculatedColumnFormula>
    </tableColumn>
    <tableColumn id="11" xr3:uid="{00000000-0010-0000-0600-00000B000000}" name="CHG-test D" dataDxfId="8">
      <calculatedColumnFormula>HLOOKUP(Tableau3[[#This Row],[Nom D]],'pooled normalised values'!$B$74:$AK$83,8,FALSE)</calculatedColumnFormula>
    </tableColumn>
    <tableColumn id="13" xr3:uid="{00000000-0010-0000-0600-00000D000000}" name="CHG-EQH D" dataDxfId="7">
      <calculatedColumnFormula>VLOOKUP(Tableau3[[#This Row],[Nom D]],'summary results'!$A$29:$N$51,9,FALSE)</calculatedColumnFormula>
    </tableColumn>
    <tableColumn id="14" xr3:uid="{00000000-0010-0000-0600-00000E000000}" name="CHG-% atteinte seuil D" dataDxfId="6">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9.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zoomScale="55" zoomScaleNormal="55" workbookViewId="0">
      <selection activeCell="F14" sqref="F14"/>
    </sheetView>
  </sheetViews>
  <sheetFormatPr defaultColWidth="11.42578125" defaultRowHeight="39" customHeight="1" x14ac:dyDescent="0.25"/>
  <cols>
    <col min="1" max="1" width="42" bestFit="1" customWidth="1"/>
    <col min="2" max="2" width="33.85546875" style="44" bestFit="1" customWidth="1"/>
    <col min="3" max="3" width="21.28515625" customWidth="1"/>
    <col min="4" max="4" width="30.42578125" customWidth="1"/>
    <col min="5" max="5" width="62.28515625" style="165" bestFit="1" customWidth="1"/>
    <col min="6" max="6" width="56.7109375" bestFit="1" customWidth="1"/>
    <col min="7" max="7" width="19.42578125" customWidth="1"/>
    <col min="8" max="8" width="15.28515625" customWidth="1"/>
    <col min="9" max="9" width="18" customWidth="1"/>
    <col min="10" max="10" width="19.5703125" bestFit="1" customWidth="1"/>
  </cols>
  <sheetData>
    <row r="1" spans="1:9" ht="39" customHeight="1" thickBot="1" x14ac:dyDescent="0.3">
      <c r="A1" s="203" t="s">
        <v>36</v>
      </c>
      <c r="B1" s="204"/>
      <c r="C1" s="204"/>
      <c r="D1" s="204"/>
      <c r="E1" s="204"/>
      <c r="F1" s="204"/>
      <c r="G1" s="204"/>
      <c r="H1" s="204"/>
      <c r="I1" s="205"/>
    </row>
    <row r="2" spans="1:9" ht="21" x14ac:dyDescent="0.35">
      <c r="A2" s="194" t="s">
        <v>17</v>
      </c>
      <c r="B2" s="42" t="s">
        <v>115</v>
      </c>
      <c r="C2" s="206"/>
      <c r="D2" s="207"/>
      <c r="E2" s="42" t="s">
        <v>21</v>
      </c>
      <c r="F2" s="218"/>
      <c r="G2" s="219"/>
      <c r="H2" s="219"/>
      <c r="I2" s="220"/>
    </row>
    <row r="3" spans="1:9" ht="21" x14ac:dyDescent="0.35">
      <c r="A3" s="195" t="s">
        <v>18</v>
      </c>
      <c r="B3" s="43" t="s">
        <v>115</v>
      </c>
      <c r="C3" s="208"/>
      <c r="D3" s="209"/>
      <c r="E3" s="43" t="s">
        <v>21</v>
      </c>
      <c r="F3" s="215"/>
      <c r="G3" s="216"/>
      <c r="H3" s="216"/>
      <c r="I3" s="217"/>
    </row>
    <row r="4" spans="1:9" ht="21.75" thickBot="1" x14ac:dyDescent="0.4">
      <c r="A4" s="196" t="s">
        <v>22</v>
      </c>
      <c r="B4" s="184" t="s">
        <v>115</v>
      </c>
      <c r="C4" s="210"/>
      <c r="D4" s="211"/>
      <c r="E4" s="184" t="s">
        <v>21</v>
      </c>
      <c r="F4" s="212"/>
      <c r="G4" s="213"/>
      <c r="H4" s="213"/>
      <c r="I4" s="214"/>
    </row>
    <row r="5" spans="1:9" s="1" customFormat="1" ht="65.25" customHeight="1" thickBot="1" x14ac:dyDescent="0.3">
      <c r="A5" s="203" t="s">
        <v>37</v>
      </c>
      <c r="B5" s="204"/>
      <c r="C5" s="204"/>
      <c r="D5" s="204"/>
      <c r="E5" s="204"/>
      <c r="F5" s="204"/>
      <c r="G5" s="204"/>
      <c r="H5" s="204"/>
      <c r="I5" s="205"/>
    </row>
    <row r="6" spans="1:9" s="113" customFormat="1" ht="39" customHeight="1" x14ac:dyDescent="0.35">
      <c r="A6" s="79" t="s">
        <v>35</v>
      </c>
      <c r="B6" s="104" t="s">
        <v>7</v>
      </c>
      <c r="C6" s="67" t="s">
        <v>19</v>
      </c>
      <c r="D6" s="67" t="s">
        <v>75</v>
      </c>
      <c r="E6" s="162" t="s">
        <v>51</v>
      </c>
      <c r="F6" s="112" t="s">
        <v>78</v>
      </c>
    </row>
    <row r="7" spans="1:9" s="171" customFormat="1" ht="39" customHeight="1" x14ac:dyDescent="0.35">
      <c r="A7"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7" t="s">
        <v>123</v>
      </c>
      <c r="C7" s="168"/>
      <c r="D7" s="169"/>
      <c r="E7" s="170" t="s">
        <v>125</v>
      </c>
      <c r="F7" s="114"/>
    </row>
    <row r="8" spans="1:9" s="171" customFormat="1" ht="39" customHeight="1" x14ac:dyDescent="0.35">
      <c r="A8"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7" t="s">
        <v>123</v>
      </c>
      <c r="C8" s="168">
        <v>22.5</v>
      </c>
      <c r="D8" s="169" t="s">
        <v>124</v>
      </c>
      <c r="E8" s="170" t="s">
        <v>126</v>
      </c>
      <c r="F8" s="114"/>
    </row>
    <row r="9" spans="1:9" s="171" customFormat="1" ht="39" customHeight="1" x14ac:dyDescent="0.35">
      <c r="A9"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7" t="s">
        <v>123</v>
      </c>
      <c r="C9" s="168">
        <v>33.799999999999997</v>
      </c>
      <c r="D9" s="169" t="s">
        <v>124</v>
      </c>
      <c r="E9" s="170" t="s">
        <v>126</v>
      </c>
      <c r="F9" s="114"/>
    </row>
    <row r="10" spans="1:9" s="171" customFormat="1" ht="39" customHeight="1" x14ac:dyDescent="0.35">
      <c r="A10"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7" t="s">
        <v>123</v>
      </c>
      <c r="C10" s="168">
        <v>50.6</v>
      </c>
      <c r="D10" s="169" t="s">
        <v>124</v>
      </c>
      <c r="E10" s="170" t="s">
        <v>126</v>
      </c>
      <c r="F10" s="114"/>
    </row>
    <row r="11" spans="1:9" s="171" customFormat="1" ht="39" customHeight="1" x14ac:dyDescent="0.35">
      <c r="A11"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7" t="s">
        <v>123</v>
      </c>
      <c r="C11" s="168">
        <v>76</v>
      </c>
      <c r="D11" s="169" t="s">
        <v>124</v>
      </c>
      <c r="E11" s="170" t="s">
        <v>126</v>
      </c>
      <c r="F11" s="114"/>
    </row>
    <row r="12" spans="1:9" s="171" customFormat="1" ht="39" customHeight="1" x14ac:dyDescent="0.35">
      <c r="A12"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7" t="s">
        <v>123</v>
      </c>
      <c r="C12" s="168">
        <v>114</v>
      </c>
      <c r="D12" s="169" t="s">
        <v>124</v>
      </c>
      <c r="E12" s="170" t="s">
        <v>126</v>
      </c>
      <c r="F12" s="114"/>
    </row>
    <row r="13" spans="1:9" s="171" customFormat="1" ht="39" customHeight="1" x14ac:dyDescent="0.35">
      <c r="A13"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7" t="s">
        <v>123</v>
      </c>
      <c r="C13" s="168">
        <v>170.9</v>
      </c>
      <c r="D13" s="169" t="s">
        <v>124</v>
      </c>
      <c r="E13" s="170" t="s">
        <v>126</v>
      </c>
      <c r="F13" s="114"/>
    </row>
    <row r="14" spans="1:9" s="171" customFormat="1" ht="39" customHeight="1" x14ac:dyDescent="0.35">
      <c r="A14"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7" t="s">
        <v>123</v>
      </c>
      <c r="C14" s="168">
        <v>488</v>
      </c>
      <c r="D14" s="169" t="s">
        <v>124</v>
      </c>
      <c r="E14" s="170" t="s">
        <v>126</v>
      </c>
      <c r="F14" s="114"/>
    </row>
    <row r="15" spans="1:9" s="171" customFormat="1" ht="39" customHeight="1" x14ac:dyDescent="0.35">
      <c r="A15" s="166" t="s">
        <v>1656</v>
      </c>
      <c r="B15" s="167"/>
      <c r="C15" s="168">
        <v>6.3E-2</v>
      </c>
      <c r="D15" s="169" t="s">
        <v>129</v>
      </c>
      <c r="E15" s="170" t="s">
        <v>1661</v>
      </c>
      <c r="F15" s="114"/>
    </row>
    <row r="16" spans="1:9" s="115" customFormat="1" ht="39" customHeight="1" x14ac:dyDescent="0.25">
      <c r="A16" s="167" t="s">
        <v>1657</v>
      </c>
      <c r="B16" s="40"/>
      <c r="C16" s="109">
        <v>0.13</v>
      </c>
      <c r="D16" s="169" t="s">
        <v>129</v>
      </c>
      <c r="E16" s="170" t="s">
        <v>1661</v>
      </c>
      <c r="F16" s="114"/>
    </row>
    <row r="17" spans="1:6" s="115" customFormat="1" ht="39" customHeight="1" x14ac:dyDescent="0.25">
      <c r="A17" s="168" t="s">
        <v>1658</v>
      </c>
      <c r="B17" s="105"/>
      <c r="C17" s="109">
        <v>0.25</v>
      </c>
      <c r="D17" s="169" t="s">
        <v>129</v>
      </c>
      <c r="E17" s="170" t="s">
        <v>1661</v>
      </c>
      <c r="F17" s="114"/>
    </row>
    <row r="18" spans="1:6" s="115" customFormat="1" ht="39" customHeight="1" x14ac:dyDescent="0.25">
      <c r="A18" s="169" t="s">
        <v>1659</v>
      </c>
      <c r="B18" s="40"/>
      <c r="C18" s="109">
        <v>0.5</v>
      </c>
      <c r="D18" s="169" t="s">
        <v>129</v>
      </c>
      <c r="E18" s="170" t="s">
        <v>1661</v>
      </c>
      <c r="F18" s="114"/>
    </row>
    <row r="19" spans="1:6" s="115" customFormat="1" ht="39" customHeight="1" x14ac:dyDescent="0.25">
      <c r="A19" s="170" t="s">
        <v>1660</v>
      </c>
      <c r="B19" s="105"/>
      <c r="C19" s="109">
        <v>1</v>
      </c>
      <c r="D19" s="169" t="s">
        <v>129</v>
      </c>
      <c r="E19" s="170" t="s">
        <v>1661</v>
      </c>
      <c r="F19" s="114"/>
    </row>
    <row r="20" spans="1:6" s="115" customFormat="1" ht="39" customHeight="1" x14ac:dyDescent="0.25">
      <c r="A20"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9"/>
      <c r="D20" s="109"/>
      <c r="E20" s="40"/>
      <c r="F20" s="114"/>
    </row>
    <row r="21" spans="1:6" s="115" customFormat="1" ht="39" customHeight="1" x14ac:dyDescent="0.25">
      <c r="A21"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5"/>
      <c r="C21" s="109"/>
      <c r="D21" s="109"/>
      <c r="E21" s="105"/>
      <c r="F21" s="114"/>
    </row>
    <row r="22" spans="1:6" s="115" customFormat="1" ht="39" customHeight="1" x14ac:dyDescent="0.25">
      <c r="A22"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9"/>
      <c r="D22" s="109"/>
      <c r="E22" s="40"/>
      <c r="F22" s="114"/>
    </row>
    <row r="23" spans="1:6" s="115" customFormat="1" ht="39" customHeight="1" x14ac:dyDescent="0.25">
      <c r="A23"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5"/>
      <c r="C23" s="109"/>
      <c r="D23" s="109"/>
      <c r="E23" s="105"/>
      <c r="F23" s="114"/>
    </row>
    <row r="24" spans="1:6" s="115" customFormat="1" ht="39" customHeight="1" x14ac:dyDescent="0.25">
      <c r="A24"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9"/>
      <c r="D24" s="109"/>
      <c r="E24" s="40"/>
      <c r="F24" s="114"/>
    </row>
    <row r="25" spans="1:6" s="115" customFormat="1" ht="39" customHeight="1" x14ac:dyDescent="0.25">
      <c r="A25"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5"/>
      <c r="C25" s="109"/>
      <c r="D25" s="109"/>
      <c r="E25" s="105"/>
      <c r="F25" s="114"/>
    </row>
    <row r="26" spans="1:6" s="115" customFormat="1" ht="39" customHeight="1" x14ac:dyDescent="0.25">
      <c r="A26"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9"/>
      <c r="D26" s="109"/>
      <c r="E26" s="40"/>
      <c r="F26" s="114"/>
    </row>
    <row r="27" spans="1:6" s="115" customFormat="1" ht="39" customHeight="1" x14ac:dyDescent="0.25">
      <c r="A27"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5"/>
      <c r="C27" s="109"/>
      <c r="D27" s="109"/>
      <c r="E27" s="105"/>
      <c r="F27" s="114"/>
    </row>
    <row r="28" spans="1:6" s="115" customFormat="1" ht="39" customHeight="1" x14ac:dyDescent="0.25">
      <c r="A28"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9"/>
      <c r="D28" s="109"/>
      <c r="E28" s="40"/>
      <c r="F28" s="114"/>
    </row>
    <row r="29" spans="1:6" s="115" customFormat="1" ht="39" customHeight="1" x14ac:dyDescent="0.25">
      <c r="A29"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5"/>
      <c r="C29" s="109"/>
      <c r="D29" s="109"/>
      <c r="E29" s="105"/>
      <c r="F29" s="114"/>
    </row>
    <row r="30" spans="1:6" s="115" customFormat="1" ht="39" customHeight="1" x14ac:dyDescent="0.25">
      <c r="A30"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9"/>
      <c r="D30" s="118"/>
      <c r="E30" s="40"/>
      <c r="F30" s="114"/>
    </row>
    <row r="31" spans="1:6" s="115" customFormat="1" ht="39" customHeight="1" x14ac:dyDescent="0.25">
      <c r="A31"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5"/>
      <c r="C31" s="109"/>
      <c r="D31" s="118"/>
      <c r="E31" s="105"/>
      <c r="F31" s="114"/>
    </row>
    <row r="32" spans="1:6" s="115" customFormat="1" ht="39" customHeight="1" x14ac:dyDescent="0.25">
      <c r="A32"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9"/>
      <c r="D32" s="118"/>
      <c r="E32" s="40"/>
      <c r="F32" s="114"/>
    </row>
    <row r="33" spans="1:6" s="115" customFormat="1" ht="39" customHeight="1" x14ac:dyDescent="0.25">
      <c r="A33"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5"/>
      <c r="C33" s="109"/>
      <c r="D33" s="118"/>
      <c r="E33" s="105"/>
      <c r="F33" s="114"/>
    </row>
    <row r="34" spans="1:6" s="115" customFormat="1" ht="39" customHeight="1" x14ac:dyDescent="0.25">
      <c r="A34"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9"/>
      <c r="D34" s="118"/>
      <c r="E34" s="40"/>
      <c r="F34" s="114"/>
    </row>
    <row r="35" spans="1:6" s="115" customFormat="1" ht="39" customHeight="1" thickBot="1" x14ac:dyDescent="0.3">
      <c r="A35" s="7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72"/>
      <c r="C35" s="173"/>
      <c r="D35" s="119"/>
      <c r="E35" s="172"/>
      <c r="F35" s="114"/>
    </row>
    <row r="36" spans="1:6" s="115" customFormat="1" ht="39" customHeight="1" x14ac:dyDescent="0.25">
      <c r="A36" s="1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6" t="s">
        <v>123</v>
      </c>
      <c r="C36" s="110">
        <v>30</v>
      </c>
      <c r="D36" s="120" t="s">
        <v>127</v>
      </c>
      <c r="E36" s="163" t="s">
        <v>20</v>
      </c>
      <c r="F36" s="175"/>
    </row>
    <row r="37" spans="1:6" s="115" customFormat="1" ht="39" customHeight="1" x14ac:dyDescent="0.25">
      <c r="A37" s="17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7" t="s">
        <v>123</v>
      </c>
      <c r="C37" s="111">
        <v>64</v>
      </c>
      <c r="D37" s="121" t="s">
        <v>124</v>
      </c>
      <c r="E37" s="164" t="s">
        <v>128</v>
      </c>
      <c r="F37" s="177"/>
    </row>
    <row r="38" spans="1:6" s="115" customFormat="1" ht="39" customHeight="1" thickBot="1" x14ac:dyDescent="0.3">
      <c r="A38" s="17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8" s="179" t="s">
        <v>123</v>
      </c>
      <c r="C38" s="180">
        <v>10</v>
      </c>
      <c r="D38" s="181" t="s">
        <v>129</v>
      </c>
      <c r="E38" s="182" t="s">
        <v>130</v>
      </c>
      <c r="F38" s="183"/>
    </row>
    <row r="39" spans="1:6" s="115" customFormat="1" ht="39" customHeight="1" x14ac:dyDescent="0.25">
      <c r="A39" s="5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Prochloraz-0.063mg/L + Testostérone</v>
      </c>
      <c r="B39" s="197">
        <f>B15</f>
        <v>0</v>
      </c>
      <c r="C39" s="197">
        <f t="shared" ref="C39:E39" si="0">C15</f>
        <v>6.3E-2</v>
      </c>
      <c r="D39" s="197" t="str">
        <f t="shared" si="0"/>
        <v>mg/L</v>
      </c>
      <c r="E39" s="197" t="str">
        <f t="shared" si="0"/>
        <v>Prochloraz</v>
      </c>
      <c r="F39" s="116" t="s">
        <v>50</v>
      </c>
    </row>
    <row r="40" spans="1:6" s="115" customFormat="1" ht="39" customHeight="1" x14ac:dyDescent="0.25">
      <c r="A40"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Prochloraz-0.13mg/L + Testostérone</v>
      </c>
      <c r="B40" s="199">
        <f t="shared" ref="B40:E40" si="1">B16</f>
        <v>0</v>
      </c>
      <c r="C40" s="199">
        <f t="shared" si="1"/>
        <v>0.13</v>
      </c>
      <c r="D40" s="199" t="str">
        <f t="shared" si="1"/>
        <v>mg/L</v>
      </c>
      <c r="E40" s="199" t="str">
        <f t="shared" si="1"/>
        <v>Prochloraz</v>
      </c>
      <c r="F40" s="117" t="s">
        <v>50</v>
      </c>
    </row>
    <row r="41" spans="1:6" s="115" customFormat="1" ht="39" customHeight="1" x14ac:dyDescent="0.25">
      <c r="A41"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Prochloraz-0.25mg/L + Testostérone</v>
      </c>
      <c r="B41" s="199">
        <f t="shared" ref="B41:E41" si="2">B17</f>
        <v>0</v>
      </c>
      <c r="C41" s="199">
        <f t="shared" si="2"/>
        <v>0.25</v>
      </c>
      <c r="D41" s="199" t="str">
        <f t="shared" si="2"/>
        <v>mg/L</v>
      </c>
      <c r="E41" s="199" t="str">
        <f t="shared" si="2"/>
        <v>Prochloraz</v>
      </c>
      <c r="F41" s="117" t="s">
        <v>50</v>
      </c>
    </row>
    <row r="42" spans="1:6" s="115" customFormat="1" ht="39" customHeight="1" x14ac:dyDescent="0.25">
      <c r="A42"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Prochloraz-0.5mg/L + Testostérone</v>
      </c>
      <c r="B42" s="199">
        <f t="shared" ref="B42:E42" si="3">B18</f>
        <v>0</v>
      </c>
      <c r="C42" s="199">
        <f t="shared" si="3"/>
        <v>0.5</v>
      </c>
      <c r="D42" s="199" t="str">
        <f t="shared" si="3"/>
        <v>mg/L</v>
      </c>
      <c r="E42" s="199" t="str">
        <f t="shared" si="3"/>
        <v>Prochloraz</v>
      </c>
      <c r="F42" s="117" t="s">
        <v>50</v>
      </c>
    </row>
    <row r="43" spans="1:6" s="115" customFormat="1" ht="39" customHeight="1" x14ac:dyDescent="0.25">
      <c r="A43"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Prochloraz-1mg/L + Testostérone</v>
      </c>
      <c r="B43" s="199">
        <f t="shared" ref="B43:E43" si="4">B19</f>
        <v>0</v>
      </c>
      <c r="C43" s="199">
        <f t="shared" si="4"/>
        <v>1</v>
      </c>
      <c r="D43" s="199" t="str">
        <f t="shared" si="4"/>
        <v>mg/L</v>
      </c>
      <c r="E43" s="199" t="str">
        <f t="shared" si="4"/>
        <v>Prochloraz</v>
      </c>
      <c r="F43" s="117" t="s">
        <v>50</v>
      </c>
    </row>
    <row r="44" spans="1:6" s="115" customFormat="1" ht="39" customHeight="1" x14ac:dyDescent="0.25">
      <c r="A44"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9">
        <f t="shared" ref="B44:E44" si="5">B20</f>
        <v>0</v>
      </c>
      <c r="C44" s="199">
        <f t="shared" si="5"/>
        <v>0</v>
      </c>
      <c r="D44" s="199">
        <f t="shared" si="5"/>
        <v>0</v>
      </c>
      <c r="E44" s="199">
        <f t="shared" si="5"/>
        <v>0</v>
      </c>
      <c r="F44" s="117" t="s">
        <v>50</v>
      </c>
    </row>
    <row r="45" spans="1:6" s="115" customFormat="1" ht="39" customHeight="1" x14ac:dyDescent="0.25">
      <c r="A45"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9">
        <f t="shared" ref="B45:E45" si="6">B21</f>
        <v>0</v>
      </c>
      <c r="C45" s="199">
        <f t="shared" si="6"/>
        <v>0</v>
      </c>
      <c r="D45" s="199">
        <f t="shared" si="6"/>
        <v>0</v>
      </c>
      <c r="E45" s="199">
        <f t="shared" si="6"/>
        <v>0</v>
      </c>
      <c r="F45" s="117" t="s">
        <v>50</v>
      </c>
    </row>
    <row r="46" spans="1:6" s="115" customFormat="1" ht="39" customHeight="1" x14ac:dyDescent="0.25">
      <c r="A46"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9">
        <f t="shared" ref="B46:E46" si="7">B22</f>
        <v>0</v>
      </c>
      <c r="C46" s="199">
        <f t="shared" si="7"/>
        <v>0</v>
      </c>
      <c r="D46" s="199">
        <f t="shared" si="7"/>
        <v>0</v>
      </c>
      <c r="E46" s="199">
        <f t="shared" si="7"/>
        <v>0</v>
      </c>
      <c r="F46" s="117" t="s">
        <v>50</v>
      </c>
    </row>
    <row r="47" spans="1:6" s="115" customFormat="1" ht="39" customHeight="1" x14ac:dyDescent="0.25">
      <c r="A47"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9">
        <f t="shared" ref="B47:E47" si="8">B23</f>
        <v>0</v>
      </c>
      <c r="C47" s="199">
        <f t="shared" si="8"/>
        <v>0</v>
      </c>
      <c r="D47" s="199">
        <f t="shared" si="8"/>
        <v>0</v>
      </c>
      <c r="E47" s="199">
        <f t="shared" si="8"/>
        <v>0</v>
      </c>
      <c r="F47" s="117" t="s">
        <v>50</v>
      </c>
    </row>
    <row r="48" spans="1:6" s="115" customFormat="1" ht="39" customHeight="1" x14ac:dyDescent="0.25">
      <c r="A48"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9">
        <f t="shared" ref="B48:E48" si="9">B24</f>
        <v>0</v>
      </c>
      <c r="C48" s="199">
        <f t="shared" si="9"/>
        <v>0</v>
      </c>
      <c r="D48" s="199">
        <f t="shared" si="9"/>
        <v>0</v>
      </c>
      <c r="E48" s="199">
        <f t="shared" si="9"/>
        <v>0</v>
      </c>
      <c r="F48" s="117" t="s">
        <v>50</v>
      </c>
    </row>
    <row r="49" spans="1:6" s="115" customFormat="1" ht="39" customHeight="1" x14ac:dyDescent="0.25">
      <c r="A49"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9">
        <f t="shared" ref="B49:E49" si="10">B25</f>
        <v>0</v>
      </c>
      <c r="C49" s="199">
        <f t="shared" si="10"/>
        <v>0</v>
      </c>
      <c r="D49" s="199">
        <f t="shared" si="10"/>
        <v>0</v>
      </c>
      <c r="E49" s="199">
        <f t="shared" si="10"/>
        <v>0</v>
      </c>
      <c r="F49" s="117" t="s">
        <v>50</v>
      </c>
    </row>
    <row r="50" spans="1:6" s="115" customFormat="1" ht="39" customHeight="1" x14ac:dyDescent="0.25">
      <c r="A50"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9">
        <f t="shared" ref="B50:E50" si="11">B26</f>
        <v>0</v>
      </c>
      <c r="C50" s="199">
        <f t="shared" si="11"/>
        <v>0</v>
      </c>
      <c r="D50" s="199">
        <f t="shared" si="11"/>
        <v>0</v>
      </c>
      <c r="E50" s="199">
        <f t="shared" si="11"/>
        <v>0</v>
      </c>
      <c r="F50" s="117" t="s">
        <v>50</v>
      </c>
    </row>
    <row r="51" spans="1:6" s="115" customFormat="1" ht="39" customHeight="1" x14ac:dyDescent="0.25">
      <c r="A51"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9">
        <f t="shared" ref="B51:E51" si="12">B27</f>
        <v>0</v>
      </c>
      <c r="C51" s="199">
        <f t="shared" si="12"/>
        <v>0</v>
      </c>
      <c r="D51" s="199">
        <f t="shared" si="12"/>
        <v>0</v>
      </c>
      <c r="E51" s="199">
        <f t="shared" si="12"/>
        <v>0</v>
      </c>
      <c r="F51" s="117" t="s">
        <v>50</v>
      </c>
    </row>
    <row r="52" spans="1:6" s="115" customFormat="1" ht="39" customHeight="1" x14ac:dyDescent="0.25">
      <c r="A52"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9">
        <f t="shared" ref="B52:E52" si="13">B28</f>
        <v>0</v>
      </c>
      <c r="C52" s="199">
        <f t="shared" si="13"/>
        <v>0</v>
      </c>
      <c r="D52" s="199">
        <f t="shared" si="13"/>
        <v>0</v>
      </c>
      <c r="E52" s="199">
        <f t="shared" si="13"/>
        <v>0</v>
      </c>
      <c r="F52" s="117" t="s">
        <v>50</v>
      </c>
    </row>
    <row r="53" spans="1:6" s="115" customFormat="1" ht="39" customHeight="1" x14ac:dyDescent="0.25">
      <c r="A53"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9">
        <f t="shared" ref="B53:E53" si="14">B29</f>
        <v>0</v>
      </c>
      <c r="C53" s="199">
        <f t="shared" si="14"/>
        <v>0</v>
      </c>
      <c r="D53" s="199">
        <f t="shared" si="14"/>
        <v>0</v>
      </c>
      <c r="E53" s="199">
        <f t="shared" si="14"/>
        <v>0</v>
      </c>
      <c r="F53" s="117" t="s">
        <v>50</v>
      </c>
    </row>
    <row r="54" spans="1:6" s="115" customFormat="1" ht="39" customHeight="1" x14ac:dyDescent="0.25">
      <c r="A54"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9">
        <f t="shared" ref="B54:E54" si="15">B30</f>
        <v>0</v>
      </c>
      <c r="C54" s="199">
        <f t="shared" si="15"/>
        <v>0</v>
      </c>
      <c r="D54" s="199">
        <f t="shared" si="15"/>
        <v>0</v>
      </c>
      <c r="E54" s="199">
        <f t="shared" si="15"/>
        <v>0</v>
      </c>
      <c r="F54" s="117" t="s">
        <v>50</v>
      </c>
    </row>
    <row r="55" spans="1:6" s="115" customFormat="1" ht="39" customHeight="1" x14ac:dyDescent="0.25">
      <c r="A55"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9">
        <f t="shared" ref="B55:E55" si="16">B31</f>
        <v>0</v>
      </c>
      <c r="C55" s="199">
        <f t="shared" si="16"/>
        <v>0</v>
      </c>
      <c r="D55" s="199">
        <f t="shared" si="16"/>
        <v>0</v>
      </c>
      <c r="E55" s="199">
        <f t="shared" si="16"/>
        <v>0</v>
      </c>
      <c r="F55" s="117" t="s">
        <v>50</v>
      </c>
    </row>
    <row r="56" spans="1:6" s="115" customFormat="1" ht="39" customHeight="1" x14ac:dyDescent="0.25">
      <c r="A56"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9">
        <f t="shared" ref="B56:E56" si="17">B32</f>
        <v>0</v>
      </c>
      <c r="C56" s="199">
        <f t="shared" si="17"/>
        <v>0</v>
      </c>
      <c r="D56" s="199">
        <f t="shared" si="17"/>
        <v>0</v>
      </c>
      <c r="E56" s="199">
        <f t="shared" si="17"/>
        <v>0</v>
      </c>
      <c r="F56" s="117" t="s">
        <v>50</v>
      </c>
    </row>
    <row r="57" spans="1:6" s="115" customFormat="1" ht="39" customHeight="1" x14ac:dyDescent="0.25">
      <c r="A57"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9">
        <f t="shared" ref="B57:E57" si="18">B33</f>
        <v>0</v>
      </c>
      <c r="C57" s="199">
        <f t="shared" si="18"/>
        <v>0</v>
      </c>
      <c r="D57" s="199">
        <f t="shared" si="18"/>
        <v>0</v>
      </c>
      <c r="E57" s="199">
        <f t="shared" si="18"/>
        <v>0</v>
      </c>
      <c r="F57" s="117" t="s">
        <v>50</v>
      </c>
    </row>
    <row r="58" spans="1:6" s="115" customFormat="1" ht="39" customHeight="1" x14ac:dyDescent="0.25">
      <c r="A58" s="10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8">
        <f t="shared" ref="B58:E58" si="19">B34</f>
        <v>0</v>
      </c>
      <c r="C58" s="198">
        <f t="shared" si="19"/>
        <v>0</v>
      </c>
      <c r="D58" s="198">
        <f t="shared" si="19"/>
        <v>0</v>
      </c>
      <c r="E58" s="198">
        <f t="shared" si="19"/>
        <v>0</v>
      </c>
      <c r="F58" s="117" t="s">
        <v>50</v>
      </c>
    </row>
  </sheetData>
  <protectedRanges>
    <protectedRange sqref="C20:D38 A20:A52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A19 E7:E38" xr:uid="{E0A8F951-ED76-4488-98E3-F13AD7875916}">
      <formula1>ISERROR(SEARCH("-",A7))=TRUE</formula1>
    </dataValidation>
  </dataValidations>
  <pageMargins left="0.7" right="0.7" top="0.75" bottom="0.75" header="0.3" footer="0.3"/>
  <pageSetup paperSize="9" scale="25"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defaultColWidth="11.42578125" defaultRowHeight="15" x14ac:dyDescent="0.25"/>
  <cols>
    <col min="1" max="1" width="14.140625" customWidth="1"/>
    <col min="2" max="2" width="14" customWidth="1"/>
    <col min="3" max="3" width="11.5703125" customWidth="1"/>
    <col min="4" max="4" width="12.42578125" customWidth="1"/>
    <col min="5" max="5" width="17.28515625" customWidth="1"/>
    <col min="7" max="7" width="19.5703125" customWidth="1"/>
    <col min="9" max="9" width="15.7109375" customWidth="1"/>
  </cols>
  <sheetData>
    <row r="1" spans="1:9" x14ac:dyDescent="0.25">
      <c r="A1" t="s">
        <v>107</v>
      </c>
      <c r="B1" t="s">
        <v>108</v>
      </c>
      <c r="C1" t="s">
        <v>109</v>
      </c>
      <c r="D1" t="s">
        <v>110</v>
      </c>
      <c r="E1" t="s">
        <v>111</v>
      </c>
      <c r="F1" t="s">
        <v>112</v>
      </c>
      <c r="G1" t="s">
        <v>113</v>
      </c>
      <c r="H1" t="s">
        <v>117</v>
      </c>
      <c r="I1" t="s">
        <v>118</v>
      </c>
    </row>
    <row r="2" spans="1:9" x14ac:dyDescent="0.25">
      <c r="A2" t="s">
        <v>153</v>
      </c>
      <c r="B2" t="s">
        <v>164</v>
      </c>
      <c r="C2" t="s">
        <v>144</v>
      </c>
      <c r="D2" t="s">
        <v>147</v>
      </c>
      <c r="E2" t="s">
        <v>148</v>
      </c>
      <c r="F2" t="s">
        <v>112</v>
      </c>
      <c r="G2">
        <v>360268</v>
      </c>
    </row>
    <row r="3" spans="1:9" x14ac:dyDescent="0.25">
      <c r="A3" t="s">
        <v>153</v>
      </c>
      <c r="B3" t="s">
        <v>164</v>
      </c>
      <c r="C3" t="s">
        <v>145</v>
      </c>
      <c r="D3" t="s">
        <v>149</v>
      </c>
      <c r="E3" t="s">
        <v>150</v>
      </c>
      <c r="F3" t="s">
        <v>112</v>
      </c>
      <c r="G3">
        <v>372315</v>
      </c>
    </row>
    <row r="4" spans="1:9" x14ac:dyDescent="0.25">
      <c r="A4" t="s">
        <v>153</v>
      </c>
      <c r="B4" t="s">
        <v>164</v>
      </c>
      <c r="C4" t="s">
        <v>146</v>
      </c>
      <c r="D4" t="s">
        <v>151</v>
      </c>
      <c r="E4" t="s">
        <v>152</v>
      </c>
      <c r="F4" t="s">
        <v>112</v>
      </c>
      <c r="G4">
        <v>237626</v>
      </c>
    </row>
    <row r="5" spans="1:9" x14ac:dyDescent="0.25">
      <c r="A5" t="s">
        <v>153</v>
      </c>
      <c r="B5" t="s">
        <v>164</v>
      </c>
      <c r="C5" t="s">
        <v>161</v>
      </c>
      <c r="D5" t="s">
        <v>162</v>
      </c>
      <c r="E5" t="s">
        <v>163</v>
      </c>
      <c r="F5" t="s">
        <v>112</v>
      </c>
      <c r="G5">
        <v>1439015</v>
      </c>
    </row>
    <row r="6" spans="1:9" x14ac:dyDescent="0.25">
      <c r="A6" t="s">
        <v>153</v>
      </c>
      <c r="B6" t="s">
        <v>164</v>
      </c>
      <c r="C6" t="s">
        <v>158</v>
      </c>
      <c r="D6" t="s">
        <v>159</v>
      </c>
      <c r="E6" t="s">
        <v>160</v>
      </c>
      <c r="F6" t="s">
        <v>112</v>
      </c>
      <c r="G6">
        <v>1433586</v>
      </c>
    </row>
    <row r="7" spans="1:9" x14ac:dyDescent="0.25">
      <c r="A7" t="s">
        <v>153</v>
      </c>
      <c r="B7" t="s">
        <v>164</v>
      </c>
      <c r="C7" t="s">
        <v>155</v>
      </c>
      <c r="D7" t="s">
        <v>156</v>
      </c>
      <c r="E7" t="s">
        <v>157</v>
      </c>
      <c r="F7" t="s">
        <v>112</v>
      </c>
      <c r="G7">
        <v>1115346</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F1" zoomScale="70" zoomScaleNormal="70" workbookViewId="0">
      <selection activeCell="W5" sqref="W5:Y12"/>
    </sheetView>
  </sheetViews>
  <sheetFormatPr defaultColWidth="11.42578125" defaultRowHeight="15" x14ac:dyDescent="0.25"/>
  <cols>
    <col min="1" max="1" width="15" style="1" customWidth="1"/>
    <col min="2" max="2" width="26.5703125" style="1" customWidth="1"/>
    <col min="3" max="3" width="87.140625" style="1" bestFit="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5.42578125" style="1" customWidth="1"/>
    <col min="12" max="12" width="15.42578125" style="1" customWidth="1"/>
    <col min="13" max="14" width="12.85546875" style="1" customWidth="1"/>
    <col min="15" max="20" width="12.28515625" style="1" customWidth="1"/>
    <col min="21" max="21" width="17.42578125" style="1" customWidth="1"/>
    <col min="22" max="25" width="12.28515625" style="1" customWidth="1"/>
    <col min="26" max="27" width="15.5703125" style="1" customWidth="1"/>
    <col min="28" max="28" width="14.28515625" style="1" customWidth="1"/>
    <col min="29" max="16384" width="11.42578125" style="1"/>
  </cols>
  <sheetData>
    <row r="1" spans="1:144" x14ac:dyDescent="0.25">
      <c r="A1" s="1" t="s">
        <v>107</v>
      </c>
      <c r="B1" s="1" t="s">
        <v>108</v>
      </c>
      <c r="C1" s="1" t="s">
        <v>109</v>
      </c>
      <c r="D1" s="1" t="s">
        <v>110</v>
      </c>
      <c r="E1" s="1" t="s">
        <v>111</v>
      </c>
      <c r="F1" s="1" t="s">
        <v>112</v>
      </c>
      <c r="G1" s="1" t="s">
        <v>113</v>
      </c>
      <c r="H1" s="1" t="s">
        <v>117</v>
      </c>
      <c r="I1" s="1" t="s">
        <v>118</v>
      </c>
      <c r="J1" s="1" t="s">
        <v>1627</v>
      </c>
      <c r="K1" s="122"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1</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166</v>
      </c>
      <c r="D2" s="1" t="s">
        <v>167</v>
      </c>
      <c r="E2" s="1" t="s">
        <v>168</v>
      </c>
      <c r="F2" s="1" t="s">
        <v>112</v>
      </c>
      <c r="G2" s="1">
        <v>368660</v>
      </c>
      <c r="K2" s="161" t="s">
        <v>120</v>
      </c>
      <c r="L2" s="161"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1</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169</v>
      </c>
      <c r="D3" s="1" t="s">
        <v>170</v>
      </c>
      <c r="E3" s="1" t="s">
        <v>171</v>
      </c>
      <c r="F3" s="1" t="s">
        <v>112</v>
      </c>
      <c r="G3" s="1">
        <v>106808</v>
      </c>
      <c r="K3" s="122" t="s">
        <v>154</v>
      </c>
      <c r="L3" s="122"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1</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172</v>
      </c>
      <c r="D4" s="1" t="s">
        <v>173</v>
      </c>
      <c r="E4" s="1" t="s">
        <v>174</v>
      </c>
      <c r="F4" s="1" t="s">
        <v>112</v>
      </c>
      <c r="G4" s="1">
        <v>154026</v>
      </c>
      <c r="K4" s="122" t="s">
        <v>100</v>
      </c>
      <c r="L4" s="1" t="s">
        <v>1628</v>
      </c>
      <c r="M4" s="1" t="s">
        <v>1629</v>
      </c>
      <c r="N4" s="1" t="s">
        <v>1630</v>
      </c>
      <c r="O4" s="1" t="s">
        <v>1631</v>
      </c>
      <c r="P4" s="1" t="s">
        <v>1632</v>
      </c>
      <c r="Q4" s="1" t="s">
        <v>1633</v>
      </c>
      <c r="R4" s="1" t="s">
        <v>1634</v>
      </c>
      <c r="S4" s="1" t="s">
        <v>1635</v>
      </c>
      <c r="T4" s="1" t="s">
        <v>1636</v>
      </c>
      <c r="U4" s="1" t="s">
        <v>1637</v>
      </c>
      <c r="V4" s="1" t="s">
        <v>1638</v>
      </c>
      <c r="W4" s="1" t="s">
        <v>1639</v>
      </c>
      <c r="X4" s="1" t="s">
        <v>1640</v>
      </c>
      <c r="Y4" s="1" t="s">
        <v>1641</v>
      </c>
      <c r="Z4" s="1" t="s">
        <v>1642</v>
      </c>
      <c r="AA4" s="1" t="s">
        <v>1643</v>
      </c>
      <c r="AB4" s="1" t="s">
        <v>1644</v>
      </c>
      <c r="AC4" s="1" t="s">
        <v>1645</v>
      </c>
      <c r="AD4" s="1" t="s">
        <v>1646</v>
      </c>
      <c r="AE4" s="1" t="s">
        <v>1647</v>
      </c>
      <c r="AF4" s="1" t="s">
        <v>1648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1</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175</v>
      </c>
      <c r="D5" s="1" t="s">
        <v>176</v>
      </c>
      <c r="E5" s="1" t="s">
        <v>177</v>
      </c>
      <c r="F5" s="1" t="s">
        <v>112</v>
      </c>
      <c r="G5" s="1">
        <v>147646</v>
      </c>
      <c r="K5" s="149" t="s">
        <v>164</v>
      </c>
      <c r="L5" s="44">
        <v>209831.33333333334</v>
      </c>
      <c r="M5" s="44">
        <v>1690989</v>
      </c>
      <c r="N5" s="44">
        <v>69677</v>
      </c>
      <c r="O5" s="44">
        <v>5102852.333333333</v>
      </c>
      <c r="P5" s="44">
        <v>50181.333333333336</v>
      </c>
      <c r="Q5" s="44">
        <v>249277.33333333334</v>
      </c>
      <c r="R5" s="44">
        <v>151596.66666666666</v>
      </c>
      <c r="S5" s="44">
        <v>575607.33333333337</v>
      </c>
      <c r="T5" s="44">
        <v>2841245.6666666665</v>
      </c>
      <c r="U5" s="44">
        <v>3057292</v>
      </c>
      <c r="V5" s="44">
        <v>4148181</v>
      </c>
      <c r="W5" s="44">
        <v>437291.5</v>
      </c>
      <c r="X5" s="44">
        <v>212730</v>
      </c>
      <c r="Y5" s="44">
        <v>266610</v>
      </c>
      <c r="Z5" s="44">
        <v>2129550</v>
      </c>
      <c r="AA5" s="44"/>
      <c r="AB5" s="44">
        <v>3966915.3333333335</v>
      </c>
      <c r="AC5" s="44">
        <v>49337.666666666664</v>
      </c>
      <c r="AD5" s="44">
        <v>1227720.3333333333</v>
      </c>
      <c r="AE5" s="44">
        <v>178360</v>
      </c>
      <c r="AF5" s="44">
        <v>19063</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1</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178</v>
      </c>
      <c r="D6" s="1" t="s">
        <v>179</v>
      </c>
      <c r="E6" s="1" t="s">
        <v>180</v>
      </c>
      <c r="F6" s="1" t="s">
        <v>112</v>
      </c>
      <c r="G6" s="1">
        <v>231159</v>
      </c>
      <c r="K6" s="149" t="s">
        <v>1649</v>
      </c>
      <c r="L6" s="44">
        <v>216753.33333333334</v>
      </c>
      <c r="M6" s="44">
        <v>72424</v>
      </c>
      <c r="N6" s="44">
        <v>67434.666666666672</v>
      </c>
      <c r="O6" s="44">
        <v>4121381.3333333335</v>
      </c>
      <c r="P6" s="44">
        <v>133059.66666666666</v>
      </c>
      <c r="Q6" s="44">
        <v>39035</v>
      </c>
      <c r="R6" s="44">
        <v>98070</v>
      </c>
      <c r="S6" s="44">
        <v>1837502.5</v>
      </c>
      <c r="T6" s="44">
        <v>1625371</v>
      </c>
      <c r="U6" s="44">
        <v>458013.33333333331</v>
      </c>
      <c r="V6" s="44">
        <v>3753572.6666666665</v>
      </c>
      <c r="W6" s="44">
        <v>388682</v>
      </c>
      <c r="X6" s="44">
        <v>191965.33333333334</v>
      </c>
      <c r="Y6" s="44">
        <v>340815.33333333331</v>
      </c>
      <c r="Z6" s="44">
        <v>1069310</v>
      </c>
      <c r="AA6" s="44">
        <v>1036663.3333333334</v>
      </c>
      <c r="AB6" s="44">
        <v>4497785</v>
      </c>
      <c r="AC6" s="44">
        <v>826009.33333333337</v>
      </c>
      <c r="AD6" s="44">
        <v>69381.666666666672</v>
      </c>
      <c r="AE6" s="44">
        <v>105179</v>
      </c>
      <c r="AF6" s="44">
        <v>126102.33333333333</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1</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181</v>
      </c>
      <c r="D7" s="1" t="s">
        <v>182</v>
      </c>
      <c r="E7" s="1" t="s">
        <v>183</v>
      </c>
      <c r="F7" s="1" t="s">
        <v>112</v>
      </c>
      <c r="G7" s="1">
        <v>271455</v>
      </c>
      <c r="K7" s="149" t="s">
        <v>1650</v>
      </c>
      <c r="L7" s="44">
        <v>419093.66666666669</v>
      </c>
      <c r="M7" s="44">
        <v>1480696</v>
      </c>
      <c r="N7" s="44">
        <v>1772274.3333333333</v>
      </c>
      <c r="O7" s="44">
        <v>3965228.6666666665</v>
      </c>
      <c r="P7" s="44">
        <v>87741.5</v>
      </c>
      <c r="Q7" s="44">
        <v>158482.33333333334</v>
      </c>
      <c r="R7" s="44">
        <v>200970.66666666666</v>
      </c>
      <c r="S7" s="44">
        <v>283315.66666666669</v>
      </c>
      <c r="T7" s="44">
        <v>2885074.6666666665</v>
      </c>
      <c r="U7" s="44">
        <v>3176144.5</v>
      </c>
      <c r="V7" s="44">
        <v>5196171.333333333</v>
      </c>
      <c r="W7" s="44">
        <v>267864.5</v>
      </c>
      <c r="X7" s="44">
        <v>53094</v>
      </c>
      <c r="Y7" s="44">
        <v>158882.5</v>
      </c>
      <c r="Z7" s="44">
        <v>2620108.3333333335</v>
      </c>
      <c r="AA7" s="44">
        <v>2084350</v>
      </c>
      <c r="AB7" s="44">
        <v>2876293</v>
      </c>
      <c r="AC7" s="44">
        <v>356049.5</v>
      </c>
      <c r="AD7" s="44">
        <v>176384.66666666666</v>
      </c>
      <c r="AE7" s="44">
        <v>174091.66666666666</v>
      </c>
      <c r="AF7" s="44">
        <v>78696.666666666672</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1</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184</v>
      </c>
      <c r="D8" s="1" t="s">
        <v>185</v>
      </c>
      <c r="E8" s="1" t="s">
        <v>186</v>
      </c>
      <c r="F8" s="1" t="s">
        <v>112</v>
      </c>
      <c r="G8" s="1">
        <v>623741</v>
      </c>
      <c r="K8" s="149" t="s">
        <v>1651</v>
      </c>
      <c r="L8" s="44">
        <v>213660.33333333334</v>
      </c>
      <c r="M8" s="44">
        <v>1059713.5</v>
      </c>
      <c r="N8" s="44"/>
      <c r="O8" s="44">
        <v>3489421.3333333335</v>
      </c>
      <c r="P8" s="44">
        <v>55019.333333333336</v>
      </c>
      <c r="Q8" s="44">
        <v>170876</v>
      </c>
      <c r="R8" s="44">
        <v>196478.66666666666</v>
      </c>
      <c r="S8" s="44">
        <v>2692467.3333333335</v>
      </c>
      <c r="T8" s="44">
        <v>2233452.3333333335</v>
      </c>
      <c r="U8" s="44">
        <v>3915479.6666666665</v>
      </c>
      <c r="V8" s="44">
        <v>4267585.333333333</v>
      </c>
      <c r="W8" s="44">
        <v>93513.333333333328</v>
      </c>
      <c r="X8" s="44">
        <v>261664</v>
      </c>
      <c r="Y8" s="44">
        <v>164546</v>
      </c>
      <c r="Z8" s="44">
        <v>1704140.3333333333</v>
      </c>
      <c r="AA8" s="44">
        <v>993093.66666666663</v>
      </c>
      <c r="AB8" s="44">
        <v>1958406.6666666667</v>
      </c>
      <c r="AC8" s="44">
        <v>886234.66666666663</v>
      </c>
      <c r="AD8" s="44">
        <v>87341.5</v>
      </c>
      <c r="AE8" s="44">
        <v>242370</v>
      </c>
      <c r="AF8" s="44">
        <v>23086.333333333332</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1</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187</v>
      </c>
      <c r="D9" s="1" t="s">
        <v>188</v>
      </c>
      <c r="E9" s="1" t="s">
        <v>189</v>
      </c>
      <c r="F9" s="1" t="s">
        <v>112</v>
      </c>
      <c r="G9" s="1">
        <v>488533</v>
      </c>
      <c r="K9" s="149" t="s">
        <v>1652</v>
      </c>
      <c r="L9" s="44">
        <v>297079.33333333331</v>
      </c>
      <c r="M9" s="44">
        <v>337325.33333333331</v>
      </c>
      <c r="N9" s="44">
        <v>378660.33333333331</v>
      </c>
      <c r="O9" s="44">
        <v>1875780.6666666667</v>
      </c>
      <c r="P9" s="44">
        <v>277677</v>
      </c>
      <c r="Q9" s="44"/>
      <c r="R9" s="44">
        <v>122757</v>
      </c>
      <c r="S9" s="44">
        <v>217106.33333333334</v>
      </c>
      <c r="T9" s="44">
        <v>3019374.6666666665</v>
      </c>
      <c r="U9" s="44">
        <v>4671148.666666667</v>
      </c>
      <c r="V9" s="44">
        <v>4224059</v>
      </c>
      <c r="W9" s="44">
        <v>207913.66666666666</v>
      </c>
      <c r="X9" s="44">
        <v>163104</v>
      </c>
      <c r="Y9" s="44">
        <v>370931</v>
      </c>
      <c r="Z9" s="44">
        <v>290900.66666666669</v>
      </c>
      <c r="AA9" s="44">
        <v>2162016</v>
      </c>
      <c r="AB9" s="44">
        <v>2971125.3333333335</v>
      </c>
      <c r="AC9" s="44">
        <v>461690</v>
      </c>
      <c r="AD9" s="44">
        <v>1013230.6666666666</v>
      </c>
      <c r="AE9" s="44">
        <v>246371.33333333334</v>
      </c>
      <c r="AF9" s="44">
        <v>178374.66666666666</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1</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190</v>
      </c>
      <c r="D10" s="1" t="s">
        <v>191</v>
      </c>
      <c r="E10" s="1" t="s">
        <v>192</v>
      </c>
      <c r="F10" s="1" t="s">
        <v>112</v>
      </c>
      <c r="G10" s="1">
        <v>145007</v>
      </c>
      <c r="K10" s="149" t="s">
        <v>1653</v>
      </c>
      <c r="L10" s="44">
        <v>125057</v>
      </c>
      <c r="M10" s="44">
        <v>2049014</v>
      </c>
      <c r="N10" s="44">
        <v>530365</v>
      </c>
      <c r="O10" s="44">
        <v>2992027.3333333335</v>
      </c>
      <c r="P10" s="44">
        <v>32127.666666666668</v>
      </c>
      <c r="Q10" s="44">
        <v>548231.33333333337</v>
      </c>
      <c r="R10" s="44">
        <v>128229.33333333333</v>
      </c>
      <c r="S10" s="44">
        <v>129245.66666666667</v>
      </c>
      <c r="T10" s="44">
        <v>1470371.3333333333</v>
      </c>
      <c r="U10" s="44">
        <v>3020247</v>
      </c>
      <c r="V10" s="44">
        <v>4025316.3333333335</v>
      </c>
      <c r="W10" s="44">
        <v>97399.333333333328</v>
      </c>
      <c r="X10" s="44">
        <v>281066</v>
      </c>
      <c r="Y10" s="44">
        <v>143420.66666666666</v>
      </c>
      <c r="Z10" s="44">
        <v>984989.33333333337</v>
      </c>
      <c r="AA10" s="44">
        <v>1450746</v>
      </c>
      <c r="AB10" s="44">
        <v>1562118.3333333333</v>
      </c>
      <c r="AC10" s="44">
        <v>1361464.6666666667</v>
      </c>
      <c r="AD10" s="44">
        <v>157696.33333333334</v>
      </c>
      <c r="AE10" s="44">
        <v>462101</v>
      </c>
      <c r="AF10" s="44">
        <v>258837.66666666666</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1</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193</v>
      </c>
      <c r="D11" s="1" t="s">
        <v>194</v>
      </c>
      <c r="E11" s="1" t="s">
        <v>195</v>
      </c>
      <c r="F11" s="1" t="s">
        <v>112</v>
      </c>
      <c r="G11" s="1">
        <v>421675</v>
      </c>
      <c r="K11" s="149" t="s">
        <v>1654</v>
      </c>
      <c r="L11" s="44">
        <v>104083.33333333333</v>
      </c>
      <c r="M11" s="44">
        <v>24824</v>
      </c>
      <c r="N11" s="44">
        <v>185483.66666666666</v>
      </c>
      <c r="O11" s="44">
        <v>3668877</v>
      </c>
      <c r="P11" s="44">
        <v>85200</v>
      </c>
      <c r="Q11" s="44">
        <v>184849.33333333334</v>
      </c>
      <c r="R11" s="44">
        <v>666510.66666666663</v>
      </c>
      <c r="S11" s="44">
        <v>1235312.3333333333</v>
      </c>
      <c r="T11" s="44">
        <v>2724429.6666666665</v>
      </c>
      <c r="U11" s="44"/>
      <c r="V11" s="44">
        <v>5225458</v>
      </c>
      <c r="W11" s="44">
        <v>185325</v>
      </c>
      <c r="X11" s="44">
        <v>189982.66666666666</v>
      </c>
      <c r="Y11" s="44">
        <v>299292.66666666669</v>
      </c>
      <c r="Z11" s="44"/>
      <c r="AA11" s="44">
        <v>112100.66666666667</v>
      </c>
      <c r="AB11" s="44">
        <v>3187352.6666666665</v>
      </c>
      <c r="AC11" s="44">
        <v>180241.66666666666</v>
      </c>
      <c r="AD11" s="44">
        <v>230373</v>
      </c>
      <c r="AE11" s="44">
        <v>55177.666666666664</v>
      </c>
      <c r="AF11" s="44">
        <v>198778.66666666666</v>
      </c>
      <c r="AG11"/>
    </row>
    <row r="12" spans="1:144" x14ac:dyDescent="0.25">
      <c r="A12" s="1" t="str">
        <f t="shared" si="0"/>
        <v>1</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196</v>
      </c>
      <c r="D12" s="1" t="s">
        <v>197</v>
      </c>
      <c r="E12" s="1" t="s">
        <v>198</v>
      </c>
      <c r="F12" s="1" t="s">
        <v>112</v>
      </c>
      <c r="G12" s="1">
        <v>203732</v>
      </c>
      <c r="K12" s="149" t="s">
        <v>1655</v>
      </c>
      <c r="L12" s="44">
        <v>83080.333333333328</v>
      </c>
      <c r="M12" s="44">
        <v>484726</v>
      </c>
      <c r="N12" s="44">
        <v>693533.33333333337</v>
      </c>
      <c r="O12" s="44">
        <v>3375410</v>
      </c>
      <c r="P12" s="44">
        <v>197726</v>
      </c>
      <c r="Q12" s="44">
        <v>67319.333333333328</v>
      </c>
      <c r="R12" s="44">
        <v>154502.33333333334</v>
      </c>
      <c r="S12" s="44">
        <v>2268053</v>
      </c>
      <c r="T12" s="44">
        <v>2656165.6666666665</v>
      </c>
      <c r="U12" s="44">
        <v>1460508.3333333333</v>
      </c>
      <c r="V12" s="44">
        <v>3912307.3333333335</v>
      </c>
      <c r="W12" s="44">
        <v>62359</v>
      </c>
      <c r="X12" s="44">
        <v>274029</v>
      </c>
      <c r="Y12" s="44">
        <v>445641</v>
      </c>
      <c r="Z12" s="44">
        <v>954685.66666666663</v>
      </c>
      <c r="AA12" s="44">
        <v>547957.33333333337</v>
      </c>
      <c r="AB12" s="44">
        <v>2809644</v>
      </c>
      <c r="AC12" s="44">
        <v>27203.333333333332</v>
      </c>
      <c r="AD12" s="44">
        <v>2335019.3333333335</v>
      </c>
      <c r="AE12" s="44">
        <v>239104.33333333334</v>
      </c>
      <c r="AF12" s="44">
        <v>246645.33333333334</v>
      </c>
      <c r="AG12"/>
    </row>
    <row r="13" spans="1:144" x14ac:dyDescent="0.25">
      <c r="A13" s="1" t="str">
        <f t="shared" si="0"/>
        <v>1</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199</v>
      </c>
      <c r="D13" s="1" t="s">
        <v>200</v>
      </c>
      <c r="E13" s="1" t="s">
        <v>201</v>
      </c>
      <c r="F13" s="1" t="s">
        <v>112</v>
      </c>
      <c r="G13" s="1">
        <v>15574</v>
      </c>
      <c r="K13"/>
      <c r="L13"/>
      <c r="M13"/>
      <c r="N13"/>
      <c r="O13"/>
      <c r="P13"/>
      <c r="Q13"/>
      <c r="R13"/>
      <c r="S13"/>
      <c r="T13"/>
      <c r="U13"/>
      <c r="V13"/>
      <c r="W13"/>
      <c r="X13"/>
      <c r="Y13"/>
      <c r="Z13"/>
      <c r="AA13"/>
      <c r="AB13"/>
      <c r="AC13"/>
      <c r="AD13"/>
      <c r="AE13"/>
      <c r="AF13"/>
      <c r="AG13"/>
    </row>
    <row r="14" spans="1:144" x14ac:dyDescent="0.25">
      <c r="A14" s="1" t="str">
        <f t="shared" si="0"/>
        <v>1</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202</v>
      </c>
      <c r="D14" s="1" t="s">
        <v>203</v>
      </c>
      <c r="E14" s="1" t="s">
        <v>204</v>
      </c>
      <c r="F14" s="1" t="s">
        <v>112</v>
      </c>
      <c r="G14" s="1">
        <v>277641</v>
      </c>
      <c r="K14"/>
      <c r="L14"/>
      <c r="M14"/>
      <c r="N14"/>
      <c r="O14"/>
      <c r="P14"/>
      <c r="Q14"/>
      <c r="R14"/>
      <c r="S14"/>
      <c r="T14"/>
      <c r="U14"/>
      <c r="V14"/>
      <c r="W14"/>
      <c r="X14"/>
      <c r="Y14"/>
      <c r="Z14"/>
      <c r="AA14"/>
      <c r="AB14"/>
      <c r="AC14"/>
      <c r="AD14"/>
      <c r="AE14"/>
      <c r="AF14"/>
      <c r="AG14"/>
    </row>
    <row r="15" spans="1:144" x14ac:dyDescent="0.25">
      <c r="A15" s="1" t="str">
        <f t="shared" si="0"/>
        <v>1</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205</v>
      </c>
      <c r="D15" s="1" t="s">
        <v>206</v>
      </c>
      <c r="E15" s="1" t="s">
        <v>207</v>
      </c>
      <c r="F15" s="1" t="s">
        <v>112</v>
      </c>
      <c r="G15" s="1">
        <v>245456</v>
      </c>
    </row>
    <row r="16" spans="1:144" x14ac:dyDescent="0.25">
      <c r="A16" s="1" t="str">
        <f t="shared" si="0"/>
        <v>1</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208</v>
      </c>
      <c r="D16" s="1" t="s">
        <v>209</v>
      </c>
      <c r="E16" s="1" t="s">
        <v>210</v>
      </c>
      <c r="F16" s="1" t="s">
        <v>112</v>
      </c>
      <c r="G16" s="1">
        <v>368141</v>
      </c>
      <c r="M16"/>
      <c r="N16"/>
      <c r="O16"/>
      <c r="P16"/>
      <c r="Q16"/>
      <c r="R16"/>
      <c r="S16"/>
      <c r="T16"/>
      <c r="U16"/>
      <c r="V16"/>
      <c r="W16"/>
      <c r="X16"/>
      <c r="Y16"/>
      <c r="Z16"/>
      <c r="AA16"/>
      <c r="AB16"/>
      <c r="AC16"/>
      <c r="AD16"/>
      <c r="AE16"/>
      <c r="AF16"/>
      <c r="AG16"/>
      <c r="AH16"/>
    </row>
    <row r="17" spans="1:34" x14ac:dyDescent="0.25">
      <c r="A17" s="1" t="str">
        <f t="shared" si="0"/>
        <v>1</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211</v>
      </c>
      <c r="D17" s="1" t="s">
        <v>212</v>
      </c>
      <c r="E17" s="1" t="s">
        <v>213</v>
      </c>
      <c r="F17" s="1" t="s">
        <v>112</v>
      </c>
      <c r="G17" s="1">
        <v>182232</v>
      </c>
      <c r="M17"/>
      <c r="N17"/>
      <c r="O17"/>
      <c r="P17"/>
      <c r="Q17"/>
      <c r="R17"/>
      <c r="S17"/>
      <c r="T17"/>
      <c r="U17"/>
      <c r="V17"/>
      <c r="W17"/>
      <c r="X17"/>
      <c r="Y17"/>
      <c r="Z17"/>
      <c r="AA17"/>
      <c r="AB17"/>
      <c r="AC17"/>
      <c r="AD17"/>
      <c r="AE17"/>
      <c r="AF17"/>
      <c r="AG17"/>
      <c r="AH17"/>
    </row>
    <row r="18" spans="1:34" x14ac:dyDescent="0.25">
      <c r="A18" s="1" t="str">
        <f t="shared" si="0"/>
        <v>1</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214</v>
      </c>
      <c r="D18" s="1" t="s">
        <v>215</v>
      </c>
      <c r="E18" s="1" t="s">
        <v>216</v>
      </c>
      <c r="F18" s="1" t="s">
        <v>112</v>
      </c>
      <c r="G18" s="1">
        <v>103586</v>
      </c>
      <c r="M18"/>
      <c r="N18"/>
      <c r="O18"/>
      <c r="P18"/>
      <c r="Q18"/>
      <c r="R18"/>
      <c r="S18"/>
      <c r="T18"/>
      <c r="U18"/>
      <c r="V18"/>
      <c r="W18"/>
      <c r="X18"/>
      <c r="Y18"/>
      <c r="Z18"/>
      <c r="AA18"/>
      <c r="AB18"/>
      <c r="AC18"/>
      <c r="AD18"/>
      <c r="AE18"/>
      <c r="AF18"/>
      <c r="AG18"/>
      <c r="AH18"/>
    </row>
    <row r="19" spans="1:34" x14ac:dyDescent="0.25">
      <c r="A19" s="1" t="str">
        <f t="shared" si="0"/>
        <v>1</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217</v>
      </c>
      <c r="D19" s="1" t="s">
        <v>218</v>
      </c>
      <c r="E19" s="1" t="s">
        <v>219</v>
      </c>
      <c r="F19" s="1" t="s">
        <v>112</v>
      </c>
      <c r="G19" s="1">
        <v>89353</v>
      </c>
      <c r="K19"/>
      <c r="L19"/>
      <c r="M19"/>
      <c r="N19"/>
      <c r="O19"/>
      <c r="P19"/>
      <c r="Q19"/>
      <c r="R19"/>
      <c r="S19"/>
      <c r="T19"/>
      <c r="U19"/>
      <c r="V19"/>
      <c r="W19"/>
      <c r="X19"/>
      <c r="Y19"/>
      <c r="Z19"/>
      <c r="AA19"/>
      <c r="AB19"/>
      <c r="AC19"/>
      <c r="AD19"/>
      <c r="AE19"/>
      <c r="AF19"/>
      <c r="AG19"/>
      <c r="AH19"/>
    </row>
    <row r="20" spans="1:34" x14ac:dyDescent="0.25">
      <c r="A20" s="1" t="str">
        <f t="shared" si="0"/>
        <v>1</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220</v>
      </c>
      <c r="D20" s="1" t="s">
        <v>221</v>
      </c>
      <c r="E20" s="1" t="s">
        <v>222</v>
      </c>
      <c r="F20" s="1" t="s">
        <v>112</v>
      </c>
      <c r="G20" s="1">
        <v>163414</v>
      </c>
      <c r="K20"/>
      <c r="L20"/>
      <c r="M20"/>
      <c r="N20"/>
      <c r="O20"/>
      <c r="P20"/>
      <c r="Q20"/>
      <c r="R20"/>
      <c r="S20"/>
      <c r="T20"/>
      <c r="U20"/>
      <c r="V20"/>
      <c r="W20"/>
      <c r="X20"/>
      <c r="Y20"/>
      <c r="Z20"/>
      <c r="AA20"/>
      <c r="AB20"/>
      <c r="AC20"/>
      <c r="AD20"/>
      <c r="AE20"/>
      <c r="AF20"/>
      <c r="AG20"/>
      <c r="AH20"/>
    </row>
    <row r="21" spans="1:34" x14ac:dyDescent="0.25">
      <c r="A21" s="1" t="str">
        <f t="shared" si="0"/>
        <v>1</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223</v>
      </c>
      <c r="D21" s="1" t="s">
        <v>224</v>
      </c>
      <c r="E21" s="1" t="s">
        <v>225</v>
      </c>
      <c r="F21" s="1" t="s">
        <v>112</v>
      </c>
      <c r="G21" s="1">
        <v>147538</v>
      </c>
      <c r="K21"/>
      <c r="L21"/>
      <c r="M21"/>
      <c r="N21"/>
      <c r="O21"/>
      <c r="P21"/>
      <c r="Q21"/>
      <c r="R21"/>
      <c r="S21"/>
      <c r="T21"/>
      <c r="U21"/>
      <c r="V21"/>
      <c r="W21"/>
      <c r="X21"/>
      <c r="Y21"/>
      <c r="Z21"/>
      <c r="AA21"/>
      <c r="AB21"/>
      <c r="AC21"/>
      <c r="AD21"/>
      <c r="AE21"/>
      <c r="AF21"/>
      <c r="AG21"/>
      <c r="AH21"/>
    </row>
    <row r="22" spans="1:34" x14ac:dyDescent="0.25">
      <c r="A22" s="1" t="str">
        <f t="shared" si="0"/>
        <v>1</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226</v>
      </c>
      <c r="D22" s="1" t="s">
        <v>227</v>
      </c>
      <c r="E22" s="1">
        <v>30</v>
      </c>
      <c r="F22" s="1" t="s">
        <v>112</v>
      </c>
      <c r="G22" s="1">
        <v>1298</v>
      </c>
      <c r="K22"/>
      <c r="L22"/>
      <c r="M22"/>
      <c r="N22"/>
      <c r="O22"/>
      <c r="P22"/>
      <c r="Q22"/>
      <c r="R22"/>
      <c r="S22"/>
      <c r="T22"/>
      <c r="U22"/>
      <c r="V22"/>
      <c r="W22"/>
      <c r="X22"/>
      <c r="Y22"/>
      <c r="Z22"/>
      <c r="AA22"/>
      <c r="AB22"/>
      <c r="AC22"/>
      <c r="AD22"/>
      <c r="AE22"/>
      <c r="AF22"/>
      <c r="AG22"/>
      <c r="AH22"/>
    </row>
    <row r="23" spans="1:34" x14ac:dyDescent="0.25">
      <c r="A23" s="1" t="str">
        <f t="shared" si="0"/>
        <v>1</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228</v>
      </c>
      <c r="D23" s="1" t="s">
        <v>229</v>
      </c>
      <c r="E23" s="1" t="s">
        <v>230</v>
      </c>
      <c r="F23" s="1" t="s">
        <v>112</v>
      </c>
      <c r="G23" s="1">
        <v>36922</v>
      </c>
      <c r="K23"/>
      <c r="L23"/>
      <c r="M23"/>
      <c r="N23"/>
      <c r="O23"/>
      <c r="P23"/>
      <c r="Q23"/>
      <c r="R23"/>
      <c r="S23"/>
      <c r="T23"/>
      <c r="U23"/>
      <c r="V23"/>
      <c r="W23"/>
      <c r="X23"/>
      <c r="Y23"/>
      <c r="Z23"/>
      <c r="AA23"/>
      <c r="AB23"/>
      <c r="AC23"/>
      <c r="AD23"/>
      <c r="AE23"/>
      <c r="AF23"/>
      <c r="AG23"/>
      <c r="AH23"/>
    </row>
    <row r="24" spans="1:34" x14ac:dyDescent="0.25">
      <c r="A24" s="1" t="str">
        <f t="shared" si="0"/>
        <v>1</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231</v>
      </c>
      <c r="D24" s="1" t="s">
        <v>232</v>
      </c>
      <c r="E24" s="1" t="s">
        <v>233</v>
      </c>
      <c r="F24" s="1" t="s">
        <v>112</v>
      </c>
      <c r="G24" s="1">
        <v>111221</v>
      </c>
      <c r="K24"/>
      <c r="L24"/>
      <c r="M24"/>
      <c r="N24"/>
      <c r="O24"/>
      <c r="P24"/>
      <c r="Q24"/>
      <c r="R24"/>
      <c r="S24"/>
      <c r="T24"/>
      <c r="U24"/>
      <c r="V24"/>
      <c r="W24"/>
      <c r="X24"/>
      <c r="Y24"/>
      <c r="Z24"/>
      <c r="AA24"/>
      <c r="AB24"/>
      <c r="AC24"/>
      <c r="AD24"/>
      <c r="AE24"/>
      <c r="AF24"/>
      <c r="AG24"/>
      <c r="AH24"/>
    </row>
    <row r="25" spans="1:34" x14ac:dyDescent="0.25">
      <c r="A25" s="1" t="str">
        <f t="shared" si="0"/>
        <v>1</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234</v>
      </c>
      <c r="D25" s="1" t="s">
        <v>235</v>
      </c>
      <c r="E25" s="1" t="s">
        <v>236</v>
      </c>
      <c r="F25" s="1" t="s">
        <v>112</v>
      </c>
      <c r="G25" s="1">
        <v>101098</v>
      </c>
      <c r="K25"/>
      <c r="L25"/>
      <c r="M25"/>
      <c r="N25"/>
      <c r="O25"/>
      <c r="P25"/>
      <c r="Q25"/>
      <c r="R25"/>
      <c r="S25"/>
      <c r="T25"/>
      <c r="U25"/>
      <c r="V25"/>
      <c r="W25"/>
      <c r="X25"/>
      <c r="Y25"/>
      <c r="Z25"/>
      <c r="AA25"/>
      <c r="AB25"/>
      <c r="AC25"/>
      <c r="AD25"/>
      <c r="AE25"/>
      <c r="AF25"/>
      <c r="AG25"/>
      <c r="AH25"/>
    </row>
    <row r="26" spans="1:34" x14ac:dyDescent="0.2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112</v>
      </c>
      <c r="K26"/>
      <c r="L26"/>
      <c r="M26"/>
      <c r="N26"/>
      <c r="O26"/>
      <c r="P26"/>
      <c r="Q26"/>
      <c r="R26"/>
      <c r="S26"/>
      <c r="T26"/>
      <c r="U26"/>
      <c r="V26"/>
      <c r="W26"/>
      <c r="X26"/>
      <c r="Y26"/>
      <c r="Z26"/>
      <c r="AA26"/>
      <c r="AB26"/>
      <c r="AC26"/>
      <c r="AD26"/>
      <c r="AE26"/>
      <c r="AF26"/>
      <c r="AG26"/>
      <c r="AH26"/>
    </row>
    <row r="27" spans="1:34" x14ac:dyDescent="0.2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237</v>
      </c>
      <c r="D27" s="1" t="s">
        <v>112</v>
      </c>
      <c r="E27" s="1" t="s">
        <v>238</v>
      </c>
      <c r="F27" s="1" t="s">
        <v>239</v>
      </c>
      <c r="G27" s="1" t="s">
        <v>240</v>
      </c>
      <c r="H27" s="1" t="s">
        <v>241</v>
      </c>
      <c r="I27" s="1" t="s">
        <v>242</v>
      </c>
      <c r="J27" s="1" t="s">
        <v>243</v>
      </c>
      <c r="K27"/>
      <c r="L27"/>
      <c r="M27"/>
      <c r="N27"/>
      <c r="O27"/>
      <c r="P27"/>
      <c r="Q27"/>
      <c r="R27"/>
      <c r="S27"/>
      <c r="T27"/>
      <c r="U27"/>
      <c r="V27"/>
      <c r="W27"/>
      <c r="X27"/>
      <c r="Y27"/>
      <c r="Z27"/>
      <c r="AA27"/>
      <c r="AB27"/>
      <c r="AC27"/>
      <c r="AD27"/>
      <c r="AE27"/>
      <c r="AF27"/>
      <c r="AG27"/>
      <c r="AH27"/>
    </row>
    <row r="28" spans="1:34" x14ac:dyDescent="0.25">
      <c r="A28" s="1" t="str">
        <f t="shared" si="0"/>
        <v>1</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244</v>
      </c>
      <c r="D28" s="1" t="s">
        <v>112</v>
      </c>
      <c r="E28" s="1" t="s">
        <v>245</v>
      </c>
      <c r="F28" s="1" t="s">
        <v>246</v>
      </c>
      <c r="G28" s="1" t="s">
        <v>247</v>
      </c>
      <c r="H28" s="1" t="s">
        <v>248</v>
      </c>
      <c r="I28" s="1">
        <v>24</v>
      </c>
      <c r="J28" s="1">
        <v>24</v>
      </c>
      <c r="K28"/>
      <c r="L28"/>
      <c r="M28"/>
      <c r="N28"/>
      <c r="O28"/>
      <c r="P28"/>
      <c r="Q28"/>
      <c r="R28"/>
      <c r="S28"/>
      <c r="T28"/>
      <c r="U28"/>
      <c r="V28"/>
      <c r="W28"/>
      <c r="X28"/>
      <c r="Y28"/>
      <c r="Z28"/>
      <c r="AA28"/>
      <c r="AB28"/>
      <c r="AC28"/>
      <c r="AD28"/>
      <c r="AE28"/>
      <c r="AF28"/>
      <c r="AG28"/>
      <c r="AH28"/>
    </row>
    <row r="29" spans="1:34" x14ac:dyDescent="0.2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112</v>
      </c>
      <c r="K29"/>
      <c r="L29"/>
      <c r="M29"/>
      <c r="N29"/>
      <c r="O29"/>
      <c r="P29"/>
      <c r="Q29"/>
      <c r="R29"/>
      <c r="S29"/>
      <c r="T29"/>
      <c r="U29"/>
      <c r="V29"/>
      <c r="W29"/>
      <c r="X29"/>
      <c r="Y29"/>
      <c r="Z29"/>
      <c r="AA29"/>
      <c r="AB29"/>
      <c r="AC29"/>
      <c r="AD29"/>
      <c r="AE29"/>
      <c r="AF29"/>
      <c r="AG29"/>
      <c r="AH29"/>
    </row>
    <row r="30" spans="1:34" x14ac:dyDescent="0.2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2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2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2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2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249</v>
      </c>
      <c r="D34" s="1" t="s">
        <v>110</v>
      </c>
      <c r="E34" s="1" t="s">
        <v>111</v>
      </c>
      <c r="F34" s="1" t="s">
        <v>112</v>
      </c>
      <c r="G34" s="1" t="s">
        <v>113</v>
      </c>
      <c r="K34"/>
      <c r="L34"/>
      <c r="M34"/>
      <c r="N34"/>
      <c r="O34"/>
      <c r="P34"/>
      <c r="Q34"/>
      <c r="R34"/>
      <c r="S34"/>
      <c r="T34"/>
      <c r="U34"/>
      <c r="V34"/>
      <c r="W34"/>
      <c r="X34"/>
      <c r="Y34"/>
      <c r="Z34"/>
      <c r="AA34"/>
      <c r="AB34"/>
      <c r="AC34"/>
      <c r="AD34"/>
      <c r="AE34"/>
      <c r="AF34"/>
      <c r="AG34"/>
      <c r="AH34"/>
    </row>
    <row r="35" spans="1:34" x14ac:dyDescent="0.25">
      <c r="A35" s="1" t="str">
        <f t="shared" si="0"/>
        <v>13</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250</v>
      </c>
      <c r="D35" s="1" t="s">
        <v>251</v>
      </c>
      <c r="E35" s="1" t="s">
        <v>252</v>
      </c>
      <c r="F35" s="1" t="s">
        <v>112</v>
      </c>
      <c r="G35" s="1">
        <v>2020059</v>
      </c>
      <c r="K35"/>
      <c r="L35"/>
      <c r="M35"/>
      <c r="N35"/>
      <c r="O35"/>
      <c r="P35"/>
      <c r="Q35"/>
      <c r="R35"/>
      <c r="S35"/>
      <c r="T35"/>
      <c r="U35"/>
      <c r="V35"/>
      <c r="W35"/>
      <c r="X35"/>
      <c r="Y35"/>
      <c r="Z35"/>
      <c r="AA35"/>
      <c r="AB35"/>
      <c r="AC35"/>
      <c r="AD35"/>
      <c r="AE35"/>
      <c r="AF35"/>
      <c r="AG35"/>
      <c r="AH35"/>
    </row>
    <row r="36" spans="1:34" x14ac:dyDescent="0.25">
      <c r="A36" s="1" t="str">
        <f t="shared" si="0"/>
        <v>13</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253</v>
      </c>
      <c r="D36" s="1" t="s">
        <v>254</v>
      </c>
      <c r="E36" s="1" t="s">
        <v>255</v>
      </c>
      <c r="F36" s="1" t="s">
        <v>112</v>
      </c>
      <c r="G36" s="1">
        <v>1357103</v>
      </c>
      <c r="K36"/>
      <c r="L36"/>
      <c r="M36"/>
      <c r="N36"/>
      <c r="O36"/>
      <c r="P36"/>
      <c r="Q36"/>
      <c r="R36"/>
      <c r="S36"/>
      <c r="T36"/>
      <c r="U36"/>
      <c r="V36"/>
      <c r="W36"/>
      <c r="X36"/>
      <c r="Y36"/>
      <c r="Z36"/>
      <c r="AA36"/>
      <c r="AB36"/>
      <c r="AC36"/>
      <c r="AD36"/>
      <c r="AE36"/>
      <c r="AF36"/>
      <c r="AG36"/>
      <c r="AH36"/>
    </row>
    <row r="37" spans="1:34" x14ac:dyDescent="0.25">
      <c r="A37" s="1" t="str">
        <f t="shared" si="0"/>
        <v>13</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256</v>
      </c>
      <c r="D37" s="1" t="s">
        <v>257</v>
      </c>
      <c r="E37" s="1" t="s">
        <v>258</v>
      </c>
      <c r="F37" s="1" t="s">
        <v>112</v>
      </c>
      <c r="G37" s="1">
        <v>1695805</v>
      </c>
      <c r="K37"/>
      <c r="L37"/>
      <c r="M37"/>
      <c r="N37"/>
      <c r="O37"/>
      <c r="P37"/>
      <c r="Q37"/>
      <c r="R37"/>
      <c r="S37"/>
      <c r="T37"/>
      <c r="U37"/>
      <c r="V37"/>
      <c r="W37"/>
      <c r="X37"/>
      <c r="Y37"/>
      <c r="Z37"/>
      <c r="AA37"/>
      <c r="AB37"/>
      <c r="AC37"/>
      <c r="AD37"/>
      <c r="AE37"/>
      <c r="AF37"/>
      <c r="AG37"/>
      <c r="AH37"/>
    </row>
    <row r="38" spans="1:34" x14ac:dyDescent="0.25">
      <c r="A38" s="1" t="str">
        <f t="shared" si="0"/>
        <v>13</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259</v>
      </c>
      <c r="D38" s="1" t="s">
        <v>260</v>
      </c>
      <c r="E38" s="1" t="s">
        <v>261</v>
      </c>
      <c r="F38" s="1" t="s">
        <v>112</v>
      </c>
      <c r="G38" s="1">
        <v>31536</v>
      </c>
      <c r="K38"/>
      <c r="L38"/>
      <c r="M38"/>
      <c r="N38"/>
      <c r="O38"/>
      <c r="P38"/>
      <c r="Q38"/>
      <c r="R38"/>
      <c r="S38"/>
      <c r="T38"/>
      <c r="U38"/>
      <c r="V38"/>
      <c r="W38"/>
      <c r="X38"/>
      <c r="Y38"/>
      <c r="Z38"/>
      <c r="AA38"/>
      <c r="AB38"/>
      <c r="AC38"/>
      <c r="AD38"/>
      <c r="AE38"/>
      <c r="AF38"/>
      <c r="AG38"/>
      <c r="AH38"/>
    </row>
    <row r="39" spans="1:34" x14ac:dyDescent="0.25">
      <c r="A39" s="1" t="str">
        <f t="shared" si="0"/>
        <v>13</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262</v>
      </c>
      <c r="D39" s="1" t="s">
        <v>263</v>
      </c>
      <c r="E39" s="1" t="s">
        <v>264</v>
      </c>
      <c r="F39" s="1" t="s">
        <v>112</v>
      </c>
      <c r="G39" s="1">
        <v>44406</v>
      </c>
    </row>
    <row r="40" spans="1:34" x14ac:dyDescent="0.25">
      <c r="A40" s="1" t="str">
        <f t="shared" si="0"/>
        <v>13</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265</v>
      </c>
      <c r="D40" s="1" t="s">
        <v>266</v>
      </c>
      <c r="E40" s="1" t="s">
        <v>267</v>
      </c>
      <c r="F40" s="1" t="s">
        <v>112</v>
      </c>
      <c r="G40" s="1">
        <v>141330</v>
      </c>
    </row>
    <row r="41" spans="1:34" x14ac:dyDescent="0.25">
      <c r="A41" s="1" t="str">
        <f t="shared" si="0"/>
        <v>13</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268</v>
      </c>
      <c r="D41" s="1" t="s">
        <v>269</v>
      </c>
      <c r="E41" s="1" t="s">
        <v>270</v>
      </c>
      <c r="F41" s="1" t="s">
        <v>112</v>
      </c>
      <c r="G41" s="1">
        <v>1743521</v>
      </c>
    </row>
    <row r="42" spans="1:34" x14ac:dyDescent="0.25">
      <c r="A42" s="1" t="str">
        <f t="shared" si="0"/>
        <v>13</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271</v>
      </c>
      <c r="D42" s="1" t="s">
        <v>272</v>
      </c>
      <c r="E42" s="1" t="s">
        <v>273</v>
      </c>
      <c r="F42" s="1" t="s">
        <v>112</v>
      </c>
      <c r="G42" s="1">
        <v>1179673</v>
      </c>
    </row>
    <row r="43" spans="1:34" x14ac:dyDescent="0.25">
      <c r="A43" s="1" t="str">
        <f t="shared" si="0"/>
        <v>13</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274</v>
      </c>
      <c r="D43" s="1" t="s">
        <v>275</v>
      </c>
      <c r="E43" s="1" t="s">
        <v>276</v>
      </c>
      <c r="F43" s="1" t="s">
        <v>112</v>
      </c>
      <c r="G43" s="1">
        <v>1518894</v>
      </c>
    </row>
    <row r="44" spans="1:34" x14ac:dyDescent="0.25">
      <c r="A44" s="1" t="str">
        <f t="shared" si="0"/>
        <v>13</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277</v>
      </c>
      <c r="D44" s="1" t="s">
        <v>278</v>
      </c>
      <c r="E44" s="1" t="s">
        <v>279</v>
      </c>
      <c r="F44" s="1" t="s">
        <v>112</v>
      </c>
      <c r="G44" s="1">
        <v>810580</v>
      </c>
    </row>
    <row r="45" spans="1:34" x14ac:dyDescent="0.25">
      <c r="A45" s="1" t="str">
        <f t="shared" si="0"/>
        <v>13</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280</v>
      </c>
    </row>
    <row r="46" spans="1:34" x14ac:dyDescent="0.25">
      <c r="A46" s="1" t="str">
        <f t="shared" si="0"/>
        <v>13</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281</v>
      </c>
      <c r="D46" s="1" t="s">
        <v>282</v>
      </c>
      <c r="E46" s="1" t="s">
        <v>283</v>
      </c>
      <c r="F46" s="1" t="s">
        <v>112</v>
      </c>
      <c r="G46" s="1">
        <v>1308847</v>
      </c>
    </row>
    <row r="47" spans="1:34" x14ac:dyDescent="0.25">
      <c r="A47" s="1" t="str">
        <f t="shared" si="0"/>
        <v>13</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284</v>
      </c>
      <c r="D47" s="1" t="s">
        <v>285</v>
      </c>
      <c r="E47" s="1" t="s">
        <v>286</v>
      </c>
      <c r="F47" s="1" t="s">
        <v>112</v>
      </c>
      <c r="G47" s="1">
        <v>488057</v>
      </c>
    </row>
    <row r="48" spans="1:34" x14ac:dyDescent="0.25">
      <c r="A48" s="1" t="str">
        <f t="shared" si="0"/>
        <v>13</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287</v>
      </c>
      <c r="D48" s="1" t="s">
        <v>288</v>
      </c>
      <c r="E48" s="1" t="s">
        <v>289</v>
      </c>
      <c r="F48" s="1" t="s">
        <v>112</v>
      </c>
      <c r="G48" s="1">
        <v>305219</v>
      </c>
    </row>
    <row r="49" spans="1:10" x14ac:dyDescent="0.25">
      <c r="A49" s="1" t="str">
        <f t="shared" si="0"/>
        <v>13</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290</v>
      </c>
      <c r="D49" s="1" t="s">
        <v>291</v>
      </c>
      <c r="E49" s="1" t="s">
        <v>292</v>
      </c>
      <c r="F49" s="1" t="s">
        <v>112</v>
      </c>
      <c r="G49" s="1">
        <v>218700</v>
      </c>
    </row>
    <row r="50" spans="1:10" x14ac:dyDescent="0.25">
      <c r="A50" s="1" t="str">
        <f t="shared" si="0"/>
        <v>13</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293</v>
      </c>
      <c r="D50" s="1" t="s">
        <v>294</v>
      </c>
      <c r="E50" s="1" t="s">
        <v>295</v>
      </c>
      <c r="F50" s="1" t="s">
        <v>112</v>
      </c>
      <c r="G50" s="1">
        <v>2287188</v>
      </c>
    </row>
    <row r="51" spans="1:10" x14ac:dyDescent="0.25">
      <c r="A51" s="1" t="str">
        <f t="shared" si="0"/>
        <v>13</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296</v>
      </c>
      <c r="D51" s="1" t="s">
        <v>297</v>
      </c>
      <c r="E51" s="1" t="s">
        <v>298</v>
      </c>
      <c r="F51" s="1" t="s">
        <v>112</v>
      </c>
      <c r="G51" s="1">
        <v>1609372</v>
      </c>
    </row>
    <row r="52" spans="1:10" x14ac:dyDescent="0.25">
      <c r="A52" s="1" t="str">
        <f t="shared" si="0"/>
        <v>13</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299</v>
      </c>
      <c r="D52" s="1" t="s">
        <v>300</v>
      </c>
      <c r="E52" s="1" t="s">
        <v>301</v>
      </c>
      <c r="F52" s="1" t="s">
        <v>112</v>
      </c>
      <c r="G52" s="1">
        <v>2250482</v>
      </c>
    </row>
    <row r="53" spans="1:10" x14ac:dyDescent="0.25">
      <c r="A53" s="1" t="str">
        <f t="shared" si="0"/>
        <v>13</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302</v>
      </c>
      <c r="D53" s="1" t="s">
        <v>303</v>
      </c>
      <c r="E53" s="1" t="s">
        <v>304</v>
      </c>
      <c r="F53" s="1" t="s">
        <v>112</v>
      </c>
      <c r="G53" s="1">
        <v>4066</v>
      </c>
    </row>
    <row r="54" spans="1:10" x14ac:dyDescent="0.25">
      <c r="A54" s="1" t="str">
        <f t="shared" si="0"/>
        <v>13</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305</v>
      </c>
      <c r="D54" s="1" t="s">
        <v>306</v>
      </c>
      <c r="E54" s="1" t="s">
        <v>307</v>
      </c>
      <c r="F54" s="1" t="s">
        <v>112</v>
      </c>
      <c r="G54" s="1">
        <v>63614</v>
      </c>
    </row>
    <row r="55" spans="1:10" x14ac:dyDescent="0.25">
      <c r="A55" s="1" t="str">
        <f t="shared" si="0"/>
        <v>13</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308</v>
      </c>
      <c r="D55" s="1" t="s">
        <v>309</v>
      </c>
      <c r="E55" s="1" t="s">
        <v>310</v>
      </c>
      <c r="F55" s="1" t="s">
        <v>112</v>
      </c>
      <c r="G55" s="1">
        <v>6792</v>
      </c>
    </row>
    <row r="56" spans="1:10" x14ac:dyDescent="0.25">
      <c r="A56" s="1" t="str">
        <f t="shared" si="0"/>
        <v>13</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311</v>
      </c>
      <c r="D56" s="1" t="s">
        <v>312</v>
      </c>
      <c r="E56" s="1" t="s">
        <v>313</v>
      </c>
      <c r="F56" s="1" t="s">
        <v>112</v>
      </c>
      <c r="G56" s="1">
        <v>484726</v>
      </c>
    </row>
    <row r="57" spans="1:10" x14ac:dyDescent="0.25">
      <c r="A57" s="1" t="str">
        <f t="shared" si="0"/>
        <v>13</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314</v>
      </c>
    </row>
    <row r="58" spans="1:10" x14ac:dyDescent="0.25">
      <c r="A58" s="1" t="str">
        <f t="shared" si="0"/>
        <v>13</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315</v>
      </c>
    </row>
    <row r="59" spans="1:10" x14ac:dyDescent="0.2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112</v>
      </c>
    </row>
    <row r="60" spans="1:10" x14ac:dyDescent="0.2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237</v>
      </c>
      <c r="D60" s="1" t="s">
        <v>112</v>
      </c>
      <c r="E60" s="1" t="s">
        <v>238</v>
      </c>
      <c r="F60" s="1" t="s">
        <v>239</v>
      </c>
      <c r="G60" s="1" t="s">
        <v>240</v>
      </c>
      <c r="H60" s="1" t="s">
        <v>241</v>
      </c>
      <c r="I60" s="1" t="s">
        <v>242</v>
      </c>
      <c r="J60" s="1" t="s">
        <v>243</v>
      </c>
    </row>
    <row r="61" spans="1:10" x14ac:dyDescent="0.25">
      <c r="A61" s="1" t="str">
        <f t="shared" si="0"/>
        <v>13</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316</v>
      </c>
      <c r="D61" s="1" t="s">
        <v>112</v>
      </c>
      <c r="E61" s="1" t="s">
        <v>317</v>
      </c>
      <c r="F61" s="1" t="s">
        <v>318</v>
      </c>
      <c r="G61" s="1" t="s">
        <v>319</v>
      </c>
      <c r="H61" s="1" t="s">
        <v>320</v>
      </c>
      <c r="I61" s="1">
        <v>24</v>
      </c>
      <c r="J61" s="1">
        <v>24</v>
      </c>
    </row>
    <row r="62" spans="1:10" x14ac:dyDescent="0.2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10" x14ac:dyDescent="0.2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10" x14ac:dyDescent="0.2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2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2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2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249</v>
      </c>
      <c r="D67" s="1" t="s">
        <v>110</v>
      </c>
      <c r="E67" s="1" t="s">
        <v>111</v>
      </c>
      <c r="F67" s="1" t="s">
        <v>112</v>
      </c>
      <c r="G67" s="1" t="s">
        <v>113</v>
      </c>
    </row>
    <row r="68" spans="1:7" x14ac:dyDescent="0.25">
      <c r="A68" s="1" t="str">
        <f t="shared" si="1"/>
        <v>14</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321</v>
      </c>
      <c r="D68" s="1" t="s">
        <v>322</v>
      </c>
      <c r="E68" s="1" t="s">
        <v>323</v>
      </c>
      <c r="F68" s="1" t="s">
        <v>112</v>
      </c>
      <c r="G68" s="1">
        <v>83621</v>
      </c>
    </row>
    <row r="69" spans="1:7" x14ac:dyDescent="0.25">
      <c r="A69" s="1" t="str">
        <f t="shared" si="1"/>
        <v>14</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324</v>
      </c>
      <c r="D69" s="1" t="s">
        <v>325</v>
      </c>
      <c r="E69" s="1" t="s">
        <v>326</v>
      </c>
      <c r="F69" s="1" t="s">
        <v>112</v>
      </c>
      <c r="G69" s="1">
        <v>120738</v>
      </c>
    </row>
    <row r="70" spans="1:7" x14ac:dyDescent="0.25">
      <c r="A70" s="1" t="str">
        <f t="shared" si="1"/>
        <v>14</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327</v>
      </c>
      <c r="D70" s="1" t="s">
        <v>328</v>
      </c>
      <c r="E70" s="1" t="s">
        <v>329</v>
      </c>
      <c r="F70" s="1" t="s">
        <v>112</v>
      </c>
      <c r="G70" s="1">
        <v>4672</v>
      </c>
    </row>
    <row r="71" spans="1:7" x14ac:dyDescent="0.25">
      <c r="A71" s="1" t="str">
        <f t="shared" si="1"/>
        <v>14</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330</v>
      </c>
      <c r="D71" s="1" t="s">
        <v>325</v>
      </c>
      <c r="E71" s="1" t="s">
        <v>331</v>
      </c>
      <c r="F71" s="1" t="s">
        <v>112</v>
      </c>
      <c r="G71" s="1">
        <v>102958</v>
      </c>
    </row>
    <row r="72" spans="1:7" x14ac:dyDescent="0.25">
      <c r="A72" s="1" t="str">
        <f t="shared" si="1"/>
        <v>14</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332</v>
      </c>
      <c r="D72" s="1" t="s">
        <v>333</v>
      </c>
      <c r="E72" s="1" t="s">
        <v>334</v>
      </c>
      <c r="F72" s="1" t="s">
        <v>112</v>
      </c>
      <c r="G72" s="1">
        <v>43541</v>
      </c>
    </row>
    <row r="73" spans="1:7" x14ac:dyDescent="0.25">
      <c r="A73" s="1" t="str">
        <f t="shared" si="1"/>
        <v>14</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335</v>
      </c>
      <c r="D73" s="1" t="s">
        <v>336</v>
      </c>
      <c r="E73" s="1" t="s">
        <v>337</v>
      </c>
      <c r="F73" s="1" t="s">
        <v>112</v>
      </c>
      <c r="G73" s="1">
        <v>55805</v>
      </c>
    </row>
    <row r="74" spans="1:7" x14ac:dyDescent="0.25">
      <c r="A74" s="1" t="str">
        <f t="shared" si="1"/>
        <v>14</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338</v>
      </c>
      <c r="D74" s="1" t="s">
        <v>339</v>
      </c>
      <c r="E74" s="1" t="s">
        <v>340</v>
      </c>
      <c r="F74" s="1" t="s">
        <v>112</v>
      </c>
      <c r="G74" s="1">
        <v>1682287</v>
      </c>
    </row>
    <row r="75" spans="1:7" x14ac:dyDescent="0.25">
      <c r="A75" s="1" t="str">
        <f t="shared" si="1"/>
        <v>14</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341</v>
      </c>
      <c r="D75" s="1" t="s">
        <v>342</v>
      </c>
      <c r="E75" s="1" t="s">
        <v>343</v>
      </c>
      <c r="F75" s="1" t="s">
        <v>112</v>
      </c>
      <c r="G75" s="1">
        <v>1771164</v>
      </c>
    </row>
    <row r="76" spans="1:7" x14ac:dyDescent="0.25">
      <c r="A76" s="1" t="str">
        <f t="shared" si="1"/>
        <v>14</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344</v>
      </c>
      <c r="D76" s="1" t="s">
        <v>345</v>
      </c>
      <c r="E76" s="1" t="s">
        <v>346</v>
      </c>
      <c r="F76" s="1" t="s">
        <v>112</v>
      </c>
      <c r="G76" s="1">
        <v>1863372</v>
      </c>
    </row>
    <row r="77" spans="1:7" x14ac:dyDescent="0.25">
      <c r="A77" s="1" t="str">
        <f t="shared" si="1"/>
        <v>14</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347</v>
      </c>
    </row>
    <row r="78" spans="1:7" x14ac:dyDescent="0.25">
      <c r="A78" s="1" t="str">
        <f t="shared" si="1"/>
        <v>14</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348</v>
      </c>
    </row>
    <row r="79" spans="1:7" x14ac:dyDescent="0.25">
      <c r="A79" s="1" t="str">
        <f t="shared" si="1"/>
        <v>14</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349</v>
      </c>
    </row>
    <row r="80" spans="1:7" x14ac:dyDescent="0.25">
      <c r="A80" s="1" t="str">
        <f t="shared" si="1"/>
        <v>14</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350</v>
      </c>
      <c r="D80" s="1" t="s">
        <v>351</v>
      </c>
      <c r="E80" s="1" t="s">
        <v>352</v>
      </c>
      <c r="F80" s="1" t="s">
        <v>112</v>
      </c>
      <c r="G80" s="1">
        <v>524893</v>
      </c>
    </row>
    <row r="81" spans="1:10" x14ac:dyDescent="0.25">
      <c r="A81" s="1" t="str">
        <f t="shared" si="1"/>
        <v>14</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353</v>
      </c>
      <c r="D81" s="1" t="s">
        <v>354</v>
      </c>
      <c r="E81" s="1" t="s">
        <v>355</v>
      </c>
      <c r="F81" s="1" t="s">
        <v>112</v>
      </c>
      <c r="G81" s="1">
        <v>277425</v>
      </c>
    </row>
    <row r="82" spans="1:10" x14ac:dyDescent="0.25">
      <c r="A82" s="1" t="str">
        <f t="shared" si="1"/>
        <v>14</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356</v>
      </c>
      <c r="D82" s="1" t="s">
        <v>357</v>
      </c>
      <c r="E82" s="1" t="s">
        <v>358</v>
      </c>
      <c r="F82" s="1" t="s">
        <v>112</v>
      </c>
      <c r="G82" s="1">
        <v>333663</v>
      </c>
    </row>
    <row r="83" spans="1:10" x14ac:dyDescent="0.25">
      <c r="A83" s="1" t="str">
        <f t="shared" si="1"/>
        <v>14</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359</v>
      </c>
      <c r="D83" s="1" t="s">
        <v>360</v>
      </c>
      <c r="E83" s="1" t="s">
        <v>361</v>
      </c>
      <c r="F83" s="1" t="s">
        <v>112</v>
      </c>
      <c r="G83" s="1">
        <v>442959</v>
      </c>
    </row>
    <row r="84" spans="1:10" x14ac:dyDescent="0.25">
      <c r="A84" s="1" t="str">
        <f t="shared" si="1"/>
        <v>14</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362</v>
      </c>
      <c r="D84" s="1" t="s">
        <v>363</v>
      </c>
      <c r="E84" s="1" t="s">
        <v>364</v>
      </c>
      <c r="F84" s="1" t="s">
        <v>112</v>
      </c>
      <c r="G84" s="1">
        <v>509946</v>
      </c>
    </row>
    <row r="85" spans="1:10" x14ac:dyDescent="0.25">
      <c r="A85" s="1" t="str">
        <f t="shared" si="1"/>
        <v>14</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365</v>
      </c>
      <c r="D85" s="1" t="s">
        <v>366</v>
      </c>
      <c r="E85" s="1" t="s">
        <v>367</v>
      </c>
      <c r="F85" s="1" t="s">
        <v>112</v>
      </c>
      <c r="G85" s="1">
        <v>638190</v>
      </c>
    </row>
    <row r="86" spans="1:10" x14ac:dyDescent="0.25">
      <c r="A86" s="1" t="str">
        <f t="shared" si="1"/>
        <v>14</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368</v>
      </c>
      <c r="D86" s="1" t="s">
        <v>369</v>
      </c>
      <c r="E86" s="1" t="s">
        <v>370</v>
      </c>
      <c r="F86" s="1" t="s">
        <v>112</v>
      </c>
      <c r="G86" s="1">
        <v>237669</v>
      </c>
    </row>
    <row r="87" spans="1:10" x14ac:dyDescent="0.25">
      <c r="A87" s="1" t="str">
        <f t="shared" si="1"/>
        <v>14</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371</v>
      </c>
      <c r="D87" s="1" t="s">
        <v>372</v>
      </c>
      <c r="E87" s="1" t="s">
        <v>373</v>
      </c>
      <c r="F87" s="1" t="s">
        <v>112</v>
      </c>
      <c r="G87" s="1">
        <v>143796</v>
      </c>
    </row>
    <row r="88" spans="1:10" x14ac:dyDescent="0.25">
      <c r="A88" s="1" t="str">
        <f t="shared" si="1"/>
        <v>14</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374</v>
      </c>
      <c r="D88" s="1" t="s">
        <v>375</v>
      </c>
      <c r="E88" s="1" t="s">
        <v>376</v>
      </c>
      <c r="F88" s="1" t="s">
        <v>112</v>
      </c>
      <c r="G88" s="1">
        <v>174986</v>
      </c>
    </row>
    <row r="89" spans="1:10" x14ac:dyDescent="0.25">
      <c r="A89" s="1" t="str">
        <f t="shared" si="1"/>
        <v>14</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377</v>
      </c>
      <c r="D89" s="1" t="s">
        <v>378</v>
      </c>
      <c r="E89" s="1" t="s">
        <v>379</v>
      </c>
      <c r="F89" s="1" t="s">
        <v>112</v>
      </c>
      <c r="G89" s="1">
        <v>620756</v>
      </c>
    </row>
    <row r="90" spans="1:10" x14ac:dyDescent="0.25">
      <c r="A90" s="1" t="str">
        <f t="shared" si="1"/>
        <v>14</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380</v>
      </c>
      <c r="D90" s="1" t="s">
        <v>381</v>
      </c>
      <c r="E90" s="1" t="s">
        <v>382</v>
      </c>
      <c r="F90" s="1" t="s">
        <v>112</v>
      </c>
      <c r="G90" s="1">
        <v>889702</v>
      </c>
    </row>
    <row r="91" spans="1:10" x14ac:dyDescent="0.25">
      <c r="A91" s="1" t="str">
        <f t="shared" si="1"/>
        <v>14</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383</v>
      </c>
      <c r="D91" s="1" t="s">
        <v>384</v>
      </c>
      <c r="E91" s="1" t="s">
        <v>385</v>
      </c>
      <c r="F91" s="1" t="s">
        <v>112</v>
      </c>
      <c r="G91" s="1">
        <v>570142</v>
      </c>
    </row>
    <row r="92" spans="1:10" x14ac:dyDescent="0.2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112</v>
      </c>
    </row>
    <row r="93" spans="1:10" x14ac:dyDescent="0.2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237</v>
      </c>
      <c r="D93" s="1" t="s">
        <v>112</v>
      </c>
      <c r="E93" s="1" t="s">
        <v>238</v>
      </c>
      <c r="F93" s="1" t="s">
        <v>239</v>
      </c>
      <c r="G93" s="1" t="s">
        <v>240</v>
      </c>
      <c r="H93" s="1" t="s">
        <v>241</v>
      </c>
      <c r="I93" s="1" t="s">
        <v>242</v>
      </c>
      <c r="J93" s="1" t="s">
        <v>243</v>
      </c>
    </row>
    <row r="94" spans="1:10" x14ac:dyDescent="0.25">
      <c r="A94" s="1" t="str">
        <f t="shared" si="1"/>
        <v>14</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386</v>
      </c>
      <c r="D94" s="1" t="s">
        <v>112</v>
      </c>
      <c r="E94" s="1" t="s">
        <v>387</v>
      </c>
      <c r="F94" s="1" t="s">
        <v>388</v>
      </c>
      <c r="G94" s="1" t="s">
        <v>389</v>
      </c>
      <c r="H94" s="1" t="s">
        <v>390</v>
      </c>
      <c r="I94" s="1">
        <v>24</v>
      </c>
      <c r="J94" s="1">
        <v>24</v>
      </c>
    </row>
    <row r="95" spans="1:10" x14ac:dyDescent="0.2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112</v>
      </c>
    </row>
    <row r="96" spans="1:10" x14ac:dyDescent="0.2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2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2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2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2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249</v>
      </c>
      <c r="D100" s="1" t="s">
        <v>110</v>
      </c>
      <c r="E100" s="1" t="s">
        <v>111</v>
      </c>
      <c r="F100" s="1" t="s">
        <v>112</v>
      </c>
      <c r="G100" s="1" t="s">
        <v>113</v>
      </c>
    </row>
    <row r="101" spans="1:7" x14ac:dyDescent="0.25">
      <c r="A101" s="1" t="str">
        <f t="shared" si="1"/>
        <v>15</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391</v>
      </c>
      <c r="D101" s="1" t="s">
        <v>392</v>
      </c>
      <c r="E101" s="1" t="s">
        <v>393</v>
      </c>
      <c r="F101" s="1" t="s">
        <v>112</v>
      </c>
      <c r="G101" s="1">
        <v>5108332</v>
      </c>
    </row>
    <row r="102" spans="1:7" x14ac:dyDescent="0.25">
      <c r="A102" s="1" t="str">
        <f t="shared" si="1"/>
        <v>15</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394</v>
      </c>
      <c r="D102" s="1" t="s">
        <v>395</v>
      </c>
      <c r="E102" s="1" t="s">
        <v>396</v>
      </c>
      <c r="F102" s="1" t="s">
        <v>112</v>
      </c>
      <c r="G102" s="1">
        <v>5036910</v>
      </c>
    </row>
    <row r="103" spans="1:7" x14ac:dyDescent="0.25">
      <c r="A103" s="1" t="str">
        <f t="shared" si="1"/>
        <v>15</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397</v>
      </c>
      <c r="D103" s="1" t="s">
        <v>398</v>
      </c>
      <c r="E103" s="1" t="s">
        <v>399</v>
      </c>
      <c r="F103" s="1" t="s">
        <v>112</v>
      </c>
      <c r="G103" s="1">
        <v>5163315</v>
      </c>
    </row>
    <row r="104" spans="1:7" x14ac:dyDescent="0.25">
      <c r="A104" s="1" t="str">
        <f t="shared" si="1"/>
        <v>15</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400</v>
      </c>
      <c r="D104" s="1" t="s">
        <v>401</v>
      </c>
      <c r="E104" s="1" t="s">
        <v>402</v>
      </c>
      <c r="F104" s="1" t="s">
        <v>112</v>
      </c>
      <c r="G104" s="1">
        <v>4331970</v>
      </c>
    </row>
    <row r="105" spans="1:7" x14ac:dyDescent="0.25">
      <c r="A105" s="1" t="str">
        <f t="shared" si="1"/>
        <v>15</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403</v>
      </c>
      <c r="D105" s="1" t="s">
        <v>404</v>
      </c>
      <c r="E105" s="1" t="s">
        <v>405</v>
      </c>
      <c r="F105" s="1" t="s">
        <v>112</v>
      </c>
      <c r="G105" s="1">
        <v>3959633</v>
      </c>
    </row>
    <row r="106" spans="1:7" x14ac:dyDescent="0.25">
      <c r="A106" s="1" t="str">
        <f t="shared" si="1"/>
        <v>15</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406</v>
      </c>
      <c r="D106" s="1" t="s">
        <v>407</v>
      </c>
      <c r="E106" s="1" t="s">
        <v>408</v>
      </c>
      <c r="F106" s="1" t="s">
        <v>112</v>
      </c>
      <c r="G106" s="1">
        <v>4072541</v>
      </c>
    </row>
    <row r="107" spans="1:7" x14ac:dyDescent="0.25">
      <c r="A107" s="1" t="str">
        <f t="shared" si="1"/>
        <v>15</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409</v>
      </c>
      <c r="D107" s="1" t="s">
        <v>410</v>
      </c>
      <c r="E107" s="1" t="s">
        <v>411</v>
      </c>
      <c r="F107" s="1" t="s">
        <v>112</v>
      </c>
      <c r="G107" s="1">
        <v>3780949</v>
      </c>
    </row>
    <row r="108" spans="1:7" x14ac:dyDescent="0.25">
      <c r="A108" s="1" t="str">
        <f t="shared" si="1"/>
        <v>15</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412</v>
      </c>
      <c r="D108" s="1" t="s">
        <v>413</v>
      </c>
      <c r="E108" s="1" t="s">
        <v>414</v>
      </c>
      <c r="F108" s="1" t="s">
        <v>112</v>
      </c>
      <c r="G108" s="1">
        <v>3981480</v>
      </c>
    </row>
    <row r="109" spans="1:7" x14ac:dyDescent="0.25">
      <c r="A109" s="1" t="str">
        <f t="shared" si="1"/>
        <v>15</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415</v>
      </c>
      <c r="D109" s="1" t="s">
        <v>416</v>
      </c>
      <c r="E109" s="1" t="s">
        <v>417</v>
      </c>
      <c r="F109" s="1" t="s">
        <v>112</v>
      </c>
      <c r="G109" s="1">
        <v>4133257</v>
      </c>
    </row>
    <row r="110" spans="1:7" x14ac:dyDescent="0.25">
      <c r="A110" s="1" t="str">
        <f t="shared" si="1"/>
        <v>15</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418</v>
      </c>
      <c r="D110" s="1" t="s">
        <v>419</v>
      </c>
      <c r="E110" s="1" t="s">
        <v>420</v>
      </c>
      <c r="F110" s="1" t="s">
        <v>112</v>
      </c>
      <c r="G110" s="1">
        <v>3381315</v>
      </c>
    </row>
    <row r="111" spans="1:7" x14ac:dyDescent="0.25">
      <c r="A111" s="1" t="str">
        <f t="shared" si="1"/>
        <v>15</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421</v>
      </c>
      <c r="D111" s="1" t="s">
        <v>422</v>
      </c>
      <c r="E111" s="1" t="s">
        <v>423</v>
      </c>
      <c r="F111" s="1" t="s">
        <v>112</v>
      </c>
      <c r="G111" s="1">
        <v>3259712</v>
      </c>
    </row>
    <row r="112" spans="1:7" x14ac:dyDescent="0.25">
      <c r="A112" s="1" t="str">
        <f t="shared" si="1"/>
        <v>15</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424</v>
      </c>
      <c r="D112" s="1" t="s">
        <v>425</v>
      </c>
      <c r="E112" s="1" t="s">
        <v>426</v>
      </c>
      <c r="F112" s="1" t="s">
        <v>112</v>
      </c>
      <c r="G112" s="1">
        <v>3827237</v>
      </c>
    </row>
    <row r="113" spans="1:10" x14ac:dyDescent="0.25">
      <c r="A113" s="1" t="str">
        <f t="shared" si="1"/>
        <v>15</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427</v>
      </c>
      <c r="D113" s="1" t="s">
        <v>428</v>
      </c>
      <c r="E113" s="1" t="s">
        <v>429</v>
      </c>
      <c r="F113" s="1" t="s">
        <v>112</v>
      </c>
      <c r="G113" s="1">
        <v>2035287</v>
      </c>
    </row>
    <row r="114" spans="1:10" x14ac:dyDescent="0.25">
      <c r="A114" s="1" t="str">
        <f t="shared" si="1"/>
        <v>15</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430</v>
      </c>
      <c r="D114" s="1" t="s">
        <v>431</v>
      </c>
      <c r="E114" s="1" t="s">
        <v>432</v>
      </c>
      <c r="F114" s="1" t="s">
        <v>112</v>
      </c>
      <c r="G114" s="1">
        <v>1706469</v>
      </c>
    </row>
    <row r="115" spans="1:10" x14ac:dyDescent="0.25">
      <c r="A115" s="1" t="str">
        <f t="shared" si="1"/>
        <v>15</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433</v>
      </c>
      <c r="D115" s="1" t="s">
        <v>434</v>
      </c>
      <c r="E115" s="1" t="s">
        <v>435</v>
      </c>
      <c r="F115" s="1" t="s">
        <v>112</v>
      </c>
      <c r="G115" s="1">
        <v>1885586</v>
      </c>
    </row>
    <row r="116" spans="1:10" x14ac:dyDescent="0.25">
      <c r="A116" s="1" t="str">
        <f t="shared" si="1"/>
        <v>15</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436</v>
      </c>
      <c r="D116" s="1" t="s">
        <v>437</v>
      </c>
      <c r="E116" s="1" t="s">
        <v>438</v>
      </c>
      <c r="F116" s="1" t="s">
        <v>112</v>
      </c>
      <c r="G116" s="1">
        <v>2957282</v>
      </c>
    </row>
    <row r="117" spans="1:10" x14ac:dyDescent="0.25">
      <c r="A117" s="1" t="str">
        <f t="shared" si="1"/>
        <v>15</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439</v>
      </c>
      <c r="D117" s="1" t="s">
        <v>440</v>
      </c>
      <c r="E117" s="1" t="s">
        <v>441</v>
      </c>
      <c r="F117" s="1" t="s">
        <v>112</v>
      </c>
      <c r="G117" s="1">
        <v>3105707</v>
      </c>
    </row>
    <row r="118" spans="1:10" x14ac:dyDescent="0.25">
      <c r="A118" s="1" t="str">
        <f t="shared" si="1"/>
        <v>15</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442</v>
      </c>
      <c r="D118" s="1" t="s">
        <v>443</v>
      </c>
      <c r="E118" s="1" t="s">
        <v>444</v>
      </c>
      <c r="F118" s="1" t="s">
        <v>112</v>
      </c>
      <c r="G118" s="1">
        <v>2913093</v>
      </c>
    </row>
    <row r="119" spans="1:10" x14ac:dyDescent="0.25">
      <c r="A119" s="1" t="str">
        <f t="shared" si="1"/>
        <v>15</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445</v>
      </c>
      <c r="D119" s="1" t="s">
        <v>446</v>
      </c>
      <c r="E119" s="1" t="s">
        <v>447</v>
      </c>
      <c r="F119" s="1" t="s">
        <v>112</v>
      </c>
      <c r="G119" s="1">
        <v>3378633</v>
      </c>
    </row>
    <row r="120" spans="1:10" x14ac:dyDescent="0.25">
      <c r="A120" s="1" t="str">
        <f t="shared" si="1"/>
        <v>15</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448</v>
      </c>
      <c r="D120" s="1" t="s">
        <v>449</v>
      </c>
      <c r="E120" s="1" t="s">
        <v>450</v>
      </c>
      <c r="F120" s="1" t="s">
        <v>112</v>
      </c>
      <c r="G120" s="1">
        <v>3757134</v>
      </c>
    </row>
    <row r="121" spans="1:10" x14ac:dyDescent="0.25">
      <c r="A121" s="1" t="str">
        <f t="shared" si="1"/>
        <v>15</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451</v>
      </c>
      <c r="D121" s="1" t="s">
        <v>452</v>
      </c>
      <c r="E121" s="1" t="s">
        <v>453</v>
      </c>
      <c r="F121" s="1" t="s">
        <v>112</v>
      </c>
      <c r="G121" s="1">
        <v>3870864</v>
      </c>
    </row>
    <row r="122" spans="1:10" x14ac:dyDescent="0.25">
      <c r="A122" s="1" t="str">
        <f t="shared" si="1"/>
        <v>15</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454</v>
      </c>
      <c r="D122" s="1" t="s">
        <v>455</v>
      </c>
      <c r="E122" s="1" t="s">
        <v>456</v>
      </c>
      <c r="F122" s="1" t="s">
        <v>112</v>
      </c>
      <c r="G122" s="1">
        <v>3403723</v>
      </c>
    </row>
    <row r="123" spans="1:10" x14ac:dyDescent="0.25">
      <c r="A123" s="1" t="str">
        <f t="shared" si="1"/>
        <v>15</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457</v>
      </c>
      <c r="D123" s="1" t="s">
        <v>458</v>
      </c>
      <c r="E123" s="1" t="s">
        <v>459</v>
      </c>
      <c r="F123" s="1" t="s">
        <v>112</v>
      </c>
      <c r="G123" s="1">
        <v>3745065</v>
      </c>
    </row>
    <row r="124" spans="1:10" x14ac:dyDescent="0.25">
      <c r="A124" s="1" t="str">
        <f t="shared" si="1"/>
        <v>15</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460</v>
      </c>
      <c r="D124" s="1" t="s">
        <v>461</v>
      </c>
      <c r="E124" s="1" t="s">
        <v>462</v>
      </c>
      <c r="F124" s="1" t="s">
        <v>112</v>
      </c>
      <c r="G124" s="1">
        <v>2977442</v>
      </c>
    </row>
    <row r="125" spans="1:10" x14ac:dyDescent="0.2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112</v>
      </c>
    </row>
    <row r="126" spans="1:10" x14ac:dyDescent="0.2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237</v>
      </c>
      <c r="D126" s="1" t="s">
        <v>112</v>
      </c>
      <c r="E126" s="1" t="s">
        <v>238</v>
      </c>
      <c r="F126" s="1" t="s">
        <v>239</v>
      </c>
      <c r="G126" s="1" t="s">
        <v>240</v>
      </c>
      <c r="H126" s="1" t="s">
        <v>241</v>
      </c>
      <c r="I126" s="1" t="s">
        <v>242</v>
      </c>
      <c r="J126" s="1" t="s">
        <v>243</v>
      </c>
    </row>
    <row r="127" spans="1:10" x14ac:dyDescent="0.25">
      <c r="A127" s="1" t="str">
        <f t="shared" si="1"/>
        <v>15</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463</v>
      </c>
      <c r="D127" s="1" t="s">
        <v>112</v>
      </c>
      <c r="E127" s="1" t="s">
        <v>464</v>
      </c>
      <c r="F127" s="1" t="s">
        <v>465</v>
      </c>
      <c r="G127" s="1" t="s">
        <v>466</v>
      </c>
      <c r="H127" s="1" t="s">
        <v>467</v>
      </c>
      <c r="I127" s="1">
        <v>24</v>
      </c>
      <c r="J127" s="1">
        <v>24</v>
      </c>
    </row>
    <row r="128" spans="1:10" x14ac:dyDescent="0.2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112</v>
      </c>
    </row>
    <row r="129" spans="1:7" x14ac:dyDescent="0.2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2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2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2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2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249</v>
      </c>
      <c r="D133" s="1" t="s">
        <v>110</v>
      </c>
      <c r="E133" s="1" t="s">
        <v>111</v>
      </c>
      <c r="F133" s="1" t="s">
        <v>112</v>
      </c>
      <c r="G133" s="1" t="s">
        <v>113</v>
      </c>
    </row>
    <row r="134" spans="1:7" x14ac:dyDescent="0.25">
      <c r="A134" s="1" t="str">
        <f t="shared" si="2"/>
        <v>16</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468</v>
      </c>
      <c r="D134" s="1" t="s">
        <v>469</v>
      </c>
      <c r="E134" s="1" t="s">
        <v>470</v>
      </c>
      <c r="F134" s="1" t="s">
        <v>112</v>
      </c>
      <c r="G134" s="1">
        <v>38847</v>
      </c>
    </row>
    <row r="135" spans="1:7" x14ac:dyDescent="0.25">
      <c r="A135" s="1" t="str">
        <f t="shared" si="2"/>
        <v>16</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471</v>
      </c>
      <c r="D135" s="1" t="s">
        <v>472</v>
      </c>
      <c r="E135" s="1" t="s">
        <v>473</v>
      </c>
      <c r="F135" s="1" t="s">
        <v>112</v>
      </c>
      <c r="G135" s="1">
        <v>72763</v>
      </c>
    </row>
    <row r="136" spans="1:7" x14ac:dyDescent="0.25">
      <c r="A136" s="1" t="str">
        <f t="shared" si="2"/>
        <v>16</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474</v>
      </c>
      <c r="D136" s="1" t="s">
        <v>475</v>
      </c>
      <c r="E136" s="1" t="s">
        <v>476</v>
      </c>
      <c r="F136" s="1" t="s">
        <v>112</v>
      </c>
      <c r="G136" s="1">
        <v>38934</v>
      </c>
    </row>
    <row r="137" spans="1:7" x14ac:dyDescent="0.25">
      <c r="A137" s="1" t="str">
        <f t="shared" si="2"/>
        <v>16</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477</v>
      </c>
      <c r="D137" s="1" t="s">
        <v>215</v>
      </c>
      <c r="E137" s="1" t="s">
        <v>478</v>
      </c>
      <c r="F137" s="1" t="s">
        <v>112</v>
      </c>
      <c r="G137" s="1">
        <v>106484</v>
      </c>
    </row>
    <row r="138" spans="1:7" x14ac:dyDescent="0.25">
      <c r="A138" s="1" t="str">
        <f t="shared" si="2"/>
        <v>16</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479</v>
      </c>
      <c r="D138" s="1" t="s">
        <v>480</v>
      </c>
      <c r="E138" s="1" t="s">
        <v>481</v>
      </c>
      <c r="F138" s="1" t="s">
        <v>112</v>
      </c>
      <c r="G138" s="1">
        <v>71335</v>
      </c>
    </row>
    <row r="139" spans="1:7" x14ac:dyDescent="0.25">
      <c r="A139" s="1" t="str">
        <f t="shared" si="2"/>
        <v>16</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482</v>
      </c>
      <c r="D139" s="1" t="s">
        <v>483</v>
      </c>
      <c r="E139" s="1" t="s">
        <v>484</v>
      </c>
      <c r="F139" s="1" t="s">
        <v>112</v>
      </c>
      <c r="G139" s="1">
        <v>221360</v>
      </c>
    </row>
    <row r="140" spans="1:7" x14ac:dyDescent="0.25">
      <c r="A140" s="1" t="str">
        <f t="shared" si="2"/>
        <v>16</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485</v>
      </c>
      <c r="D140" s="1" t="s">
        <v>486</v>
      </c>
      <c r="E140" s="1" t="s">
        <v>487</v>
      </c>
      <c r="F140" s="1" t="s">
        <v>112</v>
      </c>
      <c r="G140" s="1">
        <v>44190</v>
      </c>
    </row>
    <row r="141" spans="1:7" x14ac:dyDescent="0.25">
      <c r="A141" s="1" t="str">
        <f t="shared" si="2"/>
        <v>16</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488</v>
      </c>
    </row>
    <row r="142" spans="1:7" x14ac:dyDescent="0.25">
      <c r="A142" s="1" t="str">
        <f t="shared" si="2"/>
        <v>16</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489</v>
      </c>
      <c r="D142" s="1" t="s">
        <v>490</v>
      </c>
      <c r="E142" s="1" t="s">
        <v>491</v>
      </c>
      <c r="F142" s="1" t="s">
        <v>112</v>
      </c>
      <c r="G142" s="1">
        <v>131293</v>
      </c>
    </row>
    <row r="143" spans="1:7" x14ac:dyDescent="0.25">
      <c r="A143" s="1" t="str">
        <f t="shared" si="2"/>
        <v>16</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492</v>
      </c>
      <c r="D143" s="1" t="s">
        <v>493</v>
      </c>
      <c r="E143" s="1" t="s">
        <v>494</v>
      </c>
      <c r="F143" s="1" t="s">
        <v>112</v>
      </c>
      <c r="G143" s="1">
        <v>105251</v>
      </c>
    </row>
    <row r="144" spans="1:7" x14ac:dyDescent="0.25">
      <c r="A144" s="1" t="str">
        <f t="shared" si="2"/>
        <v>16</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495</v>
      </c>
      <c r="D144" s="1" t="s">
        <v>496</v>
      </c>
      <c r="E144" s="1" t="s">
        <v>497</v>
      </c>
      <c r="F144" s="1" t="s">
        <v>112</v>
      </c>
      <c r="G144" s="1">
        <v>52366</v>
      </c>
    </row>
    <row r="145" spans="1:10" x14ac:dyDescent="0.25">
      <c r="A145" s="1" t="str">
        <f t="shared" si="2"/>
        <v>16</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498</v>
      </c>
      <c r="D145" s="1" t="s">
        <v>499</v>
      </c>
      <c r="E145" s="1" t="s">
        <v>500</v>
      </c>
      <c r="F145" s="1" t="s">
        <v>112</v>
      </c>
      <c r="G145" s="1">
        <v>7441</v>
      </c>
    </row>
    <row r="146" spans="1:10" x14ac:dyDescent="0.25">
      <c r="A146" s="1" t="str">
        <f t="shared" si="2"/>
        <v>16</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501</v>
      </c>
      <c r="D146" s="1" t="s">
        <v>502</v>
      </c>
      <c r="E146" s="1" t="s">
        <v>503</v>
      </c>
      <c r="F146" s="1" t="s">
        <v>112</v>
      </c>
      <c r="G146" s="1">
        <v>75834</v>
      </c>
    </row>
    <row r="147" spans="1:10" x14ac:dyDescent="0.25">
      <c r="A147" s="1" t="str">
        <f t="shared" si="2"/>
        <v>16</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504</v>
      </c>
      <c r="D147" s="1" t="s">
        <v>505</v>
      </c>
      <c r="E147" s="1" t="s">
        <v>506</v>
      </c>
      <c r="F147" s="1" t="s">
        <v>112</v>
      </c>
      <c r="G147" s="1">
        <v>354081</v>
      </c>
    </row>
    <row r="148" spans="1:10" x14ac:dyDescent="0.25">
      <c r="A148" s="1" t="str">
        <f t="shared" si="2"/>
        <v>16</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507</v>
      </c>
      <c r="D148" s="1" t="s">
        <v>508</v>
      </c>
      <c r="E148" s="1" t="s">
        <v>509</v>
      </c>
      <c r="F148" s="1" t="s">
        <v>112</v>
      </c>
      <c r="G148" s="1">
        <v>403116</v>
      </c>
    </row>
    <row r="149" spans="1:10" x14ac:dyDescent="0.25">
      <c r="A149" s="1" t="str">
        <f t="shared" si="2"/>
        <v>16</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510</v>
      </c>
      <c r="D149" s="1" t="s">
        <v>511</v>
      </c>
      <c r="E149" s="1" t="s">
        <v>512</v>
      </c>
      <c r="F149" s="1" t="s">
        <v>112</v>
      </c>
      <c r="G149" s="1">
        <v>46310</v>
      </c>
    </row>
    <row r="150" spans="1:10" x14ac:dyDescent="0.25">
      <c r="A150" s="1" t="str">
        <f t="shared" si="2"/>
        <v>16</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513</v>
      </c>
      <c r="D150" s="1" t="s">
        <v>514</v>
      </c>
      <c r="E150" s="1" t="s">
        <v>515</v>
      </c>
      <c r="F150" s="1" t="s">
        <v>112</v>
      </c>
      <c r="G150" s="1">
        <v>50073</v>
      </c>
    </row>
    <row r="151" spans="1:10" x14ac:dyDescent="0.25">
      <c r="A151" s="1" t="str">
        <f t="shared" si="2"/>
        <v>16</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516</v>
      </c>
      <c r="D151" s="1">
        <v>0</v>
      </c>
      <c r="E151" s="1">
        <v>0</v>
      </c>
      <c r="F151" s="1" t="s">
        <v>112</v>
      </c>
      <c r="G151" s="1">
        <v>0</v>
      </c>
    </row>
    <row r="152" spans="1:10" x14ac:dyDescent="0.25">
      <c r="A152" s="1" t="str">
        <f t="shared" si="2"/>
        <v>16</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517</v>
      </c>
      <c r="D152" s="1" t="s">
        <v>221</v>
      </c>
      <c r="E152" s="1" t="s">
        <v>518</v>
      </c>
      <c r="F152" s="1" t="s">
        <v>112</v>
      </c>
      <c r="G152" s="1">
        <v>182967</v>
      </c>
    </row>
    <row r="153" spans="1:10" x14ac:dyDescent="0.25">
      <c r="A153" s="1" t="str">
        <f t="shared" si="2"/>
        <v>16</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519</v>
      </c>
      <c r="D153" s="1" t="s">
        <v>520</v>
      </c>
      <c r="E153" s="1" t="s">
        <v>521</v>
      </c>
      <c r="F153" s="1" t="s">
        <v>112</v>
      </c>
      <c r="G153" s="1">
        <v>18602</v>
      </c>
    </row>
    <row r="154" spans="1:10" x14ac:dyDescent="0.25">
      <c r="A154" s="1" t="str">
        <f t="shared" si="2"/>
        <v>16</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522</v>
      </c>
      <c r="D154" s="1" t="s">
        <v>523</v>
      </c>
      <c r="E154" s="1" t="s">
        <v>524</v>
      </c>
      <c r="F154" s="1" t="s">
        <v>112</v>
      </c>
      <c r="G154" s="1">
        <v>54031</v>
      </c>
    </row>
    <row r="155" spans="1:10" x14ac:dyDescent="0.25">
      <c r="A155" s="1" t="str">
        <f t="shared" si="2"/>
        <v>16</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525</v>
      </c>
      <c r="D155" s="1" t="s">
        <v>526</v>
      </c>
      <c r="E155" s="1" t="s">
        <v>527</v>
      </c>
      <c r="F155" s="1" t="s">
        <v>112</v>
      </c>
      <c r="G155" s="1">
        <v>279696</v>
      </c>
    </row>
    <row r="156" spans="1:10" x14ac:dyDescent="0.25">
      <c r="A156" s="1" t="str">
        <f t="shared" si="2"/>
        <v>16</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528</v>
      </c>
      <c r="D156" s="1" t="s">
        <v>529</v>
      </c>
      <c r="E156" s="1" t="s">
        <v>530</v>
      </c>
      <c r="F156" s="1" t="s">
        <v>112</v>
      </c>
      <c r="G156" s="1">
        <v>214763</v>
      </c>
    </row>
    <row r="157" spans="1:10" x14ac:dyDescent="0.25">
      <c r="A157" s="1" t="str">
        <f t="shared" si="2"/>
        <v>16</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531</v>
      </c>
      <c r="D157" s="1" t="s">
        <v>532</v>
      </c>
      <c r="E157" s="1" t="s">
        <v>533</v>
      </c>
      <c r="F157" s="1" t="s">
        <v>112</v>
      </c>
      <c r="G157" s="1">
        <v>98719</v>
      </c>
    </row>
    <row r="158" spans="1:10" x14ac:dyDescent="0.2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10" x14ac:dyDescent="0.2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237</v>
      </c>
      <c r="D159" s="1" t="s">
        <v>112</v>
      </c>
      <c r="E159" s="1" t="s">
        <v>238</v>
      </c>
      <c r="F159" s="1" t="s">
        <v>239</v>
      </c>
      <c r="G159" s="1" t="s">
        <v>240</v>
      </c>
      <c r="H159" s="1" t="s">
        <v>241</v>
      </c>
      <c r="I159" s="1" t="s">
        <v>242</v>
      </c>
      <c r="J159" s="1" t="s">
        <v>243</v>
      </c>
    </row>
    <row r="160" spans="1:10" x14ac:dyDescent="0.25">
      <c r="A160" s="1" t="str">
        <f t="shared" si="2"/>
        <v>16</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534</v>
      </c>
      <c r="D160" s="1" t="s">
        <v>112</v>
      </c>
      <c r="E160" s="1" t="s">
        <v>535</v>
      </c>
      <c r="F160" s="1" t="s">
        <v>536</v>
      </c>
      <c r="G160" s="1" t="s">
        <v>537</v>
      </c>
      <c r="H160" s="1" t="s">
        <v>538</v>
      </c>
      <c r="I160" s="1">
        <v>23</v>
      </c>
      <c r="J160" s="1">
        <v>24</v>
      </c>
    </row>
    <row r="161" spans="1:7" x14ac:dyDescent="0.2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2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2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2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2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2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249</v>
      </c>
      <c r="D166" s="1" t="s">
        <v>110</v>
      </c>
      <c r="E166" s="1" t="s">
        <v>111</v>
      </c>
      <c r="F166" s="1" t="s">
        <v>112</v>
      </c>
      <c r="G166" s="1" t="s">
        <v>113</v>
      </c>
    </row>
    <row r="167" spans="1:7" x14ac:dyDescent="0.25">
      <c r="A167" s="1" t="str">
        <f t="shared" si="2"/>
        <v>2</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539</v>
      </c>
      <c r="D167" s="1" t="s">
        <v>540</v>
      </c>
      <c r="E167" s="1" t="s">
        <v>541</v>
      </c>
      <c r="F167" s="1" t="s">
        <v>112</v>
      </c>
      <c r="G167" s="1">
        <v>269984</v>
      </c>
    </row>
    <row r="168" spans="1:7" x14ac:dyDescent="0.25">
      <c r="A168" s="1" t="str">
        <f t="shared" si="2"/>
        <v>2</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542</v>
      </c>
      <c r="D168" s="1" t="s">
        <v>543</v>
      </c>
      <c r="E168" s="1" t="s">
        <v>544</v>
      </c>
      <c r="F168" s="1" t="s">
        <v>112</v>
      </c>
      <c r="G168" s="1">
        <v>370066</v>
      </c>
    </row>
    <row r="169" spans="1:7" x14ac:dyDescent="0.25">
      <c r="A169" s="1" t="str">
        <f t="shared" si="2"/>
        <v>2</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545</v>
      </c>
      <c r="D169" s="1" t="s">
        <v>546</v>
      </c>
      <c r="E169" s="1" t="s">
        <v>547</v>
      </c>
      <c r="F169" s="1" t="s">
        <v>112</v>
      </c>
      <c r="G169" s="1">
        <v>107782</v>
      </c>
    </row>
    <row r="170" spans="1:7" x14ac:dyDescent="0.25">
      <c r="A170" s="1" t="str">
        <f t="shared" si="2"/>
        <v>2</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548</v>
      </c>
      <c r="D170" s="1" t="s">
        <v>549</v>
      </c>
      <c r="E170" s="1">
        <v>30</v>
      </c>
      <c r="F170" s="1" t="s">
        <v>112</v>
      </c>
      <c r="G170" s="1">
        <v>649</v>
      </c>
    </row>
    <row r="171" spans="1:7" x14ac:dyDescent="0.25">
      <c r="A171" s="1" t="str">
        <f t="shared" si="2"/>
        <v>2</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550</v>
      </c>
      <c r="D171" s="1" t="s">
        <v>551</v>
      </c>
      <c r="E171" s="1" t="s">
        <v>552</v>
      </c>
      <c r="F171" s="1" t="s">
        <v>112</v>
      </c>
      <c r="G171" s="1">
        <v>2704</v>
      </c>
    </row>
    <row r="172" spans="1:7" x14ac:dyDescent="0.25">
      <c r="A172" s="1" t="str">
        <f t="shared" si="2"/>
        <v>2</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553</v>
      </c>
      <c r="D172" s="1" t="s">
        <v>554</v>
      </c>
      <c r="E172" s="1" t="s">
        <v>555</v>
      </c>
      <c r="F172" s="1" t="s">
        <v>112</v>
      </c>
      <c r="G172" s="1">
        <v>113752</v>
      </c>
    </row>
    <row r="173" spans="1:7" x14ac:dyDescent="0.25">
      <c r="A173" s="1" t="str">
        <f t="shared" si="2"/>
        <v>2</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556</v>
      </c>
      <c r="D173" s="1" t="s">
        <v>557</v>
      </c>
      <c r="E173" s="1" t="s">
        <v>558</v>
      </c>
      <c r="F173" s="1" t="s">
        <v>112</v>
      </c>
      <c r="G173" s="1">
        <v>193566</v>
      </c>
    </row>
    <row r="174" spans="1:7" x14ac:dyDescent="0.25">
      <c r="A174" s="1" t="str">
        <f t="shared" si="2"/>
        <v>2</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559</v>
      </c>
      <c r="D174" s="1" t="s">
        <v>215</v>
      </c>
      <c r="E174" s="1" t="s">
        <v>560</v>
      </c>
      <c r="F174" s="1" t="s">
        <v>112</v>
      </c>
      <c r="G174" s="1">
        <v>101033</v>
      </c>
    </row>
    <row r="175" spans="1:7" x14ac:dyDescent="0.25">
      <c r="A175" s="1" t="str">
        <f t="shared" si="2"/>
        <v>2</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561</v>
      </c>
      <c r="D175" s="1" t="s">
        <v>562</v>
      </c>
      <c r="E175" s="1" t="s">
        <v>563</v>
      </c>
      <c r="F175" s="1" t="s">
        <v>112</v>
      </c>
      <c r="G175" s="1">
        <v>180848</v>
      </c>
    </row>
    <row r="176" spans="1:7" x14ac:dyDescent="0.25">
      <c r="A176" s="1" t="str">
        <f t="shared" si="2"/>
        <v>2</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564</v>
      </c>
      <c r="D176" s="1" t="s">
        <v>565</v>
      </c>
      <c r="E176" s="1" t="s">
        <v>566</v>
      </c>
      <c r="F176" s="1" t="s">
        <v>112</v>
      </c>
      <c r="G176" s="1">
        <v>241000</v>
      </c>
    </row>
    <row r="177" spans="1:10" x14ac:dyDescent="0.25">
      <c r="A177" s="1" t="str">
        <f t="shared" si="2"/>
        <v>2</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567</v>
      </c>
      <c r="D177" s="1" t="s">
        <v>568</v>
      </c>
      <c r="E177" s="1" t="s">
        <v>569</v>
      </c>
      <c r="F177" s="1" t="s">
        <v>112</v>
      </c>
      <c r="G177" s="1">
        <v>150263</v>
      </c>
    </row>
    <row r="178" spans="1:10" x14ac:dyDescent="0.25">
      <c r="A178" s="1" t="str">
        <f t="shared" si="2"/>
        <v>2</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570</v>
      </c>
      <c r="D178" s="1" t="s">
        <v>571</v>
      </c>
      <c r="E178" s="1" t="s">
        <v>572</v>
      </c>
      <c r="F178" s="1" t="s">
        <v>112</v>
      </c>
      <c r="G178" s="1">
        <v>121365</v>
      </c>
    </row>
    <row r="179" spans="1:10" x14ac:dyDescent="0.25">
      <c r="A179" s="1" t="str">
        <f t="shared" si="2"/>
        <v>2</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573</v>
      </c>
    </row>
    <row r="180" spans="1:10" x14ac:dyDescent="0.25">
      <c r="A180" s="1" t="str">
        <f t="shared" si="2"/>
        <v>2</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574</v>
      </c>
    </row>
    <row r="181" spans="1:10" x14ac:dyDescent="0.25">
      <c r="A181" s="1" t="str">
        <f t="shared" si="2"/>
        <v>2</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575</v>
      </c>
    </row>
    <row r="182" spans="1:10" x14ac:dyDescent="0.25">
      <c r="A182" s="1" t="str">
        <f t="shared" si="2"/>
        <v>2</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576</v>
      </c>
      <c r="D182" s="1" t="s">
        <v>577</v>
      </c>
      <c r="E182" s="1" t="s">
        <v>578</v>
      </c>
      <c r="F182" s="1" t="s">
        <v>112</v>
      </c>
      <c r="G182" s="1">
        <v>583380</v>
      </c>
    </row>
    <row r="183" spans="1:10" x14ac:dyDescent="0.25">
      <c r="A183" s="1" t="str">
        <f t="shared" si="2"/>
        <v>2</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579</v>
      </c>
      <c r="D183" s="1" t="s">
        <v>580</v>
      </c>
      <c r="E183" s="1" t="s">
        <v>581</v>
      </c>
      <c r="F183" s="1" t="s">
        <v>112</v>
      </c>
      <c r="G183" s="1">
        <v>434350</v>
      </c>
    </row>
    <row r="184" spans="1:10" x14ac:dyDescent="0.25">
      <c r="A184" s="1" t="str">
        <f t="shared" si="2"/>
        <v>2</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582</v>
      </c>
      <c r="D184" s="1" t="s">
        <v>583</v>
      </c>
      <c r="E184" s="1" t="s">
        <v>584</v>
      </c>
      <c r="F184" s="1" t="s">
        <v>112</v>
      </c>
      <c r="G184" s="1">
        <v>626964</v>
      </c>
    </row>
    <row r="185" spans="1:10" x14ac:dyDescent="0.25">
      <c r="A185" s="1" t="str">
        <f t="shared" si="2"/>
        <v>2</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585</v>
      </c>
      <c r="D185" s="1" t="s">
        <v>586</v>
      </c>
      <c r="E185" s="1" t="s">
        <v>587</v>
      </c>
      <c r="F185" s="1" t="s">
        <v>112</v>
      </c>
      <c r="G185" s="1">
        <v>255341</v>
      </c>
    </row>
    <row r="186" spans="1:10" x14ac:dyDescent="0.25">
      <c r="A186" s="1" t="str">
        <f t="shared" si="2"/>
        <v>2</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588</v>
      </c>
      <c r="D186" s="1" t="s">
        <v>589</v>
      </c>
      <c r="E186" s="1" t="s">
        <v>590</v>
      </c>
      <c r="F186" s="1" t="s">
        <v>112</v>
      </c>
      <c r="G186" s="1">
        <v>183184</v>
      </c>
    </row>
    <row r="187" spans="1:10" x14ac:dyDescent="0.25">
      <c r="A187" s="1" t="str">
        <f t="shared" si="2"/>
        <v>2</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591</v>
      </c>
      <c r="D187" s="1" t="s">
        <v>592</v>
      </c>
      <c r="E187" s="1" t="s">
        <v>593</v>
      </c>
      <c r="F187" s="1" t="s">
        <v>112</v>
      </c>
      <c r="G187" s="1">
        <v>116023</v>
      </c>
    </row>
    <row r="188" spans="1:10" x14ac:dyDescent="0.25">
      <c r="A188" s="1" t="str">
        <f t="shared" si="2"/>
        <v>2</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594</v>
      </c>
      <c r="D188" s="1" t="s">
        <v>595</v>
      </c>
      <c r="E188" s="1" t="s">
        <v>596</v>
      </c>
      <c r="F188" s="1" t="s">
        <v>112</v>
      </c>
      <c r="G188" s="1">
        <v>113254</v>
      </c>
    </row>
    <row r="189" spans="1:10" x14ac:dyDescent="0.25">
      <c r="A189" s="1" t="str">
        <f t="shared" si="2"/>
        <v>2</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597</v>
      </c>
      <c r="D189" s="1">
        <v>0</v>
      </c>
      <c r="E189" s="1">
        <v>0</v>
      </c>
      <c r="F189" s="1" t="s">
        <v>112</v>
      </c>
      <c r="G189" s="1">
        <v>0</v>
      </c>
    </row>
    <row r="190" spans="1:10" x14ac:dyDescent="0.25">
      <c r="A190" s="1" t="str">
        <f t="shared" si="2"/>
        <v>2</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598</v>
      </c>
      <c r="D190" s="1" t="s">
        <v>599</v>
      </c>
      <c r="E190" s="1" t="s">
        <v>600</v>
      </c>
      <c r="F190" s="1" t="s">
        <v>112</v>
      </c>
      <c r="G190" s="1">
        <v>88704</v>
      </c>
    </row>
    <row r="191" spans="1:10" x14ac:dyDescent="0.2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112</v>
      </c>
    </row>
    <row r="192" spans="1:10" x14ac:dyDescent="0.2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237</v>
      </c>
      <c r="D192" s="1" t="s">
        <v>112</v>
      </c>
      <c r="E192" s="1" t="s">
        <v>238</v>
      </c>
      <c r="F192" s="1" t="s">
        <v>239</v>
      </c>
      <c r="G192" s="1" t="s">
        <v>240</v>
      </c>
      <c r="H192" s="1" t="s">
        <v>241</v>
      </c>
      <c r="I192" s="1" t="s">
        <v>242</v>
      </c>
      <c r="J192" s="1" t="s">
        <v>243</v>
      </c>
    </row>
    <row r="193" spans="1:10" x14ac:dyDescent="0.25">
      <c r="A193" s="1" t="str">
        <f t="shared" si="2"/>
        <v>2</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601</v>
      </c>
      <c r="D193" s="1" t="s">
        <v>112</v>
      </c>
      <c r="E193" s="1" t="s">
        <v>602</v>
      </c>
      <c r="F193" s="1" t="s">
        <v>603</v>
      </c>
      <c r="G193" s="1" t="s">
        <v>604</v>
      </c>
      <c r="H193" s="1" t="s">
        <v>605</v>
      </c>
      <c r="I193" s="1">
        <v>22</v>
      </c>
      <c r="J193" s="1">
        <v>24</v>
      </c>
    </row>
    <row r="194" spans="1:10" x14ac:dyDescent="0.2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112</v>
      </c>
    </row>
    <row r="195" spans="1:10" x14ac:dyDescent="0.2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10" x14ac:dyDescent="0.2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10" x14ac:dyDescent="0.2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10" x14ac:dyDescent="0.2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10" x14ac:dyDescent="0.2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249</v>
      </c>
      <c r="D199" s="1" t="s">
        <v>110</v>
      </c>
      <c r="E199" s="1" t="s">
        <v>111</v>
      </c>
      <c r="F199" s="1" t="s">
        <v>112</v>
      </c>
      <c r="G199" s="1" t="s">
        <v>113</v>
      </c>
    </row>
    <row r="200" spans="1:10" x14ac:dyDescent="0.25">
      <c r="A200" s="1" t="str">
        <f t="shared" si="3"/>
        <v>3</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606</v>
      </c>
      <c r="D200" s="1" t="s">
        <v>607</v>
      </c>
      <c r="E200" s="1" t="s">
        <v>608</v>
      </c>
      <c r="F200" s="1" t="s">
        <v>112</v>
      </c>
      <c r="G200" s="1">
        <v>301542</v>
      </c>
    </row>
    <row r="201" spans="1:10" x14ac:dyDescent="0.25">
      <c r="A201" s="1" t="str">
        <f t="shared" si="3"/>
        <v>3</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609</v>
      </c>
      <c r="D201" s="1" t="s">
        <v>610</v>
      </c>
      <c r="E201" s="1" t="s">
        <v>611</v>
      </c>
      <c r="F201" s="1" t="s">
        <v>112</v>
      </c>
      <c r="G201" s="1">
        <v>120868</v>
      </c>
    </row>
    <row r="202" spans="1:10" x14ac:dyDescent="0.25">
      <c r="A202" s="1" t="str">
        <f t="shared" si="3"/>
        <v>3</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612</v>
      </c>
      <c r="D202" s="1" t="s">
        <v>613</v>
      </c>
      <c r="E202" s="1" t="s">
        <v>614</v>
      </c>
      <c r="F202" s="1" t="s">
        <v>112</v>
      </c>
      <c r="G202" s="1">
        <v>32380</v>
      </c>
    </row>
    <row r="203" spans="1:10" x14ac:dyDescent="0.25">
      <c r="A203" s="1" t="str">
        <f t="shared" si="3"/>
        <v>3</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615</v>
      </c>
      <c r="D203" s="1" t="s">
        <v>571</v>
      </c>
      <c r="E203" s="1" t="s">
        <v>616</v>
      </c>
      <c r="F203" s="1" t="s">
        <v>112</v>
      </c>
      <c r="G203" s="1">
        <v>109426</v>
      </c>
    </row>
    <row r="204" spans="1:10" x14ac:dyDescent="0.25">
      <c r="A204" s="1" t="str">
        <f t="shared" si="3"/>
        <v>3</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617</v>
      </c>
    </row>
    <row r="205" spans="1:10" x14ac:dyDescent="0.25">
      <c r="A205" s="1" t="str">
        <f t="shared" si="3"/>
        <v>3</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618</v>
      </c>
      <c r="D205" s="1" t="s">
        <v>619</v>
      </c>
      <c r="E205" s="1" t="s">
        <v>620</v>
      </c>
      <c r="F205" s="1" t="s">
        <v>112</v>
      </c>
      <c r="G205" s="1">
        <v>86714</v>
      </c>
    </row>
    <row r="206" spans="1:10" x14ac:dyDescent="0.25">
      <c r="A206" s="1" t="str">
        <f t="shared" si="3"/>
        <v>3</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621</v>
      </c>
      <c r="D206" s="1" t="s">
        <v>622</v>
      </c>
      <c r="E206" s="1" t="s">
        <v>623</v>
      </c>
      <c r="F206" s="1" t="s">
        <v>112</v>
      </c>
      <c r="G206" s="1">
        <v>322199</v>
      </c>
    </row>
    <row r="207" spans="1:10" x14ac:dyDescent="0.25">
      <c r="A207" s="1" t="str">
        <f t="shared" si="3"/>
        <v>3</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624</v>
      </c>
      <c r="D207" s="1" t="s">
        <v>625</v>
      </c>
      <c r="E207" s="1" t="s">
        <v>626</v>
      </c>
      <c r="F207" s="1" t="s">
        <v>112</v>
      </c>
      <c r="G207" s="1">
        <v>172650</v>
      </c>
    </row>
    <row r="208" spans="1:10" x14ac:dyDescent="0.25">
      <c r="A208" s="1" t="str">
        <f t="shared" si="3"/>
        <v>3</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627</v>
      </c>
      <c r="D208" s="1" t="s">
        <v>592</v>
      </c>
      <c r="E208" s="1" t="s">
        <v>628</v>
      </c>
      <c r="F208" s="1" t="s">
        <v>112</v>
      </c>
      <c r="G208" s="1">
        <v>108063</v>
      </c>
    </row>
    <row r="209" spans="1:7" x14ac:dyDescent="0.25">
      <c r="A209" s="1" t="str">
        <f t="shared" si="3"/>
        <v>3</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629</v>
      </c>
      <c r="D209" s="1" t="s">
        <v>630</v>
      </c>
      <c r="E209" s="1" t="s">
        <v>631</v>
      </c>
      <c r="F209" s="1" t="s">
        <v>112</v>
      </c>
      <c r="G209" s="1">
        <v>218765</v>
      </c>
    </row>
    <row r="210" spans="1:7" x14ac:dyDescent="0.25">
      <c r="A210" s="1" t="str">
        <f t="shared" si="3"/>
        <v>3</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632</v>
      </c>
      <c r="D210" s="1" t="s">
        <v>496</v>
      </c>
      <c r="E210" s="1" t="s">
        <v>633</v>
      </c>
      <c r="F210" s="1" t="s">
        <v>112</v>
      </c>
      <c r="G210" s="1">
        <v>49186</v>
      </c>
    </row>
    <row r="211" spans="1:7" x14ac:dyDescent="0.25">
      <c r="A211" s="1" t="str">
        <f t="shared" si="3"/>
        <v>3</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634</v>
      </c>
      <c r="D211" s="1" t="s">
        <v>635</v>
      </c>
      <c r="E211" s="1" t="s">
        <v>636</v>
      </c>
      <c r="F211" s="1" t="s">
        <v>112</v>
      </c>
      <c r="G211" s="1">
        <v>321485</v>
      </c>
    </row>
    <row r="212" spans="1:7" x14ac:dyDescent="0.25">
      <c r="A212" s="1" t="str">
        <f t="shared" si="3"/>
        <v>3</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637</v>
      </c>
      <c r="D212" s="1" t="s">
        <v>372</v>
      </c>
      <c r="E212" s="1" t="s">
        <v>638</v>
      </c>
      <c r="F212" s="1" t="s">
        <v>112</v>
      </c>
      <c r="G212" s="1">
        <v>134646</v>
      </c>
    </row>
    <row r="213" spans="1:7" x14ac:dyDescent="0.25">
      <c r="A213" s="1" t="str">
        <f t="shared" si="3"/>
        <v>3</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639</v>
      </c>
      <c r="D213" s="1" t="s">
        <v>640</v>
      </c>
      <c r="E213" s="1" t="s">
        <v>641</v>
      </c>
      <c r="F213" s="1" t="s">
        <v>112</v>
      </c>
      <c r="G213" s="1">
        <v>110226</v>
      </c>
    </row>
    <row r="214" spans="1:7" x14ac:dyDescent="0.25">
      <c r="A214" s="1" t="str">
        <f t="shared" si="3"/>
        <v>3</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642</v>
      </c>
      <c r="D214" s="1" t="s">
        <v>643</v>
      </c>
      <c r="E214" s="1">
        <v>35</v>
      </c>
      <c r="F214" s="1" t="s">
        <v>112</v>
      </c>
      <c r="G214" s="1">
        <v>123399</v>
      </c>
    </row>
    <row r="215" spans="1:7" x14ac:dyDescent="0.25">
      <c r="A215" s="1" t="str">
        <f t="shared" si="3"/>
        <v>3</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644</v>
      </c>
      <c r="D215" s="1" t="s">
        <v>645</v>
      </c>
      <c r="E215" s="1" t="s">
        <v>646</v>
      </c>
      <c r="F215" s="1" t="s">
        <v>112</v>
      </c>
      <c r="G215" s="1">
        <v>167415</v>
      </c>
    </row>
    <row r="216" spans="1:7" x14ac:dyDescent="0.25">
      <c r="A216" s="1" t="str">
        <f t="shared" si="3"/>
        <v>3</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647</v>
      </c>
      <c r="D216" s="1" t="s">
        <v>648</v>
      </c>
      <c r="E216" s="1" t="s">
        <v>649</v>
      </c>
      <c r="F216" s="1" t="s">
        <v>112</v>
      </c>
      <c r="G216" s="1">
        <v>94285</v>
      </c>
    </row>
    <row r="217" spans="1:7" x14ac:dyDescent="0.25">
      <c r="A217" s="1" t="str">
        <f t="shared" si="3"/>
        <v>3</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650</v>
      </c>
      <c r="D217" s="1" t="s">
        <v>595</v>
      </c>
      <c r="E217" s="1" t="s">
        <v>651</v>
      </c>
      <c r="F217" s="1" t="s">
        <v>112</v>
      </c>
      <c r="G217" s="1">
        <v>122988</v>
      </c>
    </row>
    <row r="218" spans="1:7" x14ac:dyDescent="0.25">
      <c r="A218" s="1" t="str">
        <f t="shared" si="3"/>
        <v>3</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652</v>
      </c>
      <c r="D218" s="1" t="s">
        <v>653</v>
      </c>
      <c r="E218" s="1" t="s">
        <v>654</v>
      </c>
      <c r="F218" s="1" t="s">
        <v>112</v>
      </c>
      <c r="G218" s="1">
        <v>746253</v>
      </c>
    </row>
    <row r="219" spans="1:7" x14ac:dyDescent="0.25">
      <c r="A219" s="1" t="str">
        <f t="shared" si="3"/>
        <v>3</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655</v>
      </c>
      <c r="D219" s="1" t="s">
        <v>656</v>
      </c>
      <c r="E219" s="1" t="s">
        <v>657</v>
      </c>
      <c r="F219" s="1" t="s">
        <v>112</v>
      </c>
      <c r="G219" s="1">
        <v>1211793</v>
      </c>
    </row>
    <row r="220" spans="1:7" x14ac:dyDescent="0.25">
      <c r="A220" s="1" t="str">
        <f t="shared" si="3"/>
        <v>3</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658</v>
      </c>
      <c r="D220" s="1" t="s">
        <v>659</v>
      </c>
      <c r="E220" s="1" t="s">
        <v>660</v>
      </c>
      <c r="F220" s="1" t="s">
        <v>112</v>
      </c>
      <c r="G220" s="1">
        <v>41486</v>
      </c>
    </row>
    <row r="221" spans="1:7" x14ac:dyDescent="0.25">
      <c r="A221" s="1" t="str">
        <f t="shared" si="3"/>
        <v>3</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661</v>
      </c>
      <c r="D221" s="1" t="s">
        <v>662</v>
      </c>
      <c r="E221" s="1" t="s">
        <v>663</v>
      </c>
      <c r="F221" s="1" t="s">
        <v>112</v>
      </c>
      <c r="G221" s="1">
        <v>109512</v>
      </c>
    </row>
    <row r="222" spans="1:7" x14ac:dyDescent="0.25">
      <c r="A222" s="1" t="str">
        <f t="shared" si="3"/>
        <v>3</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664</v>
      </c>
      <c r="D222" s="1" t="s">
        <v>665</v>
      </c>
      <c r="E222" s="1" t="s">
        <v>666</v>
      </c>
      <c r="F222" s="1" t="s">
        <v>112</v>
      </c>
      <c r="G222" s="1">
        <v>118229</v>
      </c>
    </row>
    <row r="223" spans="1:7" x14ac:dyDescent="0.25">
      <c r="A223" s="1" t="str">
        <f t="shared" si="3"/>
        <v>3</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667</v>
      </c>
      <c r="D223" s="1" t="s">
        <v>668</v>
      </c>
      <c r="E223" s="1" t="s">
        <v>669</v>
      </c>
      <c r="F223" s="1" t="s">
        <v>112</v>
      </c>
      <c r="G223" s="1">
        <v>235766</v>
      </c>
    </row>
    <row r="224" spans="1:7" x14ac:dyDescent="0.2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112</v>
      </c>
    </row>
    <row r="225" spans="1:10" x14ac:dyDescent="0.2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237</v>
      </c>
      <c r="D225" s="1" t="s">
        <v>112</v>
      </c>
      <c r="E225" s="1" t="s">
        <v>238</v>
      </c>
      <c r="F225" s="1" t="s">
        <v>239</v>
      </c>
      <c r="G225" s="1" t="s">
        <v>240</v>
      </c>
      <c r="H225" s="1" t="s">
        <v>241</v>
      </c>
      <c r="I225" s="1" t="s">
        <v>242</v>
      </c>
      <c r="J225" s="1" t="s">
        <v>243</v>
      </c>
    </row>
    <row r="226" spans="1:10" x14ac:dyDescent="0.25">
      <c r="A226" s="1" t="str">
        <f t="shared" si="3"/>
        <v>3</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670</v>
      </c>
      <c r="D226" s="1" t="s">
        <v>112</v>
      </c>
      <c r="E226" s="1" t="s">
        <v>671</v>
      </c>
      <c r="F226" s="1" t="s">
        <v>672</v>
      </c>
      <c r="G226" s="1" t="s">
        <v>673</v>
      </c>
      <c r="H226" s="1" t="s">
        <v>674</v>
      </c>
      <c r="I226" s="1">
        <v>23</v>
      </c>
      <c r="J226" s="1">
        <v>24</v>
      </c>
    </row>
    <row r="227" spans="1:10" x14ac:dyDescent="0.2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112</v>
      </c>
    </row>
    <row r="228" spans="1:10" x14ac:dyDescent="0.2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10" x14ac:dyDescent="0.2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10" x14ac:dyDescent="0.2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10" x14ac:dyDescent="0.2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10" x14ac:dyDescent="0.2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249</v>
      </c>
      <c r="D232" s="1" t="s">
        <v>110</v>
      </c>
      <c r="E232" s="1" t="s">
        <v>111</v>
      </c>
      <c r="F232" s="1" t="s">
        <v>112</v>
      </c>
      <c r="G232" s="1" t="s">
        <v>113</v>
      </c>
    </row>
    <row r="233" spans="1:10" x14ac:dyDescent="0.25">
      <c r="A233" s="1" t="str">
        <f t="shared" si="3"/>
        <v>4</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675</v>
      </c>
      <c r="D233" s="1" t="s">
        <v>676</v>
      </c>
      <c r="E233" s="1" t="s">
        <v>677</v>
      </c>
      <c r="F233" s="1" t="s">
        <v>112</v>
      </c>
      <c r="G233" s="1">
        <v>707968</v>
      </c>
    </row>
    <row r="234" spans="1:10" x14ac:dyDescent="0.25">
      <c r="A234" s="1" t="str">
        <f t="shared" si="3"/>
        <v>4</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678</v>
      </c>
      <c r="D234" s="1" t="s">
        <v>635</v>
      </c>
      <c r="E234" s="1" t="s">
        <v>679</v>
      </c>
      <c r="F234" s="1" t="s">
        <v>112</v>
      </c>
      <c r="G234" s="1">
        <v>382957</v>
      </c>
    </row>
    <row r="235" spans="1:10" x14ac:dyDescent="0.25">
      <c r="A235" s="1" t="str">
        <f t="shared" si="3"/>
        <v>4</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680</v>
      </c>
      <c r="D235" s="1" t="s">
        <v>681</v>
      </c>
      <c r="E235" s="1" t="s">
        <v>682</v>
      </c>
      <c r="F235" s="1" t="s">
        <v>112</v>
      </c>
      <c r="G235" s="1">
        <v>635897</v>
      </c>
    </row>
    <row r="236" spans="1:10" x14ac:dyDescent="0.25">
      <c r="A236" s="1" t="str">
        <f t="shared" si="3"/>
        <v>4</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683</v>
      </c>
      <c r="D236" s="1" t="s">
        <v>684</v>
      </c>
      <c r="E236" s="1" t="s">
        <v>685</v>
      </c>
      <c r="F236" s="1" t="s">
        <v>112</v>
      </c>
      <c r="G236" s="1">
        <v>2146983</v>
      </c>
    </row>
    <row r="237" spans="1:10" x14ac:dyDescent="0.25">
      <c r="A237" s="1" t="str">
        <f t="shared" si="3"/>
        <v>4</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686</v>
      </c>
      <c r="D237" s="1" t="s">
        <v>687</v>
      </c>
      <c r="E237" s="1" t="s">
        <v>688</v>
      </c>
      <c r="F237" s="1" t="s">
        <v>112</v>
      </c>
      <c r="G237" s="1">
        <v>1528022</v>
      </c>
    </row>
    <row r="238" spans="1:10" x14ac:dyDescent="0.25">
      <c r="A238" s="1" t="str">
        <f t="shared" si="3"/>
        <v>4</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689</v>
      </c>
    </row>
    <row r="239" spans="1:10" x14ac:dyDescent="0.25">
      <c r="A239" s="1" t="str">
        <f t="shared" si="3"/>
        <v>4</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690</v>
      </c>
      <c r="D239" s="1" t="s">
        <v>691</v>
      </c>
      <c r="E239" s="1" t="s">
        <v>692</v>
      </c>
      <c r="F239" s="1" t="s">
        <v>112</v>
      </c>
      <c r="G239" s="1">
        <v>348047</v>
      </c>
    </row>
    <row r="240" spans="1:10" x14ac:dyDescent="0.25">
      <c r="A240" s="1" t="str">
        <f t="shared" si="3"/>
        <v>4</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693</v>
      </c>
      <c r="D240" s="1" t="s">
        <v>619</v>
      </c>
      <c r="E240" s="1" t="s">
        <v>694</v>
      </c>
      <c r="F240" s="1" t="s">
        <v>112</v>
      </c>
      <c r="G240" s="1">
        <v>82237</v>
      </c>
    </row>
    <row r="241" spans="1:7" x14ac:dyDescent="0.25">
      <c r="A241" s="1" t="str">
        <f t="shared" si="3"/>
        <v>4</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695</v>
      </c>
      <c r="D241" s="1" t="s">
        <v>696</v>
      </c>
      <c r="E241" s="1" t="s">
        <v>697</v>
      </c>
      <c r="F241" s="1" t="s">
        <v>112</v>
      </c>
      <c r="G241" s="1">
        <v>419663</v>
      </c>
    </row>
    <row r="242" spans="1:7" x14ac:dyDescent="0.25">
      <c r="A242" s="1" t="str">
        <f t="shared" si="3"/>
        <v>4</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698</v>
      </c>
      <c r="D242" s="1" t="s">
        <v>699</v>
      </c>
      <c r="E242" s="1" t="s">
        <v>700</v>
      </c>
      <c r="F242" s="1" t="s">
        <v>112</v>
      </c>
      <c r="G242" s="1">
        <v>2635624</v>
      </c>
    </row>
    <row r="243" spans="1:7" x14ac:dyDescent="0.25">
      <c r="A243" s="1" t="str">
        <f t="shared" si="3"/>
        <v>4</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701</v>
      </c>
      <c r="D243" s="1" t="s">
        <v>702</v>
      </c>
      <c r="E243" s="1" t="s">
        <v>703</v>
      </c>
      <c r="F243" s="1" t="s">
        <v>112</v>
      </c>
      <c r="G243" s="1">
        <v>2671162</v>
      </c>
    </row>
    <row r="244" spans="1:7" x14ac:dyDescent="0.25">
      <c r="A244" s="1" t="str">
        <f t="shared" si="3"/>
        <v>4</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704</v>
      </c>
      <c r="D244" s="1" t="s">
        <v>705</v>
      </c>
      <c r="E244" s="1" t="s">
        <v>706</v>
      </c>
      <c r="F244" s="1" t="s">
        <v>112</v>
      </c>
      <c r="G244" s="1">
        <v>2770616</v>
      </c>
    </row>
    <row r="245" spans="1:7" x14ac:dyDescent="0.25">
      <c r="A245" s="1" t="str">
        <f t="shared" si="3"/>
        <v>4</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707</v>
      </c>
      <c r="D245" s="1" t="s">
        <v>708</v>
      </c>
      <c r="E245" s="1" t="s">
        <v>709</v>
      </c>
      <c r="F245" s="1" t="s">
        <v>112</v>
      </c>
      <c r="G245" s="1">
        <v>272731</v>
      </c>
    </row>
    <row r="246" spans="1:7" x14ac:dyDescent="0.25">
      <c r="A246" s="1" t="str">
        <f t="shared" si="3"/>
        <v>4</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710</v>
      </c>
      <c r="D246" s="1" t="s">
        <v>711</v>
      </c>
      <c r="E246" s="1" t="s">
        <v>712</v>
      </c>
      <c r="F246" s="1" t="s">
        <v>112</v>
      </c>
      <c r="G246" s="1">
        <v>131834</v>
      </c>
    </row>
    <row r="247" spans="1:7" x14ac:dyDescent="0.25">
      <c r="A247" s="1" t="str">
        <f t="shared" si="3"/>
        <v>4</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713</v>
      </c>
      <c r="D247" s="1" t="s">
        <v>714</v>
      </c>
      <c r="E247" s="1" t="s">
        <v>715</v>
      </c>
      <c r="F247" s="1" t="s">
        <v>112</v>
      </c>
      <c r="G247" s="1">
        <v>246754</v>
      </c>
    </row>
    <row r="248" spans="1:7" x14ac:dyDescent="0.25">
      <c r="A248" s="1" t="str">
        <f t="shared" si="3"/>
        <v>4</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716</v>
      </c>
      <c r="D248" s="1" t="s">
        <v>717</v>
      </c>
      <c r="E248" s="1">
        <v>33</v>
      </c>
      <c r="F248" s="1" t="s">
        <v>112</v>
      </c>
      <c r="G248" s="1">
        <v>2141</v>
      </c>
    </row>
    <row r="249" spans="1:7" x14ac:dyDescent="0.25">
      <c r="A249" s="1" t="str">
        <f t="shared" si="3"/>
        <v>4</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718</v>
      </c>
      <c r="D249" s="1" t="s">
        <v>719</v>
      </c>
      <c r="E249" s="1" t="s">
        <v>720</v>
      </c>
      <c r="F249" s="1" t="s">
        <v>112</v>
      </c>
      <c r="G249" s="1">
        <v>119613</v>
      </c>
    </row>
    <row r="250" spans="1:7" x14ac:dyDescent="0.25">
      <c r="A250" s="1" t="str">
        <f t="shared" si="3"/>
        <v>4</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721</v>
      </c>
      <c r="D250" s="1" t="s">
        <v>722</v>
      </c>
      <c r="E250" s="1" t="s">
        <v>723</v>
      </c>
      <c r="F250" s="1" t="s">
        <v>112</v>
      </c>
      <c r="G250" s="1">
        <v>265983</v>
      </c>
    </row>
    <row r="251" spans="1:7" x14ac:dyDescent="0.25">
      <c r="A251" s="1" t="str">
        <f t="shared" si="3"/>
        <v>4</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724</v>
      </c>
      <c r="D251" s="1" t="s">
        <v>725</v>
      </c>
      <c r="E251" s="1" t="s">
        <v>726</v>
      </c>
      <c r="F251" s="1" t="s">
        <v>112</v>
      </c>
      <c r="G251" s="1">
        <v>1328876</v>
      </c>
    </row>
    <row r="252" spans="1:7" x14ac:dyDescent="0.25">
      <c r="A252" s="1" t="str">
        <f t="shared" si="3"/>
        <v>4</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727</v>
      </c>
      <c r="D252" s="1" t="s">
        <v>728</v>
      </c>
      <c r="E252" s="1" t="s">
        <v>729</v>
      </c>
      <c r="F252" s="1" t="s">
        <v>112</v>
      </c>
      <c r="G252" s="1">
        <v>1125512</v>
      </c>
    </row>
    <row r="253" spans="1:7" x14ac:dyDescent="0.25">
      <c r="A253" s="1" t="str">
        <f t="shared" si="3"/>
        <v>4</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730</v>
      </c>
      <c r="D253" s="1" t="s">
        <v>731</v>
      </c>
      <c r="E253" s="1" t="s">
        <v>732</v>
      </c>
      <c r="F253" s="1" t="s">
        <v>112</v>
      </c>
      <c r="G253" s="1">
        <v>1251549</v>
      </c>
    </row>
    <row r="254" spans="1:7" x14ac:dyDescent="0.25">
      <c r="A254" s="1" t="str">
        <f t="shared" si="3"/>
        <v>4</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733</v>
      </c>
      <c r="D254" s="1" t="s">
        <v>734</v>
      </c>
      <c r="E254" s="1" t="s">
        <v>735</v>
      </c>
      <c r="F254" s="1" t="s">
        <v>112</v>
      </c>
      <c r="G254" s="1">
        <v>2505823</v>
      </c>
    </row>
    <row r="255" spans="1:7" x14ac:dyDescent="0.25">
      <c r="A255" s="1" t="str">
        <f t="shared" si="3"/>
        <v>4</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736</v>
      </c>
      <c r="D255" s="1" t="s">
        <v>737</v>
      </c>
      <c r="E255" s="1" t="s">
        <v>738</v>
      </c>
      <c r="F255" s="1" t="s">
        <v>112</v>
      </c>
      <c r="G255" s="1">
        <v>2388438</v>
      </c>
    </row>
    <row r="256" spans="1:7" x14ac:dyDescent="0.25">
      <c r="A256" s="1" t="str">
        <f t="shared" si="3"/>
        <v>4</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739</v>
      </c>
      <c r="D256" s="1" t="s">
        <v>740</v>
      </c>
      <c r="E256" s="1" t="s">
        <v>741</v>
      </c>
      <c r="F256" s="1" t="s">
        <v>112</v>
      </c>
      <c r="G256" s="1">
        <v>1909898</v>
      </c>
    </row>
    <row r="257" spans="1:10" x14ac:dyDescent="0.2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112</v>
      </c>
    </row>
    <row r="258" spans="1:10" x14ac:dyDescent="0.2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237</v>
      </c>
      <c r="D258" s="1" t="s">
        <v>112</v>
      </c>
      <c r="E258" s="1" t="s">
        <v>238</v>
      </c>
      <c r="F258" s="1" t="s">
        <v>239</v>
      </c>
      <c r="G258" s="1" t="s">
        <v>240</v>
      </c>
      <c r="H258" s="1" t="s">
        <v>241</v>
      </c>
      <c r="I258" s="1" t="s">
        <v>242</v>
      </c>
      <c r="J258" s="1" t="s">
        <v>243</v>
      </c>
    </row>
    <row r="259" spans="1:10" x14ac:dyDescent="0.25">
      <c r="A259" s="1" t="str">
        <f t="shared" si="4"/>
        <v>4</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742</v>
      </c>
      <c r="D259" s="1" t="s">
        <v>112</v>
      </c>
      <c r="E259" s="1" t="s">
        <v>743</v>
      </c>
      <c r="F259" s="1" t="s">
        <v>744</v>
      </c>
      <c r="G259" s="1" t="s">
        <v>745</v>
      </c>
      <c r="H259" s="1" t="s">
        <v>746</v>
      </c>
      <c r="I259" s="1">
        <v>24</v>
      </c>
      <c r="J259" s="1">
        <v>24</v>
      </c>
    </row>
    <row r="260" spans="1:10" x14ac:dyDescent="0.2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112</v>
      </c>
    </row>
    <row r="261" spans="1:10" x14ac:dyDescent="0.2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10" x14ac:dyDescent="0.2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10" x14ac:dyDescent="0.2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10" x14ac:dyDescent="0.2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10" x14ac:dyDescent="0.2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249</v>
      </c>
      <c r="D265" s="1" t="s">
        <v>110</v>
      </c>
      <c r="E265" s="1" t="s">
        <v>111</v>
      </c>
      <c r="F265" s="1" t="s">
        <v>112</v>
      </c>
      <c r="G265" s="1" t="s">
        <v>113</v>
      </c>
    </row>
    <row r="266" spans="1:10" x14ac:dyDescent="0.25">
      <c r="A266" s="1" t="str">
        <f t="shared" si="4"/>
        <v>5</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747</v>
      </c>
      <c r="D266" s="1" t="s">
        <v>449</v>
      </c>
      <c r="E266" s="1" t="s">
        <v>748</v>
      </c>
      <c r="F266" s="1" t="s">
        <v>112</v>
      </c>
      <c r="G266" s="1">
        <v>3161123</v>
      </c>
    </row>
    <row r="267" spans="1:10" x14ac:dyDescent="0.25">
      <c r="A267" s="1" t="str">
        <f t="shared" si="4"/>
        <v>5</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749</v>
      </c>
      <c r="D267" s="1" t="s">
        <v>750</v>
      </c>
      <c r="E267" s="1" t="s">
        <v>751</v>
      </c>
      <c r="F267" s="1" t="s">
        <v>112</v>
      </c>
      <c r="G267" s="1">
        <v>2347774</v>
      </c>
    </row>
    <row r="268" spans="1:10" x14ac:dyDescent="0.25">
      <c r="A268" s="1" t="str">
        <f t="shared" si="4"/>
        <v>5</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752</v>
      </c>
      <c r="D268" s="1" t="s">
        <v>753</v>
      </c>
      <c r="E268" s="1" t="s">
        <v>754</v>
      </c>
      <c r="F268" s="1" t="s">
        <v>112</v>
      </c>
      <c r="G268" s="1">
        <v>3014840</v>
      </c>
    </row>
    <row r="269" spans="1:10" x14ac:dyDescent="0.25">
      <c r="A269" s="1" t="str">
        <f t="shared" si="4"/>
        <v>5</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755</v>
      </c>
      <c r="D269" s="1" t="s">
        <v>756</v>
      </c>
      <c r="E269" s="1" t="s">
        <v>757</v>
      </c>
      <c r="F269" s="1" t="s">
        <v>112</v>
      </c>
      <c r="G269" s="1">
        <v>1438907</v>
      </c>
    </row>
    <row r="270" spans="1:10" x14ac:dyDescent="0.25">
      <c r="A270" s="1" t="str">
        <f t="shared" si="4"/>
        <v>5</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758</v>
      </c>
      <c r="D270" s="1" t="s">
        <v>759</v>
      </c>
      <c r="E270" s="1" t="s">
        <v>760</v>
      </c>
      <c r="F270" s="1" t="s">
        <v>112</v>
      </c>
      <c r="G270" s="1">
        <v>1516342</v>
      </c>
    </row>
    <row r="271" spans="1:10" x14ac:dyDescent="0.25">
      <c r="A271" s="1" t="str">
        <f t="shared" si="4"/>
        <v>5</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761</v>
      </c>
      <c r="D271" s="1" t="s">
        <v>762</v>
      </c>
      <c r="E271" s="1" t="s">
        <v>763</v>
      </c>
      <c r="F271" s="1" t="s">
        <v>112</v>
      </c>
      <c r="G271" s="1">
        <v>1920864</v>
      </c>
    </row>
    <row r="272" spans="1:10" x14ac:dyDescent="0.25">
      <c r="A272" s="1" t="str">
        <f t="shared" si="4"/>
        <v>5</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764</v>
      </c>
      <c r="D272" s="1" t="s">
        <v>765</v>
      </c>
      <c r="E272" s="1" t="s">
        <v>766</v>
      </c>
      <c r="F272" s="1" t="s">
        <v>112</v>
      </c>
      <c r="G272" s="1">
        <v>2871758</v>
      </c>
    </row>
    <row r="273" spans="1:7" x14ac:dyDescent="0.25">
      <c r="A273" s="1" t="str">
        <f t="shared" si="4"/>
        <v>5</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767</v>
      </c>
      <c r="D273" s="1" t="s">
        <v>768</v>
      </c>
      <c r="E273" s="1" t="s">
        <v>769</v>
      </c>
      <c r="F273" s="1" t="s">
        <v>112</v>
      </c>
      <c r="G273" s="1">
        <v>2929120</v>
      </c>
    </row>
    <row r="274" spans="1:7" x14ac:dyDescent="0.25">
      <c r="A274" s="1" t="str">
        <f t="shared" si="4"/>
        <v>5</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770</v>
      </c>
      <c r="D274" s="1" t="s">
        <v>771</v>
      </c>
      <c r="E274" s="1" t="s">
        <v>772</v>
      </c>
      <c r="F274" s="1" t="s">
        <v>112</v>
      </c>
      <c r="G274" s="1">
        <v>2854346</v>
      </c>
    </row>
    <row r="275" spans="1:7" x14ac:dyDescent="0.25">
      <c r="A275" s="1" t="str">
        <f t="shared" si="4"/>
        <v>5</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773</v>
      </c>
      <c r="D275" s="1" t="s">
        <v>774</v>
      </c>
      <c r="E275" s="1" t="s">
        <v>775</v>
      </c>
      <c r="F275" s="1" t="s">
        <v>112</v>
      </c>
      <c r="G275" s="1">
        <v>2255025</v>
      </c>
    </row>
    <row r="276" spans="1:7" x14ac:dyDescent="0.25">
      <c r="A276" s="1" t="str">
        <f t="shared" si="4"/>
        <v>5</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776</v>
      </c>
      <c r="D276" s="1" t="s">
        <v>777</v>
      </c>
      <c r="E276" s="1" t="s">
        <v>778</v>
      </c>
      <c r="F276" s="1" t="s">
        <v>112</v>
      </c>
      <c r="G276" s="1">
        <v>2097256</v>
      </c>
    </row>
    <row r="277" spans="1:7" x14ac:dyDescent="0.25">
      <c r="A277" s="1" t="str">
        <f t="shared" si="4"/>
        <v>5</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779</v>
      </c>
      <c r="D277" s="1" t="s">
        <v>780</v>
      </c>
      <c r="E277" s="1" t="s">
        <v>781</v>
      </c>
      <c r="F277" s="1" t="s">
        <v>112</v>
      </c>
      <c r="G277" s="1">
        <v>2348076</v>
      </c>
    </row>
    <row r="278" spans="1:7" x14ac:dyDescent="0.25">
      <c r="A278" s="1" t="str">
        <f t="shared" si="4"/>
        <v>5</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782</v>
      </c>
      <c r="D278" s="1" t="s">
        <v>783</v>
      </c>
      <c r="E278" s="1" t="s">
        <v>784</v>
      </c>
      <c r="F278" s="1" t="s">
        <v>112</v>
      </c>
      <c r="G278" s="1">
        <v>2799601</v>
      </c>
    </row>
    <row r="279" spans="1:7" x14ac:dyDescent="0.25">
      <c r="A279" s="1" t="str">
        <f t="shared" si="4"/>
        <v>5</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785</v>
      </c>
      <c r="D279" s="1" t="s">
        <v>786</v>
      </c>
      <c r="E279" s="1" t="s">
        <v>787</v>
      </c>
      <c r="F279" s="1" t="s">
        <v>112</v>
      </c>
      <c r="G279" s="1">
        <v>3237995</v>
      </c>
    </row>
    <row r="280" spans="1:7" x14ac:dyDescent="0.25">
      <c r="A280" s="1" t="str">
        <f t="shared" si="4"/>
        <v>5</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788</v>
      </c>
      <c r="D280" s="1" t="s">
        <v>789</v>
      </c>
      <c r="E280" s="1" t="s">
        <v>790</v>
      </c>
      <c r="F280" s="1" t="s">
        <v>112</v>
      </c>
      <c r="G280" s="1">
        <v>3020528</v>
      </c>
    </row>
    <row r="281" spans="1:7" x14ac:dyDescent="0.25">
      <c r="A281" s="1" t="str">
        <f t="shared" si="4"/>
        <v>5</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791</v>
      </c>
      <c r="D281" s="1" t="s">
        <v>792</v>
      </c>
      <c r="E281" s="1" t="s">
        <v>793</v>
      </c>
      <c r="F281" s="1" t="s">
        <v>112</v>
      </c>
      <c r="G281" s="1">
        <v>1460364</v>
      </c>
    </row>
    <row r="282" spans="1:7" x14ac:dyDescent="0.25">
      <c r="A282" s="1" t="str">
        <f t="shared" si="4"/>
        <v>5</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794</v>
      </c>
      <c r="D282" s="1" t="s">
        <v>795</v>
      </c>
      <c r="E282" s="1" t="s">
        <v>796</v>
      </c>
      <c r="F282" s="1" t="s">
        <v>112</v>
      </c>
      <c r="G282" s="1">
        <v>1617959</v>
      </c>
    </row>
    <row r="283" spans="1:7" x14ac:dyDescent="0.25">
      <c r="A283" s="1" t="str">
        <f t="shared" si="4"/>
        <v>5</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797</v>
      </c>
      <c r="D283" s="1" t="s">
        <v>798</v>
      </c>
      <c r="E283" s="1" t="s">
        <v>799</v>
      </c>
      <c r="F283" s="1" t="s">
        <v>112</v>
      </c>
      <c r="G283" s="1">
        <v>1332791</v>
      </c>
    </row>
    <row r="284" spans="1:7" x14ac:dyDescent="0.25">
      <c r="A284" s="1" t="str">
        <f t="shared" si="4"/>
        <v>5</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800</v>
      </c>
      <c r="D284" s="1" t="s">
        <v>801</v>
      </c>
      <c r="E284" s="1" t="s">
        <v>802</v>
      </c>
      <c r="F284" s="1" t="s">
        <v>112</v>
      </c>
      <c r="G284" s="1">
        <v>2799363</v>
      </c>
    </row>
    <row r="285" spans="1:7" x14ac:dyDescent="0.25">
      <c r="A285" s="1" t="str">
        <f t="shared" si="4"/>
        <v>5</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803</v>
      </c>
      <c r="D285" s="1" t="s">
        <v>804</v>
      </c>
      <c r="E285" s="1" t="s">
        <v>805</v>
      </c>
      <c r="F285" s="1" t="s">
        <v>112</v>
      </c>
      <c r="G285" s="1">
        <v>2841649</v>
      </c>
    </row>
    <row r="286" spans="1:7" x14ac:dyDescent="0.25">
      <c r="A286" s="1" t="str">
        <f t="shared" si="4"/>
        <v>5</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806</v>
      </c>
      <c r="D286" s="1" t="s">
        <v>807</v>
      </c>
      <c r="E286" s="1" t="s">
        <v>808</v>
      </c>
      <c r="F286" s="1" t="s">
        <v>112</v>
      </c>
      <c r="G286" s="1">
        <v>2532277</v>
      </c>
    </row>
    <row r="287" spans="1:7" x14ac:dyDescent="0.25">
      <c r="A287" s="1" t="str">
        <f t="shared" si="4"/>
        <v>5</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809</v>
      </c>
      <c r="D287" s="1" t="s">
        <v>810</v>
      </c>
      <c r="E287" s="1" t="s">
        <v>811</v>
      </c>
      <c r="F287" s="1" t="s">
        <v>112</v>
      </c>
      <c r="G287" s="1">
        <v>2974954</v>
      </c>
    </row>
    <row r="288" spans="1:7" x14ac:dyDescent="0.25">
      <c r="A288" s="1" t="str">
        <f t="shared" si="4"/>
        <v>5</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812</v>
      </c>
      <c r="D288" s="1" t="s">
        <v>813</v>
      </c>
      <c r="E288" s="1" t="s">
        <v>814</v>
      </c>
      <c r="F288" s="1" t="s">
        <v>112</v>
      </c>
      <c r="G288" s="1">
        <v>2753248</v>
      </c>
    </row>
    <row r="289" spans="1:10" x14ac:dyDescent="0.25">
      <c r="A289" s="1" t="str">
        <f t="shared" si="4"/>
        <v>5</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815</v>
      </c>
      <c r="D289" s="1" t="s">
        <v>816</v>
      </c>
      <c r="E289" s="1" t="s">
        <v>817</v>
      </c>
      <c r="F289" s="1" t="s">
        <v>112</v>
      </c>
      <c r="G289" s="1">
        <v>2240295</v>
      </c>
    </row>
    <row r="290" spans="1:10" x14ac:dyDescent="0.2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112</v>
      </c>
    </row>
    <row r="291" spans="1:10" x14ac:dyDescent="0.2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237</v>
      </c>
      <c r="D291" s="1" t="s">
        <v>112</v>
      </c>
      <c r="E291" s="1" t="s">
        <v>238</v>
      </c>
      <c r="F291" s="1" t="s">
        <v>239</v>
      </c>
      <c r="G291" s="1" t="s">
        <v>240</v>
      </c>
      <c r="H291" s="1" t="s">
        <v>241</v>
      </c>
      <c r="I291" s="1" t="s">
        <v>242</v>
      </c>
      <c r="J291" s="1" t="s">
        <v>243</v>
      </c>
    </row>
    <row r="292" spans="1:10" x14ac:dyDescent="0.25">
      <c r="A292" s="1" t="str">
        <f t="shared" si="4"/>
        <v>5</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818</v>
      </c>
      <c r="D292" s="1" t="s">
        <v>112</v>
      </c>
      <c r="E292" s="1" t="s">
        <v>819</v>
      </c>
      <c r="F292" s="1" t="s">
        <v>820</v>
      </c>
      <c r="G292" s="1" t="s">
        <v>821</v>
      </c>
      <c r="H292" s="1" t="s">
        <v>822</v>
      </c>
      <c r="I292" s="1">
        <v>24</v>
      </c>
      <c r="J292" s="1">
        <v>24</v>
      </c>
    </row>
    <row r="293" spans="1:10" x14ac:dyDescent="0.2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112</v>
      </c>
    </row>
    <row r="294" spans="1:10" x14ac:dyDescent="0.2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10" x14ac:dyDescent="0.2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10" x14ac:dyDescent="0.2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10" x14ac:dyDescent="0.2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10" x14ac:dyDescent="0.2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249</v>
      </c>
      <c r="D298" s="1" t="s">
        <v>110</v>
      </c>
      <c r="E298" s="1" t="s">
        <v>111</v>
      </c>
      <c r="F298" s="1" t="s">
        <v>112</v>
      </c>
      <c r="G298" s="1" t="s">
        <v>113</v>
      </c>
    </row>
    <row r="299" spans="1:10" x14ac:dyDescent="0.25">
      <c r="A299" s="1" t="str">
        <f t="shared" si="4"/>
        <v>6</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823</v>
      </c>
      <c r="D299" s="1" t="s">
        <v>824</v>
      </c>
      <c r="E299" s="1" t="s">
        <v>825</v>
      </c>
      <c r="F299" s="1" t="s">
        <v>112</v>
      </c>
      <c r="G299" s="1">
        <v>3074452</v>
      </c>
    </row>
    <row r="300" spans="1:10" x14ac:dyDescent="0.25">
      <c r="A300" s="1" t="str">
        <f t="shared" si="4"/>
        <v>6</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826</v>
      </c>
      <c r="D300" s="1" t="s">
        <v>827</v>
      </c>
      <c r="E300" s="1" t="s">
        <v>828</v>
      </c>
      <c r="F300" s="1" t="s">
        <v>112</v>
      </c>
      <c r="G300" s="1">
        <v>3265617</v>
      </c>
    </row>
    <row r="301" spans="1:10" x14ac:dyDescent="0.25">
      <c r="A301" s="1" t="str">
        <f t="shared" si="4"/>
        <v>6</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829</v>
      </c>
      <c r="D301" s="1" t="s">
        <v>830</v>
      </c>
      <c r="E301" s="1" t="s">
        <v>831</v>
      </c>
      <c r="F301" s="1" t="s">
        <v>112</v>
      </c>
      <c r="G301" s="1">
        <v>2831807</v>
      </c>
    </row>
    <row r="302" spans="1:10" x14ac:dyDescent="0.25">
      <c r="A302" s="1" t="str">
        <f t="shared" si="4"/>
        <v>6</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832</v>
      </c>
      <c r="D302" s="1" t="s">
        <v>607</v>
      </c>
      <c r="E302" s="1" t="s">
        <v>833</v>
      </c>
      <c r="F302" s="1" t="s">
        <v>112</v>
      </c>
      <c r="G302" s="1">
        <v>286683</v>
      </c>
    </row>
    <row r="303" spans="1:10" x14ac:dyDescent="0.25">
      <c r="A303" s="1" t="str">
        <f t="shared" si="4"/>
        <v>6</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834</v>
      </c>
      <c r="D303" s="1" t="s">
        <v>835</v>
      </c>
      <c r="E303" s="1" t="s">
        <v>836</v>
      </c>
      <c r="F303" s="1" t="s">
        <v>112</v>
      </c>
      <c r="G303" s="1">
        <v>551411</v>
      </c>
    </row>
    <row r="304" spans="1:10" x14ac:dyDescent="0.25">
      <c r="A304" s="1" t="str">
        <f t="shared" si="4"/>
        <v>6</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837</v>
      </c>
      <c r="D304" s="1" t="s">
        <v>838</v>
      </c>
      <c r="E304" s="1" t="s">
        <v>839</v>
      </c>
      <c r="F304" s="1" t="s">
        <v>112</v>
      </c>
      <c r="G304" s="1">
        <v>535946</v>
      </c>
    </row>
    <row r="305" spans="1:7" x14ac:dyDescent="0.25">
      <c r="A305" s="1" t="str">
        <f t="shared" si="4"/>
        <v>6</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840</v>
      </c>
      <c r="D305" s="1" t="s">
        <v>841</v>
      </c>
      <c r="E305" s="1" t="s">
        <v>842</v>
      </c>
      <c r="F305" s="1" t="s">
        <v>112</v>
      </c>
      <c r="G305" s="1">
        <v>3195363</v>
      </c>
    </row>
    <row r="306" spans="1:7" x14ac:dyDescent="0.25">
      <c r="A306" s="1" t="str">
        <f t="shared" si="4"/>
        <v>6</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843</v>
      </c>
    </row>
    <row r="307" spans="1:7" x14ac:dyDescent="0.25">
      <c r="A307" s="1" t="str">
        <f t="shared" si="4"/>
        <v>6</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844</v>
      </c>
      <c r="D307" s="1" t="s">
        <v>845</v>
      </c>
      <c r="E307" s="1" t="s">
        <v>846</v>
      </c>
      <c r="F307" s="1" t="s">
        <v>112</v>
      </c>
      <c r="G307" s="1">
        <v>3156926</v>
      </c>
    </row>
    <row r="308" spans="1:7" x14ac:dyDescent="0.25">
      <c r="A308" s="1" t="str">
        <f t="shared" si="4"/>
        <v>6</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847</v>
      </c>
      <c r="D308" s="1" t="s">
        <v>848</v>
      </c>
      <c r="E308" s="1" t="s">
        <v>849</v>
      </c>
      <c r="F308" s="1" t="s">
        <v>112</v>
      </c>
      <c r="G308" s="1">
        <v>3897794</v>
      </c>
    </row>
    <row r="309" spans="1:7" x14ac:dyDescent="0.25">
      <c r="A309" s="1" t="str">
        <f t="shared" si="4"/>
        <v>6</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850</v>
      </c>
      <c r="D309" s="1" t="s">
        <v>851</v>
      </c>
      <c r="E309" s="1" t="s">
        <v>852</v>
      </c>
      <c r="F309" s="1" t="s">
        <v>112</v>
      </c>
      <c r="G309" s="1">
        <v>4256828</v>
      </c>
    </row>
    <row r="310" spans="1:7" x14ac:dyDescent="0.25">
      <c r="A310" s="1" t="str">
        <f t="shared" si="4"/>
        <v>6</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853</v>
      </c>
      <c r="D310" s="1" t="s">
        <v>854</v>
      </c>
      <c r="E310" s="1" t="s">
        <v>855</v>
      </c>
      <c r="F310" s="1" t="s">
        <v>112</v>
      </c>
      <c r="G310" s="1">
        <v>3591817</v>
      </c>
    </row>
    <row r="311" spans="1:7" x14ac:dyDescent="0.25">
      <c r="A311" s="1" t="str">
        <f t="shared" si="4"/>
        <v>6</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856</v>
      </c>
      <c r="D311" s="1" t="s">
        <v>857</v>
      </c>
      <c r="E311" s="1" t="s">
        <v>858</v>
      </c>
      <c r="F311" s="1" t="s">
        <v>112</v>
      </c>
      <c r="G311" s="1">
        <v>4678200</v>
      </c>
    </row>
    <row r="312" spans="1:7" x14ac:dyDescent="0.25">
      <c r="A312" s="1" t="str">
        <f t="shared" si="4"/>
        <v>6</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859</v>
      </c>
      <c r="D312" s="1" t="s">
        <v>860</v>
      </c>
      <c r="E312" s="1" t="s">
        <v>861</v>
      </c>
      <c r="F312" s="1" t="s">
        <v>112</v>
      </c>
      <c r="G312" s="1">
        <v>5027263</v>
      </c>
    </row>
    <row r="313" spans="1:7" x14ac:dyDescent="0.25">
      <c r="A313" s="1" t="str">
        <f t="shared" si="4"/>
        <v>6</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862</v>
      </c>
      <c r="D313" s="1" t="s">
        <v>863</v>
      </c>
      <c r="E313" s="1" t="s">
        <v>864</v>
      </c>
      <c r="F313" s="1" t="s">
        <v>112</v>
      </c>
      <c r="G313" s="1">
        <v>4307983</v>
      </c>
    </row>
    <row r="314" spans="1:7" x14ac:dyDescent="0.25">
      <c r="A314" s="1" t="str">
        <f t="shared" si="4"/>
        <v>6</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865</v>
      </c>
      <c r="D314" s="1" t="s">
        <v>866</v>
      </c>
      <c r="E314" s="1" t="s">
        <v>867</v>
      </c>
      <c r="F314" s="1" t="s">
        <v>112</v>
      </c>
      <c r="G314" s="1">
        <v>3296223</v>
      </c>
    </row>
    <row r="315" spans="1:7" x14ac:dyDescent="0.25">
      <c r="A315" s="1" t="str">
        <f t="shared" si="4"/>
        <v>6</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868</v>
      </c>
      <c r="D315" s="1" t="s">
        <v>869</v>
      </c>
      <c r="E315" s="1" t="s">
        <v>870</v>
      </c>
      <c r="F315" s="1" t="s">
        <v>112</v>
      </c>
      <c r="G315" s="1">
        <v>2902234</v>
      </c>
    </row>
    <row r="316" spans="1:7" x14ac:dyDescent="0.25">
      <c r="A316" s="1" t="str">
        <f t="shared" si="4"/>
        <v>6</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871</v>
      </c>
      <c r="D316" s="1" t="s">
        <v>872</v>
      </c>
      <c r="E316" s="1" t="s">
        <v>873</v>
      </c>
      <c r="F316" s="1" t="s">
        <v>112</v>
      </c>
      <c r="G316" s="1">
        <v>2862284</v>
      </c>
    </row>
    <row r="317" spans="1:7" x14ac:dyDescent="0.25">
      <c r="A317" s="1" t="str">
        <f t="shared" si="4"/>
        <v>6</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874</v>
      </c>
    </row>
    <row r="318" spans="1:7" x14ac:dyDescent="0.25">
      <c r="A318" s="1" t="str">
        <f t="shared" si="4"/>
        <v>6</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875</v>
      </c>
    </row>
    <row r="319" spans="1:7" x14ac:dyDescent="0.25">
      <c r="A319" s="1" t="str">
        <f t="shared" si="4"/>
        <v>6</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876</v>
      </c>
    </row>
    <row r="320" spans="1:7" x14ac:dyDescent="0.25">
      <c r="A320" s="1" t="str">
        <f t="shared" si="4"/>
        <v>6</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877</v>
      </c>
      <c r="D320" s="1" t="s">
        <v>878</v>
      </c>
      <c r="E320" s="1" t="s">
        <v>879</v>
      </c>
      <c r="F320" s="1" t="s">
        <v>112</v>
      </c>
      <c r="G320" s="1">
        <v>1504208</v>
      </c>
    </row>
    <row r="321" spans="1:10" x14ac:dyDescent="0.25">
      <c r="A321" s="1" t="str">
        <f t="shared" si="4"/>
        <v>6</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880</v>
      </c>
      <c r="D321" s="1" t="s">
        <v>881</v>
      </c>
      <c r="E321" s="1" t="s">
        <v>882</v>
      </c>
      <c r="F321" s="1" t="s">
        <v>112</v>
      </c>
      <c r="G321" s="1">
        <v>1825304</v>
      </c>
    </row>
    <row r="322" spans="1:10" x14ac:dyDescent="0.25">
      <c r="A322" s="1" t="str">
        <f t="shared" ref="A322:A385" si="5">IFERROR(LEFT(RIGHT(C322,LEN(C322)-SEARCH("@",C322)),SEARCH("/",RIGHT(C322,LEN(C322)-SEARCH("@",C322)-1))),"")</f>
        <v>6</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883</v>
      </c>
      <c r="D322" s="1" t="s">
        <v>884</v>
      </c>
      <c r="E322" s="1" t="s">
        <v>885</v>
      </c>
      <c r="F322" s="1" t="s">
        <v>112</v>
      </c>
      <c r="G322" s="1">
        <v>1052013</v>
      </c>
    </row>
    <row r="323" spans="1:10" x14ac:dyDescent="0.2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112</v>
      </c>
    </row>
    <row r="324" spans="1:10" x14ac:dyDescent="0.2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237</v>
      </c>
      <c r="D324" s="1" t="s">
        <v>112</v>
      </c>
      <c r="E324" s="1" t="s">
        <v>238</v>
      </c>
      <c r="F324" s="1" t="s">
        <v>239</v>
      </c>
      <c r="G324" s="1" t="s">
        <v>240</v>
      </c>
      <c r="H324" s="1" t="s">
        <v>241</v>
      </c>
      <c r="I324" s="1" t="s">
        <v>242</v>
      </c>
      <c r="J324" s="1" t="s">
        <v>243</v>
      </c>
    </row>
    <row r="325" spans="1:10" x14ac:dyDescent="0.25">
      <c r="A325" s="1" t="str">
        <f t="shared" si="5"/>
        <v>6</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886</v>
      </c>
      <c r="D325" s="1" t="s">
        <v>112</v>
      </c>
      <c r="E325" s="1" t="s">
        <v>887</v>
      </c>
      <c r="F325" s="1" t="s">
        <v>888</v>
      </c>
      <c r="G325" s="1" t="s">
        <v>889</v>
      </c>
      <c r="H325" s="1" t="s">
        <v>890</v>
      </c>
      <c r="I325" s="1">
        <v>24</v>
      </c>
      <c r="J325" s="1">
        <v>24</v>
      </c>
    </row>
    <row r="326" spans="1:10" x14ac:dyDescent="0.2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10" x14ac:dyDescent="0.2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10" x14ac:dyDescent="0.2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10" x14ac:dyDescent="0.2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10" x14ac:dyDescent="0.2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10" x14ac:dyDescent="0.2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249</v>
      </c>
      <c r="D331" s="1" t="s">
        <v>110</v>
      </c>
      <c r="E331" s="1" t="s">
        <v>111</v>
      </c>
      <c r="F331" s="1" t="s">
        <v>112</v>
      </c>
      <c r="G331" s="1" t="s">
        <v>113</v>
      </c>
    </row>
    <row r="332" spans="1:10" x14ac:dyDescent="0.25">
      <c r="A332" s="1" t="str">
        <f t="shared" si="5"/>
        <v>7</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891</v>
      </c>
      <c r="D332" s="1" t="s">
        <v>892</v>
      </c>
      <c r="E332" s="1" t="s">
        <v>893</v>
      </c>
      <c r="F332" s="1" t="s">
        <v>112</v>
      </c>
      <c r="G332" s="1">
        <v>4486711</v>
      </c>
    </row>
    <row r="333" spans="1:10" x14ac:dyDescent="0.25">
      <c r="A333" s="1" t="str">
        <f t="shared" si="5"/>
        <v>7</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894</v>
      </c>
      <c r="D333" s="1" t="s">
        <v>895</v>
      </c>
      <c r="E333" s="1" t="s">
        <v>896</v>
      </c>
      <c r="F333" s="1" t="s">
        <v>112</v>
      </c>
      <c r="G333" s="1">
        <v>3786291</v>
      </c>
    </row>
    <row r="334" spans="1:10" x14ac:dyDescent="0.25">
      <c r="A334" s="1" t="str">
        <f t="shared" si="5"/>
        <v>7</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897</v>
      </c>
      <c r="D334" s="1" t="s">
        <v>898</v>
      </c>
      <c r="E334" s="1" t="s">
        <v>899</v>
      </c>
      <c r="F334" s="1" t="s">
        <v>112</v>
      </c>
      <c r="G334" s="1">
        <v>4171541</v>
      </c>
    </row>
    <row r="335" spans="1:10" x14ac:dyDescent="0.25">
      <c r="A335" s="1" t="str">
        <f t="shared" si="5"/>
        <v>7</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900</v>
      </c>
      <c r="D335" s="1" t="s">
        <v>901</v>
      </c>
      <c r="E335" s="1" t="s">
        <v>902</v>
      </c>
      <c r="F335" s="1" t="s">
        <v>112</v>
      </c>
      <c r="G335" s="1">
        <v>3486047</v>
      </c>
    </row>
    <row r="336" spans="1:10" x14ac:dyDescent="0.25">
      <c r="A336" s="1" t="str">
        <f t="shared" si="5"/>
        <v>7</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903</v>
      </c>
      <c r="D336" s="1" t="s">
        <v>904</v>
      </c>
      <c r="E336" s="1" t="s">
        <v>905</v>
      </c>
      <c r="F336" s="1" t="s">
        <v>112</v>
      </c>
      <c r="G336" s="1">
        <v>3639078</v>
      </c>
    </row>
    <row r="337" spans="1:7" x14ac:dyDescent="0.25">
      <c r="A337" s="1" t="str">
        <f t="shared" si="5"/>
        <v>7</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906</v>
      </c>
      <c r="D337" s="1" t="s">
        <v>907</v>
      </c>
      <c r="E337" s="1" t="s">
        <v>908</v>
      </c>
      <c r="F337" s="1" t="s">
        <v>112</v>
      </c>
      <c r="G337" s="1">
        <v>4135593</v>
      </c>
    </row>
    <row r="338" spans="1:7" x14ac:dyDescent="0.25">
      <c r="A338" s="1" t="str">
        <f t="shared" si="5"/>
        <v>7</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909</v>
      </c>
      <c r="D338" s="1" t="s">
        <v>910</v>
      </c>
      <c r="E338" s="1" t="s">
        <v>911</v>
      </c>
      <c r="F338" s="1" t="s">
        <v>112</v>
      </c>
      <c r="G338" s="1">
        <v>5268848</v>
      </c>
    </row>
    <row r="339" spans="1:7" x14ac:dyDescent="0.25">
      <c r="A339" s="1" t="str">
        <f t="shared" si="5"/>
        <v>7</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912</v>
      </c>
      <c r="D339" s="1" t="s">
        <v>913</v>
      </c>
      <c r="E339" s="1" t="s">
        <v>914</v>
      </c>
      <c r="F339" s="1" t="s">
        <v>112</v>
      </c>
      <c r="G339" s="1">
        <v>5340940</v>
      </c>
    </row>
    <row r="340" spans="1:7" x14ac:dyDescent="0.25">
      <c r="A340" s="1" t="str">
        <f t="shared" si="5"/>
        <v>7</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915</v>
      </c>
      <c r="D340" s="1" t="s">
        <v>916</v>
      </c>
      <c r="E340" s="1" t="s">
        <v>917</v>
      </c>
      <c r="F340" s="1" t="s">
        <v>112</v>
      </c>
      <c r="G340" s="1">
        <v>4978726</v>
      </c>
    </row>
    <row r="341" spans="1:7" x14ac:dyDescent="0.25">
      <c r="A341" s="1" t="str">
        <f t="shared" si="5"/>
        <v>7</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918</v>
      </c>
      <c r="D341" s="1" t="s">
        <v>919</v>
      </c>
      <c r="E341" s="1" t="s">
        <v>920</v>
      </c>
      <c r="F341" s="1" t="s">
        <v>112</v>
      </c>
      <c r="G341" s="1">
        <v>4028287</v>
      </c>
    </row>
    <row r="342" spans="1:7" x14ac:dyDescent="0.25">
      <c r="A342" s="1" t="str">
        <f t="shared" si="5"/>
        <v>7</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921</v>
      </c>
      <c r="D342" s="1" t="s">
        <v>922</v>
      </c>
      <c r="E342" s="1" t="s">
        <v>923</v>
      </c>
      <c r="F342" s="1" t="s">
        <v>112</v>
      </c>
      <c r="G342" s="1">
        <v>4464410</v>
      </c>
    </row>
    <row r="343" spans="1:7" x14ac:dyDescent="0.25">
      <c r="A343" s="1" t="str">
        <f t="shared" si="5"/>
        <v>7</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924</v>
      </c>
      <c r="D343" s="1" t="s">
        <v>925</v>
      </c>
      <c r="E343" s="1" t="s">
        <v>926</v>
      </c>
      <c r="F343" s="1" t="s">
        <v>112</v>
      </c>
      <c r="G343" s="1">
        <v>4310059</v>
      </c>
    </row>
    <row r="344" spans="1:7" x14ac:dyDescent="0.25">
      <c r="A344" s="1" t="str">
        <f t="shared" si="5"/>
        <v>7</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927</v>
      </c>
    </row>
    <row r="345" spans="1:7" x14ac:dyDescent="0.25">
      <c r="A345" s="1" t="str">
        <f t="shared" si="5"/>
        <v>7</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928</v>
      </c>
      <c r="D345" s="1" t="s">
        <v>929</v>
      </c>
      <c r="E345" s="1" t="s">
        <v>930</v>
      </c>
      <c r="F345" s="1" t="s">
        <v>112</v>
      </c>
      <c r="G345" s="1">
        <v>4474230</v>
      </c>
    </row>
    <row r="346" spans="1:7" x14ac:dyDescent="0.25">
      <c r="A346" s="1" t="str">
        <f t="shared" si="5"/>
        <v>7</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931</v>
      </c>
      <c r="D346" s="1" t="s">
        <v>932</v>
      </c>
      <c r="E346" s="1" t="s">
        <v>933</v>
      </c>
      <c r="F346" s="1" t="s">
        <v>112</v>
      </c>
      <c r="G346" s="1">
        <v>3973888</v>
      </c>
    </row>
    <row r="347" spans="1:7" x14ac:dyDescent="0.25">
      <c r="A347" s="1" t="str">
        <f t="shared" si="5"/>
        <v>7</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934</v>
      </c>
      <c r="D347" s="1" t="s">
        <v>935</v>
      </c>
      <c r="E347" s="1" t="s">
        <v>936</v>
      </c>
      <c r="F347" s="1" t="s">
        <v>112</v>
      </c>
      <c r="G347" s="1">
        <v>4149068</v>
      </c>
    </row>
    <row r="348" spans="1:7" x14ac:dyDescent="0.25">
      <c r="A348" s="1" t="str">
        <f t="shared" si="5"/>
        <v>7</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937</v>
      </c>
      <c r="D348" s="1" t="s">
        <v>938</v>
      </c>
      <c r="E348" s="1" t="s">
        <v>939</v>
      </c>
      <c r="F348" s="1" t="s">
        <v>112</v>
      </c>
      <c r="G348" s="1">
        <v>3759514</v>
      </c>
    </row>
    <row r="349" spans="1:7" x14ac:dyDescent="0.25">
      <c r="A349" s="1" t="str">
        <f t="shared" si="5"/>
        <v>7</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940</v>
      </c>
      <c r="D349" s="1" t="s">
        <v>941</v>
      </c>
      <c r="E349" s="1" t="s">
        <v>942</v>
      </c>
      <c r="F349" s="1" t="s">
        <v>112</v>
      </c>
      <c r="G349" s="1">
        <v>4167367</v>
      </c>
    </row>
    <row r="350" spans="1:7" x14ac:dyDescent="0.25">
      <c r="A350" s="1" t="str">
        <f t="shared" si="5"/>
        <v>7</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943</v>
      </c>
      <c r="D350" s="1" t="s">
        <v>944</v>
      </c>
      <c r="E350" s="1" t="s">
        <v>945</v>
      </c>
      <c r="F350" s="1" t="s">
        <v>112</v>
      </c>
      <c r="G350" s="1">
        <v>4842371</v>
      </c>
    </row>
    <row r="351" spans="1:7" x14ac:dyDescent="0.25">
      <c r="A351" s="1" t="str">
        <f t="shared" si="5"/>
        <v>7</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946</v>
      </c>
      <c r="D351" s="1" t="s">
        <v>947</v>
      </c>
      <c r="E351" s="1" t="s">
        <v>948</v>
      </c>
      <c r="F351" s="1" t="s">
        <v>112</v>
      </c>
      <c r="G351" s="1">
        <v>5420992</v>
      </c>
    </row>
    <row r="352" spans="1:7" x14ac:dyDescent="0.25">
      <c r="A352" s="1" t="str">
        <f t="shared" si="5"/>
        <v>7</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949</v>
      </c>
      <c r="D352" s="1" t="s">
        <v>950</v>
      </c>
      <c r="E352" s="1" t="s">
        <v>951</v>
      </c>
      <c r="F352" s="1" t="s">
        <v>112</v>
      </c>
      <c r="G352" s="1">
        <v>5413011</v>
      </c>
    </row>
    <row r="353" spans="1:10" x14ac:dyDescent="0.25">
      <c r="A353" s="1" t="str">
        <f t="shared" si="5"/>
        <v>7</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952</v>
      </c>
      <c r="D353" s="1" t="s">
        <v>953</v>
      </c>
      <c r="E353" s="1" t="s">
        <v>954</v>
      </c>
      <c r="F353" s="1" t="s">
        <v>112</v>
      </c>
      <c r="G353" s="1">
        <v>4176906</v>
      </c>
    </row>
    <row r="354" spans="1:10" x14ac:dyDescent="0.25">
      <c r="A354" s="1" t="str">
        <f t="shared" si="5"/>
        <v>7</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955</v>
      </c>
      <c r="D354" s="1" t="s">
        <v>416</v>
      </c>
      <c r="E354" s="1" t="s">
        <v>956</v>
      </c>
      <c r="F354" s="1" t="s">
        <v>112</v>
      </c>
      <c r="G354" s="1">
        <v>3917953</v>
      </c>
    </row>
    <row r="355" spans="1:10" x14ac:dyDescent="0.25">
      <c r="A355" s="1" t="str">
        <f t="shared" si="5"/>
        <v>7</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957</v>
      </c>
      <c r="D355" s="1" t="s">
        <v>958</v>
      </c>
      <c r="E355" s="1" t="s">
        <v>959</v>
      </c>
      <c r="F355" s="1" t="s">
        <v>112</v>
      </c>
      <c r="G355" s="1">
        <v>3642063</v>
      </c>
    </row>
    <row r="356" spans="1:10" x14ac:dyDescent="0.2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112</v>
      </c>
    </row>
    <row r="357" spans="1:10" x14ac:dyDescent="0.2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237</v>
      </c>
      <c r="D357" s="1" t="s">
        <v>112</v>
      </c>
      <c r="E357" s="1" t="s">
        <v>238</v>
      </c>
      <c r="F357" s="1" t="s">
        <v>239</v>
      </c>
      <c r="G357" s="1" t="s">
        <v>240</v>
      </c>
      <c r="H357" s="1" t="s">
        <v>241</v>
      </c>
      <c r="I357" s="1" t="s">
        <v>242</v>
      </c>
      <c r="J357" s="1" t="s">
        <v>243</v>
      </c>
    </row>
    <row r="358" spans="1:10" x14ac:dyDescent="0.25">
      <c r="A358" s="1" t="str">
        <f t="shared" si="5"/>
        <v>7</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960</v>
      </c>
      <c r="D358" s="1" t="s">
        <v>112</v>
      </c>
      <c r="E358" s="1" t="s">
        <v>961</v>
      </c>
      <c r="F358" s="1" t="s">
        <v>962</v>
      </c>
      <c r="G358" s="1" t="s">
        <v>963</v>
      </c>
      <c r="H358" s="1" t="s">
        <v>964</v>
      </c>
      <c r="I358" s="1">
        <v>24</v>
      </c>
      <c r="J358" s="1">
        <v>24</v>
      </c>
    </row>
    <row r="359" spans="1:10" x14ac:dyDescent="0.2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112</v>
      </c>
    </row>
    <row r="360" spans="1:10" x14ac:dyDescent="0.2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10" x14ac:dyDescent="0.2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10" x14ac:dyDescent="0.2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10" x14ac:dyDescent="0.2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10" x14ac:dyDescent="0.2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249</v>
      </c>
      <c r="D364" s="1" t="s">
        <v>110</v>
      </c>
      <c r="E364" s="1" t="s">
        <v>111</v>
      </c>
      <c r="F364" s="1" t="s">
        <v>112</v>
      </c>
      <c r="G364" s="1" t="s">
        <v>113</v>
      </c>
    </row>
    <row r="365" spans="1:10" x14ac:dyDescent="0.25">
      <c r="A365" s="1" t="str">
        <f t="shared" si="5"/>
        <v>10</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965</v>
      </c>
    </row>
    <row r="366" spans="1:10" x14ac:dyDescent="0.25">
      <c r="A366" s="1" t="str">
        <f t="shared" si="5"/>
        <v>10</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966</v>
      </c>
      <c r="D366" s="1" t="s">
        <v>967</v>
      </c>
      <c r="E366" s="1" t="s">
        <v>968</v>
      </c>
      <c r="F366" s="1" t="s">
        <v>112</v>
      </c>
      <c r="G366" s="1">
        <v>518685</v>
      </c>
    </row>
    <row r="367" spans="1:10" x14ac:dyDescent="0.25">
      <c r="A367" s="1" t="str">
        <f t="shared" si="5"/>
        <v>10</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969</v>
      </c>
      <c r="D367" s="1" t="s">
        <v>194</v>
      </c>
      <c r="E367" s="1" t="s">
        <v>970</v>
      </c>
      <c r="F367" s="1" t="s">
        <v>112</v>
      </c>
      <c r="G367" s="1">
        <v>355898</v>
      </c>
    </row>
    <row r="368" spans="1:10" x14ac:dyDescent="0.25">
      <c r="A368" s="1" t="str">
        <f t="shared" si="5"/>
        <v>10</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971</v>
      </c>
      <c r="D368" s="1" t="s">
        <v>972</v>
      </c>
      <c r="E368" s="1" t="s">
        <v>973</v>
      </c>
      <c r="F368" s="1" t="s">
        <v>112</v>
      </c>
      <c r="G368" s="1">
        <v>368011</v>
      </c>
    </row>
    <row r="369" spans="1:7" x14ac:dyDescent="0.25">
      <c r="A369" s="1" t="str">
        <f t="shared" si="5"/>
        <v>10</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974</v>
      </c>
      <c r="D369" s="1" t="s">
        <v>708</v>
      </c>
      <c r="E369" s="1" t="s">
        <v>975</v>
      </c>
      <c r="F369" s="1" t="s">
        <v>112</v>
      </c>
      <c r="G369" s="1">
        <v>328753</v>
      </c>
    </row>
    <row r="370" spans="1:7" x14ac:dyDescent="0.25">
      <c r="A370" s="1" t="str">
        <f t="shared" si="5"/>
        <v>10</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976</v>
      </c>
      <c r="D370" s="1" t="s">
        <v>977</v>
      </c>
      <c r="E370" s="1" t="s">
        <v>978</v>
      </c>
      <c r="F370" s="1" t="s">
        <v>112</v>
      </c>
      <c r="G370" s="1">
        <v>469282</v>
      </c>
    </row>
    <row r="371" spans="1:7" x14ac:dyDescent="0.25">
      <c r="A371" s="1" t="str">
        <f t="shared" si="5"/>
        <v>10</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979</v>
      </c>
    </row>
    <row r="372" spans="1:7" x14ac:dyDescent="0.25">
      <c r="A372" s="1" t="str">
        <f t="shared" si="5"/>
        <v>10</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980</v>
      </c>
      <c r="D372" s="1" t="s">
        <v>622</v>
      </c>
      <c r="E372" s="1" t="s">
        <v>981</v>
      </c>
      <c r="F372" s="1" t="s">
        <v>112</v>
      </c>
      <c r="G372" s="1">
        <v>334614</v>
      </c>
    </row>
    <row r="373" spans="1:7" x14ac:dyDescent="0.25">
      <c r="A373" s="1" t="str">
        <f t="shared" si="5"/>
        <v>10</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982</v>
      </c>
      <c r="D373" s="1" t="s">
        <v>983</v>
      </c>
      <c r="E373" s="1" t="s">
        <v>984</v>
      </c>
      <c r="F373" s="1" t="s">
        <v>112</v>
      </c>
      <c r="G373" s="1">
        <v>201115</v>
      </c>
    </row>
    <row r="374" spans="1:7" x14ac:dyDescent="0.25">
      <c r="A374" s="1" t="str">
        <f t="shared" si="5"/>
        <v>10</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985</v>
      </c>
      <c r="D374" s="1">
        <v>0</v>
      </c>
      <c r="E374" s="1">
        <v>0</v>
      </c>
      <c r="F374" s="1" t="s">
        <v>112</v>
      </c>
      <c r="G374" s="1">
        <v>0</v>
      </c>
    </row>
    <row r="375" spans="1:7" x14ac:dyDescent="0.25">
      <c r="A375" s="1" t="str">
        <f t="shared" si="5"/>
        <v>10</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986</v>
      </c>
      <c r="D375" s="1">
        <v>0</v>
      </c>
      <c r="E375" s="1">
        <v>0</v>
      </c>
      <c r="F375" s="1" t="s">
        <v>112</v>
      </c>
      <c r="G375" s="1">
        <v>0</v>
      </c>
    </row>
    <row r="376" spans="1:7" x14ac:dyDescent="0.25">
      <c r="A376" s="1" t="str">
        <f t="shared" si="5"/>
        <v>10</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987</v>
      </c>
      <c r="D376" s="1" t="s">
        <v>988</v>
      </c>
      <c r="E376" s="1" t="s">
        <v>989</v>
      </c>
      <c r="F376" s="1" t="s">
        <v>112</v>
      </c>
      <c r="G376" s="1">
        <v>280540</v>
      </c>
    </row>
    <row r="377" spans="1:7" x14ac:dyDescent="0.25">
      <c r="A377" s="1" t="str">
        <f t="shared" si="5"/>
        <v>10</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990</v>
      </c>
      <c r="D377" s="1" t="s">
        <v>991</v>
      </c>
      <c r="E377" s="1" t="s">
        <v>992</v>
      </c>
      <c r="F377" s="1" t="s">
        <v>112</v>
      </c>
      <c r="G377" s="1">
        <v>249933</v>
      </c>
    </row>
    <row r="378" spans="1:7" x14ac:dyDescent="0.25">
      <c r="A378" s="1" t="str">
        <f t="shared" si="5"/>
        <v>10</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993</v>
      </c>
      <c r="D378" s="1" t="s">
        <v>994</v>
      </c>
      <c r="E378" s="1" t="s">
        <v>995</v>
      </c>
      <c r="F378" s="1" t="s">
        <v>112</v>
      </c>
      <c r="G378" s="1">
        <v>246624</v>
      </c>
    </row>
    <row r="379" spans="1:7" x14ac:dyDescent="0.25">
      <c r="A379" s="1" t="str">
        <f t="shared" si="5"/>
        <v>10</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996</v>
      </c>
      <c r="D379" s="1" t="s">
        <v>997</v>
      </c>
      <c r="E379" s="1" t="s">
        <v>998</v>
      </c>
      <c r="F379" s="1" t="s">
        <v>112</v>
      </c>
      <c r="G379" s="1">
        <v>127184</v>
      </c>
    </row>
    <row r="380" spans="1:7" x14ac:dyDescent="0.25">
      <c r="A380" s="1" t="str">
        <f t="shared" si="5"/>
        <v>10</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999</v>
      </c>
      <c r="D380" s="1" t="s">
        <v>176</v>
      </c>
      <c r="E380" s="1" t="s">
        <v>1000</v>
      </c>
      <c r="F380" s="1" t="s">
        <v>112</v>
      </c>
      <c r="G380" s="1">
        <v>132375</v>
      </c>
    </row>
    <row r="381" spans="1:7" x14ac:dyDescent="0.25">
      <c r="A381" s="1" t="str">
        <f t="shared" si="5"/>
        <v>10</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1001</v>
      </c>
      <c r="D381" s="1">
        <v>0</v>
      </c>
      <c r="E381" s="1">
        <v>0</v>
      </c>
      <c r="F381" s="1" t="s">
        <v>112</v>
      </c>
      <c r="G381" s="1">
        <v>0</v>
      </c>
    </row>
    <row r="382" spans="1:7" x14ac:dyDescent="0.25">
      <c r="A382" s="1" t="str">
        <f t="shared" si="5"/>
        <v>10</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1002</v>
      </c>
      <c r="D382" s="1" t="s">
        <v>1003</v>
      </c>
      <c r="E382" s="1" t="s">
        <v>1004</v>
      </c>
      <c r="F382" s="1" t="s">
        <v>112</v>
      </c>
      <c r="G382" s="1">
        <v>159823</v>
      </c>
    </row>
    <row r="383" spans="1:7" x14ac:dyDescent="0.25">
      <c r="A383" s="1" t="str">
        <f t="shared" si="5"/>
        <v>10</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1005</v>
      </c>
      <c r="D383" s="1" t="s">
        <v>149</v>
      </c>
      <c r="E383" s="1" t="s">
        <v>1006</v>
      </c>
      <c r="F383" s="1" t="s">
        <v>112</v>
      </c>
      <c r="G383" s="1">
        <v>186666</v>
      </c>
    </row>
    <row r="384" spans="1:7" x14ac:dyDescent="0.25">
      <c r="A384" s="1" t="str">
        <f t="shared" si="5"/>
        <v>10</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1007</v>
      </c>
      <c r="D384" s="1" t="s">
        <v>147</v>
      </c>
      <c r="E384" s="1" t="s">
        <v>1008</v>
      </c>
      <c r="F384" s="1" t="s">
        <v>112</v>
      </c>
      <c r="G384" s="1">
        <v>182102</v>
      </c>
    </row>
    <row r="385" spans="1:10" x14ac:dyDescent="0.25">
      <c r="A385" s="1" t="str">
        <f t="shared" si="5"/>
        <v>10</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1009</v>
      </c>
      <c r="D385" s="1" t="s">
        <v>1010</v>
      </c>
      <c r="E385" s="1" t="s">
        <v>1011</v>
      </c>
      <c r="F385" s="1" t="s">
        <v>112</v>
      </c>
      <c r="G385" s="1">
        <v>187207</v>
      </c>
    </row>
    <row r="386" spans="1:10" x14ac:dyDescent="0.25">
      <c r="A386" s="1" t="str">
        <f t="shared" ref="A386:A449" si="6">IFERROR(LEFT(RIGHT(C386,LEN(C386)-SEARCH("@",C386)),SEARCH("/",RIGHT(C386,LEN(C386)-SEARCH("@",C386)-1))),"")</f>
        <v>10</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1012</v>
      </c>
      <c r="D386" s="1" t="s">
        <v>1013</v>
      </c>
      <c r="E386" s="1" t="s">
        <v>1014</v>
      </c>
      <c r="F386" s="1" t="s">
        <v>112</v>
      </c>
      <c r="G386" s="1">
        <v>156730</v>
      </c>
    </row>
    <row r="387" spans="1:10" x14ac:dyDescent="0.25">
      <c r="A387" s="1" t="str">
        <f t="shared" si="6"/>
        <v>10</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1015</v>
      </c>
      <c r="D387" s="1" t="s">
        <v>549</v>
      </c>
      <c r="E387" s="1">
        <v>31</v>
      </c>
      <c r="F387" s="1" t="s">
        <v>112</v>
      </c>
      <c r="G387" s="1">
        <v>671</v>
      </c>
    </row>
    <row r="388" spans="1:10" x14ac:dyDescent="0.25">
      <c r="A388" s="1" t="str">
        <f t="shared" si="6"/>
        <v>10</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1016</v>
      </c>
      <c r="D388" s="1" t="s">
        <v>1017</v>
      </c>
      <c r="E388" s="1" t="s">
        <v>1018</v>
      </c>
      <c r="F388" s="1" t="s">
        <v>112</v>
      </c>
      <c r="G388" s="1">
        <v>29676</v>
      </c>
    </row>
    <row r="389" spans="1:10" x14ac:dyDescent="0.2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112</v>
      </c>
    </row>
    <row r="390" spans="1:10" x14ac:dyDescent="0.2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237</v>
      </c>
      <c r="D390" s="1" t="s">
        <v>112</v>
      </c>
      <c r="E390" s="1" t="s">
        <v>238</v>
      </c>
      <c r="F390" s="1" t="s">
        <v>239</v>
      </c>
      <c r="G390" s="1" t="s">
        <v>240</v>
      </c>
      <c r="H390" s="1" t="s">
        <v>241</v>
      </c>
      <c r="I390" s="1" t="s">
        <v>242</v>
      </c>
      <c r="J390" s="1" t="s">
        <v>243</v>
      </c>
    </row>
    <row r="391" spans="1:10" x14ac:dyDescent="0.25">
      <c r="A391" s="1" t="str">
        <f t="shared" si="6"/>
        <v>10</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1019</v>
      </c>
      <c r="D391" s="1" t="s">
        <v>112</v>
      </c>
      <c r="E391" s="1" t="s">
        <v>1020</v>
      </c>
      <c r="F391" s="1" t="s">
        <v>1021</v>
      </c>
      <c r="G391" s="1" t="s">
        <v>1022</v>
      </c>
      <c r="H391" s="1" t="s">
        <v>1023</v>
      </c>
      <c r="I391" s="1">
        <v>19</v>
      </c>
      <c r="J391" s="1">
        <v>24</v>
      </c>
    </row>
    <row r="392" spans="1:10" x14ac:dyDescent="0.2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112</v>
      </c>
    </row>
    <row r="393" spans="1:10" x14ac:dyDescent="0.2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10" x14ac:dyDescent="0.2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10" x14ac:dyDescent="0.2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10" x14ac:dyDescent="0.2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10" x14ac:dyDescent="0.2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249</v>
      </c>
      <c r="D397" s="1" t="s">
        <v>110</v>
      </c>
      <c r="E397" s="1" t="s">
        <v>111</v>
      </c>
      <c r="F397" s="1" t="s">
        <v>112</v>
      </c>
      <c r="G397" s="1" t="s">
        <v>113</v>
      </c>
    </row>
    <row r="398" spans="1:10" x14ac:dyDescent="0.25">
      <c r="A398" s="1" t="str">
        <f t="shared" si="6"/>
        <v>11</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1024</v>
      </c>
      <c r="D398" s="1" t="s">
        <v>1025</v>
      </c>
      <c r="E398" s="1" t="s">
        <v>1026</v>
      </c>
      <c r="F398" s="1" t="s">
        <v>112</v>
      </c>
      <c r="G398" s="1">
        <v>308442</v>
      </c>
    </row>
    <row r="399" spans="1:10" x14ac:dyDescent="0.25">
      <c r="A399" s="1" t="str">
        <f t="shared" si="6"/>
        <v>11</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1027</v>
      </c>
      <c r="D399" s="1" t="s">
        <v>1028</v>
      </c>
      <c r="E399" s="1" t="s">
        <v>1029</v>
      </c>
      <c r="F399" s="1" t="s">
        <v>112</v>
      </c>
      <c r="G399" s="1">
        <v>328407</v>
      </c>
    </row>
    <row r="400" spans="1:10" x14ac:dyDescent="0.25">
      <c r="A400" s="1" t="str">
        <f t="shared" si="6"/>
        <v>11</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1030</v>
      </c>
      <c r="D400" s="1" t="s">
        <v>227</v>
      </c>
      <c r="E400" s="1">
        <v>31</v>
      </c>
      <c r="F400" s="1" t="s">
        <v>112</v>
      </c>
      <c r="G400" s="1">
        <v>1341</v>
      </c>
    </row>
    <row r="401" spans="1:7" x14ac:dyDescent="0.25">
      <c r="A401" s="1" t="str">
        <f t="shared" si="6"/>
        <v>11</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1031</v>
      </c>
      <c r="D401" s="1" t="s">
        <v>1032</v>
      </c>
      <c r="E401" s="1" t="s">
        <v>1033</v>
      </c>
      <c r="F401" s="1" t="s">
        <v>112</v>
      </c>
      <c r="G401" s="1">
        <v>230358</v>
      </c>
    </row>
    <row r="402" spans="1:7" x14ac:dyDescent="0.25">
      <c r="A402" s="1" t="str">
        <f t="shared" si="6"/>
        <v>11</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1034</v>
      </c>
      <c r="D402" s="1" t="s">
        <v>1035</v>
      </c>
      <c r="E402" s="1" t="s">
        <v>1036</v>
      </c>
      <c r="F402" s="1" t="s">
        <v>112</v>
      </c>
      <c r="G402" s="1">
        <v>146867</v>
      </c>
    </row>
    <row r="403" spans="1:7" x14ac:dyDescent="0.25">
      <c r="A403" s="1" t="str">
        <f t="shared" si="6"/>
        <v>11</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1037</v>
      </c>
      <c r="D403" s="1" t="s">
        <v>1038</v>
      </c>
      <c r="E403" s="1" t="s">
        <v>1039</v>
      </c>
      <c r="F403" s="1" t="s">
        <v>112</v>
      </c>
      <c r="G403" s="1">
        <v>198671</v>
      </c>
    </row>
    <row r="404" spans="1:7" x14ac:dyDescent="0.25">
      <c r="A404" s="1" t="str">
        <f t="shared" si="6"/>
        <v>11</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1040</v>
      </c>
      <c r="D404" s="1" t="s">
        <v>322</v>
      </c>
      <c r="E404" s="1" t="s">
        <v>1041</v>
      </c>
      <c r="F404" s="1" t="s">
        <v>112</v>
      </c>
      <c r="G404" s="1">
        <v>82042</v>
      </c>
    </row>
    <row r="405" spans="1:7" x14ac:dyDescent="0.25">
      <c r="A405" s="1" t="str">
        <f t="shared" si="6"/>
        <v>11</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1042</v>
      </c>
      <c r="D405" s="1" t="s">
        <v>1043</v>
      </c>
      <c r="E405" s="1" t="s">
        <v>1044</v>
      </c>
      <c r="F405" s="1" t="s">
        <v>112</v>
      </c>
      <c r="G405" s="1">
        <v>54680</v>
      </c>
    </row>
    <row r="406" spans="1:7" x14ac:dyDescent="0.25">
      <c r="A406" s="1" t="str">
        <f t="shared" si="6"/>
        <v>11</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1045</v>
      </c>
      <c r="D406" s="1" t="s">
        <v>1046</v>
      </c>
      <c r="E406" s="1" t="s">
        <v>1047</v>
      </c>
      <c r="F406" s="1" t="s">
        <v>112</v>
      </c>
      <c r="G406" s="1">
        <v>22560</v>
      </c>
    </row>
    <row r="407" spans="1:7" x14ac:dyDescent="0.25">
      <c r="A407" s="1" t="str">
        <f t="shared" si="6"/>
        <v>11</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1048</v>
      </c>
      <c r="D407" s="1" t="s">
        <v>668</v>
      </c>
      <c r="E407" s="1" t="s">
        <v>1049</v>
      </c>
      <c r="F407" s="1" t="s">
        <v>112</v>
      </c>
      <c r="G407" s="1">
        <v>264836</v>
      </c>
    </row>
    <row r="408" spans="1:7" x14ac:dyDescent="0.25">
      <c r="A408" s="1" t="str">
        <f t="shared" si="6"/>
        <v>11</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1050</v>
      </c>
      <c r="D408" s="1" t="s">
        <v>1051</v>
      </c>
      <c r="E408" s="1" t="s">
        <v>1052</v>
      </c>
      <c r="F408" s="1" t="s">
        <v>112</v>
      </c>
      <c r="G408" s="1">
        <v>197503</v>
      </c>
    </row>
    <row r="409" spans="1:7" x14ac:dyDescent="0.25">
      <c r="A409" s="1" t="str">
        <f t="shared" si="6"/>
        <v>11</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1053</v>
      </c>
      <c r="D409" s="1" t="s">
        <v>1054</v>
      </c>
      <c r="E409" s="1" t="s">
        <v>1055</v>
      </c>
      <c r="F409" s="1" t="s">
        <v>112</v>
      </c>
      <c r="G409" s="1">
        <v>322653</v>
      </c>
    </row>
    <row r="410" spans="1:7" x14ac:dyDescent="0.25">
      <c r="A410" s="1" t="str">
        <f t="shared" si="6"/>
        <v>11</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1056</v>
      </c>
      <c r="D410" s="1" t="s">
        <v>595</v>
      </c>
      <c r="E410" s="1" t="s">
        <v>1057</v>
      </c>
      <c r="F410" s="1" t="s">
        <v>112</v>
      </c>
      <c r="G410" s="1">
        <v>122555</v>
      </c>
    </row>
    <row r="411" spans="1:7" x14ac:dyDescent="0.25">
      <c r="A411" s="1" t="str">
        <f t="shared" si="6"/>
        <v>11</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1058</v>
      </c>
      <c r="D411" s="1" t="s">
        <v>1059</v>
      </c>
      <c r="E411" s="1" t="s">
        <v>1060</v>
      </c>
      <c r="F411" s="1" t="s">
        <v>112</v>
      </c>
      <c r="G411" s="1">
        <v>182535</v>
      </c>
    </row>
    <row r="412" spans="1:7" x14ac:dyDescent="0.25">
      <c r="A412" s="1" t="str">
        <f t="shared" si="6"/>
        <v>11</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1061</v>
      </c>
      <c r="D412" s="1" t="s">
        <v>1062</v>
      </c>
      <c r="E412" s="1" t="s">
        <v>1063</v>
      </c>
      <c r="F412" s="1" t="s">
        <v>112</v>
      </c>
      <c r="G412" s="1">
        <v>184222</v>
      </c>
    </row>
    <row r="413" spans="1:7" x14ac:dyDescent="0.25">
      <c r="A413" s="1" t="str">
        <f t="shared" si="6"/>
        <v>11</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1064</v>
      </c>
      <c r="D413" s="1" t="s">
        <v>540</v>
      </c>
      <c r="E413" s="1" t="s">
        <v>1065</v>
      </c>
      <c r="F413" s="1" t="s">
        <v>112</v>
      </c>
      <c r="G413" s="1">
        <v>307404</v>
      </c>
    </row>
    <row r="414" spans="1:7" x14ac:dyDescent="0.25">
      <c r="A414" s="1" t="str">
        <f t="shared" si="6"/>
        <v>11</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1066</v>
      </c>
      <c r="D414" s="1" t="s">
        <v>1067</v>
      </c>
      <c r="E414" s="1" t="s">
        <v>1068</v>
      </c>
      <c r="F414" s="1" t="s">
        <v>112</v>
      </c>
      <c r="G414" s="1">
        <v>194431</v>
      </c>
    </row>
    <row r="415" spans="1:7" x14ac:dyDescent="0.25">
      <c r="A415" s="1" t="str">
        <f t="shared" si="6"/>
        <v>11</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1069</v>
      </c>
      <c r="D415" s="1" t="s">
        <v>1070</v>
      </c>
      <c r="E415" s="1" t="s">
        <v>1071</v>
      </c>
      <c r="F415" s="1" t="s">
        <v>112</v>
      </c>
      <c r="G415" s="1">
        <v>341363</v>
      </c>
    </row>
    <row r="416" spans="1:7" x14ac:dyDescent="0.25">
      <c r="A416" s="1" t="str">
        <f t="shared" si="6"/>
        <v>11</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1072</v>
      </c>
      <c r="D416" s="1" t="s">
        <v>1073</v>
      </c>
      <c r="E416" s="1" t="s">
        <v>1074</v>
      </c>
      <c r="F416" s="1" t="s">
        <v>112</v>
      </c>
      <c r="G416" s="1">
        <v>139902</v>
      </c>
    </row>
    <row r="417" spans="1:10" x14ac:dyDescent="0.25">
      <c r="A417" s="1" t="str">
        <f t="shared" si="6"/>
        <v>11</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1075</v>
      </c>
      <c r="D417" s="1" t="s">
        <v>1076</v>
      </c>
      <c r="E417" s="1" t="s">
        <v>1077</v>
      </c>
      <c r="F417" s="1" t="s">
        <v>112</v>
      </c>
      <c r="G417" s="1">
        <v>260251</v>
      </c>
    </row>
    <row r="418" spans="1:10" x14ac:dyDescent="0.25">
      <c r="A418" s="1" t="str">
        <f t="shared" si="6"/>
        <v>11</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1078</v>
      </c>
      <c r="D418" s="1" t="s">
        <v>173</v>
      </c>
      <c r="E418" s="1" t="s">
        <v>1079</v>
      </c>
      <c r="F418" s="1" t="s">
        <v>112</v>
      </c>
      <c r="G418" s="1">
        <v>169795</v>
      </c>
    </row>
    <row r="419" spans="1:10" x14ac:dyDescent="0.25">
      <c r="A419" s="1" t="str">
        <f t="shared" si="6"/>
        <v>11</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1080</v>
      </c>
      <c r="D419" s="1" t="s">
        <v>1054</v>
      </c>
      <c r="E419" s="1" t="s">
        <v>1081</v>
      </c>
      <c r="F419" s="1" t="s">
        <v>112</v>
      </c>
      <c r="G419" s="1">
        <v>370217</v>
      </c>
    </row>
    <row r="420" spans="1:10" x14ac:dyDescent="0.25">
      <c r="A420" s="1" t="str">
        <f t="shared" si="6"/>
        <v>11</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1082</v>
      </c>
      <c r="D420" s="1" t="s">
        <v>1083</v>
      </c>
      <c r="E420" s="1" t="s">
        <v>1084</v>
      </c>
      <c r="F420" s="1" t="s">
        <v>112</v>
      </c>
      <c r="G420" s="1">
        <v>260337</v>
      </c>
    </row>
    <row r="421" spans="1:10" x14ac:dyDescent="0.25">
      <c r="A421" s="1" t="str">
        <f t="shared" si="6"/>
        <v>11</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1085</v>
      </c>
      <c r="D421" s="1" t="s">
        <v>562</v>
      </c>
      <c r="E421" s="1" t="s">
        <v>1086</v>
      </c>
      <c r="F421" s="1" t="s">
        <v>112</v>
      </c>
      <c r="G421" s="1">
        <v>191533</v>
      </c>
    </row>
    <row r="422" spans="1:10" x14ac:dyDescent="0.2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112</v>
      </c>
    </row>
    <row r="423" spans="1:10" x14ac:dyDescent="0.2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237</v>
      </c>
      <c r="D423" s="1" t="s">
        <v>112</v>
      </c>
      <c r="E423" s="1" t="s">
        <v>238</v>
      </c>
      <c r="F423" s="1" t="s">
        <v>239</v>
      </c>
      <c r="G423" s="1" t="s">
        <v>240</v>
      </c>
      <c r="H423" s="1" t="s">
        <v>241</v>
      </c>
      <c r="I423" s="1" t="s">
        <v>242</v>
      </c>
      <c r="J423" s="1" t="s">
        <v>243</v>
      </c>
    </row>
    <row r="424" spans="1:10" x14ac:dyDescent="0.25">
      <c r="A424" s="1" t="str">
        <f t="shared" si="6"/>
        <v>11</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1087</v>
      </c>
      <c r="D424" s="1" t="s">
        <v>112</v>
      </c>
      <c r="E424" s="1" t="s">
        <v>1088</v>
      </c>
      <c r="F424" s="1" t="s">
        <v>1089</v>
      </c>
      <c r="G424" s="1" t="s">
        <v>1090</v>
      </c>
      <c r="H424" s="1" t="s">
        <v>1091</v>
      </c>
      <c r="I424" s="1">
        <v>24</v>
      </c>
      <c r="J424" s="1">
        <v>24</v>
      </c>
    </row>
    <row r="425" spans="1:10" x14ac:dyDescent="0.2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112</v>
      </c>
    </row>
    <row r="426" spans="1:10" x14ac:dyDescent="0.2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10" x14ac:dyDescent="0.2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10" x14ac:dyDescent="0.2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10" x14ac:dyDescent="0.2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10" x14ac:dyDescent="0.2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249</v>
      </c>
      <c r="D430" s="1" t="s">
        <v>110</v>
      </c>
      <c r="E430" s="1" t="s">
        <v>111</v>
      </c>
      <c r="F430" s="1" t="s">
        <v>112</v>
      </c>
      <c r="G430" s="1" t="s">
        <v>113</v>
      </c>
    </row>
    <row r="431" spans="1:10" x14ac:dyDescent="0.25">
      <c r="A431" s="1" t="str">
        <f t="shared" si="6"/>
        <v>12</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1092</v>
      </c>
    </row>
    <row r="432" spans="1:10" x14ac:dyDescent="0.25">
      <c r="A432" s="1" t="str">
        <f t="shared" si="6"/>
        <v>12</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1093</v>
      </c>
      <c r="D432" s="1" t="s">
        <v>1094</v>
      </c>
      <c r="E432" s="1" t="s">
        <v>1095</v>
      </c>
      <c r="F432" s="1" t="s">
        <v>112</v>
      </c>
      <c r="G432" s="1">
        <v>323453</v>
      </c>
    </row>
    <row r="433" spans="1:7" x14ac:dyDescent="0.25">
      <c r="A433" s="1" t="str">
        <f t="shared" si="6"/>
        <v>12</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1096</v>
      </c>
      <c r="D433" s="1" t="s">
        <v>983</v>
      </c>
      <c r="E433" s="1" t="s">
        <v>1097</v>
      </c>
      <c r="F433" s="1" t="s">
        <v>112</v>
      </c>
      <c r="G433" s="1">
        <v>209767</v>
      </c>
    </row>
    <row r="434" spans="1:7" x14ac:dyDescent="0.25">
      <c r="A434" s="1" t="str">
        <f t="shared" si="6"/>
        <v>12</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1098</v>
      </c>
      <c r="D434" s="1" t="s">
        <v>1099</v>
      </c>
      <c r="E434" s="1" t="s">
        <v>1100</v>
      </c>
      <c r="F434" s="1" t="s">
        <v>112</v>
      </c>
      <c r="G434" s="1">
        <v>289365</v>
      </c>
    </row>
    <row r="435" spans="1:7" x14ac:dyDescent="0.25">
      <c r="A435" s="1" t="str">
        <f t="shared" si="6"/>
        <v>12</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1101</v>
      </c>
      <c r="D435" s="1" t="s">
        <v>1102</v>
      </c>
      <c r="E435" s="1" t="s">
        <v>1103</v>
      </c>
      <c r="F435" s="1" t="s">
        <v>112</v>
      </c>
      <c r="G435" s="1">
        <v>364183</v>
      </c>
    </row>
    <row r="436" spans="1:7" x14ac:dyDescent="0.25">
      <c r="A436" s="1" t="str">
        <f t="shared" si="6"/>
        <v>12</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1104</v>
      </c>
      <c r="D436" s="1" t="s">
        <v>1105</v>
      </c>
      <c r="E436" s="1" t="s">
        <v>1106</v>
      </c>
      <c r="F436" s="1" t="s">
        <v>112</v>
      </c>
      <c r="G436" s="1">
        <v>368898</v>
      </c>
    </row>
    <row r="437" spans="1:7" x14ac:dyDescent="0.25">
      <c r="A437" s="1" t="str">
        <f t="shared" si="6"/>
        <v>12</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1107</v>
      </c>
      <c r="D437" s="1" t="s">
        <v>1108</v>
      </c>
      <c r="E437" s="1" t="s">
        <v>1109</v>
      </c>
      <c r="F437" s="1" t="s">
        <v>112</v>
      </c>
      <c r="G437" s="1">
        <v>204597</v>
      </c>
    </row>
    <row r="438" spans="1:7" x14ac:dyDescent="0.25">
      <c r="A438" s="1" t="str">
        <f t="shared" si="6"/>
        <v>12</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1110</v>
      </c>
      <c r="D438" s="1" t="s">
        <v>325</v>
      </c>
      <c r="E438" s="1" t="s">
        <v>1111</v>
      </c>
      <c r="F438" s="1" t="s">
        <v>112</v>
      </c>
      <c r="G438" s="1">
        <v>113168</v>
      </c>
    </row>
    <row r="439" spans="1:7" x14ac:dyDescent="0.25">
      <c r="A439" s="1" t="str">
        <f t="shared" si="6"/>
        <v>12</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1112</v>
      </c>
    </row>
    <row r="440" spans="1:7" x14ac:dyDescent="0.25">
      <c r="A440" s="1" t="str">
        <f t="shared" si="6"/>
        <v>12</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1113</v>
      </c>
      <c r="D440" s="1" t="s">
        <v>562</v>
      </c>
      <c r="E440" s="1" t="s">
        <v>1114</v>
      </c>
      <c r="F440" s="1" t="s">
        <v>112</v>
      </c>
      <c r="G440" s="1">
        <v>207496</v>
      </c>
    </row>
    <row r="441" spans="1:7" x14ac:dyDescent="0.25">
      <c r="A441" s="1" t="str">
        <f t="shared" si="6"/>
        <v>12</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1115</v>
      </c>
      <c r="D441" s="1" t="s">
        <v>1116</v>
      </c>
      <c r="E441" s="1" t="s">
        <v>1117</v>
      </c>
      <c r="F441" s="1" t="s">
        <v>112</v>
      </c>
      <c r="G441" s="1">
        <v>208123</v>
      </c>
    </row>
    <row r="442" spans="1:7" x14ac:dyDescent="0.25">
      <c r="A442" s="1" t="str">
        <f t="shared" si="6"/>
        <v>12</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1118</v>
      </c>
      <c r="D442" s="1" t="s">
        <v>1119</v>
      </c>
      <c r="E442" s="1" t="s">
        <v>1120</v>
      </c>
      <c r="F442" s="1" t="s">
        <v>112</v>
      </c>
      <c r="G442" s="1">
        <v>78019</v>
      </c>
    </row>
    <row r="443" spans="1:7" x14ac:dyDescent="0.25">
      <c r="A443" s="1" t="str">
        <f t="shared" si="6"/>
        <v>12</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1121</v>
      </c>
      <c r="D443" s="1" t="s">
        <v>1028</v>
      </c>
      <c r="E443" s="1" t="s">
        <v>1122</v>
      </c>
      <c r="F443" s="1" t="s">
        <v>112</v>
      </c>
      <c r="G443" s="1">
        <v>370931</v>
      </c>
    </row>
    <row r="444" spans="1:7" x14ac:dyDescent="0.25">
      <c r="A444" s="1" t="str">
        <f t="shared" si="6"/>
        <v>12</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1123</v>
      </c>
    </row>
    <row r="445" spans="1:7" x14ac:dyDescent="0.25">
      <c r="A445" s="1" t="str">
        <f t="shared" si="6"/>
        <v>12</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1124</v>
      </c>
    </row>
    <row r="446" spans="1:7" x14ac:dyDescent="0.25">
      <c r="A446" s="1" t="str">
        <f t="shared" si="6"/>
        <v>12</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1125</v>
      </c>
      <c r="D446" s="1" t="s">
        <v>203</v>
      </c>
      <c r="E446" s="1" t="s">
        <v>1126</v>
      </c>
      <c r="F446" s="1" t="s">
        <v>112</v>
      </c>
      <c r="G446" s="1">
        <v>263906</v>
      </c>
    </row>
    <row r="447" spans="1:7" x14ac:dyDescent="0.25">
      <c r="A447" s="1" t="str">
        <f t="shared" si="6"/>
        <v>12</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1127</v>
      </c>
      <c r="D447" s="1" t="s">
        <v>1128</v>
      </c>
      <c r="E447" s="1" t="s">
        <v>1129</v>
      </c>
      <c r="F447" s="1" t="s">
        <v>112</v>
      </c>
      <c r="G447" s="1">
        <v>166356</v>
      </c>
    </row>
    <row r="448" spans="1:7" x14ac:dyDescent="0.25">
      <c r="A448" s="1" t="str">
        <f t="shared" si="6"/>
        <v>12</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1130</v>
      </c>
      <c r="D448" s="1">
        <v>0</v>
      </c>
      <c r="E448" s="1">
        <v>0</v>
      </c>
      <c r="F448" s="1" t="s">
        <v>112</v>
      </c>
      <c r="G448" s="1">
        <v>0</v>
      </c>
    </row>
    <row r="449" spans="1:10" x14ac:dyDescent="0.25">
      <c r="A449" s="1" t="str">
        <f t="shared" si="6"/>
        <v>12</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1131</v>
      </c>
      <c r="D449" s="1" t="s">
        <v>203</v>
      </c>
      <c r="E449" s="1" t="s">
        <v>1132</v>
      </c>
      <c r="F449" s="1" t="s">
        <v>112</v>
      </c>
      <c r="G449" s="1">
        <v>280756</v>
      </c>
    </row>
    <row r="450" spans="1:10" x14ac:dyDescent="0.25">
      <c r="A450" s="1" t="str">
        <f t="shared" ref="A450:A513" si="7">IFERROR(LEFT(RIGHT(C450,LEN(C450)-SEARCH("@",C450)),SEARCH("/",RIGHT(C450,LEN(C450)-SEARCH("@",C450)-1))),"")</f>
        <v>12</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1133</v>
      </c>
      <c r="D450" s="1" t="s">
        <v>1134</v>
      </c>
      <c r="E450" s="1" t="s">
        <v>1135</v>
      </c>
      <c r="F450" s="1" t="s">
        <v>112</v>
      </c>
      <c r="G450" s="1">
        <v>284995</v>
      </c>
    </row>
    <row r="451" spans="1:10" x14ac:dyDescent="0.25">
      <c r="A451" s="1" t="str">
        <f t="shared" si="7"/>
        <v>12</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1136</v>
      </c>
      <c r="D451" s="1" t="s">
        <v>1137</v>
      </c>
      <c r="E451" s="1" t="s">
        <v>1138</v>
      </c>
      <c r="F451" s="1" t="s">
        <v>112</v>
      </c>
      <c r="G451" s="1">
        <v>332127</v>
      </c>
    </row>
    <row r="452" spans="1:10" x14ac:dyDescent="0.25">
      <c r="A452" s="1" t="str">
        <f t="shared" si="7"/>
        <v>12</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1139</v>
      </c>
      <c r="D452" s="1" t="s">
        <v>1140</v>
      </c>
      <c r="E452" s="1" t="s">
        <v>1141</v>
      </c>
      <c r="F452" s="1" t="s">
        <v>112</v>
      </c>
      <c r="G452" s="1">
        <v>375344</v>
      </c>
    </row>
    <row r="453" spans="1:10" x14ac:dyDescent="0.25">
      <c r="A453" s="1" t="str">
        <f t="shared" si="7"/>
        <v>12</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1142</v>
      </c>
      <c r="D453" s="1" t="s">
        <v>1143</v>
      </c>
      <c r="E453" s="1" t="s">
        <v>1144</v>
      </c>
      <c r="F453" s="1" t="s">
        <v>112</v>
      </c>
      <c r="G453" s="1">
        <v>502268</v>
      </c>
    </row>
    <row r="454" spans="1:10" x14ac:dyDescent="0.25">
      <c r="A454" s="1" t="str">
        <f t="shared" si="7"/>
        <v>12</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1145</v>
      </c>
      <c r="D454" s="1" t="s">
        <v>1146</v>
      </c>
      <c r="E454" s="1" t="s">
        <v>1147</v>
      </c>
      <c r="F454" s="1" t="s">
        <v>112</v>
      </c>
      <c r="G454" s="1">
        <v>459311</v>
      </c>
    </row>
    <row r="455" spans="1:10" x14ac:dyDescent="0.2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112</v>
      </c>
    </row>
    <row r="456" spans="1:10" x14ac:dyDescent="0.2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237</v>
      </c>
      <c r="D456" s="1" t="s">
        <v>112</v>
      </c>
      <c r="E456" s="1" t="s">
        <v>238</v>
      </c>
      <c r="F456" s="1" t="s">
        <v>239</v>
      </c>
      <c r="G456" s="1" t="s">
        <v>240</v>
      </c>
      <c r="H456" s="1" t="s">
        <v>241</v>
      </c>
      <c r="I456" s="1" t="s">
        <v>242</v>
      </c>
      <c r="J456" s="1" t="s">
        <v>243</v>
      </c>
    </row>
    <row r="457" spans="1:10" x14ac:dyDescent="0.25">
      <c r="A457" s="1" t="str">
        <f t="shared" si="7"/>
        <v>12</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1148</v>
      </c>
      <c r="D457" s="1" t="s">
        <v>112</v>
      </c>
      <c r="E457" s="1" t="s">
        <v>1149</v>
      </c>
      <c r="F457" s="1" t="s">
        <v>1150</v>
      </c>
      <c r="G457" s="1" t="s">
        <v>1151</v>
      </c>
      <c r="H457" s="1" t="s">
        <v>1152</v>
      </c>
      <c r="I457" s="1">
        <v>23</v>
      </c>
      <c r="J457" s="1">
        <v>24</v>
      </c>
    </row>
    <row r="458" spans="1:10" x14ac:dyDescent="0.2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112</v>
      </c>
    </row>
    <row r="459" spans="1:10" x14ac:dyDescent="0.2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10" x14ac:dyDescent="0.2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10" x14ac:dyDescent="0.2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10" x14ac:dyDescent="0.2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10" x14ac:dyDescent="0.2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249</v>
      </c>
      <c r="D463" s="1" t="s">
        <v>110</v>
      </c>
      <c r="E463" s="1" t="s">
        <v>111</v>
      </c>
      <c r="F463" s="1" t="s">
        <v>112</v>
      </c>
      <c r="G463" s="1" t="s">
        <v>113</v>
      </c>
    </row>
    <row r="464" spans="1:10" x14ac:dyDescent="0.25">
      <c r="A464" s="1" t="str">
        <f t="shared" si="7"/>
        <v>17</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1153</v>
      </c>
    </row>
    <row r="465" spans="1:7" x14ac:dyDescent="0.25">
      <c r="A465" s="1" t="str">
        <f t="shared" si="7"/>
        <v>17</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1154</v>
      </c>
    </row>
    <row r="466" spans="1:7" x14ac:dyDescent="0.25">
      <c r="A466" s="1" t="str">
        <f t="shared" si="7"/>
        <v>17</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1155</v>
      </c>
      <c r="D466" s="1" t="s">
        <v>1156</v>
      </c>
      <c r="E466" s="1" t="s">
        <v>1157</v>
      </c>
      <c r="F466" s="1" t="s">
        <v>112</v>
      </c>
      <c r="G466" s="1">
        <v>2129550</v>
      </c>
    </row>
    <row r="467" spans="1:7" x14ac:dyDescent="0.25">
      <c r="A467" s="1" t="str">
        <f t="shared" si="7"/>
        <v>17</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1158</v>
      </c>
      <c r="D467" s="1" t="s">
        <v>1159</v>
      </c>
      <c r="E467" s="1" t="s">
        <v>1160</v>
      </c>
      <c r="F467" s="1" t="s">
        <v>112</v>
      </c>
      <c r="G467" s="1">
        <v>845275</v>
      </c>
    </row>
    <row r="468" spans="1:7" x14ac:dyDescent="0.25">
      <c r="A468" s="1" t="str">
        <f t="shared" si="7"/>
        <v>17</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1161</v>
      </c>
      <c r="D468" s="1" t="s">
        <v>1162</v>
      </c>
      <c r="E468" s="1" t="s">
        <v>1163</v>
      </c>
      <c r="F468" s="1" t="s">
        <v>112</v>
      </c>
      <c r="G468" s="1">
        <v>1353145</v>
      </c>
    </row>
    <row r="469" spans="1:7" x14ac:dyDescent="0.25">
      <c r="A469" s="1" t="str">
        <f t="shared" si="7"/>
        <v>17</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1164</v>
      </c>
      <c r="D469" s="1" t="s">
        <v>1165</v>
      </c>
      <c r="E469" s="1" t="s">
        <v>1166</v>
      </c>
      <c r="F469" s="1" t="s">
        <v>112</v>
      </c>
      <c r="G469" s="1">
        <v>1009510</v>
      </c>
    </row>
    <row r="470" spans="1:7" x14ac:dyDescent="0.25">
      <c r="A470" s="1" t="str">
        <f t="shared" si="7"/>
        <v>17</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1167</v>
      </c>
      <c r="D470" s="1" t="s">
        <v>1168</v>
      </c>
      <c r="E470" s="1" t="s">
        <v>1169</v>
      </c>
      <c r="F470" s="1" t="s">
        <v>112</v>
      </c>
      <c r="G470" s="1">
        <v>2370896</v>
      </c>
    </row>
    <row r="471" spans="1:7" x14ac:dyDescent="0.25">
      <c r="A471" s="1" t="str">
        <f t="shared" si="7"/>
        <v>17</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1170</v>
      </c>
      <c r="D471" s="1" t="s">
        <v>1171</v>
      </c>
      <c r="E471" s="1" t="s">
        <v>1172</v>
      </c>
      <c r="F471" s="1" t="s">
        <v>112</v>
      </c>
      <c r="G471" s="1">
        <v>2618623</v>
      </c>
    </row>
    <row r="472" spans="1:7" x14ac:dyDescent="0.25">
      <c r="A472" s="1" t="str">
        <f t="shared" si="7"/>
        <v>17</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1173</v>
      </c>
      <c r="D472" s="1" t="s">
        <v>1174</v>
      </c>
      <c r="E472" s="1" t="s">
        <v>1175</v>
      </c>
      <c r="F472" s="1" t="s">
        <v>112</v>
      </c>
      <c r="G472" s="1">
        <v>2870806</v>
      </c>
    </row>
    <row r="473" spans="1:7" x14ac:dyDescent="0.25">
      <c r="A473" s="1" t="str">
        <f t="shared" si="7"/>
        <v>17</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1176</v>
      </c>
      <c r="D473" s="1" t="s">
        <v>1177</v>
      </c>
      <c r="E473" s="1" t="s">
        <v>1178</v>
      </c>
      <c r="F473" s="1" t="s">
        <v>112</v>
      </c>
      <c r="G473" s="1">
        <v>1351198</v>
      </c>
    </row>
    <row r="474" spans="1:7" x14ac:dyDescent="0.25">
      <c r="A474" s="1" t="str">
        <f t="shared" si="7"/>
        <v>17</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1179</v>
      </c>
      <c r="D474" s="1" t="s">
        <v>1180</v>
      </c>
      <c r="E474" s="1" t="s">
        <v>1181</v>
      </c>
      <c r="F474" s="1" t="s">
        <v>112</v>
      </c>
      <c r="G474" s="1">
        <v>1854050</v>
      </c>
    </row>
    <row r="475" spans="1:7" x14ac:dyDescent="0.25">
      <c r="A475" s="1" t="str">
        <f t="shared" si="7"/>
        <v>17</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1182</v>
      </c>
      <c r="D475" s="1" t="s">
        <v>1183</v>
      </c>
      <c r="E475" s="1" t="s">
        <v>1184</v>
      </c>
      <c r="F475" s="1" t="s">
        <v>112</v>
      </c>
      <c r="G475" s="1">
        <v>1907173</v>
      </c>
    </row>
    <row r="476" spans="1:7" x14ac:dyDescent="0.25">
      <c r="A476" s="1" t="str">
        <f t="shared" si="7"/>
        <v>17</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1185</v>
      </c>
      <c r="D476" s="1" t="s">
        <v>1186</v>
      </c>
      <c r="E476" s="1" t="s">
        <v>1187</v>
      </c>
      <c r="F476" s="1" t="s">
        <v>112</v>
      </c>
      <c r="G476" s="1">
        <v>105792</v>
      </c>
    </row>
    <row r="477" spans="1:7" x14ac:dyDescent="0.25">
      <c r="A477" s="1" t="str">
        <f t="shared" si="7"/>
        <v>17</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1188</v>
      </c>
      <c r="D477" s="1" t="s">
        <v>1189</v>
      </c>
      <c r="E477" s="1" t="s">
        <v>1190</v>
      </c>
      <c r="F477" s="1" t="s">
        <v>112</v>
      </c>
      <c r="G477" s="1">
        <v>323324</v>
      </c>
    </row>
    <row r="478" spans="1:7" x14ac:dyDescent="0.25">
      <c r="A478" s="1" t="str">
        <f t="shared" si="7"/>
        <v>17</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1191</v>
      </c>
      <c r="D478" s="1" t="s">
        <v>1192</v>
      </c>
      <c r="E478" s="1" t="s">
        <v>1193</v>
      </c>
      <c r="F478" s="1" t="s">
        <v>112</v>
      </c>
      <c r="G478" s="1">
        <v>443586</v>
      </c>
    </row>
    <row r="479" spans="1:7" x14ac:dyDescent="0.25">
      <c r="A479" s="1" t="str">
        <f t="shared" si="7"/>
        <v>17</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1194</v>
      </c>
      <c r="D479" s="1" t="s">
        <v>1195</v>
      </c>
      <c r="E479" s="1" t="s">
        <v>1196</v>
      </c>
      <c r="F479" s="1" t="s">
        <v>112</v>
      </c>
      <c r="G479" s="1">
        <v>1107797</v>
      </c>
    </row>
    <row r="480" spans="1:7" x14ac:dyDescent="0.25">
      <c r="A480" s="1" t="str">
        <f t="shared" si="7"/>
        <v>17</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1197</v>
      </c>
      <c r="D480" s="1" t="s">
        <v>1198</v>
      </c>
      <c r="E480" s="1" t="s">
        <v>1199</v>
      </c>
      <c r="F480" s="1" t="s">
        <v>112</v>
      </c>
      <c r="G480" s="1">
        <v>743484</v>
      </c>
    </row>
    <row r="481" spans="1:10" x14ac:dyDescent="0.25">
      <c r="A481" s="1" t="str">
        <f t="shared" si="7"/>
        <v>17</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1200</v>
      </c>
      <c r="D481" s="1" t="s">
        <v>1201</v>
      </c>
      <c r="E481" s="1" t="s">
        <v>1202</v>
      </c>
      <c r="F481" s="1" t="s">
        <v>112</v>
      </c>
      <c r="G481" s="1">
        <v>1103687</v>
      </c>
    </row>
    <row r="482" spans="1:10" x14ac:dyDescent="0.25">
      <c r="A482" s="1" t="str">
        <f t="shared" si="7"/>
        <v>17</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1203</v>
      </c>
    </row>
    <row r="483" spans="1:10" x14ac:dyDescent="0.25">
      <c r="A483" s="1" t="str">
        <f t="shared" si="7"/>
        <v>17</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1204</v>
      </c>
    </row>
    <row r="484" spans="1:10" x14ac:dyDescent="0.25">
      <c r="A484" s="1" t="str">
        <f t="shared" si="7"/>
        <v>17</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1205</v>
      </c>
    </row>
    <row r="485" spans="1:10" x14ac:dyDescent="0.25">
      <c r="A485" s="1" t="str">
        <f t="shared" si="7"/>
        <v>17</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1206</v>
      </c>
      <c r="D485" s="1" t="s">
        <v>1207</v>
      </c>
      <c r="E485" s="1" t="s">
        <v>1208</v>
      </c>
      <c r="F485" s="1" t="s">
        <v>112</v>
      </c>
      <c r="G485" s="1">
        <v>864374</v>
      </c>
    </row>
    <row r="486" spans="1:10" x14ac:dyDescent="0.25">
      <c r="A486" s="1" t="str">
        <f t="shared" si="7"/>
        <v>17</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1209</v>
      </c>
      <c r="D486" s="1" t="s">
        <v>1210</v>
      </c>
      <c r="E486" s="1" t="s">
        <v>1211</v>
      </c>
      <c r="F486" s="1" t="s">
        <v>112</v>
      </c>
      <c r="G486" s="1">
        <v>901923</v>
      </c>
    </row>
    <row r="487" spans="1:10" x14ac:dyDescent="0.25">
      <c r="A487" s="1" t="str">
        <f t="shared" si="7"/>
        <v>17</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1212</v>
      </c>
      <c r="D487" s="1" t="s">
        <v>1213</v>
      </c>
      <c r="E487" s="1" t="s">
        <v>1214</v>
      </c>
      <c r="F487" s="1" t="s">
        <v>112</v>
      </c>
      <c r="G487" s="1">
        <v>1097760</v>
      </c>
    </row>
    <row r="488" spans="1:10" x14ac:dyDescent="0.2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112</v>
      </c>
    </row>
    <row r="489" spans="1:10" x14ac:dyDescent="0.2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237</v>
      </c>
      <c r="D489" s="1" t="s">
        <v>112</v>
      </c>
      <c r="E489" s="1" t="s">
        <v>238</v>
      </c>
      <c r="F489" s="1" t="s">
        <v>239</v>
      </c>
      <c r="G489" s="1" t="s">
        <v>240</v>
      </c>
      <c r="H489" s="1" t="s">
        <v>241</v>
      </c>
      <c r="I489" s="1" t="s">
        <v>242</v>
      </c>
      <c r="J489" s="1" t="s">
        <v>243</v>
      </c>
    </row>
    <row r="490" spans="1:10" x14ac:dyDescent="0.25">
      <c r="A490" s="1" t="str">
        <f t="shared" si="7"/>
        <v>17</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1215</v>
      </c>
      <c r="D490" s="1" t="s">
        <v>112</v>
      </c>
      <c r="E490" s="1" t="s">
        <v>1216</v>
      </c>
      <c r="F490" s="1" t="s">
        <v>1217</v>
      </c>
      <c r="G490" s="1" t="s">
        <v>1218</v>
      </c>
      <c r="H490" s="1" t="s">
        <v>1219</v>
      </c>
      <c r="I490" s="1">
        <v>24</v>
      </c>
      <c r="J490" s="1">
        <v>24</v>
      </c>
    </row>
    <row r="491" spans="1:10" x14ac:dyDescent="0.2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10" x14ac:dyDescent="0.2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10" x14ac:dyDescent="0.2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10" x14ac:dyDescent="0.2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10" x14ac:dyDescent="0.2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10" x14ac:dyDescent="0.2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249</v>
      </c>
      <c r="D496" s="1" t="s">
        <v>110</v>
      </c>
      <c r="E496" s="1" t="s">
        <v>111</v>
      </c>
      <c r="F496" s="1" t="s">
        <v>112</v>
      </c>
      <c r="G496" s="1" t="s">
        <v>113</v>
      </c>
    </row>
    <row r="497" spans="1:7" x14ac:dyDescent="0.25">
      <c r="A497" s="1" t="str">
        <f t="shared" si="7"/>
        <v>18</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1220</v>
      </c>
    </row>
    <row r="498" spans="1:7" x14ac:dyDescent="0.25">
      <c r="A498" s="1" t="str">
        <f t="shared" si="7"/>
        <v>18</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1221</v>
      </c>
    </row>
    <row r="499" spans="1:7" x14ac:dyDescent="0.25">
      <c r="A499" s="1" t="str">
        <f t="shared" si="7"/>
        <v>18</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1222</v>
      </c>
    </row>
    <row r="500" spans="1:7" x14ac:dyDescent="0.25">
      <c r="A500" s="1" t="str">
        <f t="shared" si="7"/>
        <v>18</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1223</v>
      </c>
      <c r="D500" s="1" t="s">
        <v>1224</v>
      </c>
      <c r="E500" s="1" t="s">
        <v>1225</v>
      </c>
      <c r="F500" s="1" t="s">
        <v>112</v>
      </c>
      <c r="G500" s="1">
        <v>788453</v>
      </c>
    </row>
    <row r="501" spans="1:7" x14ac:dyDescent="0.25">
      <c r="A501" s="1" t="str">
        <f t="shared" si="7"/>
        <v>18</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1226</v>
      </c>
      <c r="D501" s="1" t="s">
        <v>1227</v>
      </c>
      <c r="E501" s="1" t="s">
        <v>1228</v>
      </c>
      <c r="F501" s="1" t="s">
        <v>112</v>
      </c>
      <c r="G501" s="1">
        <v>1451885</v>
      </c>
    </row>
    <row r="502" spans="1:7" x14ac:dyDescent="0.25">
      <c r="A502" s="1" t="str">
        <f t="shared" si="7"/>
        <v>18</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1229</v>
      </c>
      <c r="D502" s="1" t="s">
        <v>1230</v>
      </c>
      <c r="E502" s="1" t="s">
        <v>1231</v>
      </c>
      <c r="F502" s="1" t="s">
        <v>112</v>
      </c>
      <c r="G502" s="1">
        <v>869652</v>
      </c>
    </row>
    <row r="503" spans="1:7" x14ac:dyDescent="0.25">
      <c r="A503" s="1" t="str">
        <f t="shared" si="7"/>
        <v>18</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1232</v>
      </c>
      <c r="D503" s="1" t="s">
        <v>1233</v>
      </c>
      <c r="E503" s="1" t="s">
        <v>1234</v>
      </c>
      <c r="F503" s="1" t="s">
        <v>112</v>
      </c>
      <c r="G503" s="1">
        <v>2114538</v>
      </c>
    </row>
    <row r="504" spans="1:7" x14ac:dyDescent="0.25">
      <c r="A504" s="1" t="str">
        <f t="shared" si="7"/>
        <v>18</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1235</v>
      </c>
      <c r="D504" s="1" t="s">
        <v>1236</v>
      </c>
      <c r="E504" s="1" t="s">
        <v>1237</v>
      </c>
      <c r="F504" s="1" t="s">
        <v>112</v>
      </c>
      <c r="G504" s="1">
        <v>1722453</v>
      </c>
    </row>
    <row r="505" spans="1:7" x14ac:dyDescent="0.25">
      <c r="A505" s="1" t="str">
        <f t="shared" si="7"/>
        <v>18</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1238</v>
      </c>
      <c r="D505" s="1" t="s">
        <v>1239</v>
      </c>
      <c r="E505" s="1" t="s">
        <v>1240</v>
      </c>
      <c r="F505" s="1" t="s">
        <v>112</v>
      </c>
      <c r="G505" s="1">
        <v>2416059</v>
      </c>
    </row>
    <row r="506" spans="1:7" x14ac:dyDescent="0.25">
      <c r="A506" s="1" t="str">
        <f t="shared" si="7"/>
        <v>18</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1241</v>
      </c>
      <c r="D506" s="1" t="s">
        <v>1242</v>
      </c>
      <c r="E506" s="1" t="s">
        <v>1243</v>
      </c>
      <c r="F506" s="1" t="s">
        <v>112</v>
      </c>
      <c r="G506" s="1">
        <v>1289834</v>
      </c>
    </row>
    <row r="507" spans="1:7" x14ac:dyDescent="0.25">
      <c r="A507" s="1" t="str">
        <f t="shared" si="7"/>
        <v>18</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1244</v>
      </c>
      <c r="D507" s="1" t="s">
        <v>1245</v>
      </c>
      <c r="E507" s="1" t="s">
        <v>1246</v>
      </c>
      <c r="F507" s="1" t="s">
        <v>112</v>
      </c>
      <c r="G507" s="1">
        <v>807639</v>
      </c>
    </row>
    <row r="508" spans="1:7" x14ac:dyDescent="0.25">
      <c r="A508" s="1" t="str">
        <f t="shared" si="7"/>
        <v>18</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1247</v>
      </c>
      <c r="D508" s="1" t="s">
        <v>1248</v>
      </c>
      <c r="E508" s="1" t="s">
        <v>1249</v>
      </c>
      <c r="F508" s="1" t="s">
        <v>112</v>
      </c>
      <c r="G508" s="1">
        <v>881808</v>
      </c>
    </row>
    <row r="509" spans="1:7" x14ac:dyDescent="0.25">
      <c r="A509" s="1" t="str">
        <f t="shared" si="7"/>
        <v>18</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1250</v>
      </c>
      <c r="D509" s="1" t="s">
        <v>1251</v>
      </c>
      <c r="E509" s="1" t="s">
        <v>1252</v>
      </c>
      <c r="F509" s="1" t="s">
        <v>112</v>
      </c>
      <c r="G509" s="1">
        <v>2461244</v>
      </c>
    </row>
    <row r="510" spans="1:7" x14ac:dyDescent="0.25">
      <c r="A510" s="1" t="str">
        <f t="shared" si="7"/>
        <v>18</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1253</v>
      </c>
      <c r="D510" s="1" t="s">
        <v>1254</v>
      </c>
      <c r="E510" s="1" t="s">
        <v>1255</v>
      </c>
      <c r="F510" s="1" t="s">
        <v>112</v>
      </c>
      <c r="G510" s="1">
        <v>2203113</v>
      </c>
    </row>
    <row r="511" spans="1:7" x14ac:dyDescent="0.25">
      <c r="A511" s="1" t="str">
        <f t="shared" si="7"/>
        <v>18</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1256</v>
      </c>
      <c r="D511" s="1" t="s">
        <v>1257</v>
      </c>
      <c r="E511" s="1" t="s">
        <v>1258</v>
      </c>
      <c r="F511" s="1" t="s">
        <v>112</v>
      </c>
      <c r="G511" s="1">
        <v>1821691</v>
      </c>
    </row>
    <row r="512" spans="1:7" x14ac:dyDescent="0.25">
      <c r="A512" s="1" t="str">
        <f t="shared" si="7"/>
        <v>18</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1259</v>
      </c>
      <c r="D512" s="1" t="s">
        <v>1183</v>
      </c>
      <c r="E512" s="1" t="s">
        <v>1260</v>
      </c>
      <c r="F512" s="1" t="s">
        <v>112</v>
      </c>
      <c r="G512" s="1">
        <v>1788533</v>
      </c>
    </row>
    <row r="513" spans="1:10" x14ac:dyDescent="0.25">
      <c r="A513" s="1" t="str">
        <f t="shared" si="7"/>
        <v>18</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1261</v>
      </c>
      <c r="D513" s="1" t="s">
        <v>1262</v>
      </c>
      <c r="E513" s="1" t="s">
        <v>1263</v>
      </c>
      <c r="F513" s="1" t="s">
        <v>112</v>
      </c>
      <c r="G513" s="1">
        <v>1346656</v>
      </c>
    </row>
    <row r="514" spans="1:10" x14ac:dyDescent="0.25">
      <c r="A514" s="1" t="str">
        <f t="shared" ref="A514:A577" si="8">IFERROR(LEFT(RIGHT(C514,LEN(C514)-SEARCH("@",C514)),SEARCH("/",RIGHT(C514,LEN(C514)-SEARCH("@",C514)-1))),"")</f>
        <v>18</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1264</v>
      </c>
      <c r="D514" s="1" t="s">
        <v>1265</v>
      </c>
      <c r="E514" s="1" t="s">
        <v>1266</v>
      </c>
      <c r="F514" s="1" t="s">
        <v>112</v>
      </c>
      <c r="G514" s="1">
        <v>1217049</v>
      </c>
    </row>
    <row r="515" spans="1:10" x14ac:dyDescent="0.25">
      <c r="A515" s="1" t="str">
        <f t="shared" si="8"/>
        <v>18</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1267</v>
      </c>
      <c r="D515" s="1" t="s">
        <v>1268</v>
      </c>
      <c r="E515" s="1" t="s">
        <v>1269</v>
      </c>
      <c r="F515" s="1" t="s">
        <v>112</v>
      </c>
      <c r="G515" s="1">
        <v>104364</v>
      </c>
    </row>
    <row r="516" spans="1:10" x14ac:dyDescent="0.25">
      <c r="A516" s="1" t="str">
        <f t="shared" si="8"/>
        <v>18</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1270</v>
      </c>
      <c r="D516" s="1" t="s">
        <v>1271</v>
      </c>
      <c r="E516" s="1" t="s">
        <v>1272</v>
      </c>
      <c r="F516" s="1" t="s">
        <v>112</v>
      </c>
      <c r="G516" s="1">
        <v>124740</v>
      </c>
    </row>
    <row r="517" spans="1:10" x14ac:dyDescent="0.25">
      <c r="A517" s="1" t="str">
        <f t="shared" si="8"/>
        <v>18</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1273</v>
      </c>
      <c r="D517" s="1" t="s">
        <v>1274</v>
      </c>
      <c r="E517" s="1" t="s">
        <v>1275</v>
      </c>
      <c r="F517" s="1" t="s">
        <v>112</v>
      </c>
      <c r="G517" s="1">
        <v>107198</v>
      </c>
    </row>
    <row r="518" spans="1:10" x14ac:dyDescent="0.25">
      <c r="A518" s="1" t="str">
        <f t="shared" si="8"/>
        <v>18</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1276</v>
      </c>
      <c r="D518" s="1" t="s">
        <v>1277</v>
      </c>
      <c r="E518" s="1" t="s">
        <v>1278</v>
      </c>
      <c r="F518" s="1" t="s">
        <v>112</v>
      </c>
      <c r="G518" s="1">
        <v>712943</v>
      </c>
    </row>
    <row r="519" spans="1:10" x14ac:dyDescent="0.25">
      <c r="A519" s="1" t="str">
        <f t="shared" si="8"/>
        <v>18</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1279</v>
      </c>
      <c r="D519" s="1" t="s">
        <v>1280</v>
      </c>
      <c r="E519" s="1" t="s">
        <v>1281</v>
      </c>
      <c r="F519" s="1" t="s">
        <v>112</v>
      </c>
      <c r="G519" s="1">
        <v>633929</v>
      </c>
    </row>
    <row r="520" spans="1:10" x14ac:dyDescent="0.25">
      <c r="A520" s="1" t="str">
        <f t="shared" si="8"/>
        <v>18</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1282</v>
      </c>
      <c r="D520" s="1" t="s">
        <v>1283</v>
      </c>
      <c r="E520" s="1" t="s">
        <v>1284</v>
      </c>
      <c r="F520" s="1" t="s">
        <v>112</v>
      </c>
      <c r="G520" s="1">
        <v>297000</v>
      </c>
    </row>
    <row r="521" spans="1:10" x14ac:dyDescent="0.2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112</v>
      </c>
    </row>
    <row r="522" spans="1:10" x14ac:dyDescent="0.2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237</v>
      </c>
      <c r="D522" s="1" t="s">
        <v>112</v>
      </c>
      <c r="E522" s="1" t="s">
        <v>238</v>
      </c>
      <c r="F522" s="1" t="s">
        <v>239</v>
      </c>
      <c r="G522" s="1" t="s">
        <v>240</v>
      </c>
      <c r="H522" s="1" t="s">
        <v>241</v>
      </c>
      <c r="I522" s="1" t="s">
        <v>242</v>
      </c>
      <c r="J522" s="1" t="s">
        <v>243</v>
      </c>
    </row>
    <row r="523" spans="1:10" x14ac:dyDescent="0.25">
      <c r="A523" s="1" t="str">
        <f t="shared" si="8"/>
        <v>18</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1285</v>
      </c>
      <c r="D523" s="1" t="s">
        <v>112</v>
      </c>
      <c r="E523" s="1" t="s">
        <v>1286</v>
      </c>
      <c r="F523" s="1" t="s">
        <v>1287</v>
      </c>
      <c r="G523" s="1" t="s">
        <v>1288</v>
      </c>
      <c r="H523" s="1" t="s">
        <v>1289</v>
      </c>
      <c r="I523" s="1">
        <v>24</v>
      </c>
      <c r="J523" s="1">
        <v>24</v>
      </c>
    </row>
    <row r="524" spans="1:10" x14ac:dyDescent="0.2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112</v>
      </c>
    </row>
    <row r="525" spans="1:10" x14ac:dyDescent="0.2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10" x14ac:dyDescent="0.2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10" x14ac:dyDescent="0.2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10" x14ac:dyDescent="0.2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2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249</v>
      </c>
      <c r="D529" s="1" t="s">
        <v>110</v>
      </c>
      <c r="E529" s="1" t="s">
        <v>111</v>
      </c>
      <c r="F529" s="1" t="s">
        <v>112</v>
      </c>
      <c r="G529" s="1" t="s">
        <v>113</v>
      </c>
    </row>
    <row r="530" spans="1:7" x14ac:dyDescent="0.25">
      <c r="A530" s="1" t="str">
        <f t="shared" si="8"/>
        <v>19</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1290</v>
      </c>
      <c r="D530" s="1" t="s">
        <v>1291</v>
      </c>
      <c r="E530" s="1" t="s">
        <v>1292</v>
      </c>
      <c r="F530" s="1" t="s">
        <v>112</v>
      </c>
      <c r="G530" s="1">
        <v>4067112</v>
      </c>
    </row>
    <row r="531" spans="1:7" x14ac:dyDescent="0.25">
      <c r="A531" s="1" t="str">
        <f t="shared" si="8"/>
        <v>19</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1293</v>
      </c>
      <c r="D531" s="1" t="s">
        <v>1294</v>
      </c>
      <c r="E531" s="1" t="s">
        <v>1295</v>
      </c>
      <c r="F531" s="1" t="s">
        <v>112</v>
      </c>
      <c r="G531" s="1">
        <v>4071222</v>
      </c>
    </row>
    <row r="532" spans="1:7" x14ac:dyDescent="0.25">
      <c r="A532" s="1" t="str">
        <f t="shared" si="8"/>
        <v>19</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1296</v>
      </c>
      <c r="D532" s="1" t="s">
        <v>1297</v>
      </c>
      <c r="E532" s="1" t="s">
        <v>1298</v>
      </c>
      <c r="F532" s="1" t="s">
        <v>112</v>
      </c>
      <c r="G532" s="1">
        <v>3762412</v>
      </c>
    </row>
    <row r="533" spans="1:7" x14ac:dyDescent="0.25">
      <c r="A533" s="1" t="str">
        <f t="shared" si="8"/>
        <v>19</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1299</v>
      </c>
      <c r="D533" s="1" t="s">
        <v>1300</v>
      </c>
      <c r="E533" s="1" t="s">
        <v>1301</v>
      </c>
      <c r="F533" s="1" t="s">
        <v>112</v>
      </c>
      <c r="G533" s="1">
        <v>4560620</v>
      </c>
    </row>
    <row r="534" spans="1:7" x14ac:dyDescent="0.25">
      <c r="A534" s="1" t="str">
        <f t="shared" si="8"/>
        <v>19</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1302</v>
      </c>
      <c r="D534" s="1" t="s">
        <v>1303</v>
      </c>
      <c r="E534" s="1" t="s">
        <v>1304</v>
      </c>
      <c r="F534" s="1" t="s">
        <v>112</v>
      </c>
      <c r="G534" s="1">
        <v>4523135</v>
      </c>
    </row>
    <row r="535" spans="1:7" x14ac:dyDescent="0.25">
      <c r="A535" s="1" t="str">
        <f t="shared" si="8"/>
        <v>19</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1305</v>
      </c>
      <c r="D535" s="1" t="s">
        <v>1306</v>
      </c>
      <c r="E535" s="1" t="s">
        <v>1307</v>
      </c>
      <c r="F535" s="1" t="s">
        <v>112</v>
      </c>
      <c r="G535" s="1">
        <v>4409600</v>
      </c>
    </row>
    <row r="536" spans="1:7" x14ac:dyDescent="0.25">
      <c r="A536" s="1" t="str">
        <f t="shared" si="8"/>
        <v>19</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1308</v>
      </c>
      <c r="D536" s="1" t="s">
        <v>1309</v>
      </c>
      <c r="E536" s="1" t="s">
        <v>1310</v>
      </c>
      <c r="F536" s="1" t="s">
        <v>112</v>
      </c>
      <c r="G536" s="1">
        <v>2958861</v>
      </c>
    </row>
    <row r="537" spans="1:7" x14ac:dyDescent="0.25">
      <c r="A537" s="1" t="str">
        <f t="shared" si="8"/>
        <v>19</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1311</v>
      </c>
      <c r="D537" s="1" t="s">
        <v>1312</v>
      </c>
      <c r="E537" s="1" t="s">
        <v>1313</v>
      </c>
      <c r="F537" s="1" t="s">
        <v>112</v>
      </c>
      <c r="G537" s="1">
        <v>2854000</v>
      </c>
    </row>
    <row r="538" spans="1:7" x14ac:dyDescent="0.25">
      <c r="A538" s="1" t="str">
        <f t="shared" si="8"/>
        <v>19</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1314</v>
      </c>
      <c r="D538" s="1" t="s">
        <v>1315</v>
      </c>
      <c r="E538" s="1" t="s">
        <v>1316</v>
      </c>
      <c r="F538" s="1" t="s">
        <v>112</v>
      </c>
      <c r="G538" s="1">
        <v>2816018</v>
      </c>
    </row>
    <row r="539" spans="1:7" x14ac:dyDescent="0.25">
      <c r="A539" s="1" t="str">
        <f t="shared" si="8"/>
        <v>19</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1317</v>
      </c>
      <c r="D539" s="1" t="s">
        <v>1318</v>
      </c>
      <c r="E539" s="1" t="s">
        <v>1319</v>
      </c>
      <c r="F539" s="1" t="s">
        <v>112</v>
      </c>
      <c r="G539" s="1">
        <v>1708913</v>
      </c>
    </row>
    <row r="540" spans="1:7" x14ac:dyDescent="0.25">
      <c r="A540" s="1" t="str">
        <f t="shared" si="8"/>
        <v>19</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1320</v>
      </c>
      <c r="D540" s="1" t="s">
        <v>1321</v>
      </c>
      <c r="E540" s="1" t="s">
        <v>1322</v>
      </c>
      <c r="F540" s="1" t="s">
        <v>112</v>
      </c>
      <c r="G540" s="1">
        <v>2012748</v>
      </c>
    </row>
    <row r="541" spans="1:7" x14ac:dyDescent="0.25">
      <c r="A541" s="1" t="str">
        <f t="shared" si="8"/>
        <v>19</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1323</v>
      </c>
      <c r="D541" s="1" t="s">
        <v>1324</v>
      </c>
      <c r="E541" s="1" t="s">
        <v>1325</v>
      </c>
      <c r="F541" s="1" t="s">
        <v>112</v>
      </c>
      <c r="G541" s="1">
        <v>2153559</v>
      </c>
    </row>
    <row r="542" spans="1:7" x14ac:dyDescent="0.25">
      <c r="A542" s="1" t="str">
        <f t="shared" si="8"/>
        <v>19</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1326</v>
      </c>
      <c r="D542" s="1" t="s">
        <v>1327</v>
      </c>
      <c r="E542" s="1" t="s">
        <v>1328</v>
      </c>
      <c r="F542" s="1" t="s">
        <v>112</v>
      </c>
      <c r="G542" s="1">
        <v>2685589</v>
      </c>
    </row>
    <row r="543" spans="1:7" x14ac:dyDescent="0.25">
      <c r="A543" s="1" t="str">
        <f t="shared" si="8"/>
        <v>19</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1329</v>
      </c>
      <c r="D543" s="1" t="s">
        <v>1330</v>
      </c>
      <c r="E543" s="1" t="s">
        <v>1331</v>
      </c>
      <c r="F543" s="1" t="s">
        <v>112</v>
      </c>
      <c r="G543" s="1">
        <v>2818894</v>
      </c>
    </row>
    <row r="544" spans="1:7" x14ac:dyDescent="0.25">
      <c r="A544" s="1" t="str">
        <f t="shared" si="8"/>
        <v>19</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1332</v>
      </c>
      <c r="D544" s="1" t="s">
        <v>1333</v>
      </c>
      <c r="E544" s="1" t="s">
        <v>1334</v>
      </c>
      <c r="F544" s="1" t="s">
        <v>112</v>
      </c>
      <c r="G544" s="1">
        <v>3408893</v>
      </c>
    </row>
    <row r="545" spans="1:10" x14ac:dyDescent="0.25">
      <c r="A545" s="1" t="str">
        <f t="shared" si="8"/>
        <v>19</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1335</v>
      </c>
      <c r="D545" s="1" t="s">
        <v>1336</v>
      </c>
      <c r="E545" s="1" t="s">
        <v>1337</v>
      </c>
      <c r="F545" s="1" t="s">
        <v>112</v>
      </c>
      <c r="G545" s="1">
        <v>1395799</v>
      </c>
    </row>
    <row r="546" spans="1:10" x14ac:dyDescent="0.25">
      <c r="A546" s="1" t="str">
        <f t="shared" si="8"/>
        <v>19</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1338</v>
      </c>
      <c r="D546" s="1" t="s">
        <v>1339</v>
      </c>
      <c r="E546" s="1" t="s">
        <v>1340</v>
      </c>
      <c r="F546" s="1" t="s">
        <v>112</v>
      </c>
      <c r="G546" s="1">
        <v>1515282</v>
      </c>
    </row>
    <row r="547" spans="1:10" x14ac:dyDescent="0.25">
      <c r="A547" s="1" t="str">
        <f t="shared" si="8"/>
        <v>19</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1341</v>
      </c>
      <c r="D547" s="1" t="s">
        <v>431</v>
      </c>
      <c r="E547" s="1" t="s">
        <v>1342</v>
      </c>
      <c r="F547" s="1" t="s">
        <v>112</v>
      </c>
      <c r="G547" s="1">
        <v>1775274</v>
      </c>
    </row>
    <row r="548" spans="1:10" x14ac:dyDescent="0.25">
      <c r="A548" s="1" t="str">
        <f t="shared" si="8"/>
        <v>19</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1343</v>
      </c>
      <c r="D548" s="1" t="s">
        <v>1344</v>
      </c>
      <c r="E548" s="1" t="s">
        <v>1345</v>
      </c>
      <c r="F548" s="1" t="s">
        <v>112</v>
      </c>
      <c r="G548" s="1">
        <v>2996606</v>
      </c>
    </row>
    <row r="549" spans="1:10" x14ac:dyDescent="0.25">
      <c r="A549" s="1" t="str">
        <f t="shared" si="8"/>
        <v>19</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1346</v>
      </c>
      <c r="D549" s="1" t="s">
        <v>1347</v>
      </c>
      <c r="E549" s="1" t="s">
        <v>1348</v>
      </c>
      <c r="F549" s="1" t="s">
        <v>112</v>
      </c>
      <c r="G549" s="1">
        <v>3181347</v>
      </c>
    </row>
    <row r="550" spans="1:10" x14ac:dyDescent="0.25">
      <c r="A550" s="1" t="str">
        <f t="shared" si="8"/>
        <v>19</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1349</v>
      </c>
      <c r="D550" s="1" t="s">
        <v>1350</v>
      </c>
      <c r="E550" s="1" t="s">
        <v>1351</v>
      </c>
      <c r="F550" s="1" t="s">
        <v>112</v>
      </c>
      <c r="G550" s="1">
        <v>3384105</v>
      </c>
    </row>
    <row r="551" spans="1:10" x14ac:dyDescent="0.25">
      <c r="A551" s="1" t="str">
        <f t="shared" si="8"/>
        <v>19</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1352</v>
      </c>
      <c r="D551" s="1" t="s">
        <v>1353</v>
      </c>
      <c r="E551" s="1" t="s">
        <v>1354</v>
      </c>
      <c r="F551" s="1" t="s">
        <v>112</v>
      </c>
      <c r="G551" s="1">
        <v>2548564</v>
      </c>
    </row>
    <row r="552" spans="1:10" x14ac:dyDescent="0.25">
      <c r="A552" s="1" t="str">
        <f t="shared" si="8"/>
        <v>19</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1355</v>
      </c>
      <c r="D552" s="1" t="s">
        <v>1356</v>
      </c>
      <c r="E552" s="1" t="s">
        <v>1357</v>
      </c>
      <c r="F552" s="1" t="s">
        <v>112</v>
      </c>
      <c r="G552" s="1">
        <v>2768453</v>
      </c>
    </row>
    <row r="553" spans="1:10" x14ac:dyDescent="0.25">
      <c r="A553" s="1" t="str">
        <f t="shared" si="8"/>
        <v>19</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1358</v>
      </c>
      <c r="D553" s="1" t="s">
        <v>1359</v>
      </c>
      <c r="E553" s="1" t="s">
        <v>1360</v>
      </c>
      <c r="F553" s="1" t="s">
        <v>112</v>
      </c>
      <c r="G553" s="1">
        <v>3111915</v>
      </c>
    </row>
    <row r="554" spans="1:10" x14ac:dyDescent="0.2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112</v>
      </c>
    </row>
    <row r="555" spans="1:10" x14ac:dyDescent="0.2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237</v>
      </c>
      <c r="D555" s="1" t="s">
        <v>112</v>
      </c>
      <c r="E555" s="1" t="s">
        <v>238</v>
      </c>
      <c r="F555" s="1" t="s">
        <v>239</v>
      </c>
      <c r="G555" s="1" t="s">
        <v>240</v>
      </c>
      <c r="H555" s="1" t="s">
        <v>241</v>
      </c>
      <c r="I555" s="1" t="s">
        <v>242</v>
      </c>
      <c r="J555" s="1" t="s">
        <v>243</v>
      </c>
    </row>
    <row r="556" spans="1:10" x14ac:dyDescent="0.25">
      <c r="A556" s="1" t="str">
        <f t="shared" si="8"/>
        <v>19</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1361</v>
      </c>
      <c r="D556" s="1" t="s">
        <v>112</v>
      </c>
      <c r="E556" s="1" t="s">
        <v>1362</v>
      </c>
      <c r="F556" s="1" t="s">
        <v>1363</v>
      </c>
      <c r="G556" s="1" t="s">
        <v>1364</v>
      </c>
      <c r="H556" s="1" t="s">
        <v>1365</v>
      </c>
      <c r="I556" s="1">
        <v>24</v>
      </c>
      <c r="J556" s="1">
        <v>24</v>
      </c>
    </row>
    <row r="557" spans="1:10" x14ac:dyDescent="0.2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112</v>
      </c>
    </row>
    <row r="558" spans="1:10" x14ac:dyDescent="0.2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10" x14ac:dyDescent="0.2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10" x14ac:dyDescent="0.2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2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2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249</v>
      </c>
      <c r="D562" s="1" t="s">
        <v>110</v>
      </c>
      <c r="E562" s="1" t="s">
        <v>111</v>
      </c>
      <c r="F562" s="1" t="s">
        <v>112</v>
      </c>
      <c r="G562" s="1" t="s">
        <v>113</v>
      </c>
    </row>
    <row r="563" spans="1:7" x14ac:dyDescent="0.25">
      <c r="A563" s="1" t="str">
        <f t="shared" si="8"/>
        <v>20</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1366</v>
      </c>
      <c r="D563" s="1" t="s">
        <v>1367</v>
      </c>
      <c r="E563" s="1" t="s">
        <v>1368</v>
      </c>
      <c r="F563" s="1" t="s">
        <v>112</v>
      </c>
      <c r="G563" s="1">
        <v>65495</v>
      </c>
    </row>
    <row r="564" spans="1:7" x14ac:dyDescent="0.25">
      <c r="A564" s="1" t="str">
        <f t="shared" si="8"/>
        <v>20</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1369</v>
      </c>
      <c r="D564" s="1" t="s">
        <v>523</v>
      </c>
      <c r="E564" s="1" t="s">
        <v>1370</v>
      </c>
      <c r="F564" s="1" t="s">
        <v>112</v>
      </c>
      <c r="G564" s="1">
        <v>50982</v>
      </c>
    </row>
    <row r="565" spans="1:7" x14ac:dyDescent="0.25">
      <c r="A565" s="1" t="str">
        <f t="shared" si="8"/>
        <v>20</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1371</v>
      </c>
      <c r="D565" s="1" t="s">
        <v>1372</v>
      </c>
      <c r="E565" s="1" t="s">
        <v>1373</v>
      </c>
      <c r="F565" s="1" t="s">
        <v>112</v>
      </c>
      <c r="G565" s="1">
        <v>31536</v>
      </c>
    </row>
    <row r="566" spans="1:7" x14ac:dyDescent="0.25">
      <c r="A566" s="1" t="str">
        <f t="shared" si="8"/>
        <v>20</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1374</v>
      </c>
      <c r="D566" s="1" t="s">
        <v>1375</v>
      </c>
      <c r="E566" s="1" t="s">
        <v>1376</v>
      </c>
      <c r="F566" s="1" t="s">
        <v>112</v>
      </c>
      <c r="G566" s="1">
        <v>583531</v>
      </c>
    </row>
    <row r="567" spans="1:7" x14ac:dyDescent="0.25">
      <c r="A567" s="1" t="str">
        <f t="shared" si="8"/>
        <v>20</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1377</v>
      </c>
      <c r="D567" s="1" t="s">
        <v>1378</v>
      </c>
      <c r="E567" s="1" t="s">
        <v>1379</v>
      </c>
      <c r="F567" s="1" t="s">
        <v>112</v>
      </c>
      <c r="G567" s="1">
        <v>956106</v>
      </c>
    </row>
    <row r="568" spans="1:7" x14ac:dyDescent="0.25">
      <c r="A568" s="1" t="str">
        <f t="shared" si="8"/>
        <v>20</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1380</v>
      </c>
      <c r="D568" s="1" t="s">
        <v>1381</v>
      </c>
      <c r="E568" s="1" t="s">
        <v>1382</v>
      </c>
      <c r="F568" s="1" t="s">
        <v>112</v>
      </c>
      <c r="G568" s="1">
        <v>938391</v>
      </c>
    </row>
    <row r="569" spans="1:7" x14ac:dyDescent="0.25">
      <c r="A569" s="1" t="str">
        <f t="shared" si="8"/>
        <v>20</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1383</v>
      </c>
      <c r="D569" s="1" t="s">
        <v>1384</v>
      </c>
      <c r="E569" s="1" t="s">
        <v>1385</v>
      </c>
      <c r="F569" s="1" t="s">
        <v>112</v>
      </c>
      <c r="G569" s="1">
        <v>50008</v>
      </c>
    </row>
    <row r="570" spans="1:7" x14ac:dyDescent="0.25">
      <c r="A570" s="1" t="str">
        <f t="shared" si="8"/>
        <v>20</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1386</v>
      </c>
      <c r="D570" s="1" t="s">
        <v>1387</v>
      </c>
      <c r="E570" s="1" t="s">
        <v>1388</v>
      </c>
      <c r="F570" s="1" t="s">
        <v>112</v>
      </c>
      <c r="G570" s="1">
        <v>662091</v>
      </c>
    </row>
    <row r="571" spans="1:7" x14ac:dyDescent="0.25">
      <c r="A571" s="1" t="str">
        <f t="shared" si="8"/>
        <v>20</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1389</v>
      </c>
    </row>
    <row r="572" spans="1:7" x14ac:dyDescent="0.25">
      <c r="A572" s="1" t="str">
        <f t="shared" si="8"/>
        <v>20</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1390</v>
      </c>
      <c r="D572" s="1" t="s">
        <v>1391</v>
      </c>
      <c r="E572" s="1" t="s">
        <v>1392</v>
      </c>
      <c r="F572" s="1" t="s">
        <v>112</v>
      </c>
      <c r="G572" s="1">
        <v>867510</v>
      </c>
    </row>
    <row r="573" spans="1:7" x14ac:dyDescent="0.25">
      <c r="A573" s="1" t="str">
        <f t="shared" si="8"/>
        <v>20</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1393</v>
      </c>
      <c r="D573" s="1" t="s">
        <v>1394</v>
      </c>
      <c r="E573" s="1" t="s">
        <v>1395</v>
      </c>
      <c r="F573" s="1" t="s">
        <v>112</v>
      </c>
      <c r="G573" s="1">
        <v>824294</v>
      </c>
    </row>
    <row r="574" spans="1:7" x14ac:dyDescent="0.25">
      <c r="A574" s="1" t="str">
        <f t="shared" si="8"/>
        <v>20</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1396</v>
      </c>
      <c r="D574" s="1" t="s">
        <v>1397</v>
      </c>
      <c r="E574" s="1" t="s">
        <v>1398</v>
      </c>
      <c r="F574" s="1" t="s">
        <v>112</v>
      </c>
      <c r="G574" s="1">
        <v>966900</v>
      </c>
    </row>
    <row r="575" spans="1:7" x14ac:dyDescent="0.25">
      <c r="A575" s="1" t="str">
        <f t="shared" si="8"/>
        <v>20</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1399</v>
      </c>
      <c r="D575" s="1" t="s">
        <v>1400</v>
      </c>
      <c r="E575" s="1" t="s">
        <v>1401</v>
      </c>
      <c r="F575" s="1" t="s">
        <v>112</v>
      </c>
      <c r="G575" s="1">
        <v>454812</v>
      </c>
    </row>
    <row r="576" spans="1:7" x14ac:dyDescent="0.25">
      <c r="A576" s="1" t="str">
        <f t="shared" si="8"/>
        <v>20</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1402</v>
      </c>
      <c r="D576" s="1" t="s">
        <v>1403</v>
      </c>
      <c r="E576" s="1" t="s">
        <v>1404</v>
      </c>
      <c r="F576" s="1" t="s">
        <v>112</v>
      </c>
      <c r="G576" s="1">
        <v>620648</v>
      </c>
    </row>
    <row r="577" spans="1:10" x14ac:dyDescent="0.25">
      <c r="A577" s="1" t="str">
        <f t="shared" si="8"/>
        <v>20</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1405</v>
      </c>
      <c r="D577" s="1" t="s">
        <v>288</v>
      </c>
      <c r="E577" s="1" t="s">
        <v>1406</v>
      </c>
      <c r="F577" s="1" t="s">
        <v>112</v>
      </c>
      <c r="G577" s="1">
        <v>309610</v>
      </c>
    </row>
    <row r="578" spans="1:10" x14ac:dyDescent="0.25">
      <c r="A578" s="1" t="str">
        <f t="shared" ref="A578:A641" si="9">IFERROR(LEFT(RIGHT(C578,LEN(C578)-SEARCH("@",C578)),SEARCH("/",RIGHT(C578,LEN(C578)-SEARCH("@",C578)-1))),"")</f>
        <v>20</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1407</v>
      </c>
      <c r="D578" s="1" t="s">
        <v>1408</v>
      </c>
      <c r="E578" s="1" t="s">
        <v>1409</v>
      </c>
      <c r="F578" s="1" t="s">
        <v>112</v>
      </c>
      <c r="G578" s="1">
        <v>1073816</v>
      </c>
    </row>
    <row r="579" spans="1:10" x14ac:dyDescent="0.25">
      <c r="A579" s="1" t="str">
        <f t="shared" si="9"/>
        <v>20</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1410</v>
      </c>
      <c r="D579" s="1" t="s">
        <v>1411</v>
      </c>
      <c r="E579" s="1" t="s">
        <v>1412</v>
      </c>
      <c r="F579" s="1" t="s">
        <v>112</v>
      </c>
      <c r="G579" s="1">
        <v>1004189</v>
      </c>
    </row>
    <row r="580" spans="1:10" x14ac:dyDescent="0.25">
      <c r="A580" s="1" t="str">
        <f t="shared" si="9"/>
        <v>20</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1413</v>
      </c>
      <c r="D580" s="1" t="s">
        <v>1414</v>
      </c>
      <c r="E580" s="1" t="s">
        <v>1415</v>
      </c>
      <c r="F580" s="1" t="s">
        <v>112</v>
      </c>
      <c r="G580" s="1">
        <v>2006389</v>
      </c>
    </row>
    <row r="581" spans="1:10" x14ac:dyDescent="0.25">
      <c r="A581" s="1" t="str">
        <f t="shared" si="9"/>
        <v>20</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1416</v>
      </c>
      <c r="D581" s="1" t="s">
        <v>1051</v>
      </c>
      <c r="E581" s="1" t="s">
        <v>1417</v>
      </c>
      <c r="F581" s="1" t="s">
        <v>112</v>
      </c>
      <c r="G581" s="1">
        <v>182383</v>
      </c>
    </row>
    <row r="582" spans="1:10" x14ac:dyDescent="0.25">
      <c r="A582" s="1" t="str">
        <f t="shared" si="9"/>
        <v>20</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1418</v>
      </c>
      <c r="D582" s="1" t="s">
        <v>719</v>
      </c>
      <c r="E582" s="1" t="s">
        <v>1419</v>
      </c>
      <c r="F582" s="1" t="s">
        <v>112</v>
      </c>
      <c r="G582" s="1">
        <v>113081</v>
      </c>
    </row>
    <row r="583" spans="1:10" x14ac:dyDescent="0.25">
      <c r="A583" s="1" t="str">
        <f t="shared" si="9"/>
        <v>20</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1420</v>
      </c>
      <c r="D583" s="1" t="s">
        <v>182</v>
      </c>
      <c r="E583" s="1" t="s">
        <v>1421</v>
      </c>
      <c r="F583" s="1" t="s">
        <v>112</v>
      </c>
      <c r="G583" s="1">
        <v>245261</v>
      </c>
    </row>
    <row r="584" spans="1:10" x14ac:dyDescent="0.25">
      <c r="A584" s="1" t="str">
        <f t="shared" si="9"/>
        <v>20</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1422</v>
      </c>
      <c r="D584" s="1">
        <v>0</v>
      </c>
      <c r="E584" s="1">
        <v>0</v>
      </c>
      <c r="F584" s="1" t="s">
        <v>112</v>
      </c>
      <c r="G584" s="1">
        <v>0</v>
      </c>
    </row>
    <row r="585" spans="1:10" x14ac:dyDescent="0.25">
      <c r="A585" s="1" t="str">
        <f t="shared" si="9"/>
        <v>20</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1423</v>
      </c>
      <c r="D585" s="1">
        <v>0</v>
      </c>
      <c r="E585" s="1">
        <v>0</v>
      </c>
      <c r="F585" s="1" t="s">
        <v>112</v>
      </c>
      <c r="G585" s="1">
        <v>0</v>
      </c>
    </row>
    <row r="586" spans="1:10" x14ac:dyDescent="0.25">
      <c r="A586" s="1" t="str">
        <f t="shared" si="9"/>
        <v>20</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1424</v>
      </c>
      <c r="D586" s="1" t="s">
        <v>1425</v>
      </c>
      <c r="E586" s="1" t="s">
        <v>1426</v>
      </c>
      <c r="F586" s="1" t="s">
        <v>112</v>
      </c>
      <c r="G586" s="1">
        <v>81610</v>
      </c>
    </row>
    <row r="587" spans="1:10" x14ac:dyDescent="0.2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112</v>
      </c>
    </row>
    <row r="588" spans="1:10" x14ac:dyDescent="0.2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237</v>
      </c>
      <c r="D588" s="1" t="s">
        <v>112</v>
      </c>
      <c r="E588" s="1" t="s">
        <v>238</v>
      </c>
      <c r="F588" s="1" t="s">
        <v>239</v>
      </c>
      <c r="G588" s="1" t="s">
        <v>240</v>
      </c>
      <c r="H588" s="1" t="s">
        <v>241</v>
      </c>
      <c r="I588" s="1" t="s">
        <v>242</v>
      </c>
      <c r="J588" s="1" t="s">
        <v>243</v>
      </c>
    </row>
    <row r="589" spans="1:10" x14ac:dyDescent="0.25">
      <c r="A589" s="1" t="str">
        <f t="shared" si="9"/>
        <v>20</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1427</v>
      </c>
      <c r="D589" s="1" t="s">
        <v>112</v>
      </c>
      <c r="E589" s="1" t="s">
        <v>1428</v>
      </c>
      <c r="F589" s="1" t="s">
        <v>1429</v>
      </c>
      <c r="G589" s="1" t="s">
        <v>1430</v>
      </c>
      <c r="H589" s="1" t="s">
        <v>1431</v>
      </c>
      <c r="I589" s="1">
        <v>22</v>
      </c>
      <c r="J589" s="1">
        <v>24</v>
      </c>
    </row>
    <row r="590" spans="1:10" x14ac:dyDescent="0.2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112</v>
      </c>
    </row>
    <row r="591" spans="1:10" x14ac:dyDescent="0.2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10" x14ac:dyDescent="0.2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2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2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2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249</v>
      </c>
      <c r="D595" s="1" t="s">
        <v>110</v>
      </c>
      <c r="E595" s="1" t="s">
        <v>111</v>
      </c>
      <c r="F595" s="1" t="s">
        <v>112</v>
      </c>
      <c r="G595" s="1" t="s">
        <v>113</v>
      </c>
    </row>
    <row r="596" spans="1:7" x14ac:dyDescent="0.25">
      <c r="A596" s="1" t="str">
        <f t="shared" si="9"/>
        <v>21</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1432</v>
      </c>
      <c r="D596" s="1" t="s">
        <v>1433</v>
      </c>
      <c r="E596" s="1" t="s">
        <v>1434</v>
      </c>
      <c r="F596" s="1" t="s">
        <v>112</v>
      </c>
      <c r="G596" s="1">
        <v>748892</v>
      </c>
    </row>
    <row r="597" spans="1:7" x14ac:dyDescent="0.25">
      <c r="A597" s="1" t="str">
        <f t="shared" si="9"/>
        <v>21</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1435</v>
      </c>
      <c r="D597" s="1" t="s">
        <v>759</v>
      </c>
      <c r="E597" s="1" t="s">
        <v>1436</v>
      </c>
      <c r="F597" s="1" t="s">
        <v>112</v>
      </c>
      <c r="G597" s="1">
        <v>1344320</v>
      </c>
    </row>
    <row r="598" spans="1:7" x14ac:dyDescent="0.25">
      <c r="A598" s="1" t="str">
        <f t="shared" si="9"/>
        <v>21</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1437</v>
      </c>
      <c r="D598" s="1" t="s">
        <v>1438</v>
      </c>
      <c r="E598" s="1" t="s">
        <v>1439</v>
      </c>
      <c r="F598" s="1" t="s">
        <v>112</v>
      </c>
      <c r="G598" s="1">
        <v>1589949</v>
      </c>
    </row>
    <row r="599" spans="1:7" x14ac:dyDescent="0.25">
      <c r="A599" s="1" t="str">
        <f t="shared" si="9"/>
        <v>21</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1440</v>
      </c>
      <c r="D599" s="1" t="s">
        <v>232</v>
      </c>
      <c r="E599" s="1" t="s">
        <v>1441</v>
      </c>
      <c r="F599" s="1" t="s">
        <v>112</v>
      </c>
      <c r="G599" s="1">
        <v>107328</v>
      </c>
    </row>
    <row r="600" spans="1:7" x14ac:dyDescent="0.25">
      <c r="A600" s="1" t="str">
        <f t="shared" si="9"/>
        <v>21</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1442</v>
      </c>
      <c r="D600" s="1" t="s">
        <v>1443</v>
      </c>
      <c r="E600" s="1" t="s">
        <v>1444</v>
      </c>
      <c r="F600" s="1" t="s">
        <v>112</v>
      </c>
      <c r="G600" s="1">
        <v>12243</v>
      </c>
    </row>
    <row r="601" spans="1:7" x14ac:dyDescent="0.25">
      <c r="A601" s="1" t="str">
        <f t="shared" si="9"/>
        <v>21</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1445</v>
      </c>
      <c r="D601" s="1" t="s">
        <v>1446</v>
      </c>
      <c r="E601" s="1" t="s">
        <v>207</v>
      </c>
      <c r="F601" s="1" t="s">
        <v>112</v>
      </c>
      <c r="G601" s="1">
        <v>88574</v>
      </c>
    </row>
    <row r="602" spans="1:7" x14ac:dyDescent="0.25">
      <c r="A602" s="1" t="str">
        <f t="shared" si="9"/>
        <v>21</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1447</v>
      </c>
      <c r="D602" s="1" t="s">
        <v>1448</v>
      </c>
      <c r="E602" s="1" t="s">
        <v>1449</v>
      </c>
      <c r="F602" s="1" t="s">
        <v>112</v>
      </c>
      <c r="G602" s="1">
        <v>196421</v>
      </c>
    </row>
    <row r="603" spans="1:7" x14ac:dyDescent="0.25">
      <c r="A603" s="1" t="str">
        <f t="shared" si="9"/>
        <v>21</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1450</v>
      </c>
      <c r="D603" s="1" t="s">
        <v>1451</v>
      </c>
      <c r="E603" s="1" t="s">
        <v>1452</v>
      </c>
      <c r="F603" s="1" t="s">
        <v>112</v>
      </c>
      <c r="G603" s="1">
        <v>313201</v>
      </c>
    </row>
    <row r="604" spans="1:7" x14ac:dyDescent="0.25">
      <c r="A604" s="1" t="str">
        <f t="shared" si="9"/>
        <v>21</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1453</v>
      </c>
      <c r="D604" s="1" t="s">
        <v>1454</v>
      </c>
      <c r="E604" s="1" t="s">
        <v>1455</v>
      </c>
      <c r="F604" s="1" t="s">
        <v>112</v>
      </c>
      <c r="G604" s="1">
        <v>19532</v>
      </c>
    </row>
    <row r="605" spans="1:7" x14ac:dyDescent="0.25">
      <c r="A605" s="1" t="str">
        <f t="shared" si="9"/>
        <v>21</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1456</v>
      </c>
      <c r="D605" s="1" t="s">
        <v>719</v>
      </c>
      <c r="E605" s="1" t="s">
        <v>1457</v>
      </c>
      <c r="F605" s="1" t="s">
        <v>112</v>
      </c>
      <c r="G605" s="1">
        <v>120608</v>
      </c>
    </row>
    <row r="606" spans="1:7" x14ac:dyDescent="0.25">
      <c r="A606" s="1" t="str">
        <f t="shared" si="9"/>
        <v>21</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1458</v>
      </c>
      <c r="D606" s="1" t="s">
        <v>1459</v>
      </c>
      <c r="E606" s="1" t="s">
        <v>1460</v>
      </c>
      <c r="F606" s="1" t="s">
        <v>112</v>
      </c>
      <c r="G606" s="1">
        <v>54075</v>
      </c>
    </row>
    <row r="607" spans="1:7" x14ac:dyDescent="0.25">
      <c r="A607" s="1" t="str">
        <f t="shared" si="9"/>
        <v>21</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1461</v>
      </c>
    </row>
    <row r="608" spans="1:7" x14ac:dyDescent="0.25">
      <c r="A608" s="1" t="str">
        <f t="shared" si="9"/>
        <v>21</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1462</v>
      </c>
      <c r="D608" s="1" t="s">
        <v>1463</v>
      </c>
      <c r="E608" s="1" t="s">
        <v>1464</v>
      </c>
      <c r="F608" s="1" t="s">
        <v>112</v>
      </c>
      <c r="G608" s="1">
        <v>1045719</v>
      </c>
    </row>
    <row r="609" spans="1:10" x14ac:dyDescent="0.25">
      <c r="A609" s="1" t="str">
        <f t="shared" si="9"/>
        <v>21</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1465</v>
      </c>
      <c r="D609" s="1" t="s">
        <v>1466</v>
      </c>
      <c r="E609" s="1" t="s">
        <v>1467</v>
      </c>
      <c r="F609" s="1" t="s">
        <v>112</v>
      </c>
      <c r="G609" s="1">
        <v>945875</v>
      </c>
    </row>
    <row r="610" spans="1:10" x14ac:dyDescent="0.25">
      <c r="A610" s="1" t="str">
        <f t="shared" si="9"/>
        <v>21</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1468</v>
      </c>
      <c r="D610" s="1" t="s">
        <v>1469</v>
      </c>
      <c r="E610" s="1" t="s">
        <v>1470</v>
      </c>
      <c r="F610" s="1" t="s">
        <v>112</v>
      </c>
      <c r="G610" s="1">
        <v>1048098</v>
      </c>
    </row>
    <row r="611" spans="1:10" x14ac:dyDescent="0.25">
      <c r="A611" s="1" t="str">
        <f t="shared" si="9"/>
        <v>21</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1471</v>
      </c>
      <c r="D611" s="1" t="s">
        <v>592</v>
      </c>
      <c r="E611" s="1" t="s">
        <v>1472</v>
      </c>
      <c r="F611" s="1" t="s">
        <v>112</v>
      </c>
      <c r="G611" s="1">
        <v>108128</v>
      </c>
    </row>
    <row r="612" spans="1:10" x14ac:dyDescent="0.25">
      <c r="A612" s="1" t="str">
        <f t="shared" si="9"/>
        <v>21</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1473</v>
      </c>
      <c r="D612" s="1" t="s">
        <v>1474</v>
      </c>
      <c r="E612" s="1" t="s">
        <v>1475</v>
      </c>
      <c r="F612" s="1" t="s">
        <v>112</v>
      </c>
      <c r="G612" s="1">
        <v>361630</v>
      </c>
    </row>
    <row r="613" spans="1:10" x14ac:dyDescent="0.25">
      <c r="A613" s="1" t="str">
        <f t="shared" si="9"/>
        <v>21</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1476</v>
      </c>
      <c r="D613" s="1" t="s">
        <v>1477</v>
      </c>
      <c r="E613" s="1" t="s">
        <v>1478</v>
      </c>
      <c r="F613" s="1" t="s">
        <v>112</v>
      </c>
      <c r="G613" s="1">
        <v>3331</v>
      </c>
    </row>
    <row r="614" spans="1:10" x14ac:dyDescent="0.25">
      <c r="A614" s="1" t="str">
        <f t="shared" si="9"/>
        <v>21</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1479</v>
      </c>
      <c r="D614" s="1" t="s">
        <v>1480</v>
      </c>
      <c r="E614" s="1" t="s">
        <v>1481</v>
      </c>
      <c r="F614" s="1" t="s">
        <v>112</v>
      </c>
      <c r="G614" s="1">
        <v>412071</v>
      </c>
    </row>
    <row r="615" spans="1:10" x14ac:dyDescent="0.25">
      <c r="A615" s="1" t="str">
        <f t="shared" si="9"/>
        <v>21</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1482</v>
      </c>
      <c r="D615" s="1" t="s">
        <v>490</v>
      </c>
      <c r="E615" s="1" t="s">
        <v>1483</v>
      </c>
      <c r="F615" s="1" t="s">
        <v>112</v>
      </c>
      <c r="G615" s="1">
        <v>131640</v>
      </c>
    </row>
    <row r="616" spans="1:10" x14ac:dyDescent="0.25">
      <c r="A616" s="1" t="str">
        <f t="shared" si="9"/>
        <v>21</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1484</v>
      </c>
      <c r="D616" s="1" t="s">
        <v>1485</v>
      </c>
      <c r="E616" s="1" t="s">
        <v>1486</v>
      </c>
      <c r="F616" s="1" t="s">
        <v>112</v>
      </c>
      <c r="G616" s="1">
        <v>147408</v>
      </c>
    </row>
    <row r="617" spans="1:10" x14ac:dyDescent="0.25">
      <c r="A617" s="1" t="str">
        <f t="shared" si="9"/>
        <v>21</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1487</v>
      </c>
      <c r="D617" s="1" t="s">
        <v>938</v>
      </c>
      <c r="E617" s="1" t="s">
        <v>1488</v>
      </c>
      <c r="F617" s="1" t="s">
        <v>112</v>
      </c>
      <c r="G617" s="1">
        <v>2606878</v>
      </c>
    </row>
    <row r="618" spans="1:10" x14ac:dyDescent="0.25">
      <c r="A618" s="1" t="str">
        <f t="shared" si="9"/>
        <v>21</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1489</v>
      </c>
      <c r="D618" s="1" t="s">
        <v>1490</v>
      </c>
      <c r="E618" s="1" t="s">
        <v>1491</v>
      </c>
      <c r="F618" s="1" t="s">
        <v>112</v>
      </c>
      <c r="G618" s="1">
        <v>2174021</v>
      </c>
    </row>
    <row r="619" spans="1:10" x14ac:dyDescent="0.25">
      <c r="A619" s="1" t="str">
        <f t="shared" si="9"/>
        <v>21</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1492</v>
      </c>
      <c r="D619" s="1" t="s">
        <v>1490</v>
      </c>
      <c r="E619" s="1" t="s">
        <v>1493</v>
      </c>
      <c r="F619" s="1" t="s">
        <v>112</v>
      </c>
      <c r="G619" s="1">
        <v>2224159</v>
      </c>
    </row>
    <row r="620" spans="1:10" x14ac:dyDescent="0.2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112</v>
      </c>
    </row>
    <row r="621" spans="1:10" x14ac:dyDescent="0.2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237</v>
      </c>
      <c r="D621" s="1" t="s">
        <v>112</v>
      </c>
      <c r="E621" s="1" t="s">
        <v>238</v>
      </c>
      <c r="F621" s="1" t="s">
        <v>239</v>
      </c>
      <c r="G621" s="1" t="s">
        <v>240</v>
      </c>
      <c r="H621" s="1" t="s">
        <v>241</v>
      </c>
      <c r="I621" s="1" t="s">
        <v>242</v>
      </c>
      <c r="J621" s="1" t="s">
        <v>243</v>
      </c>
    </row>
    <row r="622" spans="1:10" x14ac:dyDescent="0.25">
      <c r="A622" s="1" t="str">
        <f t="shared" si="9"/>
        <v>21</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1494</v>
      </c>
      <c r="D622" s="1" t="s">
        <v>112</v>
      </c>
      <c r="E622" s="1" t="s">
        <v>1495</v>
      </c>
      <c r="F622" s="1" t="s">
        <v>1496</v>
      </c>
      <c r="G622" s="1" t="s">
        <v>1497</v>
      </c>
      <c r="H622" s="1" t="s">
        <v>1498</v>
      </c>
      <c r="I622" s="1">
        <v>24</v>
      </c>
      <c r="J622" s="1">
        <v>24</v>
      </c>
    </row>
    <row r="623" spans="1:10" x14ac:dyDescent="0.2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112</v>
      </c>
    </row>
    <row r="624" spans="1:10" x14ac:dyDescent="0.2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2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2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2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2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249</v>
      </c>
      <c r="D628" s="1" t="s">
        <v>110</v>
      </c>
      <c r="E628" s="1" t="s">
        <v>111</v>
      </c>
      <c r="F628" s="1" t="s">
        <v>112</v>
      </c>
      <c r="G628" s="1" t="s">
        <v>113</v>
      </c>
    </row>
    <row r="629" spans="1:7" x14ac:dyDescent="0.25">
      <c r="A629" s="1" t="str">
        <f t="shared" si="9"/>
        <v>8</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1499</v>
      </c>
      <c r="D629" s="1" t="s">
        <v>1500</v>
      </c>
      <c r="E629" s="1" t="s">
        <v>1501</v>
      </c>
      <c r="F629" s="1" t="s">
        <v>112</v>
      </c>
      <c r="G629" s="1">
        <v>176240</v>
      </c>
    </row>
    <row r="630" spans="1:7" x14ac:dyDescent="0.25">
      <c r="A630" s="1" t="str">
        <f t="shared" si="9"/>
        <v>8</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1502</v>
      </c>
      <c r="D630" s="1" t="s">
        <v>1503</v>
      </c>
      <c r="E630" s="1" t="s">
        <v>1504</v>
      </c>
      <c r="F630" s="1" t="s">
        <v>112</v>
      </c>
      <c r="G630" s="1">
        <v>352697</v>
      </c>
    </row>
    <row r="631" spans="1:7" x14ac:dyDescent="0.25">
      <c r="A631" s="1" t="str">
        <f t="shared" si="9"/>
        <v>8</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1505</v>
      </c>
      <c r="D631" s="1" t="s">
        <v>1506</v>
      </c>
      <c r="E631" s="1" t="s">
        <v>1507</v>
      </c>
      <c r="F631" s="1" t="s">
        <v>112</v>
      </c>
      <c r="G631" s="1">
        <v>6143</v>
      </c>
    </row>
    <row r="632" spans="1:7" x14ac:dyDescent="0.25">
      <c r="A632" s="1" t="str">
        <f t="shared" si="9"/>
        <v>8</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1508</v>
      </c>
      <c r="D632" s="1" t="s">
        <v>1509</v>
      </c>
      <c r="E632" s="1" t="s">
        <v>1510</v>
      </c>
      <c r="F632" s="1" t="s">
        <v>112</v>
      </c>
      <c r="G632" s="1">
        <v>89137</v>
      </c>
    </row>
    <row r="633" spans="1:7" x14ac:dyDescent="0.25">
      <c r="A633" s="1" t="str">
        <f t="shared" si="9"/>
        <v>8</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1511</v>
      </c>
      <c r="D633" s="1" t="s">
        <v>1500</v>
      </c>
      <c r="E633" s="1" t="s">
        <v>1512</v>
      </c>
      <c r="F633" s="1" t="s">
        <v>112</v>
      </c>
      <c r="G633" s="1">
        <v>182297</v>
      </c>
    </row>
    <row r="634" spans="1:7" x14ac:dyDescent="0.25">
      <c r="A634" s="1" t="str">
        <f t="shared" si="9"/>
        <v>8</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1513</v>
      </c>
      <c r="D634" s="1" t="s">
        <v>1514</v>
      </c>
      <c r="E634" s="1" t="s">
        <v>1515</v>
      </c>
      <c r="F634" s="1" t="s">
        <v>112</v>
      </c>
      <c r="G634" s="1">
        <v>44103</v>
      </c>
    </row>
    <row r="635" spans="1:7" x14ac:dyDescent="0.25">
      <c r="A635" s="1" t="str">
        <f t="shared" si="9"/>
        <v>8</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1516</v>
      </c>
      <c r="D635" s="1" t="s">
        <v>151</v>
      </c>
      <c r="E635" s="1" t="s">
        <v>1517</v>
      </c>
      <c r="F635" s="1" t="s">
        <v>112</v>
      </c>
      <c r="G635" s="1">
        <v>130666</v>
      </c>
    </row>
    <row r="636" spans="1:7" x14ac:dyDescent="0.25">
      <c r="A636" s="1" t="str">
        <f t="shared" si="9"/>
        <v>8</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1518</v>
      </c>
      <c r="D636" s="1" t="s">
        <v>1519</v>
      </c>
      <c r="E636" s="1" t="s">
        <v>1520</v>
      </c>
      <c r="F636" s="1" t="s">
        <v>112</v>
      </c>
      <c r="G636" s="1">
        <v>181821</v>
      </c>
    </row>
    <row r="637" spans="1:7" x14ac:dyDescent="0.25">
      <c r="A637" s="1" t="str">
        <f t="shared" si="9"/>
        <v>8</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1521</v>
      </c>
      <c r="D637" s="1" t="s">
        <v>983</v>
      </c>
      <c r="E637" s="1" t="s">
        <v>1522</v>
      </c>
      <c r="F637" s="1" t="s">
        <v>112</v>
      </c>
      <c r="G637" s="1">
        <v>209788</v>
      </c>
    </row>
    <row r="638" spans="1:7" x14ac:dyDescent="0.25">
      <c r="A638" s="1" t="str">
        <f t="shared" si="9"/>
        <v>8</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1523</v>
      </c>
      <c r="D638" s="1" t="s">
        <v>1524</v>
      </c>
      <c r="E638" s="1" t="s">
        <v>1525</v>
      </c>
      <c r="F638" s="1" t="s">
        <v>112</v>
      </c>
      <c r="G638" s="1">
        <v>346662</v>
      </c>
    </row>
    <row r="639" spans="1:7" x14ac:dyDescent="0.25">
      <c r="A639" s="1" t="str">
        <f t="shared" si="9"/>
        <v>8</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1526</v>
      </c>
      <c r="D639" s="1" t="s">
        <v>1003</v>
      </c>
      <c r="E639" s="1" t="s">
        <v>1527</v>
      </c>
      <c r="F639" s="1" t="s">
        <v>112</v>
      </c>
      <c r="G639" s="1">
        <v>149679</v>
      </c>
    </row>
    <row r="640" spans="1:7" x14ac:dyDescent="0.25">
      <c r="A640" s="1" t="str">
        <f t="shared" si="9"/>
        <v>8</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1528</v>
      </c>
      <c r="D640" s="1" t="s">
        <v>483</v>
      </c>
      <c r="E640" s="1" t="s">
        <v>1529</v>
      </c>
      <c r="F640" s="1" t="s">
        <v>112</v>
      </c>
      <c r="G640" s="1">
        <v>230769</v>
      </c>
    </row>
    <row r="641" spans="1:10" x14ac:dyDescent="0.25">
      <c r="A641" s="1" t="str">
        <f t="shared" si="9"/>
        <v>8</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1530</v>
      </c>
      <c r="D641" s="1" t="s">
        <v>562</v>
      </c>
      <c r="E641" s="1" t="s">
        <v>1531</v>
      </c>
      <c r="F641" s="1" t="s">
        <v>112</v>
      </c>
      <c r="G641" s="1">
        <v>180155</v>
      </c>
    </row>
    <row r="642" spans="1:10" x14ac:dyDescent="0.25">
      <c r="A642" s="1" t="str">
        <f t="shared" ref="A642:A705" si="10">IFERROR(LEFT(RIGHT(C642,LEN(C642)-SEARCH("@",C642)),SEARCH("/",RIGHT(C642,LEN(C642)-SEARCH("@",C642)-1))),"")</f>
        <v>8</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1532</v>
      </c>
      <c r="D642" s="1" t="s">
        <v>1533</v>
      </c>
      <c r="E642" s="1" t="s">
        <v>1534</v>
      </c>
      <c r="F642" s="1" t="s">
        <v>112</v>
      </c>
      <c r="G642" s="1">
        <v>194647</v>
      </c>
    </row>
    <row r="643" spans="1:10" x14ac:dyDescent="0.25">
      <c r="A643" s="1" t="str">
        <f t="shared" si="10"/>
        <v>8</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1535</v>
      </c>
      <c r="D643" s="1" t="s">
        <v>1283</v>
      </c>
      <c r="E643" s="1" t="s">
        <v>1536</v>
      </c>
      <c r="F643" s="1" t="s">
        <v>112</v>
      </c>
      <c r="G643" s="1">
        <v>364312</v>
      </c>
    </row>
    <row r="644" spans="1:10" x14ac:dyDescent="0.25">
      <c r="A644" s="1" t="str">
        <f t="shared" si="10"/>
        <v>8</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1537</v>
      </c>
      <c r="D644" s="1" t="s">
        <v>1538</v>
      </c>
      <c r="E644" s="1" t="s">
        <v>1539</v>
      </c>
      <c r="F644" s="1" t="s">
        <v>112</v>
      </c>
      <c r="G644" s="1">
        <v>314217</v>
      </c>
    </row>
    <row r="645" spans="1:10" x14ac:dyDescent="0.25">
      <c r="A645" s="1" t="str">
        <f t="shared" si="10"/>
        <v>8</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1540</v>
      </c>
      <c r="D645" s="1" t="s">
        <v>977</v>
      </c>
      <c r="E645" s="1" t="s">
        <v>1541</v>
      </c>
      <c r="F645" s="1" t="s">
        <v>112</v>
      </c>
      <c r="G645" s="1">
        <v>470364</v>
      </c>
    </row>
    <row r="646" spans="1:10" x14ac:dyDescent="0.25">
      <c r="A646" s="1" t="str">
        <f t="shared" si="10"/>
        <v>8</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1542</v>
      </c>
      <c r="D646" s="1" t="s">
        <v>1543</v>
      </c>
      <c r="E646" s="1" t="s">
        <v>1544</v>
      </c>
      <c r="F646" s="1" t="s">
        <v>112</v>
      </c>
      <c r="G646" s="1">
        <v>601722</v>
      </c>
    </row>
    <row r="647" spans="1:10" x14ac:dyDescent="0.25">
      <c r="A647" s="1" t="str">
        <f t="shared" si="10"/>
        <v>8</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1545</v>
      </c>
      <c r="D647" s="1" t="s">
        <v>1443</v>
      </c>
      <c r="E647" s="1" t="s">
        <v>304</v>
      </c>
      <c r="F647" s="1" t="s">
        <v>112</v>
      </c>
      <c r="G647" s="1">
        <v>12199</v>
      </c>
    </row>
    <row r="648" spans="1:10" x14ac:dyDescent="0.25">
      <c r="A648" s="1" t="str">
        <f t="shared" si="10"/>
        <v>8</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1546</v>
      </c>
      <c r="D648" s="1" t="s">
        <v>1547</v>
      </c>
      <c r="E648" s="1" t="s">
        <v>1548</v>
      </c>
      <c r="F648" s="1" t="s">
        <v>112</v>
      </c>
      <c r="G648" s="1">
        <v>84789</v>
      </c>
    </row>
    <row r="649" spans="1:10" x14ac:dyDescent="0.25">
      <c r="A649" s="1" t="str">
        <f t="shared" si="10"/>
        <v>8</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1549</v>
      </c>
      <c r="D649" s="1" t="s">
        <v>472</v>
      </c>
      <c r="E649" s="1" t="s">
        <v>1550</v>
      </c>
      <c r="F649" s="1" t="s">
        <v>112</v>
      </c>
      <c r="G649" s="1">
        <v>68545</v>
      </c>
    </row>
    <row r="650" spans="1:10" x14ac:dyDescent="0.25">
      <c r="A650" s="1" t="str">
        <f t="shared" si="10"/>
        <v>8</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1551</v>
      </c>
      <c r="D650" s="1" t="s">
        <v>625</v>
      </c>
      <c r="E650" s="1" t="s">
        <v>1552</v>
      </c>
      <c r="F650" s="1" t="s">
        <v>112</v>
      </c>
      <c r="G650" s="1">
        <v>166918</v>
      </c>
    </row>
    <row r="651" spans="1:10" x14ac:dyDescent="0.25">
      <c r="A651" s="1" t="str">
        <f t="shared" si="10"/>
        <v>8</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1553</v>
      </c>
      <c r="D651" s="1" t="s">
        <v>1554</v>
      </c>
      <c r="E651" s="1" t="s">
        <v>1555</v>
      </c>
      <c r="F651" s="1" t="s">
        <v>112</v>
      </c>
      <c r="G651" s="1">
        <v>260208</v>
      </c>
    </row>
    <row r="652" spans="1:10" x14ac:dyDescent="0.25">
      <c r="A652" s="1" t="str">
        <f t="shared" si="10"/>
        <v>8</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1556</v>
      </c>
      <c r="D652" s="1" t="s">
        <v>206</v>
      </c>
      <c r="E652" s="1" t="s">
        <v>1557</v>
      </c>
      <c r="F652" s="1" t="s">
        <v>112</v>
      </c>
      <c r="G652" s="1">
        <v>290187</v>
      </c>
    </row>
    <row r="653" spans="1:10" x14ac:dyDescent="0.2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10" x14ac:dyDescent="0.2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237</v>
      </c>
      <c r="D654" s="1" t="s">
        <v>112</v>
      </c>
      <c r="E654" s="1" t="s">
        <v>238</v>
      </c>
      <c r="F654" s="1" t="s">
        <v>239</v>
      </c>
      <c r="G654" s="1" t="s">
        <v>240</v>
      </c>
      <c r="H654" s="1" t="s">
        <v>241</v>
      </c>
      <c r="I654" s="1" t="s">
        <v>242</v>
      </c>
      <c r="J654" s="1" t="s">
        <v>243</v>
      </c>
    </row>
    <row r="655" spans="1:10" x14ac:dyDescent="0.25">
      <c r="A655" s="1" t="str">
        <f t="shared" si="10"/>
        <v>8</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1558</v>
      </c>
      <c r="D655" s="1" t="s">
        <v>112</v>
      </c>
      <c r="E655" s="1" t="s">
        <v>1559</v>
      </c>
      <c r="F655" s="1" t="s">
        <v>1560</v>
      </c>
      <c r="G655" s="1" t="s">
        <v>1561</v>
      </c>
      <c r="H655" s="1" t="s">
        <v>1562</v>
      </c>
      <c r="I655" s="1">
        <v>24</v>
      </c>
      <c r="J655" s="1">
        <v>24</v>
      </c>
    </row>
    <row r="656" spans="1:10" x14ac:dyDescent="0.2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2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2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2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2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2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249</v>
      </c>
      <c r="D661" s="1" t="s">
        <v>110</v>
      </c>
      <c r="E661" s="1" t="s">
        <v>111</v>
      </c>
      <c r="F661" s="1" t="s">
        <v>112</v>
      </c>
      <c r="G661" s="1" t="s">
        <v>113</v>
      </c>
    </row>
    <row r="662" spans="1:7" x14ac:dyDescent="0.25">
      <c r="A662" s="1" t="str">
        <f t="shared" si="10"/>
        <v>9</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1563</v>
      </c>
      <c r="D662" s="1" t="s">
        <v>511</v>
      </c>
      <c r="E662" s="1" t="s">
        <v>1564</v>
      </c>
      <c r="F662" s="1" t="s">
        <v>112</v>
      </c>
      <c r="G662" s="1">
        <v>45747</v>
      </c>
    </row>
    <row r="663" spans="1:7" x14ac:dyDescent="0.25">
      <c r="A663" s="1" t="str">
        <f t="shared" si="10"/>
        <v>9</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1565</v>
      </c>
      <c r="D663" s="1" t="s">
        <v>1566</v>
      </c>
      <c r="E663" s="1" t="s">
        <v>1567</v>
      </c>
      <c r="F663" s="1" t="s">
        <v>112</v>
      </c>
      <c r="G663" s="1">
        <v>10144</v>
      </c>
    </row>
    <row r="664" spans="1:7" x14ac:dyDescent="0.25">
      <c r="A664" s="1" t="str">
        <f t="shared" si="10"/>
        <v>9</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1568</v>
      </c>
      <c r="D664" s="1" t="s">
        <v>227</v>
      </c>
      <c r="E664" s="1">
        <v>30</v>
      </c>
      <c r="F664" s="1" t="s">
        <v>112</v>
      </c>
      <c r="G664" s="1">
        <v>1298</v>
      </c>
    </row>
    <row r="665" spans="1:7" x14ac:dyDescent="0.25">
      <c r="A665" s="1" t="str">
        <f t="shared" si="10"/>
        <v>9</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1569</v>
      </c>
      <c r="D665" s="1" t="s">
        <v>1570</v>
      </c>
      <c r="E665" s="1" t="s">
        <v>1571</v>
      </c>
      <c r="F665" s="1" t="s">
        <v>112</v>
      </c>
      <c r="G665" s="1">
        <v>118575</v>
      </c>
    </row>
    <row r="666" spans="1:7" x14ac:dyDescent="0.25">
      <c r="A666" s="1" t="str">
        <f t="shared" si="10"/>
        <v>9</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1572</v>
      </c>
      <c r="D666" s="1" t="s">
        <v>1573</v>
      </c>
      <c r="E666" s="1" t="s">
        <v>1574</v>
      </c>
      <c r="F666" s="1" t="s">
        <v>112</v>
      </c>
      <c r="G666" s="1">
        <v>130255</v>
      </c>
    </row>
    <row r="667" spans="1:7" x14ac:dyDescent="0.25">
      <c r="A667" s="1" t="str">
        <f t="shared" si="10"/>
        <v>9</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1575</v>
      </c>
      <c r="D667" s="1" t="s">
        <v>665</v>
      </c>
      <c r="E667" s="1" t="s">
        <v>1576</v>
      </c>
      <c r="F667" s="1" t="s">
        <v>112</v>
      </c>
      <c r="G667" s="1">
        <v>129477</v>
      </c>
    </row>
    <row r="668" spans="1:7" x14ac:dyDescent="0.25">
      <c r="A668" s="1" t="str">
        <f t="shared" si="10"/>
        <v>9</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1577</v>
      </c>
      <c r="D668" s="1" t="s">
        <v>232</v>
      </c>
      <c r="E668" s="1" t="s">
        <v>1578</v>
      </c>
      <c r="F668" s="1" t="s">
        <v>112</v>
      </c>
      <c r="G668" s="1">
        <v>99411</v>
      </c>
    </row>
    <row r="669" spans="1:7" x14ac:dyDescent="0.25">
      <c r="A669" s="1" t="str">
        <f t="shared" si="10"/>
        <v>9</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1579</v>
      </c>
      <c r="D669" s="1" t="s">
        <v>1580</v>
      </c>
      <c r="E669" s="1" t="s">
        <v>1581</v>
      </c>
      <c r="F669" s="1" t="s">
        <v>112</v>
      </c>
      <c r="G669" s="1">
        <v>115460</v>
      </c>
    </row>
    <row r="670" spans="1:7" x14ac:dyDescent="0.25">
      <c r="A670" s="1" t="str">
        <f t="shared" si="10"/>
        <v>9</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1582</v>
      </c>
      <c r="D670" s="1" t="s">
        <v>1583</v>
      </c>
      <c r="E670" s="1" t="s">
        <v>1584</v>
      </c>
      <c r="F670" s="1" t="s">
        <v>112</v>
      </c>
      <c r="G670" s="1">
        <v>21219</v>
      </c>
    </row>
    <row r="671" spans="1:7" x14ac:dyDescent="0.25">
      <c r="A671" s="1" t="str">
        <f t="shared" si="10"/>
        <v>9</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1585</v>
      </c>
      <c r="D671" s="1" t="s">
        <v>1586</v>
      </c>
      <c r="E671" s="1">
        <v>34</v>
      </c>
      <c r="F671" s="1" t="s">
        <v>112</v>
      </c>
      <c r="G671" s="1">
        <v>12502</v>
      </c>
    </row>
    <row r="672" spans="1:7" x14ac:dyDescent="0.25">
      <c r="A672" s="1" t="str">
        <f t="shared" si="10"/>
        <v>9</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1587</v>
      </c>
      <c r="D672" s="1" t="s">
        <v>200</v>
      </c>
      <c r="E672" s="1" t="s">
        <v>1588</v>
      </c>
      <c r="F672" s="1" t="s">
        <v>112</v>
      </c>
      <c r="G672" s="1">
        <v>15833</v>
      </c>
    </row>
    <row r="673" spans="1:10" x14ac:dyDescent="0.25">
      <c r="A673" s="1" t="str">
        <f t="shared" si="10"/>
        <v>9</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1589</v>
      </c>
      <c r="D673" s="1" t="s">
        <v>475</v>
      </c>
      <c r="E673" s="1" t="s">
        <v>1590</v>
      </c>
      <c r="F673" s="1" t="s">
        <v>112</v>
      </c>
      <c r="G673" s="1">
        <v>40924</v>
      </c>
    </row>
    <row r="674" spans="1:10" x14ac:dyDescent="0.25">
      <c r="A674" s="1" t="str">
        <f t="shared" si="10"/>
        <v>9</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1591</v>
      </c>
      <c r="D674" s="1" t="s">
        <v>1592</v>
      </c>
      <c r="E674" s="1" t="s">
        <v>1593</v>
      </c>
      <c r="F674" s="1" t="s">
        <v>112</v>
      </c>
      <c r="G674" s="1">
        <v>160862</v>
      </c>
    </row>
    <row r="675" spans="1:10" x14ac:dyDescent="0.25">
      <c r="A675" s="1" t="str">
        <f t="shared" si="10"/>
        <v>9</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1594</v>
      </c>
      <c r="D675" s="1" t="s">
        <v>643</v>
      </c>
      <c r="E675" s="1" t="s">
        <v>1595</v>
      </c>
      <c r="F675" s="1" t="s">
        <v>112</v>
      </c>
      <c r="G675" s="1">
        <v>138691</v>
      </c>
    </row>
    <row r="676" spans="1:10" x14ac:dyDescent="0.25">
      <c r="A676" s="1" t="str">
        <f t="shared" si="10"/>
        <v>9</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1596</v>
      </c>
      <c r="D676" s="1" t="s">
        <v>1597</v>
      </c>
      <c r="E676" s="1" t="s">
        <v>1598</v>
      </c>
      <c r="F676" s="1" t="s">
        <v>112</v>
      </c>
      <c r="G676" s="1">
        <v>235571</v>
      </c>
    </row>
    <row r="677" spans="1:10" x14ac:dyDescent="0.25">
      <c r="A677" s="1" t="str">
        <f t="shared" si="10"/>
        <v>9</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1599</v>
      </c>
      <c r="D677" s="1" t="s">
        <v>1600</v>
      </c>
      <c r="E677" s="1" t="s">
        <v>1601</v>
      </c>
      <c r="F677" s="1" t="s">
        <v>112</v>
      </c>
      <c r="G677" s="1">
        <v>288629</v>
      </c>
    </row>
    <row r="678" spans="1:10" x14ac:dyDescent="0.25">
      <c r="A678" s="1" t="str">
        <f t="shared" si="10"/>
        <v>9</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1602</v>
      </c>
      <c r="D678" s="1" t="s">
        <v>1603</v>
      </c>
      <c r="E678" s="1" t="s">
        <v>1604</v>
      </c>
      <c r="F678" s="1" t="s">
        <v>112</v>
      </c>
      <c r="G678" s="1">
        <v>357629</v>
      </c>
    </row>
    <row r="679" spans="1:10" x14ac:dyDescent="0.25">
      <c r="A679" s="1" t="str">
        <f t="shared" si="10"/>
        <v>9</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1605</v>
      </c>
      <c r="D679" s="1" t="s">
        <v>554</v>
      </c>
      <c r="E679" s="1" t="s">
        <v>1606</v>
      </c>
      <c r="F679" s="1" t="s">
        <v>112</v>
      </c>
      <c r="G679" s="1">
        <v>130255</v>
      </c>
    </row>
    <row r="680" spans="1:10" x14ac:dyDescent="0.25">
      <c r="A680" s="1" t="str">
        <f t="shared" si="10"/>
        <v>9</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1607</v>
      </c>
      <c r="D680" s="1" t="s">
        <v>176</v>
      </c>
      <c r="E680" s="1" t="s">
        <v>1608</v>
      </c>
      <c r="F680" s="1" t="s">
        <v>112</v>
      </c>
      <c r="G680" s="1">
        <v>137718</v>
      </c>
    </row>
    <row r="681" spans="1:10" x14ac:dyDescent="0.25">
      <c r="A681" s="1" t="str">
        <f t="shared" si="10"/>
        <v>9</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1609</v>
      </c>
      <c r="D681" s="1" t="s">
        <v>291</v>
      </c>
      <c r="E681" s="1" t="s">
        <v>1610</v>
      </c>
      <c r="F681" s="1" t="s">
        <v>112</v>
      </c>
      <c r="G681" s="1">
        <v>243574</v>
      </c>
    </row>
    <row r="682" spans="1:10" x14ac:dyDescent="0.25">
      <c r="A682" s="1" t="str">
        <f t="shared" si="10"/>
        <v>9</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1611</v>
      </c>
      <c r="D682" s="1" t="s">
        <v>1612</v>
      </c>
      <c r="E682" s="1" t="s">
        <v>1613</v>
      </c>
      <c r="F682" s="1" t="s">
        <v>112</v>
      </c>
      <c r="G682" s="1">
        <v>215044</v>
      </c>
    </row>
    <row r="683" spans="1:10" x14ac:dyDescent="0.25">
      <c r="A683" s="1" t="str">
        <f t="shared" si="10"/>
        <v>9</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1614</v>
      </c>
      <c r="D683" s="1" t="s">
        <v>1615</v>
      </c>
      <c r="E683" s="1" t="s">
        <v>1616</v>
      </c>
      <c r="F683" s="1" t="s">
        <v>112</v>
      </c>
      <c r="G683" s="1">
        <v>296048</v>
      </c>
    </row>
    <row r="684" spans="1:10" x14ac:dyDescent="0.25">
      <c r="A684" s="1" t="str">
        <f t="shared" si="10"/>
        <v>9</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1617</v>
      </c>
      <c r="D684" s="1" t="s">
        <v>1618</v>
      </c>
      <c r="E684" s="1" t="s">
        <v>1619</v>
      </c>
      <c r="F684" s="1" t="s">
        <v>112</v>
      </c>
      <c r="G684" s="1">
        <v>211778</v>
      </c>
    </row>
    <row r="685" spans="1:10" x14ac:dyDescent="0.25">
      <c r="A685" s="1" t="str">
        <f t="shared" si="10"/>
        <v>9</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1620</v>
      </c>
      <c r="D685" s="1" t="s">
        <v>483</v>
      </c>
      <c r="E685" s="1" t="s">
        <v>1621</v>
      </c>
      <c r="F685" s="1" t="s">
        <v>112</v>
      </c>
      <c r="G685" s="1">
        <v>232110</v>
      </c>
    </row>
    <row r="686" spans="1:10" x14ac:dyDescent="0.2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112</v>
      </c>
    </row>
    <row r="687" spans="1:10" x14ac:dyDescent="0.2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237</v>
      </c>
      <c r="D687" s="1" t="s">
        <v>112</v>
      </c>
      <c r="E687" s="1" t="s">
        <v>238</v>
      </c>
      <c r="F687" s="1" t="s">
        <v>239</v>
      </c>
      <c r="G687" s="1" t="s">
        <v>240</v>
      </c>
      <c r="H687" s="1" t="s">
        <v>241</v>
      </c>
      <c r="I687" s="1" t="s">
        <v>242</v>
      </c>
      <c r="J687" s="1" t="s">
        <v>243</v>
      </c>
    </row>
    <row r="688" spans="1:10" x14ac:dyDescent="0.25">
      <c r="A688" s="1" t="str">
        <f t="shared" si="10"/>
        <v>9</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1622</v>
      </c>
      <c r="D688" s="1" t="s">
        <v>112</v>
      </c>
      <c r="E688" s="1" t="s">
        <v>1623</v>
      </c>
      <c r="F688" s="1" t="s">
        <v>1624</v>
      </c>
      <c r="G688" s="1" t="s">
        <v>1625</v>
      </c>
      <c r="H688" s="1" t="s">
        <v>1626</v>
      </c>
      <c r="I688" s="1">
        <v>24</v>
      </c>
      <c r="J688" s="1">
        <v>24</v>
      </c>
    </row>
    <row r="689" spans="1:3" x14ac:dyDescent="0.2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112</v>
      </c>
    </row>
    <row r="690" spans="1:3" x14ac:dyDescent="0.2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3" x14ac:dyDescent="0.2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3" x14ac:dyDescent="0.2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3" x14ac:dyDescent="0.2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3" x14ac:dyDescent="0.2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3" x14ac:dyDescent="0.2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3" x14ac:dyDescent="0.2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3" x14ac:dyDescent="0.2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3" x14ac:dyDescent="0.2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3" x14ac:dyDescent="0.2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3" x14ac:dyDescent="0.2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3" x14ac:dyDescent="0.2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3" x14ac:dyDescent="0.2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3" x14ac:dyDescent="0.2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3" x14ac:dyDescent="0.2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2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2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2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2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2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2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2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2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2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2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2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2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2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2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2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2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2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2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2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2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2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2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2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2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2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2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2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2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2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2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2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2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2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2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2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2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2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2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2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2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2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2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2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2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2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2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2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2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2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2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2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2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2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2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2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2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2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2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2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2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2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2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2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2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2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2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2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2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2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2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2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2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2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2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2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2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2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2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2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2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2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2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2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2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2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2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2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2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2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2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2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2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2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2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2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2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2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2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2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2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2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2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2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2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2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2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2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2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2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2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2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2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2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2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2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2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2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2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2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2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2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2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2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2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2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2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2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2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2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2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2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2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2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2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2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2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2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2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2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2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2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2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2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2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2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2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2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2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2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2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2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2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2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2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2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2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2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2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2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2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2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2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2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2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2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2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2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2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2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2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2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2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2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2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2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2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2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2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2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2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2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2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2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2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2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2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2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2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2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2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2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2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2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2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2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2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2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2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2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2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2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2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2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2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2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2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2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2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2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2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2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2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2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2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2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2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2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2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2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2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2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2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2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2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2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2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2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2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2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2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2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2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2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2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2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2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2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2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2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2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2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2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2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2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2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2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2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2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2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2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2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2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2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2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2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2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2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2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2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2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2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2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2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2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2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2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2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2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2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2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2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2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2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2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2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2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2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2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2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2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2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2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2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2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2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2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2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2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2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2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2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2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2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2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2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2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2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2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2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2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2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2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2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2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2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2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2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2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2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2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2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2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2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2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2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2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2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2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2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2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2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2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2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2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2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2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2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2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2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2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2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2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2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2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2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2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2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2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2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2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2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2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2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2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2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2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2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2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2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2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2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2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2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2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2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2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2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2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2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2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2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2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2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2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2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2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2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2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2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2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2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2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2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2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2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2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2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2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2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2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2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2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2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2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2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2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2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2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2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2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2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2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2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2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2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2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2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2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2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2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2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2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2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2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2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2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2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2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2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2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2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2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2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2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2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2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2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2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2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2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2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2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2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2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2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2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2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2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2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2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2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2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2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2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2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2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2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2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2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2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2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2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2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2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2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2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2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2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2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2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2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2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2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2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2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2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2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2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2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2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2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2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2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2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2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2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2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2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2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2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2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2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2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2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2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2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2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2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2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2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2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2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2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2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2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2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2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2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2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2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2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2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2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2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2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2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2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2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2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2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2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2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2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2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2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2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2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2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2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2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2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2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2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2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2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2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2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2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2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2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2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2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2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2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2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2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2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2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2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2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2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2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2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2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2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2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2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2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2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2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2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2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2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2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2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2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2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2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2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2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2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2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2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2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2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2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2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2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2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2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2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2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2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2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2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2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2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2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2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2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2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2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2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2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2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2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2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2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2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2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2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2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2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2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2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2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2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2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2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2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2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2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2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2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2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2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2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2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2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2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2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2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2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2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2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2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2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2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2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2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2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2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2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2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2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2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2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2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2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2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2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2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2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2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2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2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2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2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2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2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2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2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2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2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2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2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2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2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2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2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2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2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2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2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2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2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2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2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2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2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2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2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2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2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2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2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2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2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2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2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2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2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2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2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2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2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2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2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2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2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2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2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2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2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2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2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2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2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2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2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2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2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2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2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2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2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2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2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2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2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2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2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2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2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2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2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2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2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2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2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2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2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2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2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2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2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2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2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2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2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2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2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2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2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2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2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2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2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2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2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2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2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2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2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2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2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2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2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2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2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2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2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2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2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2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2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2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2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2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2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2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2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2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2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2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2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2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2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2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2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2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2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2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2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2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2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2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2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2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2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2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2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2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2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2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2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2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2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2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2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2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2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2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2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2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2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2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2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2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2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2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2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2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2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2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2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2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2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2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2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2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2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2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2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2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2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2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2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2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2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2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2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2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2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2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2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2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2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2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2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2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2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2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2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2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2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2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2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2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2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2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2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2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2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2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2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2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2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2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2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2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2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2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2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2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2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2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2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2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2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2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2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2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2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2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2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2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2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2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2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2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2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2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5" priority="1" operator="containsText" text="ERREUR">
      <formula>NOT(ISERROR(SEARCH("ERREUR",A1)))</formula>
    </cfRule>
    <cfRule type="containsText" dxfId="4"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74"/>
  <sheetViews>
    <sheetView showGridLines="0" zoomScale="85" zoomScaleNormal="85" zoomScaleSheetLayoutView="40" zoomScalePageLayoutView="30" workbookViewId="0">
      <pane xSplit="1" topLeftCell="J1" activePane="topRight" state="frozen"/>
      <selection pane="topRight" activeCell="M16" sqref="M16"/>
    </sheetView>
  </sheetViews>
  <sheetFormatPr defaultColWidth="9.140625" defaultRowHeight="15" x14ac:dyDescent="0.25"/>
  <cols>
    <col min="1" max="1" width="29.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8.28515625" bestFit="1" customWidth="1"/>
    <col min="15" max="15" width="14.85546875" customWidth="1"/>
    <col min="16" max="16" width="17.7109375" customWidth="1"/>
    <col min="17" max="18" width="25.85546875" bestFit="1" customWidth="1"/>
    <col min="19" max="36" width="25.85546875" style="1" customWidth="1"/>
    <col min="37" max="37" width="25.85546875" bestFit="1" customWidth="1"/>
  </cols>
  <sheetData>
    <row r="1" spans="1:37" s="1" customFormat="1" ht="27" thickBot="1" x14ac:dyDescent="0.45">
      <c r="A1" s="221" t="s">
        <v>40</v>
      </c>
      <c r="B1" s="222"/>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3"/>
    </row>
    <row r="2" spans="1:37" ht="15.75" thickBot="1" x14ac:dyDescent="0.3">
      <c r="A2"/>
      <c r="B2"/>
      <c r="C2"/>
      <c r="D2"/>
      <c r="E2"/>
      <c r="F2"/>
      <c r="G2"/>
      <c r="H2"/>
      <c r="I2"/>
      <c r="J2"/>
      <c r="K2"/>
      <c r="L2"/>
      <c r="M2"/>
      <c r="S2"/>
      <c r="T2"/>
      <c r="U2"/>
      <c r="V2"/>
      <c r="W2"/>
      <c r="X2"/>
      <c r="Y2"/>
      <c r="Z2"/>
      <c r="AA2"/>
      <c r="AB2"/>
      <c r="AC2"/>
      <c r="AD2"/>
    </row>
    <row r="3" spans="1:37" ht="15.75" thickBot="1" x14ac:dyDescent="0.3">
      <c r="A3" s="53" t="s">
        <v>17</v>
      </c>
      <c r="B3" s="231" t="s">
        <v>6</v>
      </c>
      <c r="C3" s="232"/>
      <c r="D3" s="232"/>
      <c r="E3" s="232"/>
      <c r="F3" s="232"/>
      <c r="G3" s="232"/>
      <c r="H3" s="232"/>
      <c r="I3" s="232"/>
      <c r="J3" s="232"/>
      <c r="K3" s="232"/>
      <c r="L3" s="232"/>
      <c r="M3" s="232"/>
      <c r="O3" s="231" t="s">
        <v>3</v>
      </c>
      <c r="P3" s="232"/>
      <c r="Q3" s="232"/>
      <c r="R3" s="232"/>
      <c r="S3" s="232"/>
      <c r="T3" s="232"/>
      <c r="U3" s="232"/>
      <c r="V3" s="232"/>
      <c r="W3" s="232"/>
      <c r="X3" s="232"/>
      <c r="Y3" s="232"/>
      <c r="Z3" s="232"/>
      <c r="AA3" s="232"/>
      <c r="AB3" s="232"/>
      <c r="AC3" s="232"/>
      <c r="AD3" s="232"/>
      <c r="AE3" s="232"/>
      <c r="AF3" s="232"/>
      <c r="AG3" s="232"/>
      <c r="AH3" s="232"/>
      <c r="AI3" s="232"/>
      <c r="AJ3" s="232"/>
      <c r="AK3" s="233"/>
    </row>
    <row r="4" spans="1:37"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
        <v>1656</v>
      </c>
      <c r="J4" s="35" t="s">
        <v>1657</v>
      </c>
      <c r="K4" s="35" t="s">
        <v>1658</v>
      </c>
      <c r="L4" s="35" t="s">
        <v>1659</v>
      </c>
      <c r="M4" s="35" t="s">
        <v>1660</v>
      </c>
      <c r="N4" s="3"/>
      <c r="O4" s="36" t="str">
        <f>'Page de garde'!A36</f>
        <v>Testo -30µg/L</v>
      </c>
      <c r="P4" s="36" t="str">
        <f>'Page de garde'!A37</f>
        <v>Testo 30µg/L + EE2 -64ng/L</v>
      </c>
      <c r="Q4" s="36" t="str">
        <f>'Page de garde'!A38</f>
        <v>Testo 30µg/L + FAD-10mg/L</v>
      </c>
      <c r="R4" s="36" t="str">
        <f>'Page de garde'!A39</f>
        <v>Prochloraz-0.063mg/L + Testostérone</v>
      </c>
      <c r="S4" s="36" t="str">
        <f>'Page de garde'!A40</f>
        <v>Prochloraz-0.13mg/L + Testostérone</v>
      </c>
      <c r="T4" s="36" t="str">
        <f>'Page de garde'!A41</f>
        <v>Prochloraz-0.25mg/L + Testostérone</v>
      </c>
      <c r="U4" s="36" t="str">
        <f>'Page de garde'!A42</f>
        <v>Prochloraz-0.5mg/L + Testostérone</v>
      </c>
      <c r="V4" s="36" t="str">
        <f>'Page de garde'!A43</f>
        <v>Prochloraz-1mg/L + Testostérone</v>
      </c>
      <c r="W4" s="36" t="str">
        <f>'Page de garde'!A44</f>
        <v>0-00 + Testostérone</v>
      </c>
      <c r="X4" s="36" t="str">
        <f>'Page de garde'!A45</f>
        <v>0-00 + Testostérone</v>
      </c>
      <c r="Y4" s="36" t="str">
        <f>'Page de garde'!A46</f>
        <v>0-00 + Testostérone</v>
      </c>
      <c r="Z4" s="36" t="str">
        <f>'Page de garde'!A47</f>
        <v>0-00 + Testostérone</v>
      </c>
      <c r="AA4" s="36" t="str">
        <f>'Page de garde'!A48</f>
        <v>0-00 + Testostérone</v>
      </c>
      <c r="AB4" s="36" t="str">
        <f>'Page de garde'!A49</f>
        <v>0-00 + Testostérone</v>
      </c>
      <c r="AC4" s="36" t="str">
        <f>'Page de garde'!A50</f>
        <v>0-00 + Testostérone</v>
      </c>
      <c r="AD4" s="36" t="str">
        <f>'Page de garde'!A51</f>
        <v>0-00 + Testostérone</v>
      </c>
      <c r="AE4" s="36" t="str">
        <f>'Page de garde'!A52</f>
        <v>0-00 + Testostérone</v>
      </c>
      <c r="AF4" s="36" t="str">
        <f>'Page de garde'!A53</f>
        <v>0-00 + Testostérone</v>
      </c>
      <c r="AG4" s="36" t="str">
        <f>'Page de garde'!A54</f>
        <v>0-00 + Testostérone</v>
      </c>
      <c r="AH4" s="36" t="str">
        <f>'Page de garde'!A55</f>
        <v>0-00 + Testostérone</v>
      </c>
      <c r="AI4" s="36" t="str">
        <f>'Page de garde'!A56</f>
        <v>0-00 + Testostérone</v>
      </c>
      <c r="AJ4" s="36" t="str">
        <f>'Page de garde'!A57</f>
        <v>0-00 + Testostérone</v>
      </c>
      <c r="AK4" s="36" t="str">
        <f>'Page de garde'!A58</f>
        <v>0-00 + Testostérone</v>
      </c>
    </row>
    <row r="5" spans="1:37" x14ac:dyDescent="0.25">
      <c r="A5" s="227" t="s">
        <v>33</v>
      </c>
      <c r="B5" s="201">
        <v>209831.33333333334</v>
      </c>
      <c r="C5" s="201">
        <v>249277.33333333334</v>
      </c>
      <c r="D5" s="201">
        <v>151596.66666666666</v>
      </c>
      <c r="E5" s="201">
        <v>575607.33333333337</v>
      </c>
      <c r="F5" s="201">
        <v>2841245.6666666665</v>
      </c>
      <c r="G5" s="201">
        <v>3057292</v>
      </c>
      <c r="H5" s="201">
        <v>4148181</v>
      </c>
      <c r="I5" s="201">
        <v>178360</v>
      </c>
      <c r="J5" s="201">
        <v>19063</v>
      </c>
      <c r="K5" s="201">
        <v>437291.5</v>
      </c>
      <c r="L5" s="201">
        <v>212730</v>
      </c>
      <c r="M5" s="201">
        <v>266610</v>
      </c>
      <c r="N5" s="3"/>
      <c r="O5" s="201">
        <v>1690989</v>
      </c>
      <c r="P5" s="201">
        <v>5102852.333333333</v>
      </c>
      <c r="Q5" s="201">
        <v>50181.333333333336</v>
      </c>
      <c r="R5" s="201">
        <v>2129550</v>
      </c>
      <c r="S5" s="201"/>
      <c r="T5" s="201">
        <v>3966915.3333333335</v>
      </c>
      <c r="U5" s="201">
        <v>49337.666666666664</v>
      </c>
      <c r="V5" s="201">
        <v>1227720.3333333333</v>
      </c>
      <c r="W5" s="32"/>
      <c r="X5" s="32"/>
      <c r="Y5" s="32"/>
      <c r="Z5" s="32"/>
      <c r="AA5" s="32"/>
      <c r="AB5" s="32"/>
      <c r="AC5" s="32"/>
      <c r="AD5" s="32"/>
      <c r="AE5" s="4"/>
      <c r="AF5" s="32"/>
      <c r="AG5" s="32"/>
      <c r="AH5" s="32"/>
      <c r="AI5" s="32"/>
      <c r="AJ5" s="32"/>
      <c r="AK5" s="32"/>
    </row>
    <row r="6" spans="1:37" x14ac:dyDescent="0.25">
      <c r="A6" s="228"/>
      <c r="B6" s="201">
        <v>216753.33333333334</v>
      </c>
      <c r="C6" s="201">
        <v>39035</v>
      </c>
      <c r="D6" s="201">
        <v>98070</v>
      </c>
      <c r="E6" s="201">
        <v>1837502.5</v>
      </c>
      <c r="F6" s="201">
        <v>1625371</v>
      </c>
      <c r="G6" s="201">
        <v>458013.33333333331</v>
      </c>
      <c r="H6" s="201">
        <v>3753572.6666666665</v>
      </c>
      <c r="I6" s="201">
        <v>105179</v>
      </c>
      <c r="J6" s="201">
        <v>126102.33333333333</v>
      </c>
      <c r="K6" s="201">
        <v>388682</v>
      </c>
      <c r="L6" s="201">
        <v>191965.33333333334</v>
      </c>
      <c r="M6" s="201">
        <v>340815.33333333331</v>
      </c>
      <c r="N6" s="3"/>
      <c r="O6" s="201">
        <v>72424</v>
      </c>
      <c r="P6" s="201">
        <v>4121381.3333333335</v>
      </c>
      <c r="Q6" s="201">
        <v>133059.66666666666</v>
      </c>
      <c r="R6" s="201">
        <v>1069310</v>
      </c>
      <c r="S6" s="201">
        <v>1036663.3333333334</v>
      </c>
      <c r="T6" s="201">
        <v>4497785</v>
      </c>
      <c r="U6" s="201">
        <v>826009.33333333337</v>
      </c>
      <c r="V6" s="201">
        <v>69381.666666666672</v>
      </c>
      <c r="W6" s="32"/>
      <c r="X6" s="32"/>
      <c r="Y6" s="32"/>
      <c r="Z6" s="32"/>
      <c r="AA6" s="32"/>
      <c r="AB6" s="32"/>
      <c r="AC6" s="32"/>
      <c r="AD6" s="32"/>
      <c r="AE6" s="4"/>
      <c r="AF6" s="32"/>
      <c r="AG6" s="32"/>
      <c r="AH6" s="32"/>
      <c r="AI6" s="32"/>
      <c r="AJ6" s="32"/>
      <c r="AK6" s="32"/>
    </row>
    <row r="7" spans="1:37" x14ac:dyDescent="0.25">
      <c r="A7" s="228"/>
      <c r="B7" s="201">
        <v>419093.66666666669</v>
      </c>
      <c r="C7" s="201">
        <v>158482.33333333334</v>
      </c>
      <c r="D7" s="201">
        <v>200970.66666666666</v>
      </c>
      <c r="E7" s="201">
        <v>283315.66666666669</v>
      </c>
      <c r="F7" s="201">
        <v>2885074.6666666665</v>
      </c>
      <c r="G7" s="201">
        <v>3176144.5</v>
      </c>
      <c r="H7" s="201">
        <v>5196171.333333333</v>
      </c>
      <c r="I7" s="201">
        <v>174091.66666666666</v>
      </c>
      <c r="J7" s="201">
        <v>78696.666666666672</v>
      </c>
      <c r="K7" s="201">
        <v>267864.5</v>
      </c>
      <c r="L7" s="201">
        <v>53094</v>
      </c>
      <c r="M7" s="201">
        <v>158882.5</v>
      </c>
      <c r="N7" s="3"/>
      <c r="O7" s="201">
        <v>1480696</v>
      </c>
      <c r="P7" s="201">
        <v>3965228.6666666665</v>
      </c>
      <c r="Q7" s="201">
        <v>87741.5</v>
      </c>
      <c r="R7" s="201">
        <v>2620108.3333333335</v>
      </c>
      <c r="S7" s="201">
        <v>2084350</v>
      </c>
      <c r="T7" s="201">
        <v>2876293</v>
      </c>
      <c r="U7" s="201">
        <v>356049.5</v>
      </c>
      <c r="V7" s="201">
        <v>176384.66666666666</v>
      </c>
      <c r="W7" s="32"/>
      <c r="X7" s="32"/>
      <c r="Y7" s="32"/>
      <c r="Z7" s="32"/>
      <c r="AA7" s="32"/>
      <c r="AB7" s="32"/>
      <c r="AC7" s="32"/>
      <c r="AD7" s="32"/>
      <c r="AE7" s="4"/>
      <c r="AF7" s="32"/>
      <c r="AG7" s="32"/>
      <c r="AH7" s="32"/>
      <c r="AI7" s="32"/>
      <c r="AJ7" s="32"/>
      <c r="AK7" s="32"/>
    </row>
    <row r="8" spans="1:37" x14ac:dyDescent="0.25">
      <c r="A8" s="228"/>
      <c r="B8" s="201">
        <v>213660.33333333334</v>
      </c>
      <c r="C8" s="201">
        <v>170876</v>
      </c>
      <c r="D8" s="201">
        <v>196478.66666666666</v>
      </c>
      <c r="E8" s="201">
        <v>2692467.3333333335</v>
      </c>
      <c r="F8" s="201">
        <v>2233452.3333333335</v>
      </c>
      <c r="G8" s="201">
        <v>3915479.6666666665</v>
      </c>
      <c r="H8" s="201">
        <v>4267585.333333333</v>
      </c>
      <c r="I8" s="201">
        <v>242370</v>
      </c>
      <c r="J8" s="201">
        <v>23086.333333333332</v>
      </c>
      <c r="K8" s="201">
        <v>93513.333333333328</v>
      </c>
      <c r="L8" s="201">
        <v>261664</v>
      </c>
      <c r="M8" s="201">
        <v>164546</v>
      </c>
      <c r="N8" s="3"/>
      <c r="O8" s="201">
        <v>1059713.5</v>
      </c>
      <c r="P8" s="201">
        <v>3489421.3333333335</v>
      </c>
      <c r="Q8" s="201">
        <v>55019.333333333336</v>
      </c>
      <c r="R8" s="201">
        <v>1704140.3333333333</v>
      </c>
      <c r="S8" s="201">
        <v>993093.66666666663</v>
      </c>
      <c r="T8" s="201">
        <v>1958406.6666666667</v>
      </c>
      <c r="U8" s="201">
        <v>886234.66666666663</v>
      </c>
      <c r="V8" s="201">
        <v>87341.5</v>
      </c>
      <c r="W8" s="32"/>
      <c r="X8" s="32"/>
      <c r="Y8" s="32"/>
      <c r="Z8" s="32"/>
      <c r="AA8" s="32"/>
      <c r="AB8" s="32"/>
      <c r="AC8" s="32"/>
      <c r="AD8" s="32"/>
      <c r="AE8" s="4"/>
      <c r="AF8" s="32"/>
      <c r="AG8" s="32"/>
      <c r="AH8" s="32"/>
      <c r="AI8" s="32"/>
      <c r="AJ8" s="32"/>
      <c r="AK8" s="32"/>
    </row>
    <row r="9" spans="1:37" x14ac:dyDescent="0.25">
      <c r="A9" s="228"/>
      <c r="B9" s="201">
        <v>297079.33333333331</v>
      </c>
      <c r="C9" s="201"/>
      <c r="D9" s="201">
        <v>122757</v>
      </c>
      <c r="E9" s="201">
        <v>217106.33333333334</v>
      </c>
      <c r="F9" s="201">
        <v>3019374.6666666665</v>
      </c>
      <c r="G9" s="201">
        <v>4671148.666666667</v>
      </c>
      <c r="H9" s="201">
        <v>4224059</v>
      </c>
      <c r="I9" s="201">
        <v>246371.33333333334</v>
      </c>
      <c r="J9" s="201">
        <v>178374.66666666666</v>
      </c>
      <c r="K9" s="201">
        <v>207913.66666666666</v>
      </c>
      <c r="L9" s="201">
        <v>163104</v>
      </c>
      <c r="M9" s="201">
        <v>370931</v>
      </c>
      <c r="N9" s="3"/>
      <c r="O9" s="201">
        <v>337325.33333333331</v>
      </c>
      <c r="P9" s="201">
        <v>1875780.6666666667</v>
      </c>
      <c r="Q9" s="201">
        <v>277677</v>
      </c>
      <c r="R9" s="201">
        <v>290900.66666666669</v>
      </c>
      <c r="S9" s="201">
        <v>2162016</v>
      </c>
      <c r="T9" s="201">
        <v>2971125.3333333335</v>
      </c>
      <c r="U9" s="201">
        <v>461690</v>
      </c>
      <c r="V9" s="201">
        <v>1013230.6666666666</v>
      </c>
      <c r="W9" s="32"/>
      <c r="X9" s="32"/>
      <c r="Y9" s="32"/>
      <c r="Z9" s="32"/>
      <c r="AA9" s="32"/>
      <c r="AB9" s="32"/>
      <c r="AC9" s="32"/>
      <c r="AD9" s="32"/>
      <c r="AE9" s="4"/>
      <c r="AF9" s="32"/>
      <c r="AG9" s="32"/>
      <c r="AH9" s="32"/>
      <c r="AI9" s="32"/>
      <c r="AJ9" s="32"/>
      <c r="AK9" s="32"/>
    </row>
    <row r="10" spans="1:37" x14ac:dyDescent="0.25">
      <c r="A10" s="228"/>
      <c r="B10" s="201">
        <v>125057</v>
      </c>
      <c r="C10" s="201">
        <v>548231.33333333337</v>
      </c>
      <c r="D10" s="201">
        <v>128229.33333333333</v>
      </c>
      <c r="E10" s="201">
        <v>129245.66666666667</v>
      </c>
      <c r="F10" s="201">
        <v>1470371.3333333333</v>
      </c>
      <c r="G10" s="201">
        <v>3020247</v>
      </c>
      <c r="H10" s="201">
        <v>4025316.3333333335</v>
      </c>
      <c r="I10" s="201">
        <v>462101</v>
      </c>
      <c r="J10" s="201">
        <v>258837.66666666666</v>
      </c>
      <c r="K10" s="201">
        <v>97399.333333333328</v>
      </c>
      <c r="L10" s="201">
        <v>281066</v>
      </c>
      <c r="M10" s="201">
        <v>143420.66666666666</v>
      </c>
      <c r="N10" s="3"/>
      <c r="O10" s="201">
        <v>2049014</v>
      </c>
      <c r="P10" s="201">
        <v>2992027.3333333335</v>
      </c>
      <c r="Q10" s="201">
        <v>32127.666666666668</v>
      </c>
      <c r="R10" s="201">
        <v>984989.33333333337</v>
      </c>
      <c r="S10" s="201">
        <v>1450746</v>
      </c>
      <c r="T10" s="201">
        <v>1562118.3333333333</v>
      </c>
      <c r="U10" s="201">
        <v>1361464.6666666667</v>
      </c>
      <c r="V10" s="201">
        <v>157696.33333333334</v>
      </c>
      <c r="W10" s="32"/>
      <c r="X10" s="32"/>
      <c r="Y10" s="32"/>
      <c r="Z10" s="32"/>
      <c r="AA10" s="32"/>
      <c r="AB10" s="32"/>
      <c r="AC10" s="32"/>
      <c r="AD10" s="32"/>
      <c r="AE10" s="4"/>
      <c r="AF10" s="32"/>
      <c r="AG10" s="32"/>
      <c r="AH10" s="32"/>
      <c r="AI10" s="32"/>
      <c r="AJ10" s="32"/>
      <c r="AK10" s="32"/>
    </row>
    <row r="11" spans="1:37" x14ac:dyDescent="0.25">
      <c r="A11" s="228"/>
      <c r="B11" s="201">
        <v>104083.33333333333</v>
      </c>
      <c r="C11" s="201">
        <v>184849.33333333334</v>
      </c>
      <c r="D11" s="201">
        <v>666510.66666666663</v>
      </c>
      <c r="E11" s="201">
        <v>1235312.3333333333</v>
      </c>
      <c r="F11" s="201">
        <v>2724429.6666666665</v>
      </c>
      <c r="G11" s="201"/>
      <c r="H11" s="201">
        <v>5225458</v>
      </c>
      <c r="I11" s="201">
        <v>55177.666666666664</v>
      </c>
      <c r="J11" s="201">
        <v>198778.66666666666</v>
      </c>
      <c r="K11" s="201">
        <v>185325</v>
      </c>
      <c r="L11" s="201">
        <v>189982.66666666666</v>
      </c>
      <c r="M11" s="201">
        <v>299292.66666666669</v>
      </c>
      <c r="N11" s="3"/>
      <c r="O11" s="201">
        <v>24824</v>
      </c>
      <c r="P11" s="201">
        <v>3668877</v>
      </c>
      <c r="Q11" s="201">
        <v>85200</v>
      </c>
      <c r="R11" s="201"/>
      <c r="S11" s="201">
        <v>112100.66666666667</v>
      </c>
      <c r="T11" s="201">
        <v>3187352.6666666665</v>
      </c>
      <c r="U11" s="201">
        <v>180241.66666666666</v>
      </c>
      <c r="V11" s="201">
        <v>230373</v>
      </c>
      <c r="W11" s="32"/>
      <c r="X11" s="32"/>
      <c r="Y11" s="32"/>
      <c r="Z11" s="32"/>
      <c r="AA11" s="32"/>
      <c r="AB11" s="32"/>
      <c r="AC11" s="32"/>
      <c r="AD11" s="32"/>
      <c r="AE11" s="4"/>
      <c r="AF11" s="32"/>
      <c r="AG11" s="32"/>
      <c r="AH11" s="32"/>
      <c r="AI11" s="32"/>
      <c r="AJ11" s="32"/>
      <c r="AK11" s="32"/>
    </row>
    <row r="12" spans="1:37" x14ac:dyDescent="0.25">
      <c r="A12" s="228"/>
      <c r="B12" s="201">
        <v>83080.333333333328</v>
      </c>
      <c r="C12" s="201">
        <v>67319.333333333328</v>
      </c>
      <c r="D12" s="201">
        <v>154502.33333333334</v>
      </c>
      <c r="E12" s="201">
        <v>2268053</v>
      </c>
      <c r="F12" s="201">
        <v>2656165.6666666665</v>
      </c>
      <c r="G12" s="201">
        <v>1460508.3333333333</v>
      </c>
      <c r="H12" s="201">
        <v>3912307.3333333335</v>
      </c>
      <c r="I12" s="201">
        <v>239104.33333333334</v>
      </c>
      <c r="J12" s="201">
        <v>246645.33333333334</v>
      </c>
      <c r="K12" s="201">
        <v>62359</v>
      </c>
      <c r="L12" s="201">
        <v>274029</v>
      </c>
      <c r="M12" s="201">
        <v>445641</v>
      </c>
      <c r="N12" s="3"/>
      <c r="O12" s="201">
        <v>484726</v>
      </c>
      <c r="P12" s="201">
        <v>3375410</v>
      </c>
      <c r="Q12" s="201">
        <v>197726</v>
      </c>
      <c r="R12" s="201">
        <v>954685.66666666663</v>
      </c>
      <c r="S12" s="201">
        <v>547957.33333333337</v>
      </c>
      <c r="T12" s="201">
        <v>2809644</v>
      </c>
      <c r="U12" s="201">
        <v>27203.333333333332</v>
      </c>
      <c r="V12" s="201">
        <v>2335019.3333333335</v>
      </c>
      <c r="W12" s="32"/>
      <c r="X12" s="32"/>
      <c r="Y12" s="32"/>
      <c r="Z12" s="32"/>
      <c r="AA12" s="32"/>
      <c r="AB12" s="32"/>
      <c r="AC12" s="32"/>
      <c r="AD12" s="32"/>
      <c r="AE12" s="4"/>
      <c r="AF12" s="32"/>
      <c r="AG12" s="32"/>
      <c r="AH12" s="32"/>
      <c r="AI12" s="32"/>
      <c r="AJ12" s="32"/>
      <c r="AK12" s="32"/>
    </row>
    <row r="13" spans="1:37" ht="16.5" x14ac:dyDescent="0.25">
      <c r="A13" s="228"/>
      <c r="B13" s="14"/>
      <c r="C13" s="13"/>
      <c r="D13" s="16"/>
      <c r="E13" s="16"/>
      <c r="F13" s="16"/>
      <c r="G13" s="16"/>
      <c r="H13" s="16"/>
      <c r="I13" s="32"/>
      <c r="J13" s="16"/>
      <c r="K13" s="13"/>
      <c r="L13" s="13"/>
      <c r="M13" s="13"/>
      <c r="N13" s="3"/>
      <c r="O13" s="201">
        <v>69677</v>
      </c>
      <c r="P13" s="13"/>
      <c r="Q13" s="13"/>
      <c r="R13" s="4"/>
      <c r="S13" s="32"/>
      <c r="T13" s="32"/>
      <c r="U13" s="32"/>
      <c r="V13" s="32"/>
      <c r="W13" s="32"/>
      <c r="X13" s="32"/>
      <c r="Y13" s="32"/>
      <c r="Z13" s="32"/>
      <c r="AA13" s="32"/>
      <c r="AB13" s="32"/>
      <c r="AC13" s="32"/>
      <c r="AD13" s="32"/>
      <c r="AE13" s="4"/>
      <c r="AF13" s="32"/>
      <c r="AG13" s="32"/>
      <c r="AH13" s="32"/>
      <c r="AI13" s="32"/>
      <c r="AJ13" s="32"/>
      <c r="AK13" s="32"/>
    </row>
    <row r="14" spans="1:37" ht="16.5" x14ac:dyDescent="0.25">
      <c r="A14" s="228"/>
      <c r="B14" s="14"/>
      <c r="C14" s="16"/>
      <c r="D14" s="16"/>
      <c r="E14" s="16"/>
      <c r="F14" s="16"/>
      <c r="G14" s="16"/>
      <c r="H14" s="16"/>
      <c r="I14" s="32"/>
      <c r="J14" s="16"/>
      <c r="K14" s="13"/>
      <c r="L14" s="13"/>
      <c r="M14" s="13"/>
      <c r="N14" s="3"/>
      <c r="O14" s="201">
        <v>67434.666666666672</v>
      </c>
      <c r="P14" s="13"/>
      <c r="Q14" s="13"/>
      <c r="R14" s="4"/>
      <c r="S14" s="32"/>
      <c r="T14" s="32"/>
      <c r="U14" s="32"/>
      <c r="V14" s="32"/>
      <c r="W14" s="32"/>
      <c r="X14" s="32"/>
      <c r="Y14" s="32"/>
      <c r="Z14" s="32"/>
      <c r="AA14" s="32"/>
      <c r="AB14" s="32"/>
      <c r="AC14" s="32"/>
      <c r="AD14" s="32"/>
      <c r="AE14" s="4"/>
      <c r="AF14" s="32"/>
      <c r="AG14" s="32"/>
      <c r="AH14" s="32"/>
      <c r="AI14" s="32"/>
      <c r="AJ14" s="32"/>
      <c r="AK14" s="32"/>
    </row>
    <row r="15" spans="1:37" ht="16.5" x14ac:dyDescent="0.25">
      <c r="A15" s="228"/>
      <c r="B15" s="14"/>
      <c r="C15" s="16"/>
      <c r="D15" s="16"/>
      <c r="E15" s="16"/>
      <c r="F15" s="16"/>
      <c r="G15" s="16"/>
      <c r="H15" s="16"/>
      <c r="I15" s="32"/>
      <c r="J15" s="16"/>
      <c r="K15" s="13"/>
      <c r="L15" s="13"/>
      <c r="M15" s="13"/>
      <c r="N15" s="3"/>
      <c r="O15" s="201">
        <v>1772274.3333333333</v>
      </c>
      <c r="P15" s="13"/>
      <c r="Q15" s="13"/>
      <c r="R15" s="4"/>
      <c r="S15" s="32"/>
      <c r="T15" s="32"/>
      <c r="U15" s="32"/>
      <c r="V15" s="32"/>
      <c r="W15" s="32"/>
      <c r="X15" s="32"/>
      <c r="Y15" s="32"/>
      <c r="Z15" s="32"/>
      <c r="AA15" s="32"/>
      <c r="AB15" s="32"/>
      <c r="AC15" s="32"/>
      <c r="AD15" s="32"/>
      <c r="AE15" s="4"/>
      <c r="AF15" s="32"/>
      <c r="AG15" s="32"/>
      <c r="AH15" s="32"/>
      <c r="AI15" s="32"/>
      <c r="AJ15" s="32"/>
      <c r="AK15" s="32"/>
    </row>
    <row r="16" spans="1:37" ht="16.5" x14ac:dyDescent="0.25">
      <c r="A16" s="228"/>
      <c r="B16" s="14"/>
      <c r="C16" s="16"/>
      <c r="D16" s="16"/>
      <c r="E16" s="16"/>
      <c r="F16" s="16"/>
      <c r="G16" s="16"/>
      <c r="H16" s="16"/>
      <c r="I16" s="32"/>
      <c r="J16" s="16"/>
      <c r="K16" s="13"/>
      <c r="L16" s="13"/>
      <c r="M16" s="13"/>
      <c r="N16" s="3"/>
      <c r="O16" s="201"/>
      <c r="P16" s="13"/>
      <c r="Q16" s="13"/>
      <c r="R16" s="4"/>
      <c r="S16" s="32"/>
      <c r="T16" s="32"/>
      <c r="U16" s="32"/>
      <c r="V16" s="32"/>
      <c r="W16" s="32"/>
      <c r="X16" s="32"/>
      <c r="Y16" s="32"/>
      <c r="Z16" s="32"/>
      <c r="AA16" s="32"/>
      <c r="AB16" s="32"/>
      <c r="AC16" s="32"/>
      <c r="AD16" s="32"/>
      <c r="AE16" s="4"/>
      <c r="AF16" s="32"/>
      <c r="AG16" s="32"/>
      <c r="AH16" s="32"/>
      <c r="AI16" s="32"/>
      <c r="AJ16" s="32"/>
      <c r="AK16" s="32"/>
    </row>
    <row r="17" spans="1:37" s="1" customFormat="1" ht="16.5" x14ac:dyDescent="0.25">
      <c r="A17" s="228"/>
      <c r="B17" s="14"/>
      <c r="C17" s="32"/>
      <c r="D17" s="32"/>
      <c r="E17" s="32"/>
      <c r="F17" s="32"/>
      <c r="G17" s="32"/>
      <c r="H17" s="32"/>
      <c r="I17" s="32"/>
      <c r="J17" s="32"/>
      <c r="K17" s="13"/>
      <c r="L17" s="13"/>
      <c r="M17" s="13"/>
      <c r="N17" s="3"/>
      <c r="O17" s="201">
        <v>378660.33333333331</v>
      </c>
      <c r="P17" s="13"/>
      <c r="Q17" s="13"/>
      <c r="R17" s="32"/>
      <c r="S17" s="32"/>
      <c r="T17" s="32"/>
      <c r="U17" s="32"/>
      <c r="V17" s="32"/>
      <c r="W17" s="32"/>
      <c r="X17" s="32"/>
      <c r="Y17" s="32"/>
      <c r="Z17" s="32"/>
      <c r="AA17" s="32"/>
      <c r="AB17" s="32"/>
      <c r="AC17" s="32"/>
      <c r="AD17" s="32"/>
      <c r="AE17" s="32"/>
      <c r="AF17" s="32"/>
      <c r="AG17" s="32"/>
      <c r="AH17" s="32"/>
      <c r="AI17" s="32"/>
      <c r="AJ17" s="32"/>
      <c r="AK17" s="32"/>
    </row>
    <row r="18" spans="1:37" s="1" customFormat="1" ht="16.5" x14ac:dyDescent="0.25">
      <c r="A18" s="228"/>
      <c r="B18" s="14"/>
      <c r="C18" s="32"/>
      <c r="D18" s="32"/>
      <c r="E18" s="32"/>
      <c r="F18" s="32"/>
      <c r="G18" s="32"/>
      <c r="H18" s="32"/>
      <c r="I18" s="32"/>
      <c r="J18" s="32"/>
      <c r="K18" s="13"/>
      <c r="L18" s="13"/>
      <c r="M18" s="13"/>
      <c r="N18" s="3"/>
      <c r="O18" s="201">
        <v>530365</v>
      </c>
      <c r="P18" s="13"/>
      <c r="Q18" s="13"/>
      <c r="R18" s="32"/>
      <c r="S18" s="32"/>
      <c r="T18" s="32"/>
      <c r="U18" s="32"/>
      <c r="V18" s="32"/>
      <c r="W18" s="32"/>
      <c r="X18" s="32"/>
      <c r="Y18" s="32"/>
      <c r="Z18" s="32"/>
      <c r="AA18" s="32"/>
      <c r="AB18" s="32"/>
      <c r="AC18" s="32"/>
      <c r="AD18" s="32"/>
      <c r="AE18" s="32"/>
      <c r="AF18" s="32"/>
      <c r="AG18" s="32"/>
      <c r="AH18" s="32"/>
      <c r="AI18" s="32"/>
      <c r="AJ18" s="32"/>
      <c r="AK18" s="32"/>
    </row>
    <row r="19" spans="1:37" s="1" customFormat="1" ht="16.5" x14ac:dyDescent="0.25">
      <c r="A19" s="228"/>
      <c r="B19" s="14"/>
      <c r="C19" s="32"/>
      <c r="D19" s="32"/>
      <c r="E19" s="32"/>
      <c r="F19" s="32"/>
      <c r="G19" s="32"/>
      <c r="H19" s="32"/>
      <c r="I19" s="32"/>
      <c r="J19" s="32"/>
      <c r="K19" s="13"/>
      <c r="L19" s="13"/>
      <c r="M19" s="13"/>
      <c r="N19" s="3"/>
      <c r="O19" s="201">
        <v>185483.66666666666</v>
      </c>
      <c r="P19" s="13"/>
      <c r="Q19" s="13"/>
      <c r="R19" s="32"/>
      <c r="S19" s="32"/>
      <c r="T19" s="32"/>
      <c r="U19" s="32"/>
      <c r="V19" s="32"/>
      <c r="W19" s="32"/>
      <c r="X19" s="32"/>
      <c r="Y19" s="32"/>
      <c r="Z19" s="32"/>
      <c r="AA19" s="32"/>
      <c r="AB19" s="32"/>
      <c r="AC19" s="32"/>
      <c r="AD19" s="32"/>
      <c r="AE19" s="32"/>
      <c r="AF19" s="32"/>
      <c r="AG19" s="32"/>
      <c r="AH19" s="32"/>
      <c r="AI19" s="32"/>
      <c r="AJ19" s="32"/>
      <c r="AK19" s="32"/>
    </row>
    <row r="20" spans="1:37" ht="16.5" x14ac:dyDescent="0.25">
      <c r="A20" s="228"/>
      <c r="B20" s="14"/>
      <c r="C20" s="16"/>
      <c r="D20" s="16"/>
      <c r="E20" s="16"/>
      <c r="F20" s="16"/>
      <c r="G20" s="16"/>
      <c r="H20" s="16"/>
      <c r="I20" s="32"/>
      <c r="J20" s="16"/>
      <c r="K20" s="13"/>
      <c r="L20" s="13"/>
      <c r="M20" s="13"/>
      <c r="N20" s="3"/>
      <c r="O20" s="201">
        <v>693533.33333333337</v>
      </c>
      <c r="P20" s="13"/>
      <c r="Q20" s="13"/>
      <c r="R20" s="4"/>
      <c r="S20" s="32"/>
      <c r="T20" s="32"/>
      <c r="U20" s="32"/>
      <c r="V20" s="32"/>
      <c r="W20" s="32"/>
      <c r="X20" s="32"/>
      <c r="Y20" s="32"/>
      <c r="Z20" s="32"/>
      <c r="AA20" s="32"/>
      <c r="AB20" s="32"/>
      <c r="AC20" s="32"/>
      <c r="AD20" s="32"/>
      <c r="AE20" s="4"/>
      <c r="AF20" s="32"/>
      <c r="AG20" s="32"/>
      <c r="AH20" s="32"/>
      <c r="AI20" s="32"/>
      <c r="AJ20" s="32"/>
      <c r="AK20" s="32"/>
    </row>
    <row r="21" spans="1:37" s="1" customFormat="1" ht="16.5" x14ac:dyDescent="0.25">
      <c r="A21" s="69"/>
      <c r="B21" s="70"/>
      <c r="C21" s="7"/>
      <c r="D21" s="7"/>
      <c r="E21" s="7"/>
      <c r="F21" s="7"/>
      <c r="G21" s="7"/>
      <c r="H21" s="7"/>
      <c r="I21" s="7"/>
      <c r="J21" s="7"/>
      <c r="K21" s="33"/>
      <c r="L21" s="33"/>
      <c r="M21" s="33"/>
      <c r="N21" s="3"/>
      <c r="O21" s="7"/>
      <c r="P21" s="33"/>
      <c r="Q21" s="33"/>
      <c r="R21" s="7"/>
      <c r="S21" s="7"/>
      <c r="T21" s="7"/>
      <c r="U21" s="7"/>
      <c r="V21" s="7"/>
      <c r="W21" s="7"/>
      <c r="X21" s="7"/>
      <c r="Y21" s="7"/>
      <c r="Z21" s="7"/>
      <c r="AA21" s="7"/>
      <c r="AB21" s="7"/>
      <c r="AC21" s="7"/>
      <c r="AD21" s="7"/>
      <c r="AE21" s="7"/>
      <c r="AF21" s="7"/>
      <c r="AG21" s="7"/>
      <c r="AH21" s="7"/>
      <c r="AI21" s="7"/>
      <c r="AJ21" s="7"/>
      <c r="AK21" s="7"/>
    </row>
    <row r="22" spans="1:37" s="72" customFormat="1" x14ac:dyDescent="0.25">
      <c r="A22" s="71" t="str">
        <f t="shared" ref="A22:M22" si="0">A4</f>
        <v>Noms des groupes</v>
      </c>
      <c r="B22" s="71" t="str">
        <f t="shared" si="0"/>
        <v>Témoin solvant</v>
      </c>
      <c r="C22" s="71" t="str">
        <f t="shared" si="0"/>
        <v>EE2-33.8ng/L</v>
      </c>
      <c r="D22" s="71" t="str">
        <f t="shared" si="0"/>
        <v>EE2-50.6ng/L</v>
      </c>
      <c r="E22" s="71" t="str">
        <f t="shared" si="0"/>
        <v>EE2-76ng/L</v>
      </c>
      <c r="F22" s="71" t="str">
        <f t="shared" si="0"/>
        <v>EE2-114ng/L</v>
      </c>
      <c r="G22" s="71" t="str">
        <f t="shared" si="0"/>
        <v>EE2-170.9ng/L</v>
      </c>
      <c r="H22" s="71" t="str">
        <f t="shared" si="0"/>
        <v>EE2-488ng/L</v>
      </c>
      <c r="I22" s="71" t="str">
        <f t="shared" si="0"/>
        <v>Prochloraz-0,063mg/L</v>
      </c>
      <c r="J22" s="71" t="str">
        <f t="shared" si="0"/>
        <v>Prochloraz-0,13mg/L</v>
      </c>
      <c r="K22" s="71" t="str">
        <f t="shared" si="0"/>
        <v>Prochloraz-0,25mg/L</v>
      </c>
      <c r="L22" s="71" t="str">
        <f t="shared" si="0"/>
        <v>Prochloraz-0,5mg/L</v>
      </c>
      <c r="M22" s="71" t="str">
        <f t="shared" si="0"/>
        <v>Prochloraz-1mg/L</v>
      </c>
      <c r="N22" s="71" t="s">
        <v>47</v>
      </c>
      <c r="O22" s="71" t="str">
        <f t="shared" ref="O22:AE22" si="1">O4</f>
        <v>Testo -30µg/L</v>
      </c>
      <c r="P22" s="71" t="str">
        <f t="shared" si="1"/>
        <v>Testo 30µg/L + EE2 -64ng/L</v>
      </c>
      <c r="Q22" s="71" t="str">
        <f t="shared" si="1"/>
        <v>Testo 30µg/L + FAD-10mg/L</v>
      </c>
      <c r="R22" s="71" t="str">
        <f t="shared" si="1"/>
        <v>Prochloraz-0.063mg/L + Testostérone</v>
      </c>
      <c r="S22" s="71" t="str">
        <f t="shared" si="1"/>
        <v>Prochloraz-0.13mg/L + Testostérone</v>
      </c>
      <c r="T22" s="71" t="str">
        <f t="shared" si="1"/>
        <v>Prochloraz-0.25mg/L + Testostérone</v>
      </c>
      <c r="U22" s="71" t="str">
        <f t="shared" si="1"/>
        <v>Prochloraz-0.5mg/L + Testostérone</v>
      </c>
      <c r="V22" s="71" t="str">
        <f t="shared" si="1"/>
        <v>Prochloraz-1mg/L + Testostérone</v>
      </c>
      <c r="W22" s="71" t="str">
        <f t="shared" si="1"/>
        <v>0-00 + Testostérone</v>
      </c>
      <c r="X22" s="71" t="str">
        <f t="shared" si="1"/>
        <v>0-00 + Testostérone</v>
      </c>
      <c r="Y22" s="71" t="str">
        <f t="shared" si="1"/>
        <v>0-00 + Testostérone</v>
      </c>
      <c r="Z22" s="71" t="str">
        <f t="shared" si="1"/>
        <v>0-00 + Testostérone</v>
      </c>
      <c r="AA22" s="71" t="str">
        <f t="shared" si="1"/>
        <v>0-00 + Testostérone</v>
      </c>
      <c r="AB22" s="71" t="str">
        <f t="shared" si="1"/>
        <v>0-00 + Testostérone</v>
      </c>
      <c r="AC22" s="71" t="str">
        <f t="shared" si="1"/>
        <v>0-00 + Testostérone</v>
      </c>
      <c r="AD22" s="71" t="str">
        <f t="shared" si="1"/>
        <v>0-00 + Testostérone</v>
      </c>
      <c r="AE22" s="71" t="str">
        <f t="shared" si="1"/>
        <v>0-00 + Testostérone</v>
      </c>
      <c r="AF22" s="71" t="str">
        <f t="shared" ref="AF22:AK22" si="2">AF4</f>
        <v>0-00 + Testostérone</v>
      </c>
      <c r="AG22" s="71" t="str">
        <f t="shared" si="2"/>
        <v>0-00 + Testostérone</v>
      </c>
      <c r="AH22" s="71" t="str">
        <f t="shared" si="2"/>
        <v>0-00 + Testostérone</v>
      </c>
      <c r="AI22" s="71" t="str">
        <f t="shared" si="2"/>
        <v>0-00 + Testostérone</v>
      </c>
      <c r="AJ22" s="71" t="str">
        <f t="shared" si="2"/>
        <v>0-00 + Testostérone</v>
      </c>
      <c r="AK22" s="71" t="str">
        <f t="shared" si="2"/>
        <v>0-00 + Testostérone</v>
      </c>
    </row>
    <row r="23" spans="1:37" x14ac:dyDescent="0.25">
      <c r="A23" s="5" t="s">
        <v>0</v>
      </c>
      <c r="B23" s="5">
        <f t="shared" ref="B23:M23" si="3">AVERAGE(B5:B20)</f>
        <v>208579.83333333331</v>
      </c>
      <c r="C23" s="5">
        <f t="shared" si="3"/>
        <v>202581.52380952379</v>
      </c>
      <c r="D23" s="5">
        <f t="shared" si="3"/>
        <v>214889.41666666666</v>
      </c>
      <c r="E23" s="5">
        <f t="shared" si="3"/>
        <v>1154826.2708333335</v>
      </c>
      <c r="F23" s="5">
        <f t="shared" si="3"/>
        <v>2431935.625</v>
      </c>
      <c r="G23" s="5">
        <f t="shared" si="3"/>
        <v>2822690.5</v>
      </c>
      <c r="H23" s="5">
        <f t="shared" si="3"/>
        <v>4344081.375</v>
      </c>
      <c r="I23" s="5">
        <f t="shared" si="3"/>
        <v>212844.375</v>
      </c>
      <c r="J23" s="5">
        <f t="shared" si="3"/>
        <v>141198.08333333331</v>
      </c>
      <c r="K23" s="5">
        <f t="shared" si="3"/>
        <v>217543.54166666666</v>
      </c>
      <c r="L23" s="5">
        <f t="shared" si="3"/>
        <v>203454.37500000003</v>
      </c>
      <c r="M23" s="5">
        <f t="shared" si="3"/>
        <v>273767.39583333337</v>
      </c>
      <c r="N23" s="5" t="s">
        <v>0</v>
      </c>
      <c r="O23" s="5">
        <f t="shared" ref="O23:AE23" si="4">AVERAGE(O5:O20)</f>
        <v>726476.01111111115</v>
      </c>
      <c r="P23" s="5">
        <f t="shared" si="4"/>
        <v>3573872.333333333</v>
      </c>
      <c r="Q23" s="5">
        <f t="shared" si="4"/>
        <v>114841.56249999999</v>
      </c>
      <c r="R23" s="5">
        <f t="shared" si="4"/>
        <v>1393383.4761904762</v>
      </c>
      <c r="S23" s="5">
        <f t="shared" si="4"/>
        <v>1198132.4285714286</v>
      </c>
      <c r="T23" s="5">
        <f t="shared" si="4"/>
        <v>2978705.041666667</v>
      </c>
      <c r="U23" s="5">
        <f t="shared" si="4"/>
        <v>518528.85416666663</v>
      </c>
      <c r="V23" s="5">
        <f t="shared" si="4"/>
        <v>662143.4375</v>
      </c>
      <c r="W23" s="5" t="e">
        <f t="shared" si="4"/>
        <v>#DIV/0!</v>
      </c>
      <c r="X23" s="5" t="e">
        <f t="shared" si="4"/>
        <v>#DIV/0!</v>
      </c>
      <c r="Y23" s="5" t="e">
        <f t="shared" si="4"/>
        <v>#DIV/0!</v>
      </c>
      <c r="Z23" s="5" t="e">
        <f t="shared" si="4"/>
        <v>#DIV/0!</v>
      </c>
      <c r="AA23" s="5" t="e">
        <f t="shared" si="4"/>
        <v>#DIV/0!</v>
      </c>
      <c r="AB23" s="5" t="e">
        <f t="shared" si="4"/>
        <v>#DIV/0!</v>
      </c>
      <c r="AC23" s="5" t="e">
        <f t="shared" si="4"/>
        <v>#DIV/0!</v>
      </c>
      <c r="AD23" s="5" t="e">
        <f t="shared" si="4"/>
        <v>#DIV/0!</v>
      </c>
      <c r="AE23" s="5" t="e">
        <f t="shared" si="4"/>
        <v>#DIV/0!</v>
      </c>
      <c r="AF23" s="5" t="e">
        <f t="shared" ref="AF23:AK23" si="5">AVERAGE(AF5:AF20)</f>
        <v>#DIV/0!</v>
      </c>
      <c r="AG23" s="5" t="e">
        <f t="shared" si="5"/>
        <v>#DIV/0!</v>
      </c>
      <c r="AH23" s="5" t="e">
        <f t="shared" si="5"/>
        <v>#DIV/0!</v>
      </c>
      <c r="AI23" s="5" t="e">
        <f t="shared" si="5"/>
        <v>#DIV/0!</v>
      </c>
      <c r="AJ23" s="5" t="e">
        <f t="shared" si="5"/>
        <v>#DIV/0!</v>
      </c>
      <c r="AK23" s="5" t="e">
        <f t="shared" si="5"/>
        <v>#DIV/0!</v>
      </c>
    </row>
    <row r="24" spans="1:37" x14ac:dyDescent="0.25">
      <c r="A24" s="3" t="s">
        <v>1</v>
      </c>
      <c r="B24" s="3">
        <f t="shared" ref="B24:M24" si="6">STDEV(B5:B20)</f>
        <v>110768.82365682808</v>
      </c>
      <c r="C24" s="3">
        <f t="shared" si="6"/>
        <v>168306.28057864311</v>
      </c>
      <c r="D24" s="3">
        <f t="shared" si="6"/>
        <v>185854.06762114572</v>
      </c>
      <c r="E24" s="3">
        <f t="shared" si="6"/>
        <v>1007280.5110299048</v>
      </c>
      <c r="F24" s="3">
        <f t="shared" si="6"/>
        <v>593817.45672061597</v>
      </c>
      <c r="G24" s="3">
        <f t="shared" si="6"/>
        <v>1430455.654622599</v>
      </c>
      <c r="H24" s="3">
        <f t="shared" si="6"/>
        <v>560389.7283483994</v>
      </c>
      <c r="I24" s="3">
        <f t="shared" si="6"/>
        <v>121863.99819802212</v>
      </c>
      <c r="J24" s="3">
        <f t="shared" si="6"/>
        <v>94610.09372838428</v>
      </c>
      <c r="K24" s="3">
        <f t="shared" si="6"/>
        <v>138945.45190066125</v>
      </c>
      <c r="L24" s="3">
        <f t="shared" si="6"/>
        <v>74669.385414668752</v>
      </c>
      <c r="M24" s="3">
        <f t="shared" si="6"/>
        <v>111032.56785800432</v>
      </c>
      <c r="N24" s="3" t="s">
        <v>1</v>
      </c>
      <c r="O24" s="3">
        <f t="shared" ref="O24:AE24" si="7">STDEV(O5:O20)</f>
        <v>702133.26603655564</v>
      </c>
      <c r="P24" s="3">
        <f t="shared" si="7"/>
        <v>931075.39923240442</v>
      </c>
      <c r="Q24" s="3">
        <f t="shared" si="7"/>
        <v>84457.40898072593</v>
      </c>
      <c r="R24" s="3">
        <f t="shared" si="7"/>
        <v>798237.47066458524</v>
      </c>
      <c r="S24" s="3">
        <f t="shared" si="7"/>
        <v>758130.65547028522</v>
      </c>
      <c r="T24" s="3">
        <f t="shared" si="7"/>
        <v>957269.28008077189</v>
      </c>
      <c r="U24" s="3">
        <f t="shared" si="7"/>
        <v>469939.53236556274</v>
      </c>
      <c r="V24" s="3">
        <f t="shared" si="7"/>
        <v>810667.37848713144</v>
      </c>
      <c r="W24" s="3" t="e">
        <f t="shared" si="7"/>
        <v>#DIV/0!</v>
      </c>
      <c r="X24" s="3" t="e">
        <f t="shared" si="7"/>
        <v>#DIV/0!</v>
      </c>
      <c r="Y24" s="3" t="e">
        <f t="shared" si="7"/>
        <v>#DIV/0!</v>
      </c>
      <c r="Z24" s="3" t="e">
        <f t="shared" si="7"/>
        <v>#DIV/0!</v>
      </c>
      <c r="AA24" s="3" t="e">
        <f t="shared" si="7"/>
        <v>#DIV/0!</v>
      </c>
      <c r="AB24" s="3" t="e">
        <f t="shared" si="7"/>
        <v>#DIV/0!</v>
      </c>
      <c r="AC24" s="3" t="e">
        <f t="shared" si="7"/>
        <v>#DIV/0!</v>
      </c>
      <c r="AD24" s="3" t="e">
        <f t="shared" si="7"/>
        <v>#DIV/0!</v>
      </c>
      <c r="AE24" s="3" t="e">
        <f t="shared" si="7"/>
        <v>#DIV/0!</v>
      </c>
      <c r="AF24" s="3" t="e">
        <f t="shared" ref="AF24:AK24" si="8">STDEV(AF5:AF20)</f>
        <v>#DIV/0!</v>
      </c>
      <c r="AG24" s="3" t="e">
        <f t="shared" si="8"/>
        <v>#DIV/0!</v>
      </c>
      <c r="AH24" s="3" t="e">
        <f t="shared" si="8"/>
        <v>#DIV/0!</v>
      </c>
      <c r="AI24" s="3" t="e">
        <f t="shared" si="8"/>
        <v>#DIV/0!</v>
      </c>
      <c r="AJ24" s="3" t="e">
        <f t="shared" si="8"/>
        <v>#DIV/0!</v>
      </c>
      <c r="AK24" s="3" t="e">
        <f t="shared" si="8"/>
        <v>#DIV/0!</v>
      </c>
    </row>
    <row r="25" spans="1:37" ht="15.75" thickBot="1" x14ac:dyDescent="0.3"/>
    <row r="26" spans="1:37" ht="15.75" thickBot="1" x14ac:dyDescent="0.3">
      <c r="B26" s="231" t="s">
        <v>6</v>
      </c>
      <c r="C26" s="232"/>
      <c r="D26" s="232"/>
      <c r="E26" s="232"/>
      <c r="F26" s="232"/>
      <c r="G26" s="232"/>
      <c r="H26" s="232"/>
      <c r="I26" s="232"/>
      <c r="J26" s="232"/>
      <c r="K26" s="232"/>
      <c r="L26" s="232"/>
      <c r="M26" s="232"/>
      <c r="N26" s="1"/>
      <c r="O26" s="231" t="s">
        <v>3</v>
      </c>
      <c r="P26" s="232"/>
      <c r="Q26" s="232"/>
      <c r="R26" s="232"/>
      <c r="S26" s="232"/>
      <c r="T26" s="232"/>
      <c r="U26" s="232"/>
      <c r="V26" s="232"/>
      <c r="W26" s="232"/>
      <c r="X26" s="232"/>
      <c r="Y26" s="232"/>
      <c r="Z26" s="232"/>
      <c r="AA26" s="232"/>
      <c r="AB26" s="232"/>
      <c r="AC26" s="232"/>
      <c r="AD26" s="232"/>
      <c r="AE26" s="232"/>
      <c r="AF26" s="232"/>
      <c r="AG26" s="232"/>
      <c r="AH26" s="232"/>
      <c r="AI26" s="232"/>
      <c r="AJ26" s="232"/>
      <c r="AK26" s="233"/>
    </row>
    <row r="27" spans="1:37" s="1" customFormat="1" x14ac:dyDescent="0.25">
      <c r="A27" s="34" t="s">
        <v>41</v>
      </c>
      <c r="B27" s="35" t="str">
        <f t="shared" ref="B27:M27" si="9">B4</f>
        <v>Témoin solvant</v>
      </c>
      <c r="C27" s="35" t="str">
        <f t="shared" si="9"/>
        <v>EE2-33.8ng/L</v>
      </c>
      <c r="D27" s="35" t="str">
        <f t="shared" si="9"/>
        <v>EE2-50.6ng/L</v>
      </c>
      <c r="E27" s="35" t="str">
        <f t="shared" si="9"/>
        <v>EE2-76ng/L</v>
      </c>
      <c r="F27" s="35" t="str">
        <f t="shared" si="9"/>
        <v>EE2-114ng/L</v>
      </c>
      <c r="G27" s="35" t="str">
        <f t="shared" si="9"/>
        <v>EE2-170.9ng/L</v>
      </c>
      <c r="H27" s="35" t="str">
        <f t="shared" si="9"/>
        <v>EE2-488ng/L</v>
      </c>
      <c r="I27" s="35" t="str">
        <f t="shared" si="9"/>
        <v>Prochloraz-0,063mg/L</v>
      </c>
      <c r="J27" s="35" t="str">
        <f t="shared" si="9"/>
        <v>Prochloraz-0,13mg/L</v>
      </c>
      <c r="K27" s="35" t="str">
        <f t="shared" si="9"/>
        <v>Prochloraz-0,25mg/L</v>
      </c>
      <c r="L27" s="35" t="str">
        <f t="shared" si="9"/>
        <v>Prochloraz-0,5mg/L</v>
      </c>
      <c r="M27" s="35" t="str">
        <f t="shared" si="9"/>
        <v>Prochloraz-1mg/L</v>
      </c>
      <c r="N27" s="3"/>
      <c r="O27" s="36" t="str">
        <f t="shared" ref="O27:AD27" si="10">O4</f>
        <v>Testo -30µg/L</v>
      </c>
      <c r="P27" s="36" t="str">
        <f t="shared" si="10"/>
        <v>Testo 30µg/L + EE2 -64ng/L</v>
      </c>
      <c r="Q27" s="36" t="str">
        <f t="shared" si="10"/>
        <v>Testo 30µg/L + FAD-10mg/L</v>
      </c>
      <c r="R27" s="36" t="str">
        <f t="shared" si="10"/>
        <v>Prochloraz-0.063mg/L + Testostérone</v>
      </c>
      <c r="S27" s="36" t="str">
        <f t="shared" si="10"/>
        <v>Prochloraz-0.13mg/L + Testostérone</v>
      </c>
      <c r="T27" s="36" t="str">
        <f t="shared" si="10"/>
        <v>Prochloraz-0.25mg/L + Testostérone</v>
      </c>
      <c r="U27" s="36" t="str">
        <f t="shared" si="10"/>
        <v>Prochloraz-0.5mg/L + Testostérone</v>
      </c>
      <c r="V27" s="36" t="str">
        <f t="shared" si="10"/>
        <v>Prochloraz-1mg/L + Testostérone</v>
      </c>
      <c r="W27" s="36" t="str">
        <f t="shared" si="10"/>
        <v>0-00 + Testostérone</v>
      </c>
      <c r="X27" s="36" t="str">
        <f t="shared" si="10"/>
        <v>0-00 + Testostérone</v>
      </c>
      <c r="Y27" s="36" t="str">
        <f t="shared" si="10"/>
        <v>0-00 + Testostérone</v>
      </c>
      <c r="Z27" s="36" t="str">
        <f t="shared" si="10"/>
        <v>0-00 + Testostérone</v>
      </c>
      <c r="AA27" s="36" t="str">
        <f t="shared" si="10"/>
        <v>0-00 + Testostérone</v>
      </c>
      <c r="AB27" s="36" t="str">
        <f t="shared" si="10"/>
        <v>0-00 + Testostérone</v>
      </c>
      <c r="AC27" s="36" t="str">
        <f t="shared" si="10"/>
        <v>0-00 + Testostérone</v>
      </c>
      <c r="AD27" s="36" t="str">
        <f t="shared" si="10"/>
        <v>0-00 + Testostérone</v>
      </c>
      <c r="AE27" s="36" t="str">
        <f t="shared" ref="AE27:AK27" si="11">AE4</f>
        <v>0-00 + Testostérone</v>
      </c>
      <c r="AF27" s="36" t="str">
        <f t="shared" si="11"/>
        <v>0-00 + Testostérone</v>
      </c>
      <c r="AG27" s="36" t="str">
        <f t="shared" si="11"/>
        <v>0-00 + Testostérone</v>
      </c>
      <c r="AH27" s="36" t="str">
        <f t="shared" si="11"/>
        <v>0-00 + Testostérone</v>
      </c>
      <c r="AI27" s="36" t="str">
        <f t="shared" si="11"/>
        <v>0-00 + Testostérone</v>
      </c>
      <c r="AJ27" s="36" t="str">
        <f t="shared" si="11"/>
        <v>0-00 + Testostérone</v>
      </c>
      <c r="AK27" s="36" t="str">
        <f t="shared" si="11"/>
        <v>0-00 + Testostérone</v>
      </c>
    </row>
    <row r="28" spans="1:37" x14ac:dyDescent="0.25">
      <c r="A28" s="229" t="s">
        <v>34</v>
      </c>
      <c r="B28" s="11">
        <f>IF(B5="","",(B5/$O$23))</f>
        <v>0.28883449711217046</v>
      </c>
      <c r="C28" s="11">
        <f>IF(C5="","",(C5/$O$23))</f>
        <v>0.34313222944839611</v>
      </c>
      <c r="D28" s="11">
        <f>IF(D5="","",(D5/$O$23))</f>
        <v>0.20867401586296927</v>
      </c>
      <c r="E28" s="11">
        <f>IF(E5="","",(E5/$O$23))</f>
        <v>0.79232806662530919</v>
      </c>
      <c r="F28" s="11">
        <f>IF(F5="","",(F5/$O$23))</f>
        <v>3.9109972293801056</v>
      </c>
      <c r="G28" s="11">
        <f>IF(G5="","",(G5/$O$23))</f>
        <v>4.2083867233606442</v>
      </c>
      <c r="H28" s="11">
        <f>IF(H5="","",(H5/$O$23))</f>
        <v>5.7100040972523658</v>
      </c>
      <c r="I28" s="11">
        <f>IF(I5="","",(I5/$O$23))</f>
        <v>0.2455139567887544</v>
      </c>
      <c r="J28" s="11">
        <f>IF(J5="","",(J5/$O$23))</f>
        <v>2.6240370925454278E-2</v>
      </c>
      <c r="K28" s="11">
        <f>IF(K5="","",(K5/$O$23))</f>
        <v>0.60193522334093741</v>
      </c>
      <c r="L28" s="11">
        <f>IF(L5="","",(L5/$O$23))</f>
        <v>0.29282453480416976</v>
      </c>
      <c r="M28" s="11">
        <f>IF(M5="","",(M5/$O$23))</f>
        <v>0.36699078279574909</v>
      </c>
      <c r="N28" s="6"/>
      <c r="O28" s="11">
        <f t="shared" ref="O28:AK28" si="12">IF(O5="","",(O5/$O$23))</f>
        <v>2.3276597907392858</v>
      </c>
      <c r="P28" s="11">
        <f t="shared" si="12"/>
        <v>7.0241167709430057</v>
      </c>
      <c r="Q28" s="11">
        <f t="shared" si="12"/>
        <v>6.9075003944842353E-2</v>
      </c>
      <c r="R28" s="11">
        <f t="shared" si="12"/>
        <v>2.9313424909143975</v>
      </c>
      <c r="S28" s="11" t="str">
        <f t="shared" si="12"/>
        <v/>
      </c>
      <c r="T28" s="11">
        <f t="shared" si="12"/>
        <v>5.4604904672160082</v>
      </c>
      <c r="U28" s="11">
        <f t="shared" si="12"/>
        <v>6.7913690076575287E-2</v>
      </c>
      <c r="V28" s="11">
        <f t="shared" si="12"/>
        <v>1.6899667911340834</v>
      </c>
      <c r="W28" s="11" t="str">
        <f t="shared" si="12"/>
        <v/>
      </c>
      <c r="X28" s="11" t="str">
        <f t="shared" si="12"/>
        <v/>
      </c>
      <c r="Y28" s="11" t="str">
        <f t="shared" si="12"/>
        <v/>
      </c>
      <c r="Z28" s="11" t="str">
        <f t="shared" si="12"/>
        <v/>
      </c>
      <c r="AA28" s="11" t="str">
        <f t="shared" si="12"/>
        <v/>
      </c>
      <c r="AB28" s="11" t="str">
        <f t="shared" si="12"/>
        <v/>
      </c>
      <c r="AC28" s="11" t="str">
        <f t="shared" si="12"/>
        <v/>
      </c>
      <c r="AD28" s="11" t="str">
        <f t="shared" si="12"/>
        <v/>
      </c>
      <c r="AE28" s="11" t="str">
        <f t="shared" si="12"/>
        <v/>
      </c>
      <c r="AF28" s="11" t="str">
        <f t="shared" si="12"/>
        <v/>
      </c>
      <c r="AG28" s="11" t="str">
        <f t="shared" si="12"/>
        <v/>
      </c>
      <c r="AH28" s="11" t="str">
        <f t="shared" si="12"/>
        <v/>
      </c>
      <c r="AI28" s="11" t="str">
        <f t="shared" si="12"/>
        <v/>
      </c>
      <c r="AJ28" s="11" t="str">
        <f t="shared" si="12"/>
        <v/>
      </c>
      <c r="AK28" s="11" t="str">
        <f t="shared" si="12"/>
        <v/>
      </c>
    </row>
    <row r="29" spans="1:37" x14ac:dyDescent="0.25">
      <c r="A29" s="230"/>
      <c r="B29" s="11">
        <f>IF(B6="","",(B6/$O$23))</f>
        <v>0.29836268509653779</v>
      </c>
      <c r="C29" s="11">
        <f>IF(C6="","",(C6/$O$23))</f>
        <v>5.3731987571479185E-2</v>
      </c>
      <c r="D29" s="11">
        <f>IF(D6="","",(D6/$O$23))</f>
        <v>0.13499413401139909</v>
      </c>
      <c r="E29" s="11">
        <f>IF(E6="","",(E6/$O$23))</f>
        <v>2.5293367873078503</v>
      </c>
      <c r="F29" s="11">
        <f>IF(F6="","",(F6/$O$23))</f>
        <v>2.2373360925078187</v>
      </c>
      <c r="G29" s="11">
        <f>IF(G6="","",(G6/$O$23))</f>
        <v>0.63045899152653828</v>
      </c>
      <c r="H29" s="11">
        <f>IF(H6="","",(H6/$O$23))</f>
        <v>5.1668225918785016</v>
      </c>
      <c r="I29" s="11">
        <f>IF(I6="","",(I6/$O$23))</f>
        <v>0.14477972898118635</v>
      </c>
      <c r="J29" s="11">
        <f>IF(J6="","",(J6/$O$23))</f>
        <v>0.17358086351738675</v>
      </c>
      <c r="K29" s="11">
        <f>IF(K6="","",(K6/$O$23))</f>
        <v>0.53502386046516393</v>
      </c>
      <c r="L29" s="11">
        <f>IF(L6="","",(L6/$O$23))</f>
        <v>0.26424180619499238</v>
      </c>
      <c r="M29" s="11">
        <f>IF(M6="","",(M6/$O$23))</f>
        <v>0.4691350135733624</v>
      </c>
      <c r="N29" s="6"/>
      <c r="O29" s="11">
        <f t="shared" ref="O29:AK29" si="13">IF(O6="","",(O6/$O$23))</f>
        <v>9.9692211294397551E-2</v>
      </c>
      <c r="P29" s="11">
        <f t="shared" si="13"/>
        <v>5.6731141432046366</v>
      </c>
      <c r="Q29" s="11">
        <f t="shared" si="13"/>
        <v>0.183157688115755</v>
      </c>
      <c r="R29" s="11">
        <f t="shared" si="13"/>
        <v>1.4719137089806176</v>
      </c>
      <c r="S29" s="11">
        <f t="shared" si="13"/>
        <v>1.4269753129876996</v>
      </c>
      <c r="T29" s="11">
        <f t="shared" si="13"/>
        <v>6.1912367803044832</v>
      </c>
      <c r="U29" s="11">
        <f t="shared" si="13"/>
        <v>1.1370084086740739</v>
      </c>
      <c r="V29" s="11">
        <f t="shared" si="13"/>
        <v>9.5504415294526593E-2</v>
      </c>
      <c r="W29" s="11" t="str">
        <f t="shared" si="13"/>
        <v/>
      </c>
      <c r="X29" s="11" t="str">
        <f t="shared" si="13"/>
        <v/>
      </c>
      <c r="Y29" s="11" t="str">
        <f t="shared" si="13"/>
        <v/>
      </c>
      <c r="Z29" s="11" t="str">
        <f t="shared" si="13"/>
        <v/>
      </c>
      <c r="AA29" s="11" t="str">
        <f t="shared" si="13"/>
        <v/>
      </c>
      <c r="AB29" s="11" t="str">
        <f t="shared" si="13"/>
        <v/>
      </c>
      <c r="AC29" s="11" t="str">
        <f t="shared" si="13"/>
        <v/>
      </c>
      <c r="AD29" s="11" t="str">
        <f t="shared" si="13"/>
        <v/>
      </c>
      <c r="AE29" s="11" t="str">
        <f t="shared" si="13"/>
        <v/>
      </c>
      <c r="AF29" s="11" t="str">
        <f t="shared" si="13"/>
        <v/>
      </c>
      <c r="AG29" s="11" t="str">
        <f t="shared" si="13"/>
        <v/>
      </c>
      <c r="AH29" s="11" t="str">
        <f t="shared" si="13"/>
        <v/>
      </c>
      <c r="AI29" s="11" t="str">
        <f t="shared" si="13"/>
        <v/>
      </c>
      <c r="AJ29" s="11" t="str">
        <f t="shared" si="13"/>
        <v/>
      </c>
      <c r="AK29" s="11" t="str">
        <f t="shared" si="13"/>
        <v/>
      </c>
    </row>
    <row r="30" spans="1:37" x14ac:dyDescent="0.25">
      <c r="A30" s="230"/>
      <c r="B30" s="11">
        <f>IF(B7="","",(B7/$O$23))</f>
        <v>0.57688576120453372</v>
      </c>
      <c r="C30" s="11">
        <f>IF(C7="","",(C7/$O$23))</f>
        <v>0.2181521907253923</v>
      </c>
      <c r="D30" s="11">
        <f>IF(D7="","",(D7/$O$23))</f>
        <v>0.27663771906148893</v>
      </c>
      <c r="E30" s="11">
        <f>IF(E7="","",(E7/$O$23))</f>
        <v>0.38998626566257655</v>
      </c>
      <c r="F30" s="11">
        <f>IF(F7="","",(F7/$O$23))</f>
        <v>3.9713281960323501</v>
      </c>
      <c r="G30" s="11">
        <f>IF(G7="","",(G7/$O$23))</f>
        <v>4.3719881337062114</v>
      </c>
      <c r="H30" s="11">
        <f>IF(H7="","",(H7/$O$23))</f>
        <v>7.1525711157152063</v>
      </c>
      <c r="I30" s="11">
        <f>IF(I7="","",(I7/$O$23))</f>
        <v>0.239638562050248</v>
      </c>
      <c r="J30" s="11">
        <f>IF(J7="","",(J7/$O$23))</f>
        <v>0.10832658678750286</v>
      </c>
      <c r="K30" s="11">
        <f>IF(K7="","",(K7/$O$23))</f>
        <v>0.36871761201077202</v>
      </c>
      <c r="L30" s="11">
        <f>IF(L7="","",(L7/$O$23))</f>
        <v>7.3084312748049593E-2</v>
      </c>
      <c r="M30" s="11">
        <f>IF(M7="","",(M7/$O$23))</f>
        <v>0.21870302332075167</v>
      </c>
      <c r="N30" s="6"/>
      <c r="O30" s="11">
        <f t="shared" ref="O30:AK30" si="14">IF(O7="","",(O7/$O$23))</f>
        <v>2.0381898057932353</v>
      </c>
      <c r="P30" s="11">
        <f t="shared" si="14"/>
        <v>5.4581687571514363</v>
      </c>
      <c r="Q30" s="11">
        <f t="shared" si="14"/>
        <v>0.12077687171776459</v>
      </c>
      <c r="R30" s="11">
        <f t="shared" si="14"/>
        <v>3.6065999334596062</v>
      </c>
      <c r="S30" s="11">
        <f t="shared" si="14"/>
        <v>2.8691243318717214</v>
      </c>
      <c r="T30" s="11">
        <f t="shared" si="14"/>
        <v>3.9592401621091993</v>
      </c>
      <c r="U30" s="11">
        <f t="shared" si="14"/>
        <v>0.49010496500144429</v>
      </c>
      <c r="V30" s="11">
        <f t="shared" si="14"/>
        <v>0.24279489476451471</v>
      </c>
      <c r="W30" s="11" t="str">
        <f t="shared" si="14"/>
        <v/>
      </c>
      <c r="X30" s="11" t="str">
        <f t="shared" si="14"/>
        <v/>
      </c>
      <c r="Y30" s="11" t="str">
        <f t="shared" si="14"/>
        <v/>
      </c>
      <c r="Z30" s="11" t="str">
        <f t="shared" si="14"/>
        <v/>
      </c>
      <c r="AA30" s="11" t="str">
        <f t="shared" si="14"/>
        <v/>
      </c>
      <c r="AB30" s="11" t="str">
        <f t="shared" si="14"/>
        <v/>
      </c>
      <c r="AC30" s="11" t="str">
        <f t="shared" si="14"/>
        <v/>
      </c>
      <c r="AD30" s="11" t="str">
        <f t="shared" si="14"/>
        <v/>
      </c>
      <c r="AE30" s="11" t="str">
        <f t="shared" si="14"/>
        <v/>
      </c>
      <c r="AF30" s="11" t="str">
        <f t="shared" si="14"/>
        <v/>
      </c>
      <c r="AG30" s="11" t="str">
        <f t="shared" si="14"/>
        <v/>
      </c>
      <c r="AH30" s="11" t="str">
        <f t="shared" si="14"/>
        <v/>
      </c>
      <c r="AI30" s="11" t="str">
        <f t="shared" si="14"/>
        <v/>
      </c>
      <c r="AJ30" s="11" t="str">
        <f t="shared" si="14"/>
        <v/>
      </c>
      <c r="AK30" s="11" t="str">
        <f t="shared" si="14"/>
        <v/>
      </c>
    </row>
    <row r="31" spans="1:37" x14ac:dyDescent="0.25">
      <c r="A31" s="230"/>
      <c r="B31" s="11">
        <f>IF(B8="","",(B8/$O$23))</f>
        <v>0.2941051460275334</v>
      </c>
      <c r="C31" s="11">
        <f>IF(C8="","",(C8/$O$23))</f>
        <v>0.23521217134018388</v>
      </c>
      <c r="D31" s="11">
        <f>IF(D8="","",(D8/$O$23))</f>
        <v>0.27045444537963714</v>
      </c>
      <c r="E31" s="11">
        <f>IF(E8="","",(E8/$O$23))</f>
        <v>3.7062026717376813</v>
      </c>
      <c r="F31" s="11">
        <f>IF(F8="","",(F8/$O$23))</f>
        <v>3.074364878087815</v>
      </c>
      <c r="G31" s="11">
        <f>IF(G8="","",(G8/$O$23))</f>
        <v>5.3896888634741336</v>
      </c>
      <c r="H31" s="11">
        <f>IF(H8="","",(H8/$O$23))</f>
        <v>5.8743651105647112</v>
      </c>
      <c r="I31" s="11">
        <f>IF(I8="","",(I8/$O$23))</f>
        <v>0.33362423024719895</v>
      </c>
      <c r="J31" s="11">
        <f>IF(J8="","",(J8/$O$23))</f>
        <v>3.1778521217822271E-2</v>
      </c>
      <c r="K31" s="11">
        <f>IF(K8="","",(K8/$O$23))</f>
        <v>0.12872184614920601</v>
      </c>
      <c r="L31" s="11">
        <f>IF(L8="","",(L8/$O$23))</f>
        <v>0.36018257450758373</v>
      </c>
      <c r="M31" s="11">
        <f>IF(M8="","",(M8/$O$23))</f>
        <v>0.22649887605832239</v>
      </c>
      <c r="N31" s="6"/>
      <c r="O31" s="11">
        <f t="shared" ref="O31:AK31" si="15">IF(O8="","",(O8/$O$23))</f>
        <v>1.458704050501568</v>
      </c>
      <c r="P31" s="11">
        <f t="shared" si="15"/>
        <v>4.8032161832796465</v>
      </c>
      <c r="Q31" s="11">
        <f t="shared" si="15"/>
        <v>7.5734549375118157E-2</v>
      </c>
      <c r="R31" s="11">
        <f t="shared" si="15"/>
        <v>2.3457627055392098</v>
      </c>
      <c r="S31" s="11">
        <f t="shared" si="15"/>
        <v>1.3670013207287826</v>
      </c>
      <c r="T31" s="11">
        <f t="shared" si="15"/>
        <v>2.6957623331173388</v>
      </c>
      <c r="U31" s="11">
        <f t="shared" si="15"/>
        <v>1.2199090584026471</v>
      </c>
      <c r="V31" s="11">
        <f t="shared" si="15"/>
        <v>0.12022626854039578</v>
      </c>
      <c r="W31" s="11" t="str">
        <f t="shared" si="15"/>
        <v/>
      </c>
      <c r="X31" s="11" t="str">
        <f t="shared" si="15"/>
        <v/>
      </c>
      <c r="Y31" s="11" t="str">
        <f t="shared" si="15"/>
        <v/>
      </c>
      <c r="Z31" s="11" t="str">
        <f t="shared" si="15"/>
        <v/>
      </c>
      <c r="AA31" s="11" t="str">
        <f t="shared" si="15"/>
        <v/>
      </c>
      <c r="AB31" s="11" t="str">
        <f t="shared" si="15"/>
        <v/>
      </c>
      <c r="AC31" s="11" t="str">
        <f t="shared" si="15"/>
        <v/>
      </c>
      <c r="AD31" s="11" t="str">
        <f t="shared" si="15"/>
        <v/>
      </c>
      <c r="AE31" s="11" t="str">
        <f t="shared" si="15"/>
        <v/>
      </c>
      <c r="AF31" s="11" t="str">
        <f t="shared" si="15"/>
        <v/>
      </c>
      <c r="AG31" s="11" t="str">
        <f t="shared" si="15"/>
        <v/>
      </c>
      <c r="AH31" s="11" t="str">
        <f t="shared" si="15"/>
        <v/>
      </c>
      <c r="AI31" s="11" t="str">
        <f t="shared" si="15"/>
        <v/>
      </c>
      <c r="AJ31" s="11" t="str">
        <f t="shared" si="15"/>
        <v/>
      </c>
      <c r="AK31" s="11" t="str">
        <f t="shared" si="15"/>
        <v/>
      </c>
    </row>
    <row r="32" spans="1:37" x14ac:dyDescent="0.25">
      <c r="A32" s="230"/>
      <c r="B32" s="11">
        <f>IF(B9="","",(B9/$O$23))</f>
        <v>0.40893206215985622</v>
      </c>
      <c r="C32" s="11" t="str">
        <f>IF(C9="","",(C9/$O$23))</f>
        <v/>
      </c>
      <c r="D32" s="11">
        <f>IF(D9="","",(D9/$O$23))</f>
        <v>0.16897598561065891</v>
      </c>
      <c r="E32" s="11">
        <f>IF(E9="","",(E9/$O$23))</f>
        <v>0.29884859240056577</v>
      </c>
      <c r="F32" s="11">
        <f>IF(F9="","",(F9/$O$23))</f>
        <v>4.1561932128339292</v>
      </c>
      <c r="G32" s="11">
        <f>IF(G9="","",(G9/$O$23))</f>
        <v>6.4298732445719207</v>
      </c>
      <c r="H32" s="11">
        <f>IF(H9="","",(H9/$O$23))</f>
        <v>5.8144507669833434</v>
      </c>
      <c r="I32" s="11">
        <f>IF(I9="","",(I9/$O$23))</f>
        <v>0.33913209736481165</v>
      </c>
      <c r="J32" s="11">
        <f>IF(J9="","",(J9/$O$23))</f>
        <v>0.24553414557192457</v>
      </c>
      <c r="K32" s="11">
        <f>IF(K9="","",(K9/$O$23))</f>
        <v>0.28619481371266808</v>
      </c>
      <c r="L32" s="11">
        <f>IF(L9="","",(L9/$O$23))</f>
        <v>0.2245139516039078</v>
      </c>
      <c r="M32" s="11">
        <f>IF(M9="","",(M9/$O$23))</f>
        <v>0.5105894679614793</v>
      </c>
      <c r="N32" s="6"/>
      <c r="O32" s="11">
        <f t="shared" ref="O32:AK32" si="16">IF(O9="","",(O9/$O$23))</f>
        <v>0.46433100085081952</v>
      </c>
      <c r="P32" s="11">
        <f t="shared" si="16"/>
        <v>2.5820269877841495</v>
      </c>
      <c r="Q32" s="11">
        <f t="shared" si="16"/>
        <v>0.38222459620560079</v>
      </c>
      <c r="R32" s="11">
        <f t="shared" si="16"/>
        <v>0.40042707841343267</v>
      </c>
      <c r="S32" s="11">
        <f t="shared" si="16"/>
        <v>2.9760321978055373</v>
      </c>
      <c r="T32" s="11">
        <f t="shared" si="16"/>
        <v>4.0897776222357791</v>
      </c>
      <c r="U32" s="11">
        <f t="shared" si="16"/>
        <v>0.63551995239851999</v>
      </c>
      <c r="V32" s="11">
        <f t="shared" si="16"/>
        <v>1.394720061185472</v>
      </c>
      <c r="W32" s="11" t="str">
        <f t="shared" si="16"/>
        <v/>
      </c>
      <c r="X32" s="11" t="str">
        <f t="shared" si="16"/>
        <v/>
      </c>
      <c r="Y32" s="11" t="str">
        <f t="shared" si="16"/>
        <v/>
      </c>
      <c r="Z32" s="11" t="str">
        <f t="shared" si="16"/>
        <v/>
      </c>
      <c r="AA32" s="11" t="str">
        <f t="shared" si="16"/>
        <v/>
      </c>
      <c r="AB32" s="11" t="str">
        <f t="shared" si="16"/>
        <v/>
      </c>
      <c r="AC32" s="11" t="str">
        <f t="shared" si="16"/>
        <v/>
      </c>
      <c r="AD32" s="11" t="str">
        <f t="shared" si="16"/>
        <v/>
      </c>
      <c r="AE32" s="11" t="str">
        <f t="shared" si="16"/>
        <v/>
      </c>
      <c r="AF32" s="11" t="str">
        <f t="shared" si="16"/>
        <v/>
      </c>
      <c r="AG32" s="11" t="str">
        <f t="shared" si="16"/>
        <v/>
      </c>
      <c r="AH32" s="11" t="str">
        <f t="shared" si="16"/>
        <v/>
      </c>
      <c r="AI32" s="11" t="str">
        <f t="shared" si="16"/>
        <v/>
      </c>
      <c r="AJ32" s="11" t="str">
        <f t="shared" si="16"/>
        <v/>
      </c>
      <c r="AK32" s="11" t="str">
        <f t="shared" si="16"/>
        <v/>
      </c>
    </row>
    <row r="33" spans="1:37" x14ac:dyDescent="0.25">
      <c r="A33" s="230"/>
      <c r="B33" s="11">
        <f>IF(B10="","",(B10/$O$23))</f>
        <v>0.17214195388052958</v>
      </c>
      <c r="C33" s="11">
        <f>IF(C10="","",(C10/$O$23))</f>
        <v>0.7546447851661876</v>
      </c>
      <c r="D33" s="11">
        <f>IF(D10="","",(D10/$O$23))</f>
        <v>0.17650869591304544</v>
      </c>
      <c r="E33" s="11">
        <f>IF(E10="","",(E10/$O$23))</f>
        <v>0.17790768681954336</v>
      </c>
      <c r="F33" s="11">
        <f>IF(F10="","",(F10/$O$23))</f>
        <v>2.0239778201133838</v>
      </c>
      <c r="G33" s="11">
        <f>IF(G10="","",(G10/$O$23))</f>
        <v>4.157393986596575</v>
      </c>
      <c r="H33" s="11">
        <f>IF(H10="","",(H10/$O$23))</f>
        <v>5.5408799076197992</v>
      </c>
      <c r="I33" s="11">
        <f>IF(I10="","",(I10/$O$23))</f>
        <v>0.63608569716326635</v>
      </c>
      <c r="J33" s="11">
        <f>IF(J10="","",(J10/$O$23))</f>
        <v>0.35629210422349189</v>
      </c>
      <c r="K33" s="11">
        <f>IF(K10="","",(K10/$O$23))</f>
        <v>0.13407095601734406</v>
      </c>
      <c r="L33" s="11">
        <f>IF(L10="","",(L10/$O$23))</f>
        <v>0.38688958162585807</v>
      </c>
      <c r="M33" s="11">
        <f>IF(M10="","",(M10/$O$23))</f>
        <v>0.19741968691755071</v>
      </c>
      <c r="N33" s="6"/>
      <c r="O33" s="11">
        <f t="shared" ref="O33:AK33" si="17">IF(O10="","",(O10/$O$23))</f>
        <v>2.8204840471829602</v>
      </c>
      <c r="P33" s="11">
        <f t="shared" si="17"/>
        <v>4.1185493912691866</v>
      </c>
      <c r="Q33" s="11">
        <f t="shared" si="17"/>
        <v>4.422398837028204E-2</v>
      </c>
      <c r="R33" s="11">
        <f t="shared" si="17"/>
        <v>1.3558456415193094</v>
      </c>
      <c r="S33" s="11">
        <f t="shared" si="17"/>
        <v>1.9969633928877455</v>
      </c>
      <c r="T33" s="11">
        <f t="shared" si="17"/>
        <v>2.1502682943985256</v>
      </c>
      <c r="U33" s="11">
        <f t="shared" si="17"/>
        <v>1.8740669283551017</v>
      </c>
      <c r="V33" s="11">
        <f t="shared" si="17"/>
        <v>0.2170702554818626</v>
      </c>
      <c r="W33" s="11" t="str">
        <f t="shared" si="17"/>
        <v/>
      </c>
      <c r="X33" s="11" t="str">
        <f t="shared" si="17"/>
        <v/>
      </c>
      <c r="Y33" s="11" t="str">
        <f t="shared" si="17"/>
        <v/>
      </c>
      <c r="Z33" s="11" t="str">
        <f t="shared" si="17"/>
        <v/>
      </c>
      <c r="AA33" s="11" t="str">
        <f t="shared" si="17"/>
        <v/>
      </c>
      <c r="AB33" s="11" t="str">
        <f t="shared" si="17"/>
        <v/>
      </c>
      <c r="AC33" s="11" t="str">
        <f t="shared" si="17"/>
        <v/>
      </c>
      <c r="AD33" s="11" t="str">
        <f t="shared" si="17"/>
        <v/>
      </c>
      <c r="AE33" s="11" t="str">
        <f t="shared" si="17"/>
        <v/>
      </c>
      <c r="AF33" s="11" t="str">
        <f t="shared" si="17"/>
        <v/>
      </c>
      <c r="AG33" s="11" t="str">
        <f t="shared" si="17"/>
        <v/>
      </c>
      <c r="AH33" s="11" t="str">
        <f t="shared" si="17"/>
        <v/>
      </c>
      <c r="AI33" s="11" t="str">
        <f t="shared" si="17"/>
        <v/>
      </c>
      <c r="AJ33" s="11" t="str">
        <f t="shared" si="17"/>
        <v/>
      </c>
      <c r="AK33" s="11" t="str">
        <f t="shared" si="17"/>
        <v/>
      </c>
    </row>
    <row r="34" spans="1:37" x14ac:dyDescent="0.25">
      <c r="A34" s="230"/>
      <c r="B34" s="11">
        <f>IF(B11="","",(B11/$O$23))</f>
        <v>0.14327153511117693</v>
      </c>
      <c r="C34" s="11">
        <f>IF(C11="","",(C11/$O$23))</f>
        <v>0.25444657566960116</v>
      </c>
      <c r="D34" s="11">
        <f>IF(D11="","",(D11/$O$23))</f>
        <v>0.91745722704218369</v>
      </c>
      <c r="E34" s="11">
        <f>IF(E11="","",(E11/$O$23))</f>
        <v>1.7004172394405435</v>
      </c>
      <c r="F34" s="11">
        <f>IF(F11="","",(F11/$O$23))</f>
        <v>3.7501990774613172</v>
      </c>
      <c r="G34" s="11" t="str">
        <f>IF(G11="","",(G11/$O$23))</f>
        <v/>
      </c>
      <c r="H34" s="11">
        <f>IF(H11="","",(H11/$O$23))</f>
        <v>7.192884445018227</v>
      </c>
      <c r="I34" s="11">
        <f>IF(I11="","",(I11/$O$23))</f>
        <v>7.595249646615998E-2</v>
      </c>
      <c r="J34" s="11">
        <f>IF(J11="","",(J11/$O$23))</f>
        <v>0.27362041364950779</v>
      </c>
      <c r="K34" s="11">
        <f>IF(K11="","",(K11/$O$23))</f>
        <v>0.25510133461468887</v>
      </c>
      <c r="L34" s="11">
        <f>IF(L11="","",(L11/$O$23))</f>
        <v>0.26151264977916755</v>
      </c>
      <c r="M34" s="11">
        <f>IF(M11="","",(M11/$O$23))</f>
        <v>0.4119787330746304</v>
      </c>
      <c r="N34" s="6"/>
      <c r="O34" s="11">
        <f t="shared" ref="O34:AK34" si="18">IF(O11="","",(O11/$O$23))</f>
        <v>3.4170433187508627E-2</v>
      </c>
      <c r="P34" s="11">
        <f t="shared" si="18"/>
        <v>5.0502383339384105</v>
      </c>
      <c r="Q34" s="11">
        <f t="shared" si="18"/>
        <v>0.11727847677955749</v>
      </c>
      <c r="R34" s="11" t="str">
        <f t="shared" si="18"/>
        <v/>
      </c>
      <c r="S34" s="11">
        <f t="shared" si="18"/>
        <v>0.15430745812957256</v>
      </c>
      <c r="T34" s="11">
        <f t="shared" si="18"/>
        <v>4.3874162641540764</v>
      </c>
      <c r="U34" s="11">
        <f t="shared" si="18"/>
        <v>0.24810408590229352</v>
      </c>
      <c r="V34" s="11">
        <f t="shared" si="18"/>
        <v>0.31711026444996476</v>
      </c>
      <c r="W34" s="11" t="str">
        <f t="shared" si="18"/>
        <v/>
      </c>
      <c r="X34" s="11" t="str">
        <f t="shared" si="18"/>
        <v/>
      </c>
      <c r="Y34" s="11" t="str">
        <f t="shared" si="18"/>
        <v/>
      </c>
      <c r="Z34" s="11" t="str">
        <f t="shared" si="18"/>
        <v/>
      </c>
      <c r="AA34" s="11" t="str">
        <f t="shared" si="18"/>
        <v/>
      </c>
      <c r="AB34" s="11" t="str">
        <f t="shared" si="18"/>
        <v/>
      </c>
      <c r="AC34" s="11" t="str">
        <f t="shared" si="18"/>
        <v/>
      </c>
      <c r="AD34" s="11" t="str">
        <f t="shared" si="18"/>
        <v/>
      </c>
      <c r="AE34" s="11" t="str">
        <f t="shared" si="18"/>
        <v/>
      </c>
      <c r="AF34" s="11" t="str">
        <f t="shared" si="18"/>
        <v/>
      </c>
      <c r="AG34" s="11" t="str">
        <f t="shared" si="18"/>
        <v/>
      </c>
      <c r="AH34" s="11" t="str">
        <f t="shared" si="18"/>
        <v/>
      </c>
      <c r="AI34" s="11" t="str">
        <f t="shared" si="18"/>
        <v/>
      </c>
      <c r="AJ34" s="11" t="str">
        <f t="shared" si="18"/>
        <v/>
      </c>
      <c r="AK34" s="11" t="str">
        <f t="shared" si="18"/>
        <v/>
      </c>
    </row>
    <row r="35" spans="1:37" x14ac:dyDescent="0.25">
      <c r="A35" s="230"/>
      <c r="B35" s="11">
        <f>IF(B12="","",(B12/$O$23))</f>
        <v>0.11436073877548392</v>
      </c>
      <c r="C35" s="11">
        <f>IF(C12="","",(C12/$O$23))</f>
        <v>9.2665597079209197E-2</v>
      </c>
      <c r="D35" s="11">
        <f>IF(D12="","",(D12/$O$23))</f>
        <v>0.21267368911057261</v>
      </c>
      <c r="E35" s="11">
        <f>IF(E12="","",(E12/$O$23))</f>
        <v>3.1219929706021796</v>
      </c>
      <c r="F35" s="11">
        <f>IF(F12="","",(F12/$O$23))</f>
        <v>3.656233139211555</v>
      </c>
      <c r="G35" s="11">
        <f>IF(G12="","",(G12/$O$23))</f>
        <v>2.0104013222674126</v>
      </c>
      <c r="H35" s="11">
        <f>IF(H12="","",(H12/$O$23))</f>
        <v>5.385322121441618</v>
      </c>
      <c r="I35" s="11">
        <f>IF(I12="","",(I12/$O$23))</f>
        <v>0.3291290141399637</v>
      </c>
      <c r="J35" s="11">
        <f>IF(J12="","",(J12/$O$23))</f>
        <v>0.33950926054130931</v>
      </c>
      <c r="K35" s="11">
        <f>IF(K12="","",(K12/$O$23))</f>
        <v>8.5837658843854761E-2</v>
      </c>
      <c r="L35" s="11">
        <f>IF(L12="","",(L12/$O$23))</f>
        <v>0.37720309522799716</v>
      </c>
      <c r="M35" s="11">
        <f>IF(M12="","",(M12/$O$23))</f>
        <v>0.61342837641453973</v>
      </c>
      <c r="N35" s="6"/>
      <c r="O35" s="11">
        <f t="shared" ref="O35:AK35" si="19">IF(O12="","",(O12/$O$23))</f>
        <v>0.66722918938318998</v>
      </c>
      <c r="P35" s="11">
        <f t="shared" si="19"/>
        <v>4.6462786773061753</v>
      </c>
      <c r="Q35" s="11">
        <f t="shared" si="19"/>
        <v>0.27217140962106556</v>
      </c>
      <c r="R35" s="11">
        <f t="shared" si="19"/>
        <v>1.314132403637829</v>
      </c>
      <c r="S35" s="11">
        <f t="shared" si="19"/>
        <v>0.75426762198969</v>
      </c>
      <c r="T35" s="11">
        <f t="shared" si="19"/>
        <v>3.8674972841880639</v>
      </c>
      <c r="U35" s="11">
        <f t="shared" si="19"/>
        <v>3.7445604420890795E-2</v>
      </c>
      <c r="V35" s="11">
        <f t="shared" si="19"/>
        <v>3.2141726603773613</v>
      </c>
      <c r="W35" s="11" t="str">
        <f t="shared" si="19"/>
        <v/>
      </c>
      <c r="X35" s="11" t="str">
        <f t="shared" si="19"/>
        <v/>
      </c>
      <c r="Y35" s="11" t="str">
        <f t="shared" si="19"/>
        <v/>
      </c>
      <c r="Z35" s="11" t="str">
        <f t="shared" si="19"/>
        <v/>
      </c>
      <c r="AA35" s="11" t="str">
        <f t="shared" si="19"/>
        <v/>
      </c>
      <c r="AB35" s="11" t="str">
        <f t="shared" si="19"/>
        <v/>
      </c>
      <c r="AC35" s="11" t="str">
        <f t="shared" si="19"/>
        <v/>
      </c>
      <c r="AD35" s="11" t="str">
        <f t="shared" si="19"/>
        <v/>
      </c>
      <c r="AE35" s="11" t="str">
        <f t="shared" si="19"/>
        <v/>
      </c>
      <c r="AF35" s="11" t="str">
        <f t="shared" si="19"/>
        <v/>
      </c>
      <c r="AG35" s="11" t="str">
        <f t="shared" si="19"/>
        <v/>
      </c>
      <c r="AH35" s="11" t="str">
        <f t="shared" si="19"/>
        <v/>
      </c>
      <c r="AI35" s="11" t="str">
        <f t="shared" si="19"/>
        <v/>
      </c>
      <c r="AJ35" s="11" t="str">
        <f t="shared" si="19"/>
        <v/>
      </c>
      <c r="AK35" s="11" t="str">
        <f t="shared" si="19"/>
        <v/>
      </c>
    </row>
    <row r="36" spans="1:37" s="1" customFormat="1" x14ac:dyDescent="0.25">
      <c r="A36" s="230"/>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ref="O36:AK36" si="20">IF(O13="","",(O13/$O$23))</f>
        <v>9.591094397381722E-2</v>
      </c>
      <c r="P36" s="11" t="str">
        <f t="shared" si="20"/>
        <v/>
      </c>
      <c r="Q36" s="11" t="str">
        <f t="shared" si="20"/>
        <v/>
      </c>
      <c r="R36" s="11" t="str">
        <f t="shared" si="20"/>
        <v/>
      </c>
      <c r="S36" s="11" t="str">
        <f t="shared" si="20"/>
        <v/>
      </c>
      <c r="T36" s="11" t="str">
        <f t="shared" si="20"/>
        <v/>
      </c>
      <c r="U36" s="11" t="str">
        <f t="shared" si="20"/>
        <v/>
      </c>
      <c r="V36" s="11" t="str">
        <f t="shared" si="20"/>
        <v/>
      </c>
      <c r="W36" s="11" t="str">
        <f t="shared" si="20"/>
        <v/>
      </c>
      <c r="X36" s="11" t="str">
        <f t="shared" si="20"/>
        <v/>
      </c>
      <c r="Y36" s="11" t="str">
        <f t="shared" si="20"/>
        <v/>
      </c>
      <c r="Z36" s="11" t="str">
        <f t="shared" si="20"/>
        <v/>
      </c>
      <c r="AA36" s="11" t="str">
        <f t="shared" si="20"/>
        <v/>
      </c>
      <c r="AB36" s="11" t="str">
        <f t="shared" si="20"/>
        <v/>
      </c>
      <c r="AC36" s="11" t="str">
        <f t="shared" si="20"/>
        <v/>
      </c>
      <c r="AD36" s="11" t="str">
        <f t="shared" si="20"/>
        <v/>
      </c>
      <c r="AE36" s="11" t="str">
        <f t="shared" si="20"/>
        <v/>
      </c>
      <c r="AF36" s="11" t="str">
        <f t="shared" si="20"/>
        <v/>
      </c>
      <c r="AG36" s="11" t="str">
        <f t="shared" si="20"/>
        <v/>
      </c>
      <c r="AH36" s="11" t="str">
        <f t="shared" si="20"/>
        <v/>
      </c>
      <c r="AI36" s="11" t="str">
        <f t="shared" si="20"/>
        <v/>
      </c>
      <c r="AJ36" s="11" t="str">
        <f t="shared" si="20"/>
        <v/>
      </c>
      <c r="AK36" s="11" t="str">
        <f t="shared" si="20"/>
        <v/>
      </c>
    </row>
    <row r="37" spans="1:37" s="1" customFormat="1" x14ac:dyDescent="0.25">
      <c r="A37" s="230"/>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ref="O37:AK37" si="21">IF(O14="","",(O14/$O$23))</f>
        <v>9.2824354328683883E-2</v>
      </c>
      <c r="P37" s="11" t="str">
        <f t="shared" si="21"/>
        <v/>
      </c>
      <c r="Q37" s="11" t="str">
        <f t="shared" si="21"/>
        <v/>
      </c>
      <c r="R37" s="11" t="str">
        <f t="shared" si="21"/>
        <v/>
      </c>
      <c r="S37" s="11" t="str">
        <f t="shared" si="21"/>
        <v/>
      </c>
      <c r="T37" s="11" t="str">
        <f t="shared" si="21"/>
        <v/>
      </c>
      <c r="U37" s="11" t="str">
        <f t="shared" si="21"/>
        <v/>
      </c>
      <c r="V37" s="11" t="str">
        <f t="shared" si="21"/>
        <v/>
      </c>
      <c r="W37" s="11" t="str">
        <f t="shared" si="21"/>
        <v/>
      </c>
      <c r="X37" s="11" t="str">
        <f t="shared" si="21"/>
        <v/>
      </c>
      <c r="Y37" s="11" t="str">
        <f t="shared" si="21"/>
        <v/>
      </c>
      <c r="Z37" s="11" t="str">
        <f t="shared" si="21"/>
        <v/>
      </c>
      <c r="AA37" s="11" t="str">
        <f t="shared" si="21"/>
        <v/>
      </c>
      <c r="AB37" s="11" t="str">
        <f t="shared" si="21"/>
        <v/>
      </c>
      <c r="AC37" s="11" t="str">
        <f t="shared" si="21"/>
        <v/>
      </c>
      <c r="AD37" s="11" t="str">
        <f t="shared" si="21"/>
        <v/>
      </c>
      <c r="AE37" s="11" t="str">
        <f t="shared" si="21"/>
        <v/>
      </c>
      <c r="AF37" s="11" t="str">
        <f t="shared" si="21"/>
        <v/>
      </c>
      <c r="AG37" s="11" t="str">
        <f t="shared" si="21"/>
        <v/>
      </c>
      <c r="AH37" s="11" t="str">
        <f t="shared" si="21"/>
        <v/>
      </c>
      <c r="AI37" s="11" t="str">
        <f t="shared" si="21"/>
        <v/>
      </c>
      <c r="AJ37" s="11" t="str">
        <f t="shared" si="21"/>
        <v/>
      </c>
      <c r="AK37" s="11" t="str">
        <f t="shared" si="21"/>
        <v/>
      </c>
    </row>
    <row r="38" spans="1:37" s="1" customFormat="1" x14ac:dyDescent="0.25">
      <c r="A38" s="230"/>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ref="O38:R38" si="22">IF(O15="","",(O15/$O$23))</f>
        <v>2.4395496977563269</v>
      </c>
      <c r="P38" s="11" t="str">
        <f t="shared" si="22"/>
        <v/>
      </c>
      <c r="Q38" s="11" t="str">
        <f t="shared" si="22"/>
        <v/>
      </c>
      <c r="R38" s="11" t="str">
        <f t="shared" si="22"/>
        <v/>
      </c>
      <c r="S38" s="11" t="str">
        <f t="shared" ref="S38:AK38" si="23">IF(S15="","",(S15/$O$23))</f>
        <v/>
      </c>
      <c r="T38" s="11" t="str">
        <f t="shared" si="23"/>
        <v/>
      </c>
      <c r="U38" s="11" t="str">
        <f t="shared" si="23"/>
        <v/>
      </c>
      <c r="V38" s="11" t="str">
        <f t="shared" si="23"/>
        <v/>
      </c>
      <c r="W38" s="11" t="str">
        <f t="shared" si="23"/>
        <v/>
      </c>
      <c r="X38" s="11" t="str">
        <f t="shared" si="23"/>
        <v/>
      </c>
      <c r="Y38" s="11" t="str">
        <f t="shared" si="23"/>
        <v/>
      </c>
      <c r="Z38" s="11" t="str">
        <f t="shared" si="23"/>
        <v/>
      </c>
      <c r="AA38" s="11" t="str">
        <f t="shared" si="23"/>
        <v/>
      </c>
      <c r="AB38" s="11" t="str">
        <f t="shared" si="23"/>
        <v/>
      </c>
      <c r="AC38" s="11" t="str">
        <f t="shared" si="23"/>
        <v/>
      </c>
      <c r="AD38" s="11" t="str">
        <f t="shared" si="23"/>
        <v/>
      </c>
      <c r="AE38" s="11" t="str">
        <f t="shared" si="23"/>
        <v/>
      </c>
      <c r="AF38" s="11" t="str">
        <f t="shared" si="23"/>
        <v/>
      </c>
      <c r="AG38" s="11" t="str">
        <f t="shared" si="23"/>
        <v/>
      </c>
      <c r="AH38" s="11" t="str">
        <f t="shared" si="23"/>
        <v/>
      </c>
      <c r="AI38" s="11" t="str">
        <f t="shared" si="23"/>
        <v/>
      </c>
      <c r="AJ38" s="11" t="str">
        <f t="shared" si="23"/>
        <v/>
      </c>
      <c r="AK38" s="11" t="str">
        <f t="shared" si="23"/>
        <v/>
      </c>
    </row>
    <row r="39" spans="1:37" s="1" customFormat="1" x14ac:dyDescent="0.25">
      <c r="A39" s="230"/>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t="str">
        <f t="shared" ref="O39:R39" si="24">IF(O16="","",(O16/$O$23))</f>
        <v/>
      </c>
      <c r="P39" s="11" t="str">
        <f t="shared" si="24"/>
        <v/>
      </c>
      <c r="Q39" s="11" t="str">
        <f t="shared" si="24"/>
        <v/>
      </c>
      <c r="R39" s="11" t="str">
        <f t="shared" si="24"/>
        <v/>
      </c>
      <c r="S39" s="11" t="str">
        <f t="shared" ref="S39:AK39" si="25">IF(S16="","",(S16/$O$23))</f>
        <v/>
      </c>
      <c r="T39" s="11" t="str">
        <f t="shared" si="25"/>
        <v/>
      </c>
      <c r="U39" s="11" t="str">
        <f t="shared" si="25"/>
        <v/>
      </c>
      <c r="V39" s="11" t="str">
        <f t="shared" si="25"/>
        <v/>
      </c>
      <c r="W39" s="11" t="str">
        <f t="shared" si="25"/>
        <v/>
      </c>
      <c r="X39" s="11" t="str">
        <f t="shared" si="25"/>
        <v/>
      </c>
      <c r="Y39" s="11" t="str">
        <f t="shared" si="25"/>
        <v/>
      </c>
      <c r="Z39" s="11" t="str">
        <f t="shared" si="25"/>
        <v/>
      </c>
      <c r="AA39" s="11" t="str">
        <f t="shared" si="25"/>
        <v/>
      </c>
      <c r="AB39" s="11" t="str">
        <f t="shared" si="25"/>
        <v/>
      </c>
      <c r="AC39" s="11" t="str">
        <f t="shared" si="25"/>
        <v/>
      </c>
      <c r="AD39" s="11" t="str">
        <f t="shared" si="25"/>
        <v/>
      </c>
      <c r="AE39" s="11" t="str">
        <f t="shared" si="25"/>
        <v/>
      </c>
      <c r="AF39" s="11" t="str">
        <f t="shared" si="25"/>
        <v/>
      </c>
      <c r="AG39" s="11" t="str">
        <f t="shared" si="25"/>
        <v/>
      </c>
      <c r="AH39" s="11" t="str">
        <f t="shared" si="25"/>
        <v/>
      </c>
      <c r="AI39" s="11" t="str">
        <f t="shared" si="25"/>
        <v/>
      </c>
      <c r="AJ39" s="11" t="str">
        <f t="shared" si="25"/>
        <v/>
      </c>
      <c r="AK39" s="11" t="str">
        <f t="shared" si="25"/>
        <v/>
      </c>
    </row>
    <row r="40" spans="1:37" s="1" customFormat="1" x14ac:dyDescent="0.25">
      <c r="A40" s="230"/>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R40" si="26">IF(O17="","",(O17/$O$23))</f>
        <v>0.5212289566921694</v>
      </c>
      <c r="P40" s="11" t="str">
        <f t="shared" si="26"/>
        <v/>
      </c>
      <c r="Q40" s="11" t="str">
        <f t="shared" si="26"/>
        <v/>
      </c>
      <c r="R40" s="11" t="str">
        <f t="shared" si="26"/>
        <v/>
      </c>
      <c r="S40" s="11" t="str">
        <f t="shared" ref="S40:AK40" si="27">IF(S17="","",(S17/$O$23))</f>
        <v/>
      </c>
      <c r="T40" s="11" t="str">
        <f t="shared" si="27"/>
        <v/>
      </c>
      <c r="U40" s="11" t="str">
        <f t="shared" si="27"/>
        <v/>
      </c>
      <c r="V40" s="11" t="str">
        <f t="shared" si="27"/>
        <v/>
      </c>
      <c r="W40" s="11" t="str">
        <f t="shared" si="27"/>
        <v/>
      </c>
      <c r="X40" s="11" t="str">
        <f t="shared" si="27"/>
        <v/>
      </c>
      <c r="Y40" s="11" t="str">
        <f t="shared" si="27"/>
        <v/>
      </c>
      <c r="Z40" s="11" t="str">
        <f t="shared" si="27"/>
        <v/>
      </c>
      <c r="AA40" s="11" t="str">
        <f t="shared" si="27"/>
        <v/>
      </c>
      <c r="AB40" s="11" t="str">
        <f t="shared" si="27"/>
        <v/>
      </c>
      <c r="AC40" s="11" t="str">
        <f t="shared" si="27"/>
        <v/>
      </c>
      <c r="AD40" s="11" t="str">
        <f t="shared" si="27"/>
        <v/>
      </c>
      <c r="AE40" s="11" t="str">
        <f t="shared" si="27"/>
        <v/>
      </c>
      <c r="AF40" s="11" t="str">
        <f t="shared" si="27"/>
        <v/>
      </c>
      <c r="AG40" s="11" t="str">
        <f t="shared" si="27"/>
        <v/>
      </c>
      <c r="AH40" s="11" t="str">
        <f t="shared" si="27"/>
        <v/>
      </c>
      <c r="AI40" s="11" t="str">
        <f t="shared" si="27"/>
        <v/>
      </c>
      <c r="AJ40" s="11" t="str">
        <f t="shared" si="27"/>
        <v/>
      </c>
      <c r="AK40" s="11" t="str">
        <f t="shared" si="27"/>
        <v/>
      </c>
    </row>
    <row r="41" spans="1:37" s="1" customFormat="1" x14ac:dyDescent="0.25">
      <c r="A41" s="230"/>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ref="O41:R41" si="28">IF(O18="","",(O18/$O$23))</f>
        <v>0.73005163541302831</v>
      </c>
      <c r="P41" s="11" t="str">
        <f t="shared" si="28"/>
        <v/>
      </c>
      <c r="Q41" s="11" t="str">
        <f t="shared" si="28"/>
        <v/>
      </c>
      <c r="R41" s="11" t="str">
        <f t="shared" si="28"/>
        <v/>
      </c>
      <c r="S41" s="11" t="str">
        <f t="shared" ref="S41:AK41" si="29">IF(S18="","",(S18/$O$23))</f>
        <v/>
      </c>
      <c r="T41" s="11" t="str">
        <f t="shared" si="29"/>
        <v/>
      </c>
      <c r="U41" s="11" t="str">
        <f t="shared" si="29"/>
        <v/>
      </c>
      <c r="V41" s="11" t="str">
        <f t="shared" si="29"/>
        <v/>
      </c>
      <c r="W41" s="11" t="str">
        <f t="shared" si="29"/>
        <v/>
      </c>
      <c r="X41" s="11" t="str">
        <f t="shared" si="29"/>
        <v/>
      </c>
      <c r="Y41" s="11" t="str">
        <f t="shared" si="29"/>
        <v/>
      </c>
      <c r="Z41" s="11" t="str">
        <f t="shared" si="29"/>
        <v/>
      </c>
      <c r="AA41" s="11" t="str">
        <f t="shared" si="29"/>
        <v/>
      </c>
      <c r="AB41" s="11" t="str">
        <f t="shared" si="29"/>
        <v/>
      </c>
      <c r="AC41" s="11" t="str">
        <f t="shared" si="29"/>
        <v/>
      </c>
      <c r="AD41" s="11" t="str">
        <f t="shared" si="29"/>
        <v/>
      </c>
      <c r="AE41" s="11" t="str">
        <f t="shared" si="29"/>
        <v/>
      </c>
      <c r="AF41" s="11" t="str">
        <f t="shared" si="29"/>
        <v/>
      </c>
      <c r="AG41" s="11" t="str">
        <f t="shared" si="29"/>
        <v/>
      </c>
      <c r="AH41" s="11" t="str">
        <f t="shared" si="29"/>
        <v/>
      </c>
      <c r="AI41" s="11" t="str">
        <f t="shared" si="29"/>
        <v/>
      </c>
      <c r="AJ41" s="11" t="str">
        <f t="shared" si="29"/>
        <v/>
      </c>
      <c r="AK41" s="11" t="str">
        <f t="shared" si="29"/>
        <v/>
      </c>
    </row>
    <row r="42" spans="1:37" s="1" customFormat="1" x14ac:dyDescent="0.25">
      <c r="A42" s="230"/>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ref="O42:R42" si="30">IF(O19="","",(O19/$O$23))</f>
        <v>0.2553197405417118</v>
      </c>
      <c r="P42" s="11" t="str">
        <f t="shared" si="30"/>
        <v/>
      </c>
      <c r="Q42" s="11" t="str">
        <f t="shared" si="30"/>
        <v/>
      </c>
      <c r="R42" s="11" t="str">
        <f t="shared" si="30"/>
        <v/>
      </c>
      <c r="S42" s="11" t="str">
        <f t="shared" ref="S42:AK42" si="31">IF(S19="","",(S19/$O$23))</f>
        <v/>
      </c>
      <c r="T42" s="11" t="str">
        <f t="shared" si="31"/>
        <v/>
      </c>
      <c r="U42" s="11" t="str">
        <f t="shared" si="31"/>
        <v/>
      </c>
      <c r="V42" s="11" t="str">
        <f t="shared" si="31"/>
        <v/>
      </c>
      <c r="W42" s="11" t="str">
        <f t="shared" si="31"/>
        <v/>
      </c>
      <c r="X42" s="11" t="str">
        <f t="shared" si="31"/>
        <v/>
      </c>
      <c r="Y42" s="11" t="str">
        <f t="shared" si="31"/>
        <v/>
      </c>
      <c r="Z42" s="11" t="str">
        <f t="shared" si="31"/>
        <v/>
      </c>
      <c r="AA42" s="11" t="str">
        <f t="shared" si="31"/>
        <v/>
      </c>
      <c r="AB42" s="11" t="str">
        <f t="shared" si="31"/>
        <v/>
      </c>
      <c r="AC42" s="11" t="str">
        <f t="shared" si="31"/>
        <v/>
      </c>
      <c r="AD42" s="11" t="str">
        <f t="shared" si="31"/>
        <v/>
      </c>
      <c r="AE42" s="11" t="str">
        <f t="shared" si="31"/>
        <v/>
      </c>
      <c r="AF42" s="11" t="str">
        <f t="shared" si="31"/>
        <v/>
      </c>
      <c r="AG42" s="11" t="str">
        <f t="shared" si="31"/>
        <v/>
      </c>
      <c r="AH42" s="11" t="str">
        <f t="shared" si="31"/>
        <v/>
      </c>
      <c r="AI42" s="11" t="str">
        <f t="shared" si="31"/>
        <v/>
      </c>
      <c r="AJ42" s="11" t="str">
        <f t="shared" si="31"/>
        <v/>
      </c>
      <c r="AK42" s="11" t="str">
        <f t="shared" si="31"/>
        <v/>
      </c>
    </row>
    <row r="43" spans="1:37" s="1" customFormat="1" x14ac:dyDescent="0.25">
      <c r="A43" s="230"/>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ref="O43:R43" si="32">IF(O20="","",(O20/$O$23))</f>
        <v>0.95465414236129631</v>
      </c>
      <c r="P43" s="11" t="str">
        <f t="shared" si="32"/>
        <v/>
      </c>
      <c r="Q43" s="11" t="str">
        <f t="shared" si="32"/>
        <v/>
      </c>
      <c r="R43" s="11" t="str">
        <f t="shared" si="32"/>
        <v/>
      </c>
      <c r="S43" s="11" t="str">
        <f t="shared" ref="S43:AK43" si="33">IF(S20="","",(S20/$O$23))</f>
        <v/>
      </c>
      <c r="T43" s="11" t="str">
        <f t="shared" si="33"/>
        <v/>
      </c>
      <c r="U43" s="11" t="str">
        <f t="shared" si="33"/>
        <v/>
      </c>
      <c r="V43" s="11" t="str">
        <f t="shared" si="33"/>
        <v/>
      </c>
      <c r="W43" s="11" t="str">
        <f t="shared" si="33"/>
        <v/>
      </c>
      <c r="X43" s="11" t="str">
        <f t="shared" si="33"/>
        <v/>
      </c>
      <c r="Y43" s="11" t="str">
        <f t="shared" si="33"/>
        <v/>
      </c>
      <c r="Z43" s="11" t="str">
        <f t="shared" si="33"/>
        <v/>
      </c>
      <c r="AA43" s="11" t="str">
        <f t="shared" si="33"/>
        <v/>
      </c>
      <c r="AB43" s="11" t="str">
        <f t="shared" si="33"/>
        <v/>
      </c>
      <c r="AC43" s="11" t="str">
        <f t="shared" si="33"/>
        <v/>
      </c>
      <c r="AD43" s="11" t="str">
        <f t="shared" si="33"/>
        <v/>
      </c>
      <c r="AE43" s="11" t="str">
        <f t="shared" si="33"/>
        <v/>
      </c>
      <c r="AF43" s="11" t="str">
        <f t="shared" si="33"/>
        <v/>
      </c>
      <c r="AG43" s="11" t="str">
        <f t="shared" si="33"/>
        <v/>
      </c>
      <c r="AH43" s="11" t="str">
        <f t="shared" si="33"/>
        <v/>
      </c>
      <c r="AI43" s="11" t="str">
        <f t="shared" si="33"/>
        <v/>
      </c>
      <c r="AJ43" s="11" t="str">
        <f t="shared" si="33"/>
        <v/>
      </c>
      <c r="AK43" s="11" t="str">
        <f t="shared" si="33"/>
        <v/>
      </c>
    </row>
    <row r="44" spans="1:37" x14ac:dyDescent="0.25">
      <c r="A44" s="7"/>
      <c r="B44" s="3"/>
      <c r="C44" s="3"/>
      <c r="D44" s="3"/>
      <c r="E44" s="3"/>
      <c r="F44" s="3"/>
      <c r="G44" s="3"/>
      <c r="H44" s="3"/>
      <c r="I44" s="3"/>
      <c r="J44" s="3"/>
      <c r="N44" s="7"/>
      <c r="O44" s="3"/>
      <c r="P44" s="3"/>
      <c r="Q44" s="3"/>
      <c r="R44" s="3"/>
      <c r="S44" s="3"/>
      <c r="T44" s="3"/>
      <c r="U44" s="3"/>
      <c r="V44" s="3"/>
      <c r="W44" s="3"/>
      <c r="X44" s="3"/>
      <c r="Y44" s="3"/>
      <c r="Z44" s="3"/>
      <c r="AA44" s="3"/>
      <c r="AB44" s="3"/>
      <c r="AC44" s="3"/>
      <c r="AD44" s="3"/>
      <c r="AE44" s="3"/>
      <c r="AF44" s="3"/>
      <c r="AG44" s="3"/>
      <c r="AH44" s="3"/>
      <c r="AI44" s="3"/>
      <c r="AJ44" s="3"/>
      <c r="AK44" s="3"/>
    </row>
    <row r="45" spans="1:37" s="72" customFormat="1" x14ac:dyDescent="0.25">
      <c r="A45" s="73" t="str">
        <f t="shared" ref="A45:M45" si="34">A4</f>
        <v>Noms des groupes</v>
      </c>
      <c r="B45" s="73" t="str">
        <f t="shared" si="34"/>
        <v>Témoin solvant</v>
      </c>
      <c r="C45" s="73" t="str">
        <f t="shared" si="34"/>
        <v>EE2-33.8ng/L</v>
      </c>
      <c r="D45" s="73" t="str">
        <f t="shared" si="34"/>
        <v>EE2-50.6ng/L</v>
      </c>
      <c r="E45" s="73" t="str">
        <f t="shared" si="34"/>
        <v>EE2-76ng/L</v>
      </c>
      <c r="F45" s="73" t="str">
        <f t="shared" si="34"/>
        <v>EE2-114ng/L</v>
      </c>
      <c r="G45" s="73" t="str">
        <f t="shared" si="34"/>
        <v>EE2-170.9ng/L</v>
      </c>
      <c r="H45" s="73" t="str">
        <f t="shared" si="34"/>
        <v>EE2-488ng/L</v>
      </c>
      <c r="I45" s="73" t="str">
        <f t="shared" si="34"/>
        <v>Prochloraz-0,063mg/L</v>
      </c>
      <c r="J45" s="73" t="str">
        <f t="shared" si="34"/>
        <v>Prochloraz-0,13mg/L</v>
      </c>
      <c r="K45" s="73" t="str">
        <f t="shared" si="34"/>
        <v>Prochloraz-0,25mg/L</v>
      </c>
      <c r="L45" s="73" t="str">
        <f t="shared" si="34"/>
        <v>Prochloraz-0,5mg/L</v>
      </c>
      <c r="M45" s="73" t="str">
        <f t="shared" si="34"/>
        <v>Prochloraz-1mg/L</v>
      </c>
      <c r="N45" s="73" t="str">
        <f>N22</f>
        <v>Nom des groupes</v>
      </c>
      <c r="O45" s="73" t="str">
        <f t="shared" ref="O45:AD45" si="35">O4</f>
        <v>Testo -30µg/L</v>
      </c>
      <c r="P45" s="73" t="str">
        <f t="shared" si="35"/>
        <v>Testo 30µg/L + EE2 -64ng/L</v>
      </c>
      <c r="Q45" s="73" t="str">
        <f t="shared" si="35"/>
        <v>Testo 30µg/L + FAD-10mg/L</v>
      </c>
      <c r="R45" s="73" t="str">
        <f t="shared" si="35"/>
        <v>Prochloraz-0.063mg/L + Testostérone</v>
      </c>
      <c r="S45" s="73" t="str">
        <f t="shared" si="35"/>
        <v>Prochloraz-0.13mg/L + Testostérone</v>
      </c>
      <c r="T45" s="73" t="str">
        <f t="shared" si="35"/>
        <v>Prochloraz-0.25mg/L + Testostérone</v>
      </c>
      <c r="U45" s="73" t="str">
        <f t="shared" si="35"/>
        <v>Prochloraz-0.5mg/L + Testostérone</v>
      </c>
      <c r="V45" s="73" t="str">
        <f t="shared" si="35"/>
        <v>Prochloraz-1mg/L + Testostérone</v>
      </c>
      <c r="W45" s="73" t="str">
        <f t="shared" si="35"/>
        <v>0-00 + Testostérone</v>
      </c>
      <c r="X45" s="73" t="str">
        <f t="shared" si="35"/>
        <v>0-00 + Testostérone</v>
      </c>
      <c r="Y45" s="73" t="str">
        <f t="shared" si="35"/>
        <v>0-00 + Testostérone</v>
      </c>
      <c r="Z45" s="73" t="str">
        <f t="shared" si="35"/>
        <v>0-00 + Testostérone</v>
      </c>
      <c r="AA45" s="73" t="str">
        <f t="shared" si="35"/>
        <v>0-00 + Testostérone</v>
      </c>
      <c r="AB45" s="73" t="str">
        <f t="shared" si="35"/>
        <v>0-00 + Testostérone</v>
      </c>
      <c r="AC45" s="73" t="str">
        <f t="shared" si="35"/>
        <v>0-00 + Testostérone</v>
      </c>
      <c r="AD45" s="73" t="str">
        <f t="shared" si="35"/>
        <v>0-00 + Testostérone</v>
      </c>
      <c r="AE45" s="73" t="str">
        <f t="shared" ref="AE45:AK45" si="36">AE4</f>
        <v>0-00 + Testostérone</v>
      </c>
      <c r="AF45" s="73" t="str">
        <f t="shared" si="36"/>
        <v>0-00 + Testostérone</v>
      </c>
      <c r="AG45" s="73" t="str">
        <f t="shared" si="36"/>
        <v>0-00 + Testostérone</v>
      </c>
      <c r="AH45" s="73" t="str">
        <f t="shared" si="36"/>
        <v>0-00 + Testostérone</v>
      </c>
      <c r="AI45" s="73" t="str">
        <f t="shared" si="36"/>
        <v>0-00 + Testostérone</v>
      </c>
      <c r="AJ45" s="73" t="str">
        <f t="shared" si="36"/>
        <v>0-00 + Testostérone</v>
      </c>
      <c r="AK45" s="73" t="str">
        <f t="shared" si="36"/>
        <v>0-00 + Testostérone</v>
      </c>
    </row>
    <row r="46" spans="1:37" x14ac:dyDescent="0.25">
      <c r="A46" s="8" t="s">
        <v>0</v>
      </c>
      <c r="B46" s="10">
        <f t="shared" ref="B46:H46" si="37">AVERAGE(B28:B43)</f>
        <v>0.28711179742097781</v>
      </c>
      <c r="C46" s="10">
        <f t="shared" si="37"/>
        <v>0.27885507671434989</v>
      </c>
      <c r="D46" s="10">
        <f t="shared" si="37"/>
        <v>0.29579698899899443</v>
      </c>
      <c r="E46" s="10">
        <f t="shared" si="37"/>
        <v>1.589627535074531</v>
      </c>
      <c r="F46" s="10">
        <f t="shared" si="37"/>
        <v>3.3475787057035342</v>
      </c>
      <c r="G46" s="10">
        <f t="shared" si="37"/>
        <v>3.8854558950719187</v>
      </c>
      <c r="H46" s="10">
        <f t="shared" si="37"/>
        <v>5.9796625195592217</v>
      </c>
      <c r="I46" s="10">
        <f>AVERAGE(I28:I43)</f>
        <v>0.29298197290019867</v>
      </c>
      <c r="J46" s="9">
        <f>AVERAGE(J28:J43)</f>
        <v>0.19436028330429997</v>
      </c>
      <c r="K46" s="9">
        <f>AVERAGE(K28:K43)</f>
        <v>0.2994504131443293</v>
      </c>
      <c r="L46" s="9">
        <f t="shared" ref="L46:M46" si="38">AVERAGE(L28:L43)</f>
        <v>0.28005656331146578</v>
      </c>
      <c r="M46" s="9">
        <f t="shared" si="38"/>
        <v>0.37684299501454821</v>
      </c>
      <c r="N46" s="8" t="s">
        <v>0</v>
      </c>
      <c r="O46" s="10">
        <f>AVERAGE(O28:O43)</f>
        <v>0.99999999999999989</v>
      </c>
      <c r="P46" s="10">
        <f>AVERAGE(P28:P43)</f>
        <v>4.9194636556095812</v>
      </c>
      <c r="Q46" s="10">
        <f>AVERAGE(Q28:Q43)</f>
        <v>0.15808032301624825</v>
      </c>
      <c r="R46" s="10">
        <f>AVERAGE(R28:R43)</f>
        <v>1.9180034232092003</v>
      </c>
      <c r="S46" s="10">
        <f t="shared" ref="S46:AD46" si="39">AVERAGE(S28:S43)</f>
        <v>1.6492388052001072</v>
      </c>
      <c r="T46" s="10">
        <f t="shared" si="39"/>
        <v>4.1002111509654346</v>
      </c>
      <c r="U46" s="10">
        <f t="shared" si="39"/>
        <v>0.71375908665394339</v>
      </c>
      <c r="V46" s="10">
        <f t="shared" si="39"/>
        <v>0.91144570140352266</v>
      </c>
      <c r="W46" s="10" t="e">
        <f t="shared" si="39"/>
        <v>#DIV/0!</v>
      </c>
      <c r="X46" s="10" t="e">
        <f t="shared" si="39"/>
        <v>#DIV/0!</v>
      </c>
      <c r="Y46" s="10" t="e">
        <f t="shared" si="39"/>
        <v>#DIV/0!</v>
      </c>
      <c r="Z46" s="10" t="e">
        <f t="shared" si="39"/>
        <v>#DIV/0!</v>
      </c>
      <c r="AA46" s="10" t="e">
        <f t="shared" si="39"/>
        <v>#DIV/0!</v>
      </c>
      <c r="AB46" s="10" t="e">
        <f t="shared" si="39"/>
        <v>#DIV/0!</v>
      </c>
      <c r="AC46" s="10" t="e">
        <f t="shared" si="39"/>
        <v>#DIV/0!</v>
      </c>
      <c r="AD46" s="10" t="e">
        <f t="shared" si="39"/>
        <v>#DIV/0!</v>
      </c>
      <c r="AE46" s="10" t="e">
        <f t="shared" ref="AE46:AK46" si="40">AVERAGE(AE28:AE43)</f>
        <v>#DIV/0!</v>
      </c>
      <c r="AF46" s="10" t="e">
        <f t="shared" si="40"/>
        <v>#DIV/0!</v>
      </c>
      <c r="AG46" s="10" t="e">
        <f t="shared" si="40"/>
        <v>#DIV/0!</v>
      </c>
      <c r="AH46" s="10" t="e">
        <f t="shared" si="40"/>
        <v>#DIV/0!</v>
      </c>
      <c r="AI46" s="10" t="e">
        <f t="shared" si="40"/>
        <v>#DIV/0!</v>
      </c>
      <c r="AJ46" s="10" t="e">
        <f t="shared" si="40"/>
        <v>#DIV/0!</v>
      </c>
      <c r="AK46" s="10" t="e">
        <f t="shared" si="40"/>
        <v>#DIV/0!</v>
      </c>
    </row>
    <row r="47" spans="1:37" x14ac:dyDescent="0.25">
      <c r="A47" s="8" t="s">
        <v>1</v>
      </c>
      <c r="B47" s="8">
        <f t="shared" ref="B47:K47" si="41">STDEV(B28:B43)</f>
        <v>0.15247416564713834</v>
      </c>
      <c r="C47" s="8">
        <f t="shared" si="41"/>
        <v>0.23167493214432031</v>
      </c>
      <c r="D47" s="8">
        <f t="shared" si="41"/>
        <v>0.25582960039780328</v>
      </c>
      <c r="E47" s="8">
        <f t="shared" si="41"/>
        <v>1.3865296246868726</v>
      </c>
      <c r="F47" s="8">
        <f t="shared" si="41"/>
        <v>0.81739444611859902</v>
      </c>
      <c r="G47" s="8">
        <f t="shared" si="41"/>
        <v>1.9690335713009768</v>
      </c>
      <c r="H47" s="8">
        <f t="shared" si="41"/>
        <v>0.77138091248368468</v>
      </c>
      <c r="I47" s="8">
        <f>STDEV(I28:I43)</f>
        <v>0.16774676153674617</v>
      </c>
      <c r="J47" s="8">
        <f t="shared" si="41"/>
        <v>0.13023154554502428</v>
      </c>
      <c r="K47" s="8">
        <f t="shared" si="41"/>
        <v>0.19125951824362483</v>
      </c>
      <c r="L47" s="8">
        <f t="shared" ref="L47:M47" si="42">STDEV(L28:L43)</f>
        <v>0.10278300215373327</v>
      </c>
      <c r="M47" s="8">
        <f t="shared" si="42"/>
        <v>0.15283721163508937</v>
      </c>
      <c r="N47" s="8" t="s">
        <v>1</v>
      </c>
      <c r="O47" s="8">
        <f>STDEV(O28:O43)</f>
        <v>0.96649201804017648</v>
      </c>
      <c r="P47" s="8">
        <f>STDEV(P28:P43)</f>
        <v>1.2816326829682434</v>
      </c>
      <c r="Q47" s="8">
        <f>STDEV(Q28:Q43)</f>
        <v>0.11625629434281284</v>
      </c>
      <c r="R47" s="8">
        <f>STDEV(R28:R43)</f>
        <v>1.098780219106916</v>
      </c>
      <c r="S47" s="8">
        <f t="shared" ref="S47:AD47" si="43">STDEV(S28:S43)</f>
        <v>1.0435728694066022</v>
      </c>
      <c r="T47" s="8">
        <f t="shared" si="43"/>
        <v>1.3176887680250766</v>
      </c>
      <c r="U47" s="8">
        <f t="shared" si="43"/>
        <v>0.64687549922923415</v>
      </c>
      <c r="V47" s="8">
        <f t="shared" si="43"/>
        <v>1.1158900859606549</v>
      </c>
      <c r="W47" s="8" t="e">
        <f t="shared" si="43"/>
        <v>#DIV/0!</v>
      </c>
      <c r="X47" s="8" t="e">
        <f t="shared" si="43"/>
        <v>#DIV/0!</v>
      </c>
      <c r="Y47" s="8" t="e">
        <f t="shared" si="43"/>
        <v>#DIV/0!</v>
      </c>
      <c r="Z47" s="8" t="e">
        <f t="shared" si="43"/>
        <v>#DIV/0!</v>
      </c>
      <c r="AA47" s="8" t="e">
        <f t="shared" si="43"/>
        <v>#DIV/0!</v>
      </c>
      <c r="AB47" s="8" t="e">
        <f t="shared" si="43"/>
        <v>#DIV/0!</v>
      </c>
      <c r="AC47" s="8" t="e">
        <f t="shared" si="43"/>
        <v>#DIV/0!</v>
      </c>
      <c r="AD47" s="8" t="e">
        <f t="shared" si="43"/>
        <v>#DIV/0!</v>
      </c>
      <c r="AE47" s="8" t="e">
        <f t="shared" ref="AE47:AK47" si="44">STDEV(AE28:AE43)</f>
        <v>#DIV/0!</v>
      </c>
      <c r="AF47" s="8" t="e">
        <f t="shared" si="44"/>
        <v>#DIV/0!</v>
      </c>
      <c r="AG47" s="8" t="e">
        <f t="shared" si="44"/>
        <v>#DIV/0!</v>
      </c>
      <c r="AH47" s="8" t="e">
        <f t="shared" si="44"/>
        <v>#DIV/0!</v>
      </c>
      <c r="AI47" s="8" t="e">
        <f t="shared" si="44"/>
        <v>#DIV/0!</v>
      </c>
      <c r="AJ47" s="8" t="e">
        <f t="shared" si="44"/>
        <v>#DIV/0!</v>
      </c>
      <c r="AK47" s="8" t="e">
        <f t="shared" si="44"/>
        <v>#DIV/0!</v>
      </c>
    </row>
    <row r="48" spans="1:37" x14ac:dyDescent="0.25">
      <c r="A48" s="8" t="s">
        <v>2</v>
      </c>
      <c r="B48" s="8">
        <f t="shared" ref="B48:K48" si="45" xml:space="preserve"> B47/SQRT(COUNT(B28:B43))</f>
        <v>5.3907758242426218E-2</v>
      </c>
      <c r="C48" s="8">
        <f t="shared" si="45"/>
        <v>8.7564893637376504E-2</v>
      </c>
      <c r="D48" s="8">
        <f t="shared" si="45"/>
        <v>9.0449422634765686E-2</v>
      </c>
      <c r="E48" s="8">
        <f t="shared" si="45"/>
        <v>0.49021224996606311</v>
      </c>
      <c r="F48" s="8">
        <f t="shared" si="45"/>
        <v>0.28899257787734167</v>
      </c>
      <c r="G48" s="8">
        <f t="shared" si="45"/>
        <v>0.74422473611425033</v>
      </c>
      <c r="H48" s="8">
        <f t="shared" si="45"/>
        <v>0.27272433704754007</v>
      </c>
      <c r="I48" s="8">
        <f xml:space="preserve"> I47/SQRT(COUNT(I28:I43))</f>
        <v>5.9307436302357963E-2</v>
      </c>
      <c r="J48" s="8">
        <f t="shared" si="45"/>
        <v>4.6043804489645686E-2</v>
      </c>
      <c r="K48" s="8">
        <f t="shared" si="45"/>
        <v>6.7620451158269659E-2</v>
      </c>
      <c r="L48" s="8">
        <f t="shared" ref="L48:M48" si="46" xml:space="preserve"> L47/SQRT(COUNT(L28:L43))</f>
        <v>3.6339278906808159E-2</v>
      </c>
      <c r="M48" s="8">
        <f t="shared" si="46"/>
        <v>5.4036114382407595E-2</v>
      </c>
      <c r="N48" s="8" t="s">
        <v>2</v>
      </c>
      <c r="O48" s="8">
        <f xml:space="preserve"> O47/SQRT(COUNT(O28:O43))</f>
        <v>0.24954716600746679</v>
      </c>
      <c r="P48" s="8">
        <f xml:space="preserve"> P47/SQRT(COUNT(P28:P43))</f>
        <v>0.45312558055857671</v>
      </c>
      <c r="Q48" s="8">
        <f xml:space="preserve"> Q47/SQRT(COUNT(Q28:Q43))</f>
        <v>4.1102807042711111E-2</v>
      </c>
      <c r="R48" s="8">
        <f xml:space="preserve"> R47/SQRT(COUNT(R28:R43))</f>
        <v>0.41529988646770871</v>
      </c>
      <c r="S48" s="8">
        <f t="shared" ref="S48:AD48" si="47" xml:space="preserve"> S47/SQRT(COUNT(S28:S43))</f>
        <v>0.39443346963199349</v>
      </c>
      <c r="T48" s="8">
        <f t="shared" si="47"/>
        <v>0.46587333168193956</v>
      </c>
      <c r="U48" s="8">
        <f t="shared" si="47"/>
        <v>0.22870502604421236</v>
      </c>
      <c r="V48" s="8">
        <f t="shared" si="47"/>
        <v>0.39452672342080924</v>
      </c>
      <c r="W48" s="8" t="e">
        <f t="shared" si="47"/>
        <v>#DIV/0!</v>
      </c>
      <c r="X48" s="8" t="e">
        <f t="shared" si="47"/>
        <v>#DIV/0!</v>
      </c>
      <c r="Y48" s="8" t="e">
        <f t="shared" si="47"/>
        <v>#DIV/0!</v>
      </c>
      <c r="Z48" s="8" t="e">
        <f t="shared" si="47"/>
        <v>#DIV/0!</v>
      </c>
      <c r="AA48" s="8" t="e">
        <f t="shared" si="47"/>
        <v>#DIV/0!</v>
      </c>
      <c r="AB48" s="8" t="e">
        <f t="shared" si="47"/>
        <v>#DIV/0!</v>
      </c>
      <c r="AC48" s="8" t="e">
        <f t="shared" si="47"/>
        <v>#DIV/0!</v>
      </c>
      <c r="AD48" s="8" t="e">
        <f t="shared" si="47"/>
        <v>#DIV/0!</v>
      </c>
      <c r="AE48" s="8" t="e">
        <f t="shared" ref="AE48:AK48" si="48" xml:space="preserve"> AE47/SQRT(COUNT(AE28:AE43))</f>
        <v>#DIV/0!</v>
      </c>
      <c r="AF48" s="8" t="e">
        <f t="shared" si="48"/>
        <v>#DIV/0!</v>
      </c>
      <c r="AG48" s="8" t="e">
        <f t="shared" si="48"/>
        <v>#DIV/0!</v>
      </c>
      <c r="AH48" s="8" t="e">
        <f t="shared" si="48"/>
        <v>#DIV/0!</v>
      </c>
      <c r="AI48" s="8" t="e">
        <f t="shared" si="48"/>
        <v>#DIV/0!</v>
      </c>
      <c r="AJ48" s="8" t="e">
        <f t="shared" si="48"/>
        <v>#DIV/0!</v>
      </c>
      <c r="AK48" s="8" t="e">
        <f t="shared" si="48"/>
        <v>#DIV/0!</v>
      </c>
    </row>
    <row r="49" spans="1:37" s="1" customFormat="1"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224" t="s">
        <v>38</v>
      </c>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6"/>
    </row>
    <row r="51" spans="1:37" ht="15.75" thickBot="1" x14ac:dyDescent="0.3">
      <c r="A51"/>
      <c r="B51"/>
      <c r="C51"/>
      <c r="D51"/>
      <c r="E51"/>
      <c r="F51"/>
      <c r="G51"/>
      <c r="H51"/>
      <c r="I51"/>
      <c r="J51"/>
      <c r="K51"/>
      <c r="L51"/>
      <c r="M51"/>
      <c r="S51"/>
      <c r="T51"/>
      <c r="U51"/>
      <c r="V51"/>
      <c r="W51"/>
      <c r="X51"/>
      <c r="Y51"/>
      <c r="Z51"/>
      <c r="AA51"/>
      <c r="AB51"/>
      <c r="AC51"/>
      <c r="AD51"/>
    </row>
    <row r="52" spans="1:37" x14ac:dyDescent="0.25">
      <c r="A52" s="45" t="str">
        <f t="shared" ref="A52:H52" si="49">A27</f>
        <v>Noms des groupes</v>
      </c>
      <c r="B52" s="46" t="str">
        <f t="shared" si="49"/>
        <v>Témoin solvant</v>
      </c>
      <c r="C52" s="46" t="str">
        <f t="shared" si="49"/>
        <v>EE2-33.8ng/L</v>
      </c>
      <c r="D52" s="46" t="str">
        <f t="shared" si="49"/>
        <v>EE2-50.6ng/L</v>
      </c>
      <c r="E52" s="46" t="str">
        <f t="shared" si="49"/>
        <v>EE2-76ng/L</v>
      </c>
      <c r="F52" s="46" t="str">
        <f t="shared" si="49"/>
        <v>EE2-114ng/L</v>
      </c>
      <c r="G52" s="46" t="str">
        <f t="shared" si="49"/>
        <v>EE2-170.9ng/L</v>
      </c>
      <c r="H52" s="46" t="str">
        <f t="shared" si="49"/>
        <v>EE2-488ng/L</v>
      </c>
      <c r="I52" s="46" t="str">
        <f>I4</f>
        <v>Prochloraz-0,063mg/L</v>
      </c>
      <c r="J52" s="46" t="str">
        <f>J4</f>
        <v>Prochloraz-0,13mg/L</v>
      </c>
      <c r="K52" s="46" t="str">
        <f>K27</f>
        <v>Prochloraz-0,25mg/L</v>
      </c>
      <c r="L52" s="46" t="str">
        <f t="shared" ref="L52:M52" si="50">L27</f>
        <v>Prochloraz-0,5mg/L</v>
      </c>
      <c r="M52" s="46" t="str">
        <f t="shared" si="50"/>
        <v>Prochloraz-1mg/L</v>
      </c>
      <c r="N52" s="47"/>
      <c r="O52" s="46" t="str">
        <f>O27</f>
        <v>Testo -30µg/L</v>
      </c>
      <c r="P52" s="46" t="str">
        <f>P27</f>
        <v>Testo 30µg/L + EE2 -64ng/L</v>
      </c>
      <c r="Q52" s="46" t="str">
        <f>Q27</f>
        <v>Testo 30µg/L + FAD-10mg/L</v>
      </c>
      <c r="R52" s="46" t="str">
        <f>R27</f>
        <v>Prochloraz-0.063mg/L + Testostérone</v>
      </c>
      <c r="S52" s="46" t="str">
        <f t="shared" ref="S52:AD52" si="51">S27</f>
        <v>Prochloraz-0.13mg/L + Testostérone</v>
      </c>
      <c r="T52" s="46" t="str">
        <f t="shared" si="51"/>
        <v>Prochloraz-0.25mg/L + Testostérone</v>
      </c>
      <c r="U52" s="46" t="str">
        <f t="shared" si="51"/>
        <v>Prochloraz-0.5mg/L + Testostérone</v>
      </c>
      <c r="V52" s="46" t="str">
        <f t="shared" si="51"/>
        <v>Prochloraz-1mg/L + Testostérone</v>
      </c>
      <c r="W52" s="46" t="str">
        <f t="shared" si="51"/>
        <v>0-00 + Testostérone</v>
      </c>
      <c r="X52" s="46" t="str">
        <f t="shared" si="51"/>
        <v>0-00 + Testostérone</v>
      </c>
      <c r="Y52" s="46" t="str">
        <f t="shared" si="51"/>
        <v>0-00 + Testostérone</v>
      </c>
      <c r="Z52" s="46" t="str">
        <f t="shared" si="51"/>
        <v>0-00 + Testostérone</v>
      </c>
      <c r="AA52" s="46" t="str">
        <f t="shared" si="51"/>
        <v>0-00 + Testostérone</v>
      </c>
      <c r="AB52" s="46" t="str">
        <f t="shared" si="51"/>
        <v>0-00 + Testostérone</v>
      </c>
      <c r="AC52" s="46" t="str">
        <f t="shared" si="51"/>
        <v>0-00 + Testostérone</v>
      </c>
      <c r="AD52" s="46" t="str">
        <f t="shared" si="51"/>
        <v>0-00 + Testostérone</v>
      </c>
      <c r="AE52" s="46" t="str">
        <f t="shared" ref="AE52:AK52" si="52">AE27</f>
        <v>0-00 + Testostérone</v>
      </c>
      <c r="AF52" s="46" t="str">
        <f t="shared" si="52"/>
        <v>0-00 + Testostérone</v>
      </c>
      <c r="AG52" s="46" t="str">
        <f t="shared" si="52"/>
        <v>0-00 + Testostérone</v>
      </c>
      <c r="AH52" s="46" t="str">
        <f t="shared" si="52"/>
        <v>0-00 + Testostérone</v>
      </c>
      <c r="AI52" s="46" t="str">
        <f t="shared" si="52"/>
        <v>0-00 + Testostérone</v>
      </c>
      <c r="AJ52" s="46" t="str">
        <f t="shared" si="52"/>
        <v>0-00 + Testostérone</v>
      </c>
      <c r="AK52" s="48" t="str">
        <f t="shared" si="52"/>
        <v>0-00 + Testostérone</v>
      </c>
    </row>
    <row r="53" spans="1:37" s="3" customFormat="1" x14ac:dyDescent="0.25">
      <c r="A53" s="64" t="s">
        <v>32</v>
      </c>
      <c r="B53" s="145">
        <f t="shared" ref="B53:M53" si="53">B46</f>
        <v>0.28711179742097781</v>
      </c>
      <c r="C53" s="145">
        <f t="shared" si="53"/>
        <v>0.27885507671434989</v>
      </c>
      <c r="D53" s="145">
        <f t="shared" si="53"/>
        <v>0.29579698899899443</v>
      </c>
      <c r="E53" s="145">
        <f t="shared" si="53"/>
        <v>1.589627535074531</v>
      </c>
      <c r="F53" s="145">
        <f t="shared" si="53"/>
        <v>3.3475787057035342</v>
      </c>
      <c r="G53" s="145">
        <f t="shared" si="53"/>
        <v>3.8854558950719187</v>
      </c>
      <c r="H53" s="145">
        <f t="shared" si="53"/>
        <v>5.9796625195592217</v>
      </c>
      <c r="I53" s="145">
        <f t="shared" si="53"/>
        <v>0.29298197290019867</v>
      </c>
      <c r="J53" s="145">
        <f t="shared" si="53"/>
        <v>0.19436028330429997</v>
      </c>
      <c r="K53" s="145">
        <f t="shared" si="53"/>
        <v>0.2994504131443293</v>
      </c>
      <c r="L53" s="145">
        <f t="shared" si="53"/>
        <v>0.28005656331146578</v>
      </c>
      <c r="M53" s="145">
        <f t="shared" si="53"/>
        <v>0.37684299501454821</v>
      </c>
      <c r="N53" s="145"/>
      <c r="O53" s="145">
        <f t="shared" ref="O53:AK53" si="54">O46</f>
        <v>0.99999999999999989</v>
      </c>
      <c r="P53" s="145">
        <f t="shared" si="54"/>
        <v>4.9194636556095812</v>
      </c>
      <c r="Q53" s="145">
        <f t="shared" si="54"/>
        <v>0.15808032301624825</v>
      </c>
      <c r="R53" s="145">
        <f t="shared" si="54"/>
        <v>1.9180034232092003</v>
      </c>
      <c r="S53" s="145">
        <f t="shared" si="54"/>
        <v>1.6492388052001072</v>
      </c>
      <c r="T53" s="145">
        <f t="shared" si="54"/>
        <v>4.1002111509654346</v>
      </c>
      <c r="U53" s="145">
        <f t="shared" si="54"/>
        <v>0.71375908665394339</v>
      </c>
      <c r="V53" s="145">
        <f t="shared" si="54"/>
        <v>0.91144570140352266</v>
      </c>
      <c r="W53" s="145" t="e">
        <f t="shared" si="54"/>
        <v>#DIV/0!</v>
      </c>
      <c r="X53" s="145" t="e">
        <f t="shared" si="54"/>
        <v>#DIV/0!</v>
      </c>
      <c r="Y53" s="145" t="e">
        <f t="shared" si="54"/>
        <v>#DIV/0!</v>
      </c>
      <c r="Z53" s="145" t="e">
        <f t="shared" si="54"/>
        <v>#DIV/0!</v>
      </c>
      <c r="AA53" s="145" t="e">
        <f t="shared" si="54"/>
        <v>#DIV/0!</v>
      </c>
      <c r="AB53" s="145" t="e">
        <f t="shared" si="54"/>
        <v>#DIV/0!</v>
      </c>
      <c r="AC53" s="145" t="e">
        <f t="shared" si="54"/>
        <v>#DIV/0!</v>
      </c>
      <c r="AD53" s="145" t="e">
        <f t="shared" si="54"/>
        <v>#DIV/0!</v>
      </c>
      <c r="AE53" s="145" t="e">
        <f t="shared" si="54"/>
        <v>#DIV/0!</v>
      </c>
      <c r="AF53" s="145" t="e">
        <f t="shared" si="54"/>
        <v>#DIV/0!</v>
      </c>
      <c r="AG53" s="145" t="e">
        <f t="shared" si="54"/>
        <v>#DIV/0!</v>
      </c>
      <c r="AH53" s="145" t="e">
        <f t="shared" si="54"/>
        <v>#DIV/0!</v>
      </c>
      <c r="AI53" s="145" t="e">
        <f t="shared" si="54"/>
        <v>#DIV/0!</v>
      </c>
      <c r="AJ53" s="145" t="e">
        <f t="shared" si="54"/>
        <v>#DIV/0!</v>
      </c>
      <c r="AK53" s="145" t="e">
        <f t="shared" si="54"/>
        <v>#DIV/0!</v>
      </c>
    </row>
    <row r="54" spans="1:37" s="3" customFormat="1" x14ac:dyDescent="0.25">
      <c r="A54" s="64" t="s">
        <v>2</v>
      </c>
      <c r="B54" s="145">
        <f t="shared" ref="B54:M54" si="55">B48</f>
        <v>5.3907758242426218E-2</v>
      </c>
      <c r="C54" s="145">
        <f t="shared" si="55"/>
        <v>8.7564893637376504E-2</v>
      </c>
      <c r="D54" s="145">
        <f t="shared" si="55"/>
        <v>9.0449422634765686E-2</v>
      </c>
      <c r="E54" s="145">
        <f t="shared" si="55"/>
        <v>0.49021224996606311</v>
      </c>
      <c r="F54" s="145">
        <f t="shared" si="55"/>
        <v>0.28899257787734167</v>
      </c>
      <c r="G54" s="145">
        <f t="shared" si="55"/>
        <v>0.74422473611425033</v>
      </c>
      <c r="H54" s="145">
        <f t="shared" si="55"/>
        <v>0.27272433704754007</v>
      </c>
      <c r="I54" s="145">
        <f t="shared" si="55"/>
        <v>5.9307436302357963E-2</v>
      </c>
      <c r="J54" s="145">
        <f t="shared" si="55"/>
        <v>4.6043804489645686E-2</v>
      </c>
      <c r="K54" s="145">
        <f t="shared" si="55"/>
        <v>6.7620451158269659E-2</v>
      </c>
      <c r="L54" s="145">
        <f t="shared" si="55"/>
        <v>3.6339278906808159E-2</v>
      </c>
      <c r="M54" s="145">
        <f t="shared" si="55"/>
        <v>5.4036114382407595E-2</v>
      </c>
      <c r="N54" s="145"/>
      <c r="O54" s="145">
        <f t="shared" ref="O54:AK54" si="56">O48</f>
        <v>0.24954716600746679</v>
      </c>
      <c r="P54" s="145">
        <f t="shared" si="56"/>
        <v>0.45312558055857671</v>
      </c>
      <c r="Q54" s="145">
        <f t="shared" si="56"/>
        <v>4.1102807042711111E-2</v>
      </c>
      <c r="R54" s="145">
        <f t="shared" si="56"/>
        <v>0.41529988646770871</v>
      </c>
      <c r="S54" s="145">
        <f t="shared" si="56"/>
        <v>0.39443346963199349</v>
      </c>
      <c r="T54" s="145">
        <f t="shared" si="56"/>
        <v>0.46587333168193956</v>
      </c>
      <c r="U54" s="145">
        <f t="shared" si="56"/>
        <v>0.22870502604421236</v>
      </c>
      <c r="V54" s="145">
        <f t="shared" si="56"/>
        <v>0.39452672342080924</v>
      </c>
      <c r="W54" s="145" t="e">
        <f t="shared" si="56"/>
        <v>#DIV/0!</v>
      </c>
      <c r="X54" s="145" t="e">
        <f t="shared" si="56"/>
        <v>#DIV/0!</v>
      </c>
      <c r="Y54" s="145" t="e">
        <f t="shared" si="56"/>
        <v>#DIV/0!</v>
      </c>
      <c r="Z54" s="145" t="e">
        <f t="shared" si="56"/>
        <v>#DIV/0!</v>
      </c>
      <c r="AA54" s="145" t="e">
        <f t="shared" si="56"/>
        <v>#DIV/0!</v>
      </c>
      <c r="AB54" s="145" t="e">
        <f t="shared" si="56"/>
        <v>#DIV/0!</v>
      </c>
      <c r="AC54" s="145" t="e">
        <f t="shared" si="56"/>
        <v>#DIV/0!</v>
      </c>
      <c r="AD54" s="145" t="e">
        <f t="shared" si="56"/>
        <v>#DIV/0!</v>
      </c>
      <c r="AE54" s="145" t="e">
        <f t="shared" si="56"/>
        <v>#DIV/0!</v>
      </c>
      <c r="AF54" s="145" t="e">
        <f t="shared" si="56"/>
        <v>#DIV/0!</v>
      </c>
      <c r="AG54" s="145" t="e">
        <f t="shared" si="56"/>
        <v>#DIV/0!</v>
      </c>
      <c r="AH54" s="145" t="e">
        <f t="shared" si="56"/>
        <v>#DIV/0!</v>
      </c>
      <c r="AI54" s="145" t="e">
        <f t="shared" si="56"/>
        <v>#DIV/0!</v>
      </c>
      <c r="AJ54" s="145" t="e">
        <f t="shared" si="56"/>
        <v>#DIV/0!</v>
      </c>
      <c r="AK54" s="145" t="e">
        <f t="shared" si="56"/>
        <v>#DIV/0!</v>
      </c>
    </row>
    <row r="55" spans="1:37" s="3" customFormat="1" x14ac:dyDescent="0.25">
      <c r="A55" s="64" t="s">
        <v>79</v>
      </c>
      <c r="B55" s="145">
        <f t="shared" ref="B55:M55" si="57">(B53*100/$B$53)-100</f>
        <v>0</v>
      </c>
      <c r="C55" s="145">
        <f t="shared" si="57"/>
        <v>-2.875785941502599</v>
      </c>
      <c r="D55" s="145">
        <f t="shared" si="57"/>
        <v>3.0250207953948802</v>
      </c>
      <c r="E55" s="145">
        <f t="shared" si="57"/>
        <v>453.66151769226633</v>
      </c>
      <c r="F55" s="145">
        <f t="shared" si="57"/>
        <v>1065.9495484942213</v>
      </c>
      <c r="G55" s="145">
        <f t="shared" si="57"/>
        <v>1253.2902270034092</v>
      </c>
      <c r="H55" s="145">
        <f t="shared" si="57"/>
        <v>1982.694815494307</v>
      </c>
      <c r="I55" s="145">
        <f t="shared" si="57"/>
        <v>2.0445608755720031</v>
      </c>
      <c r="J55" s="145">
        <f t="shared" si="57"/>
        <v>-32.305016704235555</v>
      </c>
      <c r="K55" s="145">
        <f t="shared" si="57"/>
        <v>4.2974952036749698</v>
      </c>
      <c r="L55" s="145">
        <f t="shared" si="57"/>
        <v>-2.4573125078407259</v>
      </c>
      <c r="M55" s="145">
        <f t="shared" si="57"/>
        <v>31.253051389595811</v>
      </c>
      <c r="N55" s="145"/>
      <c r="O55" s="145">
        <f>(O53*100/$O$53)-100</f>
        <v>0</v>
      </c>
      <c r="P55" s="145">
        <f t="shared" ref="P55:AK55" si="58">(P53*100/$O$53)-100</f>
        <v>391.94636556095816</v>
      </c>
      <c r="Q55" s="145">
        <f t="shared" si="58"/>
        <v>-84.19196769837518</v>
      </c>
      <c r="R55" s="145">
        <f t="shared" si="58"/>
        <v>91.800342320920066</v>
      </c>
      <c r="S55" s="145">
        <f t="shared" si="58"/>
        <v>64.923880520010755</v>
      </c>
      <c r="T55" s="145">
        <f t="shared" si="58"/>
        <v>310.0211150965435</v>
      </c>
      <c r="U55" s="145">
        <f t="shared" si="58"/>
        <v>-28.624091334605652</v>
      </c>
      <c r="V55" s="145">
        <f t="shared" si="58"/>
        <v>-8.8554298596477139</v>
      </c>
      <c r="W55" s="145" t="e">
        <f t="shared" si="58"/>
        <v>#DIV/0!</v>
      </c>
      <c r="X55" s="145" t="e">
        <f t="shared" si="58"/>
        <v>#DIV/0!</v>
      </c>
      <c r="Y55" s="145" t="e">
        <f t="shared" si="58"/>
        <v>#DIV/0!</v>
      </c>
      <c r="Z55" s="145" t="e">
        <f t="shared" si="58"/>
        <v>#DIV/0!</v>
      </c>
      <c r="AA55" s="145" t="e">
        <f t="shared" si="58"/>
        <v>#DIV/0!</v>
      </c>
      <c r="AB55" s="145" t="e">
        <f t="shared" si="58"/>
        <v>#DIV/0!</v>
      </c>
      <c r="AC55" s="145" t="e">
        <f t="shared" si="58"/>
        <v>#DIV/0!</v>
      </c>
      <c r="AD55" s="145" t="e">
        <f t="shared" si="58"/>
        <v>#DIV/0!</v>
      </c>
      <c r="AE55" s="145" t="e">
        <f t="shared" si="58"/>
        <v>#DIV/0!</v>
      </c>
      <c r="AF55" s="145" t="e">
        <f t="shared" si="58"/>
        <v>#DIV/0!</v>
      </c>
      <c r="AG55" s="145" t="e">
        <f t="shared" si="58"/>
        <v>#DIV/0!</v>
      </c>
      <c r="AH55" s="145" t="e">
        <f t="shared" si="58"/>
        <v>#DIV/0!</v>
      </c>
      <c r="AI55" s="145" t="e">
        <f t="shared" si="58"/>
        <v>#DIV/0!</v>
      </c>
      <c r="AJ55" s="145" t="e">
        <f t="shared" si="58"/>
        <v>#DIV/0!</v>
      </c>
      <c r="AK55" s="145" t="e">
        <f t="shared" si="58"/>
        <v>#DIV/0!</v>
      </c>
    </row>
    <row r="56" spans="1:37" s="3" customFormat="1" x14ac:dyDescent="0.25">
      <c r="A56" s="64" t="s">
        <v>81</v>
      </c>
      <c r="B56" s="145" t="e">
        <f ca="1">[1]!SWTEST(B28:B43)</f>
        <v>#NAME?</v>
      </c>
      <c r="C56" s="145" t="e">
        <f ca="1">[1]!SWTEST(C28:C43)</f>
        <v>#NAME?</v>
      </c>
      <c r="D56" s="145" t="e">
        <f ca="1">[1]!SWTEST(D28:D43)</f>
        <v>#NAME?</v>
      </c>
      <c r="E56" s="145" t="e">
        <f ca="1">[1]!SWTEST(E28:E43)</f>
        <v>#NAME?</v>
      </c>
      <c r="F56" s="145" t="e">
        <f ca="1">[1]!SWTEST(F28:F43)</f>
        <v>#NAME?</v>
      </c>
      <c r="G56" s="145" t="e">
        <f ca="1">[1]!SWTEST(G28:G43)</f>
        <v>#NAME?</v>
      </c>
      <c r="H56" s="145" t="e">
        <f ca="1">[1]!SWTEST(H28:H43)</f>
        <v>#NAME?</v>
      </c>
      <c r="I56" s="145" t="e">
        <f ca="1">[1]!SWTEST(I28:I43)</f>
        <v>#NAME?</v>
      </c>
      <c r="J56" s="145" t="e">
        <f ca="1">[1]!SWTEST(J28:J43)</f>
        <v>#NAME?</v>
      </c>
      <c r="K56" s="145" t="e">
        <f ca="1">[1]!SWTEST(K28:K43)</f>
        <v>#NAME?</v>
      </c>
      <c r="L56" s="145" t="e">
        <f ca="1">[1]!SWTEST(L28:L43)</f>
        <v>#NAME?</v>
      </c>
      <c r="M56" s="145" t="e">
        <f ca="1">[1]!SWTEST(M28:M43)</f>
        <v>#NAME?</v>
      </c>
      <c r="N56" s="145"/>
      <c r="O56" s="145" t="e">
        <f ca="1">[1]!SWTEST(O28:O43)</f>
        <v>#NAME?</v>
      </c>
      <c r="P56" s="145" t="e">
        <f ca="1">[1]!SWTEST(P28:P43)</f>
        <v>#NAME?</v>
      </c>
      <c r="Q56" s="145" t="e">
        <f ca="1">[1]!SWTEST(Q28:Q43)</f>
        <v>#NAME?</v>
      </c>
      <c r="R56" s="145" t="e">
        <f ca="1">[1]!SWTEST(R28:R43)</f>
        <v>#NAME?</v>
      </c>
      <c r="S56" s="145" t="e">
        <f ca="1">[1]!SWTEST(S28:S43)</f>
        <v>#NAME?</v>
      </c>
      <c r="T56" s="145" t="e">
        <f ca="1">[1]!SWTEST(T28:T43)</f>
        <v>#NAME?</v>
      </c>
      <c r="U56" s="145" t="e">
        <f ca="1">[1]!SWTEST(U28:U43)</f>
        <v>#NAME?</v>
      </c>
      <c r="V56" s="145" t="e">
        <f ca="1">[1]!SWTEST(V28:V43)</f>
        <v>#NAME?</v>
      </c>
      <c r="W56" s="145" t="e">
        <f ca="1">[1]!SWTEST(W28:W43)</f>
        <v>#NAME?</v>
      </c>
      <c r="X56" s="145" t="e">
        <f ca="1">[1]!SWTEST(X28:X43)</f>
        <v>#NAME?</v>
      </c>
      <c r="Y56" s="145" t="e">
        <f ca="1">[1]!SWTEST(Y28:Y43)</f>
        <v>#NAME?</v>
      </c>
      <c r="Z56" s="145" t="e">
        <f ca="1">[1]!SWTEST(Z28:Z43)</f>
        <v>#NAME?</v>
      </c>
      <c r="AA56" s="145" t="e">
        <f ca="1">[1]!SWTEST(AA28:AA43)</f>
        <v>#NAME?</v>
      </c>
      <c r="AB56" s="145" t="e">
        <f ca="1">[1]!SWTEST(AB28:AB43)</f>
        <v>#NAME?</v>
      </c>
      <c r="AC56" s="145" t="e">
        <f ca="1">[1]!SWTEST(AC28:AC43)</f>
        <v>#NAME?</v>
      </c>
      <c r="AD56" s="145" t="e">
        <f ca="1">[1]!SWTEST(AD28:AD43)</f>
        <v>#NAME?</v>
      </c>
      <c r="AE56" s="145" t="e">
        <f ca="1">[1]!SWTEST(AE28:AE43)</f>
        <v>#NAME?</v>
      </c>
      <c r="AF56" s="145" t="e">
        <f ca="1">[1]!SWTEST(AF28:AF43)</f>
        <v>#NAME?</v>
      </c>
      <c r="AG56" s="145" t="e">
        <f ca="1">[1]!SWTEST(AG28:AG43)</f>
        <v>#NAME?</v>
      </c>
      <c r="AH56" s="145" t="e">
        <f ca="1">[1]!SWTEST(AH28:AH43)</f>
        <v>#NAME?</v>
      </c>
      <c r="AI56" s="145" t="e">
        <f ca="1">[1]!SWTEST(AI28:AI43)</f>
        <v>#NAME?</v>
      </c>
      <c r="AJ56" s="145" t="e">
        <f ca="1">[1]!SWTEST(AJ28:AJ43)</f>
        <v>#NAME?</v>
      </c>
      <c r="AK56" s="145" t="e">
        <f ca="1">[1]!SWTEST(AK28:AK43)</f>
        <v>#NAME?</v>
      </c>
    </row>
    <row r="57" spans="1:37" s="3" customFormat="1" x14ac:dyDescent="0.25">
      <c r="A57" s="64" t="s">
        <v>85</v>
      </c>
      <c r="B57" s="145" t="e">
        <f t="shared" ref="B57:M57" ca="1" si="59">IF(B56&gt;0.05,"Oui","Non")</f>
        <v>#NAME?</v>
      </c>
      <c r="C57" s="145" t="e">
        <f t="shared" ca="1" si="59"/>
        <v>#NAME?</v>
      </c>
      <c r="D57" s="145" t="e">
        <f t="shared" ca="1" si="59"/>
        <v>#NAME?</v>
      </c>
      <c r="E57" s="145" t="e">
        <f t="shared" ca="1" si="59"/>
        <v>#NAME?</v>
      </c>
      <c r="F57" s="145" t="e">
        <f t="shared" ca="1" si="59"/>
        <v>#NAME?</v>
      </c>
      <c r="G57" s="145" t="e">
        <f t="shared" ca="1" si="59"/>
        <v>#NAME?</v>
      </c>
      <c r="H57" s="145" t="e">
        <f t="shared" ca="1" si="59"/>
        <v>#NAME?</v>
      </c>
      <c r="I57" s="145" t="e">
        <f t="shared" ca="1" si="59"/>
        <v>#NAME?</v>
      </c>
      <c r="J57" s="145" t="e">
        <f t="shared" ca="1" si="59"/>
        <v>#NAME?</v>
      </c>
      <c r="K57" s="145" t="e">
        <f t="shared" ca="1" si="59"/>
        <v>#NAME?</v>
      </c>
      <c r="L57" s="145" t="e">
        <f t="shared" ca="1" si="59"/>
        <v>#NAME?</v>
      </c>
      <c r="M57" s="145" t="e">
        <f t="shared" ca="1" si="59"/>
        <v>#NAME?</v>
      </c>
      <c r="N57" s="145"/>
      <c r="O57" s="145" t="e">
        <f t="shared" ref="O57:AK57" ca="1" si="60">IF(O56&gt;0.05,"Oui","Non")</f>
        <v>#NAME?</v>
      </c>
      <c r="P57" s="145" t="e">
        <f t="shared" ca="1" si="60"/>
        <v>#NAME?</v>
      </c>
      <c r="Q57" s="145" t="e">
        <f t="shared" ca="1" si="60"/>
        <v>#NAME?</v>
      </c>
      <c r="R57" s="145" t="e">
        <f t="shared" ca="1" si="60"/>
        <v>#NAME?</v>
      </c>
      <c r="S57" s="145" t="e">
        <f t="shared" ca="1" si="60"/>
        <v>#NAME?</v>
      </c>
      <c r="T57" s="145" t="e">
        <f t="shared" ca="1" si="60"/>
        <v>#NAME?</v>
      </c>
      <c r="U57" s="145" t="e">
        <f t="shared" ca="1" si="60"/>
        <v>#NAME?</v>
      </c>
      <c r="V57" s="145" t="e">
        <f t="shared" ca="1" si="60"/>
        <v>#NAME?</v>
      </c>
      <c r="W57" s="145" t="e">
        <f t="shared" ca="1" si="60"/>
        <v>#NAME?</v>
      </c>
      <c r="X57" s="145" t="e">
        <f t="shared" ca="1" si="60"/>
        <v>#NAME?</v>
      </c>
      <c r="Y57" s="145" t="e">
        <f t="shared" ca="1" si="60"/>
        <v>#NAME?</v>
      </c>
      <c r="Z57" s="145" t="e">
        <f t="shared" ca="1" si="60"/>
        <v>#NAME?</v>
      </c>
      <c r="AA57" s="145" t="e">
        <f t="shared" ca="1" si="60"/>
        <v>#NAME?</v>
      </c>
      <c r="AB57" s="145" t="e">
        <f t="shared" ca="1" si="60"/>
        <v>#NAME?</v>
      </c>
      <c r="AC57" s="145" t="e">
        <f t="shared" ca="1" si="60"/>
        <v>#NAME?</v>
      </c>
      <c r="AD57" s="145" t="e">
        <f t="shared" ca="1" si="60"/>
        <v>#NAME?</v>
      </c>
      <c r="AE57" s="145" t="e">
        <f t="shared" ca="1" si="60"/>
        <v>#NAME?</v>
      </c>
      <c r="AF57" s="145" t="e">
        <f t="shared" ca="1" si="60"/>
        <v>#NAME?</v>
      </c>
      <c r="AG57" s="145" t="e">
        <f t="shared" ca="1" si="60"/>
        <v>#NAME?</v>
      </c>
      <c r="AH57" s="145" t="e">
        <f t="shared" ca="1" si="60"/>
        <v>#NAME?</v>
      </c>
      <c r="AI57" s="145" t="e">
        <f t="shared" ca="1" si="60"/>
        <v>#NAME?</v>
      </c>
      <c r="AJ57" s="145" t="e">
        <f t="shared" ca="1" si="60"/>
        <v>#NAME?</v>
      </c>
      <c r="AK57" s="145" t="e">
        <f t="shared" ca="1" si="60"/>
        <v>#NAME?</v>
      </c>
    </row>
    <row r="58" spans="1:37" s="3" customFormat="1" x14ac:dyDescent="0.25">
      <c r="A58" s="64"/>
      <c r="B58" s="145"/>
      <c r="C58" s="145"/>
      <c r="D58" s="145"/>
      <c r="E58" s="145"/>
      <c r="F58" s="145"/>
      <c r="G58" s="145"/>
      <c r="H58" s="145"/>
      <c r="I58" s="145"/>
      <c r="J58" s="145"/>
      <c r="K58" s="145"/>
      <c r="L58" s="145"/>
      <c r="M58" s="145"/>
      <c r="N58" s="152"/>
      <c r="O58" s="153"/>
      <c r="P58" s="145"/>
      <c r="Q58" s="145"/>
      <c r="R58" s="145"/>
      <c r="S58" s="145"/>
      <c r="T58" s="145"/>
      <c r="U58" s="145"/>
      <c r="V58" s="145"/>
      <c r="W58" s="145"/>
      <c r="X58" s="145"/>
      <c r="Y58" s="145"/>
      <c r="Z58" s="145"/>
      <c r="AA58" s="145"/>
      <c r="AB58" s="145"/>
      <c r="AC58" s="145"/>
      <c r="AD58" s="145"/>
      <c r="AE58" s="154"/>
      <c r="AF58" s="154"/>
      <c r="AG58" s="154"/>
      <c r="AH58" s="154"/>
      <c r="AI58" s="154"/>
      <c r="AJ58" s="154"/>
      <c r="AK58" s="155"/>
    </row>
    <row r="59" spans="1:37" s="3" customFormat="1" x14ac:dyDescent="0.25">
      <c r="A59" s="64" t="s">
        <v>82</v>
      </c>
      <c r="B59" s="156"/>
      <c r="C59" s="156" t="e">
        <f t="shared" ref="C59:M59" ca="1" si="61">IF($B57="Non",IF(C$57="Non","Mann Withney",IF(C$57="Oui","Mann Withney","")),IF($B$57="Oui",IF(C$57="Oui","T-Test Welch",IF(C$57="Non","Mann Withney",""))))</f>
        <v>#NAME?</v>
      </c>
      <c r="D59" s="156" t="e">
        <f t="shared" ca="1" si="61"/>
        <v>#NAME?</v>
      </c>
      <c r="E59" s="156" t="e">
        <f t="shared" ca="1" si="61"/>
        <v>#NAME?</v>
      </c>
      <c r="F59" s="156" t="e">
        <f t="shared" ca="1" si="61"/>
        <v>#NAME?</v>
      </c>
      <c r="G59" s="156" t="e">
        <f t="shared" ca="1" si="61"/>
        <v>#NAME?</v>
      </c>
      <c r="H59" s="156" t="e">
        <f t="shared" ca="1" si="61"/>
        <v>#NAME?</v>
      </c>
      <c r="I59" s="156" t="e">
        <f t="shared" ca="1" si="61"/>
        <v>#NAME?</v>
      </c>
      <c r="J59" s="156" t="e">
        <f t="shared" ca="1" si="61"/>
        <v>#NAME?</v>
      </c>
      <c r="K59" s="156" t="e">
        <f t="shared" ca="1" si="61"/>
        <v>#NAME?</v>
      </c>
      <c r="L59" s="156" t="e">
        <f t="shared" ca="1" si="61"/>
        <v>#NAME?</v>
      </c>
      <c r="M59" s="156" t="e">
        <f t="shared" ca="1" si="61"/>
        <v>#NAME?</v>
      </c>
      <c r="N59" s="156"/>
      <c r="O59" s="156" t="e">
        <f ca="1">IF($B57="Non",IF(O$57="Non","Mann Withney",IF(O$57="Oui","Mann Withney","")),IF($B$57="Oui",IF(O$57="Oui","T-Test Welch",IF(O$57="Non","Mann Withney",""))))</f>
        <v>#NAME?</v>
      </c>
      <c r="P59" s="156" t="e">
        <f ca="1">IF($O57="Non",IF(P$57="Non","Mann Withney",IF(P$57="Oui","Mann Withney","")),IF($O$57="Oui",IF(P$57="Oui","T-Test Welch",IF(P$57="Non","Mann Withney",""))))</f>
        <v>#NAME?</v>
      </c>
      <c r="Q59" s="156" t="e">
        <f t="shared" ref="Q59:AK59" ca="1" si="62">IF($O57="Non",IF(Q$57="Non","Mann Withney",IF(Q$57="Oui","Mann Withney","")),IF($O$57="Oui",IF(Q$57="Oui","T-Test Welch",IF(Q$57="Non","Mann Withney",""))))</f>
        <v>#NAME?</v>
      </c>
      <c r="R59" s="156" t="e">
        <f t="shared" ca="1" si="62"/>
        <v>#NAME?</v>
      </c>
      <c r="S59" s="156" t="e">
        <f t="shared" ca="1" si="62"/>
        <v>#NAME?</v>
      </c>
      <c r="T59" s="156" t="e">
        <f t="shared" ca="1" si="62"/>
        <v>#NAME?</v>
      </c>
      <c r="U59" s="156" t="e">
        <f t="shared" ca="1" si="62"/>
        <v>#NAME?</v>
      </c>
      <c r="V59" s="156" t="e">
        <f t="shared" ca="1" si="62"/>
        <v>#NAME?</v>
      </c>
      <c r="W59" s="156" t="e">
        <f t="shared" ca="1" si="62"/>
        <v>#NAME?</v>
      </c>
      <c r="X59" s="156" t="e">
        <f t="shared" ca="1" si="62"/>
        <v>#NAME?</v>
      </c>
      <c r="Y59" s="156" t="e">
        <f t="shared" ca="1" si="62"/>
        <v>#NAME?</v>
      </c>
      <c r="Z59" s="156" t="e">
        <f t="shared" ca="1" si="62"/>
        <v>#NAME?</v>
      </c>
      <c r="AA59" s="156" t="e">
        <f t="shared" ca="1" si="62"/>
        <v>#NAME?</v>
      </c>
      <c r="AB59" s="156" t="e">
        <f t="shared" ca="1" si="62"/>
        <v>#NAME?</v>
      </c>
      <c r="AC59" s="156" t="e">
        <f t="shared" ca="1" si="62"/>
        <v>#NAME?</v>
      </c>
      <c r="AD59" s="156" t="e">
        <f t="shared" ca="1" si="62"/>
        <v>#NAME?</v>
      </c>
      <c r="AE59" s="156" t="e">
        <f t="shared" ca="1" si="62"/>
        <v>#NAME?</v>
      </c>
      <c r="AF59" s="156" t="e">
        <f t="shared" ca="1" si="62"/>
        <v>#NAME?</v>
      </c>
      <c r="AG59" s="156" t="e">
        <f t="shared" ca="1" si="62"/>
        <v>#NAME?</v>
      </c>
      <c r="AH59" s="156" t="e">
        <f t="shared" ca="1" si="62"/>
        <v>#NAME?</v>
      </c>
      <c r="AI59" s="156" t="e">
        <f t="shared" ca="1" si="62"/>
        <v>#NAME?</v>
      </c>
      <c r="AJ59" s="156" t="e">
        <f t="shared" ca="1" si="62"/>
        <v>#NAME?</v>
      </c>
      <c r="AK59" s="156" t="e">
        <f t="shared" ca="1" si="62"/>
        <v>#NAME?</v>
      </c>
    </row>
    <row r="60" spans="1:37" s="3" customFormat="1" x14ac:dyDescent="0.25">
      <c r="A60" s="64" t="s">
        <v>83</v>
      </c>
      <c r="B60" s="157"/>
      <c r="C60" s="157" t="e">
        <f ca="1">IF(C59="Mann Withney",[1]!MTEST($B28:$B43,C28:C43,2), IF(C59="T-Test Welch",_xlfn.T.TEST($B28:$B43,C28:C43,2,3),""))</f>
        <v>#NAME?</v>
      </c>
      <c r="D60" s="157" t="e">
        <f ca="1">IF(D59="Mann Withney",[1]!MTEST($B28:$B43,D28:D43,2), IF(D59="T-Test Welch",_xlfn.T.TEST($B28:$B43,D28:D43,2,3),""))</f>
        <v>#NAME?</v>
      </c>
      <c r="E60" s="157" t="e">
        <f ca="1">IF(E59="Mann Withney",[1]!MTEST($B28:$B43,E28:E43,2), IF(E59="T-Test Welch",_xlfn.T.TEST($B28:$B43,E28:E43,2,3),""))</f>
        <v>#NAME?</v>
      </c>
      <c r="F60" s="157" t="e">
        <f ca="1">IF(F59="Mann Withney",[1]!MTEST($B28:$B43,F28:F43,2), IF(F59="T-Test Welch",_xlfn.T.TEST($B28:$B43,F28:F43,2,3),""))</f>
        <v>#NAME?</v>
      </c>
      <c r="G60" s="157" t="e">
        <f ca="1">IF(G59="Mann Withney",[1]!MTEST($B28:$B43,G28:G43,2), IF(G59="T-Test Welch",_xlfn.T.TEST($B28:$B43,G28:G43,2,3),""))</f>
        <v>#NAME?</v>
      </c>
      <c r="H60" s="157" t="e">
        <f ca="1">IF(H59="Mann Withney",[1]!MTEST($B28:$B43,H28:H43,2), IF(H59="T-Test Welch",_xlfn.T.TEST($B28:$B43,H28:H43,2,3),""))</f>
        <v>#NAME?</v>
      </c>
      <c r="I60" s="157" t="e">
        <f ca="1">IF(I59="Mann Withney",[1]!MTEST($B28:$B43,I28:I43,2), IF(I59="T-Test Welch",_xlfn.T.TEST($B28:$B43,I28:I43,2,3),""))</f>
        <v>#NAME?</v>
      </c>
      <c r="J60" s="157" t="e">
        <f ca="1">IF(J59="Mann Withney",[1]!MTEST($B28:$B43,J28:J43,2), IF(J59="T-Test Welch",_xlfn.T.TEST($B28:$B43,J28:J43,2,3),""))</f>
        <v>#NAME?</v>
      </c>
      <c r="K60" s="157" t="e">
        <f ca="1">IF(K59="Mann Withney",[1]!MTEST($B28:$B43,K28:K43,2), IF(K59="T-Test Welch",_xlfn.T.TEST($B28:$B43,K28:K43,2,3),""))</f>
        <v>#NAME?</v>
      </c>
      <c r="L60" s="157" t="e">
        <f ca="1">IF(L59="Mann Withney",[1]!MTEST($B28:$B43,L28:L43,2), IF(L59="T-Test Welch",_xlfn.T.TEST($B28:$B43,L28:L43,2,3),""))</f>
        <v>#NAME?</v>
      </c>
      <c r="M60" s="157" t="e">
        <f ca="1">IF(M59="Mann Withney",[1]!MTEST($B28:$B43,M28:M43,2), IF(M59="T-Test Welch",_xlfn.T.TEST($B28:$B43,M28:M43,2,3),""))</f>
        <v>#NAME?</v>
      </c>
      <c r="N60" s="157"/>
      <c r="O60" s="157" t="e">
        <f ca="1">IF(O59="Mann Withney",[1]!MTEST($B28:$B43,O28:O43,2), IF(O59="T-Test Welch",_xlfn.T.TEST($B28:$B43,O28:O43,2,3),""))</f>
        <v>#NAME?</v>
      </c>
      <c r="P60" s="157" t="e">
        <f ca="1">IF(P59="Mann Withney",[1]!MTEST($O28:$O43,P28:P43,2), IF(P59="T-Test Welch",_xlfn.T.TEST($O28:$O43,P28:P43,2,3),""))</f>
        <v>#NAME?</v>
      </c>
      <c r="Q60" s="157" t="e">
        <f ca="1">IF(Q59="Mann Withney",[1]!MTEST($O28:$O43,Q28:Q43,2), IF(Q59="T-Test Welch",_xlfn.T.TEST($O28:$O43,Q28:Q43,2,3),""))</f>
        <v>#NAME?</v>
      </c>
      <c r="R60" s="157" t="e">
        <f ca="1">IF(R59="Mann Withney",[1]!MTEST($O28:$O43,R28:R43,2), IF(R59="T-Test Welch",_xlfn.T.TEST($O28:$O43,R28:R43,2,3),""))</f>
        <v>#NAME?</v>
      </c>
      <c r="S60" s="157" t="e">
        <f ca="1">IF(S59="Mann Withney",[1]!MTEST($O28:$O43,S28:S43,2), IF(S59="T-Test Welch",_xlfn.T.TEST($O28:$O43,S28:S43,2,3),""))</f>
        <v>#NAME?</v>
      </c>
      <c r="T60" s="157" t="e">
        <f ca="1">IF(T59="Mann Withney",[1]!MTEST($O28:$O43,T28:T43,2), IF(T59="T-Test Welch",_xlfn.T.TEST($O28:$O43,T28:T43,2,3),""))</f>
        <v>#NAME?</v>
      </c>
      <c r="U60" s="157" t="e">
        <f ca="1">IF(U59="Mann Withney",[1]!MTEST($O28:$O43,U28:U43,2), IF(U59="T-Test Welch",_xlfn.T.TEST($O28:$O43,U28:U43,2,3),""))</f>
        <v>#NAME?</v>
      </c>
      <c r="V60" s="157" t="e">
        <f ca="1">IF(V59="Mann Withney",[1]!MTEST($O28:$O43,V28:V43,2), IF(V59="T-Test Welch",_xlfn.T.TEST($O28:$O43,V28:V43,2,3),""))</f>
        <v>#NAME?</v>
      </c>
      <c r="W60" s="157" t="e">
        <f ca="1">IF(W59="Mann Withney",[1]!MTEST($O28:$O43,W28:W43,2), IF(W59="T-Test Welch",_xlfn.T.TEST($O28:$O43,W28:W43,2,3),""))</f>
        <v>#NAME?</v>
      </c>
      <c r="X60" s="157" t="e">
        <f ca="1">IF(X59="Mann Withney",[1]!MTEST($O28:$O43,X28:X43,2), IF(X59="T-Test Welch",_xlfn.T.TEST($O28:$O43,X28:X43,2,3),""))</f>
        <v>#NAME?</v>
      </c>
      <c r="Y60" s="157" t="e">
        <f ca="1">IF(Y59="Mann Withney",[1]!MTEST($O28:$O43,Y28:Y43,2), IF(Y59="T-Test Welch",_xlfn.T.TEST($O28:$O43,Y28:Y43,2,3),""))</f>
        <v>#NAME?</v>
      </c>
      <c r="Z60" s="157" t="e">
        <f ca="1">IF(Z59="Mann Withney",[1]!MTEST($O28:$O43,Z28:Z43,2), IF(Z59="T-Test Welch",_xlfn.T.TEST($O28:$O43,Z28:Z43,2,3),""))</f>
        <v>#NAME?</v>
      </c>
      <c r="AA60" s="157" t="e">
        <f ca="1">IF(AA59="Mann Withney",[1]!MTEST($O28:$O43,AA28:AA43,2), IF(AA59="T-Test Welch",_xlfn.T.TEST($O28:$O43,AA28:AA43,2,3),""))</f>
        <v>#NAME?</v>
      </c>
      <c r="AB60" s="157" t="e">
        <f ca="1">IF(AB59="Mann Withney",[1]!MTEST($O28:$O43,AB28:AB43,2), IF(AB59="T-Test Welch",_xlfn.T.TEST($O28:$O43,AB28:AB43,2,3),""))</f>
        <v>#NAME?</v>
      </c>
      <c r="AC60" s="157" t="e">
        <f ca="1">IF(AC59="Mann Withney",[1]!MTEST($O28:$O43,AC28:AC43,2), IF(AC59="T-Test Welch",_xlfn.T.TEST($O28:$O43,AC28:AC43,2,3),""))</f>
        <v>#NAME?</v>
      </c>
      <c r="AD60" s="157" t="e">
        <f ca="1">IF(AD59="Mann Withney",[1]!MTEST($O28:$O43,AD28:AD43,2), IF(AD59="T-Test Welch",_xlfn.T.TEST($O28:$O43,AD28:AD43,2,3),""))</f>
        <v>#NAME?</v>
      </c>
      <c r="AE60" s="157" t="e">
        <f ca="1">IF(AE59="Mann Withney",[1]!MTEST($O28:$O43,AE28:AE43,2), IF(AE59="T-Test Welch",_xlfn.T.TEST($O28:$O43,AE28:AE43,2,3),""))</f>
        <v>#NAME?</v>
      </c>
      <c r="AF60" s="157" t="e">
        <f ca="1">IF(AF59="Mann Withney",[1]!MTEST($O28:$O43,AF28:AF43,2), IF(AF59="T-Test Welch",_xlfn.T.TEST($O28:$O43,AF28:AF43,2,3),""))</f>
        <v>#NAME?</v>
      </c>
      <c r="AG60" s="157" t="e">
        <f ca="1">IF(AG59="Mann Withney",[1]!MTEST($O28:$O43,AG28:AG43,2), IF(AG59="T-Test Welch",_xlfn.T.TEST($O28:$O43,AG28:AG43,2,3),""))</f>
        <v>#NAME?</v>
      </c>
      <c r="AH60" s="157" t="e">
        <f ca="1">IF(AH59="Mann Withney",[1]!MTEST($O28:$O43,AH28:AH43,2), IF(AH59="T-Test Welch",_xlfn.T.TEST($O28:$O43,AH28:AH43,2,3),""))</f>
        <v>#NAME?</v>
      </c>
      <c r="AI60" s="157" t="e">
        <f ca="1">IF(AI59="Mann Withney",[1]!MTEST($O28:$O43,AI28:AI43,2), IF(AI59="T-Test Welch",_xlfn.T.TEST($O28:$O43,AI28:AI43,2,3),""))</f>
        <v>#NAME?</v>
      </c>
      <c r="AJ60" s="157" t="e">
        <f ca="1">IF(AJ59="Mann Withney",[1]!MTEST($O28:$O43,AJ28:AJ43,2), IF(AJ59="T-Test Welch",_xlfn.T.TEST($O28:$O43,AJ28:AJ43,2,3),""))</f>
        <v>#NAME?</v>
      </c>
      <c r="AK60" s="157" t="e">
        <f ca="1">IF(AK59="Mann Withney",[1]!MTEST($O28:$O43,AK28:AK43,2), IF(AK59="T-Test Welch",_xlfn.T.TEST($O28:$O43,AK28:AK43,2,3),""))</f>
        <v>#NAME?</v>
      </c>
    </row>
    <row r="61" spans="1:37" s="3" customFormat="1" ht="15.75" thickBot="1" x14ac:dyDescent="0.3">
      <c r="A61" s="65" t="s">
        <v>84</v>
      </c>
      <c r="B61" s="146"/>
      <c r="C61" s="146" t="e">
        <f t="shared" ref="C61:M61" ca="1" si="63">IF(C60&gt;0.05,"NS",IF(C60&gt;0.01,"*",IF(C60&gt;0.001,"**","***")))</f>
        <v>#NAME?</v>
      </c>
      <c r="D61" s="146" t="e">
        <f t="shared" ca="1" si="63"/>
        <v>#NAME?</v>
      </c>
      <c r="E61" s="146" t="e">
        <f t="shared" ca="1" si="63"/>
        <v>#NAME?</v>
      </c>
      <c r="F61" s="146" t="e">
        <f t="shared" ca="1" si="63"/>
        <v>#NAME?</v>
      </c>
      <c r="G61" s="146" t="e">
        <f t="shared" ca="1" si="63"/>
        <v>#NAME?</v>
      </c>
      <c r="H61" s="146" t="e">
        <f t="shared" ca="1" si="63"/>
        <v>#NAME?</v>
      </c>
      <c r="I61" s="146" t="e">
        <f t="shared" ca="1" si="63"/>
        <v>#NAME?</v>
      </c>
      <c r="J61" s="146" t="e">
        <f t="shared" ca="1" si="63"/>
        <v>#NAME?</v>
      </c>
      <c r="K61" s="146" t="e">
        <f t="shared" ca="1" si="63"/>
        <v>#NAME?</v>
      </c>
      <c r="L61" s="146" t="e">
        <f t="shared" ca="1" si="63"/>
        <v>#NAME?</v>
      </c>
      <c r="M61" s="146" t="e">
        <f t="shared" ca="1" si="63"/>
        <v>#NAME?</v>
      </c>
      <c r="N61" s="146"/>
      <c r="O61" s="146" t="e">
        <f ca="1">IF(O60&gt;0.05,"NS",IF(O60&gt;0.01,"*",IF(O60&gt;0.001,"**","***")))</f>
        <v>#NAME?</v>
      </c>
      <c r="P61" s="146" t="e">
        <f ca="1">IF(P60&gt;0.05,"NS",IF(P60&gt;0.01,"*",IF(P60&gt;0.001,"**","***")))</f>
        <v>#NAME?</v>
      </c>
      <c r="Q61" s="146" t="e">
        <f t="shared" ref="Q61" ca="1" si="64">IF(Q60&gt;0.05,"NS",IF(Q60&gt;0.01,"*",IF(Q60&gt;0.001,"**","***")))</f>
        <v>#NAME?</v>
      </c>
      <c r="R61" s="146" t="e">
        <f t="shared" ref="R61" ca="1" si="65">IF(R60&gt;0.05,"NS",IF(R60&gt;0.01,"*",IF(R60&gt;0.001,"**","***")))</f>
        <v>#NAME?</v>
      </c>
      <c r="S61" s="146" t="e">
        <f t="shared" ref="S61" ca="1" si="66">IF(S60&gt;0.05,"NS",IF(S60&gt;0.01,"*",IF(S60&gt;0.001,"**","***")))</f>
        <v>#NAME?</v>
      </c>
      <c r="T61" s="146" t="e">
        <f t="shared" ref="T61" ca="1" si="67">IF(T60&gt;0.05,"NS",IF(T60&gt;0.01,"*",IF(T60&gt;0.001,"**","***")))</f>
        <v>#NAME?</v>
      </c>
      <c r="U61" s="146" t="e">
        <f t="shared" ref="U61" ca="1" si="68">IF(U60&gt;0.05,"NS",IF(U60&gt;0.01,"*",IF(U60&gt;0.001,"**","***")))</f>
        <v>#NAME?</v>
      </c>
      <c r="V61" s="146" t="e">
        <f t="shared" ref="V61" ca="1" si="69">IF(V60&gt;0.05,"NS",IF(V60&gt;0.01,"*",IF(V60&gt;0.001,"**","***")))</f>
        <v>#NAME?</v>
      </c>
      <c r="W61" s="146" t="e">
        <f t="shared" ref="W61" ca="1" si="70">IF(W60&gt;0.05,"NS",IF(W60&gt;0.01,"*",IF(W60&gt;0.001,"**","***")))</f>
        <v>#NAME?</v>
      </c>
      <c r="X61" s="146" t="e">
        <f t="shared" ref="X61" ca="1" si="71">IF(X60&gt;0.05,"NS",IF(X60&gt;0.01,"*",IF(X60&gt;0.001,"**","***")))</f>
        <v>#NAME?</v>
      </c>
      <c r="Y61" s="146" t="e">
        <f t="shared" ref="Y61" ca="1" si="72">IF(Y60&gt;0.05,"NS",IF(Y60&gt;0.01,"*",IF(Y60&gt;0.001,"**","***")))</f>
        <v>#NAME?</v>
      </c>
      <c r="Z61" s="146" t="e">
        <f t="shared" ref="Z61" ca="1" si="73">IF(Z60&gt;0.05,"NS",IF(Z60&gt;0.01,"*",IF(Z60&gt;0.001,"**","***")))</f>
        <v>#NAME?</v>
      </c>
      <c r="AA61" s="146" t="e">
        <f t="shared" ref="AA61" ca="1" si="74">IF(AA60&gt;0.05,"NS",IF(AA60&gt;0.01,"*",IF(AA60&gt;0.001,"**","***")))</f>
        <v>#NAME?</v>
      </c>
      <c r="AB61" s="146" t="e">
        <f t="shared" ref="AB61" ca="1" si="75">IF(AB60&gt;0.05,"NS",IF(AB60&gt;0.01,"*",IF(AB60&gt;0.001,"**","***")))</f>
        <v>#NAME?</v>
      </c>
      <c r="AC61" s="146" t="e">
        <f t="shared" ref="AC61" ca="1" si="76">IF(AC60&gt;0.05,"NS",IF(AC60&gt;0.01,"*",IF(AC60&gt;0.001,"**","***")))</f>
        <v>#NAME?</v>
      </c>
      <c r="AD61" s="146" t="e">
        <f t="shared" ref="AD61" ca="1" si="77">IF(AD60&gt;0.05,"NS",IF(AD60&gt;0.01,"*",IF(AD60&gt;0.001,"**","***")))</f>
        <v>#NAME?</v>
      </c>
      <c r="AE61" s="146" t="e">
        <f t="shared" ref="AE61" ca="1" si="78">IF(AE60&gt;0.05,"NS",IF(AE60&gt;0.01,"*",IF(AE60&gt;0.001,"**","***")))</f>
        <v>#NAME?</v>
      </c>
      <c r="AF61" s="146" t="e">
        <f t="shared" ref="AF61" ca="1" si="79">IF(AF60&gt;0.05,"NS",IF(AF60&gt;0.01,"*",IF(AF60&gt;0.001,"**","***")))</f>
        <v>#NAME?</v>
      </c>
      <c r="AG61" s="146" t="e">
        <f t="shared" ref="AG61" ca="1" si="80">IF(AG60&gt;0.05,"NS",IF(AG60&gt;0.01,"*",IF(AG60&gt;0.001,"**","***")))</f>
        <v>#NAME?</v>
      </c>
      <c r="AH61" s="146" t="e">
        <f t="shared" ref="AH61" ca="1" si="81">IF(AH60&gt;0.05,"NS",IF(AH60&gt;0.01,"*",IF(AH60&gt;0.001,"**","***")))</f>
        <v>#NAME?</v>
      </c>
      <c r="AI61" s="146" t="e">
        <f t="shared" ref="AI61" ca="1" si="82">IF(AI60&gt;0.05,"NS",IF(AI60&gt;0.01,"*",IF(AI60&gt;0.001,"**","***")))</f>
        <v>#NAME?</v>
      </c>
      <c r="AJ61" s="146" t="e">
        <f t="shared" ref="AJ61" ca="1" si="83">IF(AJ60&gt;0.05,"NS",IF(AJ60&gt;0.01,"*",IF(AJ60&gt;0.001,"**","***")))</f>
        <v>#NAME?</v>
      </c>
      <c r="AK61" s="146" t="e">
        <f t="shared" ref="AK61" ca="1" si="84">IF(AK60&gt;0.05,"NS",IF(AK60&gt;0.01,"*",IF(AK60&gt;0.001,"**","***")))</f>
        <v>#NAME?</v>
      </c>
    </row>
    <row r="63" spans="1:37" x14ac:dyDescent="0.25">
      <c r="A63" s="2" t="s">
        <v>39</v>
      </c>
    </row>
    <row r="64" spans="1:37" x14ac:dyDescent="0.25">
      <c r="A64" s="1" t="s">
        <v>23</v>
      </c>
      <c r="B64" s="1">
        <f>B46+(3*B47)</f>
        <v>0.74453429436239282</v>
      </c>
    </row>
    <row r="65" spans="1:37" x14ac:dyDescent="0.25">
      <c r="A65" s="1" t="s">
        <v>24</v>
      </c>
      <c r="B65" s="1">
        <f>B46+(10*B47)</f>
        <v>1.8118534538923612</v>
      </c>
    </row>
    <row r="66" spans="1:37" ht="15.75" thickBot="1" x14ac:dyDescent="0.3"/>
    <row r="67" spans="1:37" s="1" customFormat="1" ht="27" thickBot="1" x14ac:dyDescent="0.45">
      <c r="A67" s="224" t="s">
        <v>52</v>
      </c>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c r="AD67" s="225"/>
      <c r="AE67" s="225"/>
      <c r="AF67" s="225"/>
      <c r="AG67" s="225"/>
      <c r="AH67" s="225"/>
      <c r="AI67" s="225"/>
      <c r="AJ67" s="225"/>
      <c r="AK67" s="226"/>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1" name="Plage1"/>
    <protectedRange sqref="B51:J51" name="Plage2_1"/>
    <protectedRange sqref="O5:O21 J5:J12 B13:J21" name="Plage1_1"/>
    <protectedRange sqref="B5:I12" name="Plage1_1_1"/>
  </protectedRanges>
  <mergeCells count="9">
    <mergeCell ref="A1:AK1"/>
    <mergeCell ref="A67:AK67"/>
    <mergeCell ref="A50:AK50"/>
    <mergeCell ref="A5:A20"/>
    <mergeCell ref="A28:A43"/>
    <mergeCell ref="B3:M3"/>
    <mergeCell ref="B26:M26"/>
    <mergeCell ref="O26:AK26"/>
    <mergeCell ref="O3:AK3"/>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K1" zoomScale="80" zoomScaleNormal="80" workbookViewId="0">
      <selection activeCell="Z5" sqref="Z5:AD12"/>
    </sheetView>
  </sheetViews>
  <sheetFormatPr defaultColWidth="11.42578125" defaultRowHeight="15" x14ac:dyDescent="0.25"/>
  <cols>
    <col min="1" max="2" width="15" style="1" customWidth="1"/>
    <col min="3" max="3" width="121.42578125" style="1" bestFit="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1627</v>
      </c>
      <c r="K1" s="122"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1</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1662</v>
      </c>
      <c r="D2" s="1" t="s">
        <v>227</v>
      </c>
      <c r="E2" s="1" t="s">
        <v>1663</v>
      </c>
      <c r="F2" s="1" t="s">
        <v>112</v>
      </c>
      <c r="G2" s="1">
        <v>1319</v>
      </c>
      <c r="K2" s="161" t="s">
        <v>120</v>
      </c>
      <c r="L2" s="161"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1</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1664</v>
      </c>
      <c r="D3" s="1" t="s">
        <v>1514</v>
      </c>
      <c r="E3" s="1" t="s">
        <v>1665</v>
      </c>
      <c r="F3" s="1" t="s">
        <v>112</v>
      </c>
      <c r="G3" s="1">
        <v>45185</v>
      </c>
      <c r="K3" s="122" t="s">
        <v>154</v>
      </c>
      <c r="L3" s="122"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1</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1666</v>
      </c>
      <c r="D4" s="1">
        <v>0</v>
      </c>
      <c r="E4" s="1">
        <v>0</v>
      </c>
      <c r="F4" s="1" t="s">
        <v>112</v>
      </c>
      <c r="G4" s="1">
        <v>0</v>
      </c>
      <c r="K4" s="122" t="s">
        <v>100</v>
      </c>
      <c r="L4" s="1" t="s">
        <v>1628</v>
      </c>
      <c r="M4" s="1" t="s">
        <v>1629</v>
      </c>
      <c r="N4" s="1" t="s">
        <v>1630</v>
      </c>
      <c r="O4" s="1" t="s">
        <v>1631</v>
      </c>
      <c r="P4" s="1" t="s">
        <v>1632</v>
      </c>
      <c r="Q4" s="1" t="s">
        <v>1633</v>
      </c>
      <c r="R4" s="1" t="s">
        <v>1634</v>
      </c>
      <c r="S4" s="1" t="s">
        <v>1635</v>
      </c>
      <c r="T4" s="1" t="s">
        <v>1636</v>
      </c>
      <c r="U4" s="1" t="s">
        <v>1637</v>
      </c>
      <c r="V4" s="1" t="s">
        <v>1638</v>
      </c>
      <c r="W4" s="1" t="s">
        <v>1639</v>
      </c>
      <c r="X4" s="1" t="s">
        <v>1640</v>
      </c>
      <c r="Y4" s="1" t="s">
        <v>1641</v>
      </c>
      <c r="Z4" s="1" t="s">
        <v>1642</v>
      </c>
      <c r="AA4" s="1" t="s">
        <v>1643</v>
      </c>
      <c r="AB4" s="1" t="s">
        <v>1644</v>
      </c>
      <c r="AC4" s="1" t="s">
        <v>1645</v>
      </c>
      <c r="AD4" s="1" t="s">
        <v>1646</v>
      </c>
      <c r="AE4" s="1" t="s">
        <v>1647</v>
      </c>
      <c r="AF4" s="1" t="s">
        <v>1648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1</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1667</v>
      </c>
      <c r="D5" s="1" t="s">
        <v>1668</v>
      </c>
      <c r="E5" s="1" t="s">
        <v>1669</v>
      </c>
      <c r="F5" s="1" t="s">
        <v>112</v>
      </c>
      <c r="G5" s="1">
        <v>22257</v>
      </c>
      <c r="K5" s="149" t="s">
        <v>164</v>
      </c>
      <c r="L5" s="44">
        <v>198432.71428571429</v>
      </c>
      <c r="M5" s="44">
        <v>1021746.8571428572</v>
      </c>
      <c r="N5" s="44"/>
      <c r="O5" s="44">
        <v>4244700</v>
      </c>
      <c r="P5" s="44">
        <v>339904.57142857142</v>
      </c>
      <c r="Q5" s="44">
        <v>460940</v>
      </c>
      <c r="R5" s="44">
        <v>215674.85714285713</v>
      </c>
      <c r="S5" s="44">
        <v>206497</v>
      </c>
      <c r="T5" s="44">
        <v>1353633.4</v>
      </c>
      <c r="U5" s="44">
        <v>2852090</v>
      </c>
      <c r="V5" s="44">
        <v>4818453.75</v>
      </c>
      <c r="W5" s="44">
        <v>267788.83333333331</v>
      </c>
      <c r="X5" s="44">
        <v>667570.66666666663</v>
      </c>
      <c r="Y5" s="44">
        <v>185725.25</v>
      </c>
      <c r="Z5" s="44">
        <v>2028790.3333333333</v>
      </c>
      <c r="AA5" s="44">
        <v>1120569.3333333333</v>
      </c>
      <c r="AB5" s="44">
        <v>373706</v>
      </c>
      <c r="AC5" s="44">
        <v>1351417.2857142857</v>
      </c>
      <c r="AD5" s="44">
        <v>1234885</v>
      </c>
      <c r="AE5" s="44">
        <v>241779.14285714287</v>
      </c>
      <c r="AF5" s="44">
        <v>154690.71428571429</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1</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1670</v>
      </c>
      <c r="D6" s="1">
        <v>0</v>
      </c>
      <c r="E6" s="1">
        <v>0</v>
      </c>
      <c r="F6" s="1" t="s">
        <v>112</v>
      </c>
      <c r="G6" s="1">
        <v>0</v>
      </c>
      <c r="K6" s="149" t="s">
        <v>1649</v>
      </c>
      <c r="L6" s="44">
        <v>218690.71428571429</v>
      </c>
      <c r="M6" s="44">
        <v>2646427</v>
      </c>
      <c r="N6" s="44">
        <v>2816868.3333333335</v>
      </c>
      <c r="O6" s="44">
        <v>2360152.2857142859</v>
      </c>
      <c r="P6" s="44">
        <v>149410</v>
      </c>
      <c r="Q6" s="44">
        <v>272162.71428571426</v>
      </c>
      <c r="R6" s="44">
        <v>133253.20000000001</v>
      </c>
      <c r="S6" s="44">
        <v>196164.57142857142</v>
      </c>
      <c r="T6" s="44">
        <v>1284333.7142857143</v>
      </c>
      <c r="U6" s="44">
        <v>2874422</v>
      </c>
      <c r="V6" s="44">
        <v>3622623.5</v>
      </c>
      <c r="W6" s="44">
        <v>262648.57142857142</v>
      </c>
      <c r="X6" s="44">
        <v>316986</v>
      </c>
      <c r="Y6" s="44">
        <v>132656</v>
      </c>
      <c r="Z6" s="44">
        <v>1622368.3333333333</v>
      </c>
      <c r="AA6" s="44">
        <v>615288.19999999995</v>
      </c>
      <c r="AB6" s="44">
        <v>1465171.857142857</v>
      </c>
      <c r="AC6" s="44">
        <v>1178304.75</v>
      </c>
      <c r="AD6" s="44">
        <v>2240093.5714285714</v>
      </c>
      <c r="AE6" s="44">
        <v>341532.85714285716</v>
      </c>
      <c r="AF6" s="44">
        <v>201129.16666666666</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1</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1671</v>
      </c>
      <c r="D7" s="1" t="s">
        <v>1672</v>
      </c>
      <c r="E7" s="1" t="s">
        <v>1673</v>
      </c>
      <c r="F7" s="1" t="s">
        <v>112</v>
      </c>
      <c r="G7" s="1">
        <v>421221</v>
      </c>
      <c r="K7" s="149" t="s">
        <v>1650</v>
      </c>
      <c r="L7" s="44">
        <v>223872.42857142858</v>
      </c>
      <c r="M7" s="44">
        <v>1362600</v>
      </c>
      <c r="N7" s="44">
        <v>1682056</v>
      </c>
      <c r="O7" s="44">
        <v>3462954.6</v>
      </c>
      <c r="P7" s="44">
        <v>251150.85714285713</v>
      </c>
      <c r="Q7" s="44">
        <v>184301</v>
      </c>
      <c r="R7" s="44">
        <v>488532.8</v>
      </c>
      <c r="S7" s="44">
        <v>745366</v>
      </c>
      <c r="T7" s="44">
        <v>591002.71428571432</v>
      </c>
      <c r="U7" s="44">
        <v>3231827.5714285714</v>
      </c>
      <c r="V7" s="44">
        <v>4082741.5714285714</v>
      </c>
      <c r="W7" s="44">
        <v>279656</v>
      </c>
      <c r="X7" s="44">
        <v>307125.85714285716</v>
      </c>
      <c r="Y7" s="44">
        <v>297480.2</v>
      </c>
      <c r="Z7" s="44">
        <v>2297428</v>
      </c>
      <c r="AA7" s="44">
        <v>1663829</v>
      </c>
      <c r="AB7" s="44">
        <v>2069425.6666666667</v>
      </c>
      <c r="AC7" s="44">
        <v>2101813</v>
      </c>
      <c r="AD7" s="44">
        <v>1142018.8333333333</v>
      </c>
      <c r="AE7" s="44">
        <v>224514.66666666666</v>
      </c>
      <c r="AF7" s="44">
        <v>253885.57142857142</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1</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1674</v>
      </c>
      <c r="D8" s="1" t="s">
        <v>1506</v>
      </c>
      <c r="E8" s="1" t="s">
        <v>1675</v>
      </c>
      <c r="F8" s="1" t="s">
        <v>112</v>
      </c>
      <c r="G8" s="1">
        <v>6640</v>
      </c>
      <c r="K8" s="149" t="s">
        <v>1651</v>
      </c>
      <c r="L8" s="44">
        <v>292310</v>
      </c>
      <c r="M8" s="44">
        <v>2310196.2857142859</v>
      </c>
      <c r="N8" s="44">
        <v>3321443.3333333335</v>
      </c>
      <c r="O8" s="44">
        <v>2860235.2857142859</v>
      </c>
      <c r="P8" s="44">
        <v>255436.71428571429</v>
      </c>
      <c r="Q8" s="44">
        <v>287430.57142857142</v>
      </c>
      <c r="R8" s="44">
        <v>69544.399999999994</v>
      </c>
      <c r="S8" s="44">
        <v>139500.57142857142</v>
      </c>
      <c r="T8" s="44">
        <v>1192832.3999999999</v>
      </c>
      <c r="U8" s="44">
        <v>3604751.75</v>
      </c>
      <c r="V8" s="44">
        <v>4679507.2857142854</v>
      </c>
      <c r="W8" s="44">
        <v>351884.28571428574</v>
      </c>
      <c r="X8" s="44">
        <v>583790.66666666663</v>
      </c>
      <c r="Y8" s="44">
        <v>176860.33333333334</v>
      </c>
      <c r="Z8" s="44">
        <v>2077718.142857143</v>
      </c>
      <c r="AA8" s="44">
        <v>292440.59999999998</v>
      </c>
      <c r="AB8" s="44">
        <v>190004.33333333334</v>
      </c>
      <c r="AC8" s="44">
        <v>1741221</v>
      </c>
      <c r="AD8" s="44">
        <v>1118647.6666666667</v>
      </c>
      <c r="AE8" s="44">
        <v>427709.57142857142</v>
      </c>
      <c r="AF8" s="44">
        <v>203892.57142857142</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1</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1676</v>
      </c>
      <c r="D9" s="1" t="s">
        <v>1677</v>
      </c>
      <c r="E9" s="1" t="s">
        <v>1678</v>
      </c>
      <c r="F9" s="1" t="s">
        <v>112</v>
      </c>
      <c r="G9" s="1">
        <v>15660</v>
      </c>
      <c r="K9" s="149" t="s">
        <v>1652</v>
      </c>
      <c r="L9" s="44">
        <v>229316.85714285713</v>
      </c>
      <c r="M9" s="44">
        <v>1562036.857142857</v>
      </c>
      <c r="N9" s="44">
        <v>774328.57142857148</v>
      </c>
      <c r="O9" s="44">
        <v>4807045.833333333</v>
      </c>
      <c r="P9" s="44">
        <v>216606</v>
      </c>
      <c r="Q9" s="44">
        <v>268120.66666666669</v>
      </c>
      <c r="R9" s="44">
        <v>334197.42857142858</v>
      </c>
      <c r="S9" s="44">
        <v>92288.571428571435</v>
      </c>
      <c r="T9" s="44">
        <v>1843834.142857143</v>
      </c>
      <c r="U9" s="44">
        <v>3628838.1428571427</v>
      </c>
      <c r="V9" s="44">
        <v>3877664.8</v>
      </c>
      <c r="W9" s="44">
        <v>347119.57142857142</v>
      </c>
      <c r="X9" s="44">
        <v>338980.71428571426</v>
      </c>
      <c r="Y9" s="44">
        <v>355848</v>
      </c>
      <c r="Z9" s="44">
        <v>1610086.142857143</v>
      </c>
      <c r="AA9" s="44">
        <v>1654523.2857142857</v>
      </c>
      <c r="AB9" s="44">
        <v>1438069.7142857143</v>
      </c>
      <c r="AC9" s="44">
        <v>1979280.857142857</v>
      </c>
      <c r="AD9" s="44">
        <v>2064653.7142857143</v>
      </c>
      <c r="AE9" s="44">
        <v>109108.5</v>
      </c>
      <c r="AF9" s="44">
        <v>303384.5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1</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1679</v>
      </c>
      <c r="D10" s="1" t="s">
        <v>291</v>
      </c>
      <c r="E10" s="1" t="s">
        <v>1680</v>
      </c>
      <c r="F10" s="1" t="s">
        <v>112</v>
      </c>
      <c r="G10" s="1">
        <v>254584</v>
      </c>
      <c r="K10" s="149" t="s">
        <v>1653</v>
      </c>
      <c r="L10" s="44">
        <v>254274.85714285713</v>
      </c>
      <c r="M10" s="44">
        <v>2763871.1428571427</v>
      </c>
      <c r="N10" s="44">
        <v>1986331.857142857</v>
      </c>
      <c r="O10" s="44">
        <v>4218336.1428571427</v>
      </c>
      <c r="P10" s="44">
        <v>343068.71428571426</v>
      </c>
      <c r="Q10" s="44">
        <v>80182</v>
      </c>
      <c r="R10" s="44">
        <v>264743.71428571426</v>
      </c>
      <c r="S10" s="44">
        <v>713786.42857142852</v>
      </c>
      <c r="T10" s="44">
        <v>1597266.8333333333</v>
      </c>
      <c r="U10" s="44">
        <v>2542016.2857142859</v>
      </c>
      <c r="V10" s="44">
        <v>3535740.1428571427</v>
      </c>
      <c r="W10" s="44">
        <v>146589.33333333334</v>
      </c>
      <c r="X10" s="44">
        <v>366008.2</v>
      </c>
      <c r="Y10" s="44">
        <v>575372.4</v>
      </c>
      <c r="Z10" s="44">
        <v>501402.57142857142</v>
      </c>
      <c r="AA10" s="44">
        <v>3351660.1666666665</v>
      </c>
      <c r="AB10" s="44">
        <v>1153120.5714285714</v>
      </c>
      <c r="AC10" s="44">
        <v>2222502</v>
      </c>
      <c r="AD10" s="44">
        <v>1325285.142857143</v>
      </c>
      <c r="AE10" s="44">
        <v>156020</v>
      </c>
      <c r="AF10" s="44">
        <v>224753.14285714287</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1</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1681</v>
      </c>
      <c r="D11" s="1" t="s">
        <v>1682</v>
      </c>
      <c r="E11" s="1" t="s">
        <v>1683</v>
      </c>
      <c r="F11" s="1" t="s">
        <v>112</v>
      </c>
      <c r="G11" s="1">
        <v>162549</v>
      </c>
      <c r="K11" s="149" t="s">
        <v>1654</v>
      </c>
      <c r="L11" s="44">
        <v>387243.14285714284</v>
      </c>
      <c r="M11" s="44">
        <v>1911409.142857143</v>
      </c>
      <c r="N11" s="44">
        <v>1859704.4285714286</v>
      </c>
      <c r="O11" s="44">
        <v>3251671.5714285714</v>
      </c>
      <c r="P11" s="44">
        <v>222315.66666666666</v>
      </c>
      <c r="Q11" s="44">
        <v>221681.16666666666</v>
      </c>
      <c r="R11" s="44">
        <v>242492.85714285713</v>
      </c>
      <c r="S11" s="44">
        <v>297611</v>
      </c>
      <c r="T11" s="44">
        <v>780768.14285714284</v>
      </c>
      <c r="U11" s="44">
        <v>2584636.2857142859</v>
      </c>
      <c r="V11" s="44">
        <v>3595852.5714285714</v>
      </c>
      <c r="W11" s="44">
        <v>266100.28571428574</v>
      </c>
      <c r="X11" s="44">
        <v>246487</v>
      </c>
      <c r="Y11" s="44">
        <v>399627.71428571426</v>
      </c>
      <c r="Z11" s="44">
        <v>2116321.5714285714</v>
      </c>
      <c r="AA11" s="44">
        <v>2189062.8571428573</v>
      </c>
      <c r="AB11" s="44">
        <v>735135.33333333337</v>
      </c>
      <c r="AC11" s="44">
        <v>1755287.5</v>
      </c>
      <c r="AD11" s="44">
        <v>2093008.2</v>
      </c>
      <c r="AE11" s="44">
        <v>463293.85714285716</v>
      </c>
      <c r="AF11" s="44">
        <v>527441.85714285716</v>
      </c>
      <c r="AG11"/>
    </row>
    <row r="12" spans="1:144" x14ac:dyDescent="0.25">
      <c r="A12" s="1" t="str">
        <f t="shared" si="0"/>
        <v>1</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1684</v>
      </c>
      <c r="D12" s="1" t="s">
        <v>1592</v>
      </c>
      <c r="E12" s="1" t="s">
        <v>1685</v>
      </c>
      <c r="F12" s="1" t="s">
        <v>112</v>
      </c>
      <c r="G12" s="1">
        <v>143623</v>
      </c>
      <c r="K12" s="149" t="s">
        <v>1655</v>
      </c>
      <c r="L12" s="44">
        <v>200222.5</v>
      </c>
      <c r="M12" s="44">
        <v>1472155.4285714286</v>
      </c>
      <c r="N12" s="44">
        <v>1899621</v>
      </c>
      <c r="O12" s="44">
        <v>3096100</v>
      </c>
      <c r="P12" s="44">
        <v>175458.57142857142</v>
      </c>
      <c r="Q12" s="44">
        <v>147374</v>
      </c>
      <c r="R12" s="44">
        <v>118675.83333333333</v>
      </c>
      <c r="S12" s="44">
        <v>354207.66666666669</v>
      </c>
      <c r="T12" s="44">
        <v>816905.71428571432</v>
      </c>
      <c r="U12" s="44">
        <v>1827673.4285714286</v>
      </c>
      <c r="V12" s="44">
        <v>4852982.1428571427</v>
      </c>
      <c r="W12" s="44">
        <v>276819.33333333331</v>
      </c>
      <c r="X12" s="44">
        <v>492352.6</v>
      </c>
      <c r="Y12" s="44">
        <v>283027.28571428574</v>
      </c>
      <c r="Z12" s="44">
        <v>173489.66666666666</v>
      </c>
      <c r="AA12" s="44">
        <v>1457947.7142857143</v>
      </c>
      <c r="AB12" s="44">
        <v>898354.5</v>
      </c>
      <c r="AC12" s="44">
        <v>393098.71428571426</v>
      </c>
      <c r="AD12" s="44">
        <v>574313.33333333337</v>
      </c>
      <c r="AE12" s="44">
        <v>454238.5</v>
      </c>
      <c r="AF12" s="44">
        <v>277567.8</v>
      </c>
      <c r="AG12"/>
    </row>
    <row r="13" spans="1:144" x14ac:dyDescent="0.25">
      <c r="A13" s="1" t="str">
        <f t="shared" si="0"/>
        <v>1</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1686</v>
      </c>
      <c r="D13" s="1" t="s">
        <v>147</v>
      </c>
      <c r="E13" s="1" t="s">
        <v>1687</v>
      </c>
      <c r="F13" s="1" t="s">
        <v>112</v>
      </c>
      <c r="G13" s="1">
        <v>182080</v>
      </c>
      <c r="K13"/>
      <c r="L13"/>
      <c r="M13"/>
      <c r="N13"/>
      <c r="O13"/>
      <c r="P13"/>
      <c r="Q13"/>
      <c r="R13"/>
      <c r="S13"/>
      <c r="T13"/>
      <c r="U13"/>
      <c r="V13"/>
      <c r="W13"/>
      <c r="X13"/>
      <c r="Y13"/>
      <c r="Z13"/>
      <c r="AA13"/>
      <c r="AB13"/>
      <c r="AC13"/>
      <c r="AD13"/>
      <c r="AE13"/>
      <c r="AF13"/>
      <c r="AG13"/>
    </row>
    <row r="14" spans="1:144" x14ac:dyDescent="0.25">
      <c r="A14" s="1" t="str">
        <f t="shared" si="0"/>
        <v>1</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1688</v>
      </c>
      <c r="D14" s="1" t="s">
        <v>224</v>
      </c>
      <c r="E14" s="1" t="s">
        <v>1689</v>
      </c>
      <c r="F14" s="1" t="s">
        <v>112</v>
      </c>
      <c r="G14" s="1">
        <v>143644</v>
      </c>
      <c r="K14"/>
      <c r="L14"/>
      <c r="M14"/>
      <c r="N14"/>
      <c r="O14"/>
      <c r="P14"/>
      <c r="Q14"/>
      <c r="R14"/>
      <c r="S14"/>
      <c r="T14"/>
      <c r="U14"/>
      <c r="V14"/>
      <c r="W14"/>
      <c r="X14"/>
      <c r="Y14"/>
      <c r="Z14"/>
      <c r="AA14"/>
      <c r="AB14"/>
      <c r="AC14"/>
      <c r="AD14"/>
      <c r="AE14"/>
      <c r="AF14"/>
      <c r="AG14"/>
    </row>
    <row r="15" spans="1:144" x14ac:dyDescent="0.25">
      <c r="A15" s="1" t="str">
        <f t="shared" si="0"/>
        <v>1</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1690</v>
      </c>
      <c r="D15" s="1" t="s">
        <v>610</v>
      </c>
      <c r="E15" s="1" t="s">
        <v>1691</v>
      </c>
      <c r="F15" s="1" t="s">
        <v>112</v>
      </c>
      <c r="G15" s="1">
        <v>135511</v>
      </c>
    </row>
    <row r="16" spans="1:144" x14ac:dyDescent="0.25">
      <c r="A16" s="1" t="str">
        <f t="shared" si="0"/>
        <v>1</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1692</v>
      </c>
      <c r="D16" s="1" t="s">
        <v>1119</v>
      </c>
      <c r="E16" s="1" t="s">
        <v>1693</v>
      </c>
      <c r="F16" s="1" t="s">
        <v>112</v>
      </c>
      <c r="G16" s="1">
        <v>79814</v>
      </c>
    </row>
    <row r="17" spans="1:10" x14ac:dyDescent="0.25">
      <c r="A17" s="1" t="str">
        <f t="shared" si="0"/>
        <v>1</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1694</v>
      </c>
      <c r="D17" s="1" t="s">
        <v>549</v>
      </c>
      <c r="E17" s="1">
        <v>30</v>
      </c>
      <c r="F17" s="1" t="s">
        <v>112</v>
      </c>
      <c r="G17" s="1">
        <v>649</v>
      </c>
    </row>
    <row r="18" spans="1:10" x14ac:dyDescent="0.25">
      <c r="A18" s="1" t="str">
        <f t="shared" si="0"/>
        <v>1</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1695</v>
      </c>
      <c r="D18" s="1">
        <v>0</v>
      </c>
      <c r="E18" s="1">
        <v>0</v>
      </c>
      <c r="F18" s="1" t="s">
        <v>112</v>
      </c>
      <c r="G18" s="1">
        <v>0</v>
      </c>
    </row>
    <row r="19" spans="1:10" x14ac:dyDescent="0.25">
      <c r="A19" s="1" t="str">
        <f t="shared" si="0"/>
        <v>1</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1696</v>
      </c>
      <c r="D19" s="1" t="s">
        <v>717</v>
      </c>
      <c r="E19" s="1" t="s">
        <v>1697</v>
      </c>
      <c r="F19" s="1" t="s">
        <v>112</v>
      </c>
      <c r="G19" s="1">
        <v>1990</v>
      </c>
    </row>
    <row r="20" spans="1:10" x14ac:dyDescent="0.25">
      <c r="A20" s="1" t="str">
        <f t="shared" si="0"/>
        <v>1</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1698</v>
      </c>
      <c r="D20" s="1" t="s">
        <v>224</v>
      </c>
      <c r="E20" s="1" t="s">
        <v>1699</v>
      </c>
      <c r="F20" s="1" t="s">
        <v>112</v>
      </c>
      <c r="G20" s="1">
        <v>144682</v>
      </c>
    </row>
    <row r="21" spans="1:10" x14ac:dyDescent="0.25">
      <c r="A21" s="1" t="str">
        <f t="shared" si="0"/>
        <v>1</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1700</v>
      </c>
      <c r="D21" s="1" t="s">
        <v>1701</v>
      </c>
      <c r="E21" s="1" t="s">
        <v>1702</v>
      </c>
      <c r="F21" s="1" t="s">
        <v>112</v>
      </c>
      <c r="G21" s="1">
        <v>304203</v>
      </c>
    </row>
    <row r="22" spans="1:10" x14ac:dyDescent="0.25">
      <c r="A22" s="1" t="str">
        <f t="shared" si="0"/>
        <v>1</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1703</v>
      </c>
      <c r="D22" s="1" t="s">
        <v>1704</v>
      </c>
      <c r="E22" s="1" t="s">
        <v>1705</v>
      </c>
      <c r="F22" s="1" t="s">
        <v>112</v>
      </c>
      <c r="G22" s="1">
        <v>241455</v>
      </c>
    </row>
    <row r="23" spans="1:10" x14ac:dyDescent="0.25">
      <c r="A23" s="1" t="str">
        <f t="shared" si="0"/>
        <v>1</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1706</v>
      </c>
    </row>
    <row r="24" spans="1:10" x14ac:dyDescent="0.25">
      <c r="A24" s="1" t="str">
        <f t="shared" si="0"/>
        <v>1</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1707</v>
      </c>
    </row>
    <row r="25" spans="1:10" x14ac:dyDescent="0.25">
      <c r="A25" s="1" t="str">
        <f t="shared" si="0"/>
        <v>1</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1708</v>
      </c>
    </row>
    <row r="26" spans="1:10" x14ac:dyDescent="0.2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112</v>
      </c>
    </row>
    <row r="27" spans="1:10" x14ac:dyDescent="0.2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237</v>
      </c>
      <c r="D27" s="1" t="s">
        <v>112</v>
      </c>
      <c r="E27" s="1" t="s">
        <v>238</v>
      </c>
      <c r="F27" s="1" t="s">
        <v>239</v>
      </c>
      <c r="G27" s="1" t="s">
        <v>240</v>
      </c>
      <c r="H27" s="1" t="s">
        <v>241</v>
      </c>
      <c r="I27" s="1" t="s">
        <v>242</v>
      </c>
      <c r="J27" s="1" t="s">
        <v>243</v>
      </c>
    </row>
    <row r="28" spans="1:10" x14ac:dyDescent="0.25">
      <c r="A28" s="1" t="str">
        <f t="shared" si="0"/>
        <v>1</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1709</v>
      </c>
      <c r="D28" s="1" t="s">
        <v>112</v>
      </c>
      <c r="E28" s="1" t="s">
        <v>1710</v>
      </c>
      <c r="F28" s="1" t="s">
        <v>1711</v>
      </c>
      <c r="G28" s="1" t="s">
        <v>1712</v>
      </c>
      <c r="H28" s="1" t="s">
        <v>1713</v>
      </c>
      <c r="I28" s="1">
        <v>18</v>
      </c>
      <c r="J28" s="1">
        <v>24</v>
      </c>
    </row>
    <row r="29" spans="1:10" x14ac:dyDescent="0.2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112</v>
      </c>
    </row>
    <row r="30" spans="1:10" x14ac:dyDescent="0.2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10" x14ac:dyDescent="0.2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10" x14ac:dyDescent="0.2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2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2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249</v>
      </c>
      <c r="D34" s="1" t="s">
        <v>110</v>
      </c>
      <c r="E34" s="1" t="s">
        <v>111</v>
      </c>
      <c r="F34" s="1" t="s">
        <v>112</v>
      </c>
      <c r="G34" s="1" t="s">
        <v>113</v>
      </c>
    </row>
    <row r="35" spans="1:7" x14ac:dyDescent="0.25">
      <c r="A35" s="1" t="str">
        <f t="shared" si="0"/>
        <v>13</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1714</v>
      </c>
      <c r="D35" s="1" t="s">
        <v>1715</v>
      </c>
      <c r="E35" s="1" t="s">
        <v>1716</v>
      </c>
      <c r="F35" s="1" t="s">
        <v>112</v>
      </c>
      <c r="G35" s="1">
        <v>1006590</v>
      </c>
    </row>
    <row r="36" spans="1:7" x14ac:dyDescent="0.25">
      <c r="A36" s="1" t="str">
        <f t="shared" si="0"/>
        <v>13</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1717</v>
      </c>
      <c r="D36" s="1" t="s">
        <v>1718</v>
      </c>
      <c r="E36" s="1" t="s">
        <v>1719</v>
      </c>
      <c r="F36" s="1" t="s">
        <v>112</v>
      </c>
      <c r="G36" s="1">
        <v>1131027</v>
      </c>
    </row>
    <row r="37" spans="1:7" x14ac:dyDescent="0.25">
      <c r="A37" s="1" t="str">
        <f t="shared" si="0"/>
        <v>13</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1720</v>
      </c>
      <c r="D37" s="1" t="s">
        <v>1721</v>
      </c>
      <c r="E37" s="1" t="s">
        <v>1722</v>
      </c>
      <c r="F37" s="1" t="s">
        <v>112</v>
      </c>
      <c r="G37" s="1">
        <v>1131027</v>
      </c>
    </row>
    <row r="38" spans="1:7" x14ac:dyDescent="0.25">
      <c r="A38" s="1" t="str">
        <f t="shared" si="0"/>
        <v>13</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1723</v>
      </c>
      <c r="D38" s="1" t="s">
        <v>1353</v>
      </c>
      <c r="E38" s="1" t="s">
        <v>1724</v>
      </c>
      <c r="F38" s="1" t="s">
        <v>112</v>
      </c>
      <c r="G38" s="1">
        <v>2509133</v>
      </c>
    </row>
    <row r="39" spans="1:7" x14ac:dyDescent="0.25">
      <c r="A39" s="1" t="str">
        <f t="shared" si="0"/>
        <v>13</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1725</v>
      </c>
      <c r="D39" s="1" t="s">
        <v>1726</v>
      </c>
      <c r="E39" s="1" t="s">
        <v>1727</v>
      </c>
      <c r="F39" s="1" t="s">
        <v>112</v>
      </c>
      <c r="G39" s="1">
        <v>2985769</v>
      </c>
    </row>
    <row r="40" spans="1:7" x14ac:dyDescent="0.25">
      <c r="A40" s="1" t="str">
        <f t="shared" si="0"/>
        <v>13</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1728</v>
      </c>
      <c r="D40" s="1" t="s">
        <v>1729</v>
      </c>
      <c r="E40" s="1" t="s">
        <v>1730</v>
      </c>
      <c r="F40" s="1" t="s">
        <v>112</v>
      </c>
      <c r="G40" s="1">
        <v>2573979</v>
      </c>
    </row>
    <row r="41" spans="1:7" x14ac:dyDescent="0.25">
      <c r="A41" s="1" t="str">
        <f t="shared" si="0"/>
        <v>13</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1731</v>
      </c>
      <c r="D41" s="1" t="s">
        <v>1732</v>
      </c>
      <c r="E41" s="1" t="s">
        <v>1733</v>
      </c>
      <c r="F41" s="1" t="s">
        <v>112</v>
      </c>
      <c r="G41" s="1">
        <v>558246</v>
      </c>
    </row>
    <row r="42" spans="1:7" x14ac:dyDescent="0.25">
      <c r="A42" s="1" t="str">
        <f t="shared" si="0"/>
        <v>13</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1734</v>
      </c>
      <c r="D42" s="1" t="s">
        <v>1735</v>
      </c>
      <c r="E42" s="1" t="s">
        <v>1736</v>
      </c>
      <c r="F42" s="1" t="s">
        <v>112</v>
      </c>
      <c r="G42" s="1">
        <v>224151</v>
      </c>
    </row>
    <row r="43" spans="1:7" x14ac:dyDescent="0.25">
      <c r="A43" s="1" t="str">
        <f t="shared" si="0"/>
        <v>13</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1737</v>
      </c>
      <c r="D43" s="1" t="s">
        <v>1738</v>
      </c>
      <c r="E43" s="1" t="s">
        <v>1739</v>
      </c>
      <c r="F43" s="1" t="s">
        <v>112</v>
      </c>
      <c r="G43" s="1">
        <v>427472</v>
      </c>
    </row>
    <row r="44" spans="1:7" x14ac:dyDescent="0.25">
      <c r="A44" s="1" t="str">
        <f t="shared" si="0"/>
        <v>13</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1740</v>
      </c>
      <c r="D44" s="1" t="s">
        <v>1741</v>
      </c>
      <c r="E44" s="1" t="s">
        <v>1742</v>
      </c>
      <c r="F44" s="1" t="s">
        <v>112</v>
      </c>
      <c r="G44" s="1">
        <v>1064667</v>
      </c>
    </row>
    <row r="45" spans="1:7" x14ac:dyDescent="0.25">
      <c r="A45" s="1" t="str">
        <f t="shared" si="0"/>
        <v>13</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1743</v>
      </c>
      <c r="D45" s="1" t="s">
        <v>1744</v>
      </c>
      <c r="E45" s="1" t="s">
        <v>1745</v>
      </c>
      <c r="F45" s="1" t="s">
        <v>112</v>
      </c>
      <c r="G45" s="1">
        <v>1389483</v>
      </c>
    </row>
    <row r="46" spans="1:7" x14ac:dyDescent="0.25">
      <c r="A46" s="1" t="str">
        <f t="shared" si="0"/>
        <v>13</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1746</v>
      </c>
      <c r="D46" s="1" t="s">
        <v>1747</v>
      </c>
      <c r="E46" s="1" t="s">
        <v>1748</v>
      </c>
      <c r="F46" s="1" t="s">
        <v>112</v>
      </c>
      <c r="G46" s="1">
        <v>1036591</v>
      </c>
    </row>
    <row r="47" spans="1:7" x14ac:dyDescent="0.25">
      <c r="A47" s="1" t="str">
        <f t="shared" si="0"/>
        <v>13</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1749</v>
      </c>
      <c r="D47" s="1" t="s">
        <v>1750</v>
      </c>
      <c r="E47" s="1" t="s">
        <v>1751</v>
      </c>
      <c r="F47" s="1" t="s">
        <v>112</v>
      </c>
      <c r="G47" s="1">
        <v>1830257</v>
      </c>
    </row>
    <row r="48" spans="1:7" x14ac:dyDescent="0.25">
      <c r="A48" s="1" t="str">
        <f t="shared" si="0"/>
        <v>13</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1752</v>
      </c>
      <c r="D48" s="1" t="s">
        <v>1753</v>
      </c>
      <c r="E48" s="1" t="s">
        <v>1754</v>
      </c>
      <c r="F48" s="1" t="s">
        <v>112</v>
      </c>
      <c r="G48" s="1">
        <v>2748900</v>
      </c>
    </row>
    <row r="49" spans="1:10" x14ac:dyDescent="0.25">
      <c r="A49" s="1" t="str">
        <f t="shared" si="0"/>
        <v>13</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1755</v>
      </c>
      <c r="D49" s="1" t="s">
        <v>1756</v>
      </c>
      <c r="E49" s="1" t="s">
        <v>1757</v>
      </c>
      <c r="F49" s="1" t="s">
        <v>112</v>
      </c>
      <c r="G49" s="1">
        <v>2670427</v>
      </c>
    </row>
    <row r="50" spans="1:10" x14ac:dyDescent="0.25">
      <c r="A50" s="1" t="str">
        <f t="shared" si="0"/>
        <v>13</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1758</v>
      </c>
      <c r="D50" s="1" t="s">
        <v>1759</v>
      </c>
      <c r="E50" s="1" t="s">
        <v>1760</v>
      </c>
      <c r="F50" s="1" t="s">
        <v>112</v>
      </c>
      <c r="G50" s="1">
        <v>2957607</v>
      </c>
    </row>
    <row r="51" spans="1:10" x14ac:dyDescent="0.25">
      <c r="A51" s="1" t="str">
        <f t="shared" si="0"/>
        <v>13</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1761</v>
      </c>
      <c r="D51" s="1" t="s">
        <v>1762</v>
      </c>
      <c r="E51" s="1" t="s">
        <v>1763</v>
      </c>
      <c r="F51" s="1" t="s">
        <v>112</v>
      </c>
      <c r="G51" s="1">
        <v>2671833</v>
      </c>
    </row>
    <row r="52" spans="1:10" x14ac:dyDescent="0.25">
      <c r="A52" s="1" t="str">
        <f t="shared" si="0"/>
        <v>13</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1764</v>
      </c>
      <c r="D52" s="1" t="s">
        <v>1765</v>
      </c>
      <c r="E52" s="1" t="s">
        <v>1766</v>
      </c>
      <c r="F52" s="1" t="s">
        <v>112</v>
      </c>
      <c r="G52" s="1">
        <v>2453955</v>
      </c>
    </row>
    <row r="53" spans="1:10" x14ac:dyDescent="0.25">
      <c r="A53" s="1" t="str">
        <f t="shared" si="0"/>
        <v>13</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1767</v>
      </c>
      <c r="D53" s="1" t="s">
        <v>1768</v>
      </c>
      <c r="E53" s="1" t="s">
        <v>1769</v>
      </c>
      <c r="F53" s="1" t="s">
        <v>112</v>
      </c>
      <c r="G53" s="1">
        <v>1199616</v>
      </c>
    </row>
    <row r="54" spans="1:10" x14ac:dyDescent="0.25">
      <c r="A54" s="1" t="str">
        <f t="shared" si="0"/>
        <v>13</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1770</v>
      </c>
      <c r="D54" s="1" t="s">
        <v>1771</v>
      </c>
      <c r="E54" s="1" t="s">
        <v>1772</v>
      </c>
      <c r="F54" s="1" t="s">
        <v>112</v>
      </c>
      <c r="G54" s="1">
        <v>1508404</v>
      </c>
    </row>
    <row r="55" spans="1:10" x14ac:dyDescent="0.25">
      <c r="A55" s="1" t="str">
        <f t="shared" si="0"/>
        <v>13</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1773</v>
      </c>
      <c r="D55" s="1" t="s">
        <v>1774</v>
      </c>
      <c r="E55" s="1" t="s">
        <v>1775</v>
      </c>
      <c r="F55" s="1" t="s">
        <v>112</v>
      </c>
      <c r="G55" s="1">
        <v>1000534</v>
      </c>
    </row>
    <row r="56" spans="1:10" x14ac:dyDescent="0.25">
      <c r="A56" s="1" t="str">
        <f t="shared" si="0"/>
        <v>13</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1776</v>
      </c>
      <c r="D56" s="1" t="s">
        <v>1777</v>
      </c>
      <c r="E56" s="1" t="s">
        <v>1778</v>
      </c>
      <c r="F56" s="1" t="s">
        <v>112</v>
      </c>
      <c r="G56" s="1">
        <v>150111</v>
      </c>
    </row>
    <row r="57" spans="1:10" x14ac:dyDescent="0.25">
      <c r="A57" s="1" t="str">
        <f t="shared" si="0"/>
        <v>13</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1779</v>
      </c>
      <c r="D57" s="1" t="s">
        <v>1780</v>
      </c>
      <c r="E57" s="1" t="s">
        <v>1781</v>
      </c>
      <c r="F57" s="1" t="s">
        <v>112</v>
      </c>
      <c r="G57" s="1">
        <v>252637</v>
      </c>
    </row>
    <row r="58" spans="1:10" x14ac:dyDescent="0.25">
      <c r="A58" s="1" t="str">
        <f t="shared" si="0"/>
        <v>13</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1782</v>
      </c>
      <c r="D58" s="1" t="s">
        <v>625</v>
      </c>
      <c r="E58" s="1" t="s">
        <v>1783</v>
      </c>
      <c r="F58" s="1" t="s">
        <v>112</v>
      </c>
      <c r="G58" s="1">
        <v>149225</v>
      </c>
    </row>
    <row r="59" spans="1:10" x14ac:dyDescent="0.2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112</v>
      </c>
    </row>
    <row r="60" spans="1:10" x14ac:dyDescent="0.2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237</v>
      </c>
      <c r="D60" s="1" t="s">
        <v>112</v>
      </c>
      <c r="E60" s="1" t="s">
        <v>238</v>
      </c>
      <c r="F60" s="1" t="s">
        <v>239</v>
      </c>
      <c r="G60" s="1" t="s">
        <v>240</v>
      </c>
      <c r="H60" s="1" t="s">
        <v>241</v>
      </c>
      <c r="I60" s="1" t="s">
        <v>242</v>
      </c>
      <c r="J60" s="1" t="s">
        <v>243</v>
      </c>
    </row>
    <row r="61" spans="1:10" x14ac:dyDescent="0.25">
      <c r="A61" s="1" t="str">
        <f t="shared" si="0"/>
        <v>13</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1784</v>
      </c>
      <c r="D61" s="1" t="s">
        <v>112</v>
      </c>
      <c r="E61" s="1" t="s">
        <v>1785</v>
      </c>
      <c r="F61" s="1" t="s">
        <v>1786</v>
      </c>
      <c r="G61" s="1" t="s">
        <v>1787</v>
      </c>
      <c r="H61" s="1" t="s">
        <v>1788</v>
      </c>
      <c r="I61" s="1">
        <v>24</v>
      </c>
      <c r="J61" s="1">
        <v>24</v>
      </c>
    </row>
    <row r="62" spans="1:10" x14ac:dyDescent="0.2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112</v>
      </c>
    </row>
    <row r="63" spans="1:10" x14ac:dyDescent="0.2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10" x14ac:dyDescent="0.2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2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2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2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249</v>
      </c>
      <c r="D67" s="1" t="s">
        <v>110</v>
      </c>
      <c r="E67" s="1" t="s">
        <v>111</v>
      </c>
      <c r="F67" s="1" t="s">
        <v>112</v>
      </c>
      <c r="G67" s="1" t="s">
        <v>113</v>
      </c>
    </row>
    <row r="68" spans="1:7" x14ac:dyDescent="0.25">
      <c r="A68" s="1" t="str">
        <f t="shared" si="1"/>
        <v>14</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1789</v>
      </c>
    </row>
    <row r="69" spans="1:7" x14ac:dyDescent="0.25">
      <c r="A69" s="1" t="str">
        <f t="shared" si="1"/>
        <v>14</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1790</v>
      </c>
    </row>
    <row r="70" spans="1:7" x14ac:dyDescent="0.25">
      <c r="A70" s="1" t="str">
        <f t="shared" si="1"/>
        <v>14</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1791</v>
      </c>
    </row>
    <row r="71" spans="1:7" x14ac:dyDescent="0.25">
      <c r="A71" s="1" t="str">
        <f t="shared" si="1"/>
        <v>14</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1792</v>
      </c>
      <c r="D71" s="1" t="s">
        <v>1793</v>
      </c>
      <c r="E71" s="1" t="s">
        <v>1794</v>
      </c>
      <c r="F71" s="1" t="s">
        <v>112</v>
      </c>
      <c r="G71" s="1">
        <v>2739599</v>
      </c>
    </row>
    <row r="72" spans="1:7" x14ac:dyDescent="0.25">
      <c r="A72" s="1" t="str">
        <f t="shared" si="1"/>
        <v>14</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1795</v>
      </c>
      <c r="D72" s="1" t="s">
        <v>824</v>
      </c>
      <c r="E72" s="1" t="s">
        <v>1796</v>
      </c>
      <c r="F72" s="1" t="s">
        <v>112</v>
      </c>
      <c r="G72" s="1">
        <v>2738020</v>
      </c>
    </row>
    <row r="73" spans="1:7" x14ac:dyDescent="0.25">
      <c r="A73" s="1" t="str">
        <f t="shared" si="1"/>
        <v>14</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1797</v>
      </c>
      <c r="D73" s="1" t="s">
        <v>1798</v>
      </c>
      <c r="E73" s="1" t="s">
        <v>1799</v>
      </c>
      <c r="F73" s="1" t="s">
        <v>112</v>
      </c>
      <c r="G73" s="1">
        <v>2972986</v>
      </c>
    </row>
    <row r="74" spans="1:7" x14ac:dyDescent="0.25">
      <c r="A74" s="1" t="str">
        <f t="shared" si="1"/>
        <v>14</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1800</v>
      </c>
      <c r="D74" s="1" t="s">
        <v>1801</v>
      </c>
      <c r="E74" s="1" t="s">
        <v>1802</v>
      </c>
      <c r="F74" s="1" t="s">
        <v>112</v>
      </c>
      <c r="G74" s="1">
        <v>1673959</v>
      </c>
    </row>
    <row r="75" spans="1:7" x14ac:dyDescent="0.25">
      <c r="A75" s="1" t="str">
        <f t="shared" si="1"/>
        <v>14</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1803</v>
      </c>
      <c r="D75" s="1" t="s">
        <v>1804</v>
      </c>
      <c r="E75" s="1" t="s">
        <v>1805</v>
      </c>
      <c r="F75" s="1" t="s">
        <v>112</v>
      </c>
      <c r="G75" s="1">
        <v>1464625</v>
      </c>
    </row>
    <row r="76" spans="1:7" x14ac:dyDescent="0.25">
      <c r="A76" s="1" t="str">
        <f t="shared" si="1"/>
        <v>14</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1806</v>
      </c>
      <c r="D76" s="1" t="s">
        <v>1807</v>
      </c>
      <c r="E76" s="1" t="s">
        <v>1808</v>
      </c>
      <c r="F76" s="1" t="s">
        <v>112</v>
      </c>
      <c r="G76" s="1">
        <v>1907584</v>
      </c>
    </row>
    <row r="77" spans="1:7" x14ac:dyDescent="0.25">
      <c r="A77" s="1" t="str">
        <f t="shared" si="1"/>
        <v>14</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1809</v>
      </c>
      <c r="D77" s="1" t="s">
        <v>1810</v>
      </c>
      <c r="E77" s="1" t="s">
        <v>1811</v>
      </c>
      <c r="F77" s="1" t="s">
        <v>112</v>
      </c>
      <c r="G77" s="1">
        <v>3194584</v>
      </c>
    </row>
    <row r="78" spans="1:7" x14ac:dyDescent="0.25">
      <c r="A78" s="1" t="str">
        <f t="shared" si="1"/>
        <v>14</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1812</v>
      </c>
      <c r="D78" s="1" t="s">
        <v>1813</v>
      </c>
      <c r="E78" s="1" t="s">
        <v>1814</v>
      </c>
      <c r="F78" s="1" t="s">
        <v>112</v>
      </c>
      <c r="G78" s="1">
        <v>3334638</v>
      </c>
    </row>
    <row r="79" spans="1:7" x14ac:dyDescent="0.25">
      <c r="A79" s="1" t="str">
        <f t="shared" si="1"/>
        <v>14</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1815</v>
      </c>
      <c r="D79" s="1" t="s">
        <v>1816</v>
      </c>
      <c r="E79" s="1" t="s">
        <v>1817</v>
      </c>
      <c r="F79" s="1" t="s">
        <v>112</v>
      </c>
      <c r="G79" s="1">
        <v>3435108</v>
      </c>
    </row>
    <row r="80" spans="1:7" x14ac:dyDescent="0.25">
      <c r="A80" s="1" t="str">
        <f t="shared" si="1"/>
        <v>14</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1818</v>
      </c>
      <c r="D80" s="1" t="s">
        <v>1819</v>
      </c>
      <c r="E80" s="1" t="s">
        <v>1820</v>
      </c>
      <c r="F80" s="1" t="s">
        <v>112</v>
      </c>
      <c r="G80" s="1">
        <v>72439</v>
      </c>
    </row>
    <row r="81" spans="1:10" x14ac:dyDescent="0.25">
      <c r="A81" s="1" t="str">
        <f t="shared" si="1"/>
        <v>14</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1821</v>
      </c>
      <c r="D81" s="1" t="s">
        <v>1083</v>
      </c>
      <c r="E81" s="1" t="s">
        <v>1822</v>
      </c>
      <c r="F81" s="1" t="s">
        <v>112</v>
      </c>
      <c r="G81" s="1">
        <v>208274</v>
      </c>
    </row>
    <row r="82" spans="1:10" x14ac:dyDescent="0.25">
      <c r="A82" s="1" t="str">
        <f t="shared" si="1"/>
        <v>14</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1823</v>
      </c>
      <c r="D82" s="1" t="s">
        <v>1824</v>
      </c>
      <c r="E82" s="1" t="s">
        <v>1825</v>
      </c>
      <c r="F82" s="1" t="s">
        <v>112</v>
      </c>
      <c r="G82" s="1">
        <v>19575</v>
      </c>
    </row>
    <row r="83" spans="1:10" x14ac:dyDescent="0.25">
      <c r="A83" s="1" t="str">
        <f t="shared" si="1"/>
        <v>14</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1826</v>
      </c>
      <c r="D83" s="1" t="s">
        <v>1827</v>
      </c>
      <c r="E83" s="1" t="s">
        <v>1828</v>
      </c>
      <c r="F83" s="1" t="s">
        <v>112</v>
      </c>
      <c r="G83" s="1">
        <v>1064148</v>
      </c>
    </row>
    <row r="84" spans="1:10" x14ac:dyDescent="0.25">
      <c r="A84" s="1" t="str">
        <f t="shared" si="1"/>
        <v>14</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1829</v>
      </c>
      <c r="D84" s="1" t="s">
        <v>1830</v>
      </c>
      <c r="E84" s="1" t="s">
        <v>1831</v>
      </c>
      <c r="F84" s="1" t="s">
        <v>112</v>
      </c>
      <c r="G84" s="1">
        <v>841835</v>
      </c>
    </row>
    <row r="85" spans="1:10" x14ac:dyDescent="0.25">
      <c r="A85" s="1" t="str">
        <f t="shared" si="1"/>
        <v>14</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1832</v>
      </c>
      <c r="D85" s="1" t="s">
        <v>1833</v>
      </c>
      <c r="E85" s="1" t="s">
        <v>1834</v>
      </c>
      <c r="F85" s="1" t="s">
        <v>112</v>
      </c>
      <c r="G85" s="1">
        <v>765439</v>
      </c>
    </row>
    <row r="86" spans="1:10" x14ac:dyDescent="0.25">
      <c r="A86" s="1" t="str">
        <f t="shared" si="1"/>
        <v>14</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1835</v>
      </c>
      <c r="D86" s="1" t="s">
        <v>607</v>
      </c>
      <c r="E86" s="1" t="s">
        <v>1836</v>
      </c>
      <c r="F86" s="1" t="s">
        <v>112</v>
      </c>
      <c r="G86" s="1">
        <v>292350</v>
      </c>
    </row>
    <row r="87" spans="1:10" x14ac:dyDescent="0.25">
      <c r="A87" s="1" t="str">
        <f t="shared" si="1"/>
        <v>14</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1837</v>
      </c>
      <c r="D87" s="1" t="s">
        <v>1838</v>
      </c>
      <c r="E87" s="1" t="s">
        <v>1839</v>
      </c>
      <c r="F87" s="1" t="s">
        <v>112</v>
      </c>
      <c r="G87" s="1">
        <v>169795</v>
      </c>
    </row>
    <row r="88" spans="1:10" x14ac:dyDescent="0.25">
      <c r="A88" s="1" t="str">
        <f t="shared" si="1"/>
        <v>14</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1840</v>
      </c>
      <c r="D88" s="1" t="s">
        <v>1841</v>
      </c>
      <c r="E88" s="1" t="s">
        <v>1842</v>
      </c>
      <c r="F88" s="1" t="s">
        <v>112</v>
      </c>
      <c r="G88" s="1">
        <v>294642</v>
      </c>
    </row>
    <row r="89" spans="1:10" x14ac:dyDescent="0.25">
      <c r="A89" s="1" t="str">
        <f t="shared" si="1"/>
        <v>14</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1843</v>
      </c>
      <c r="D89" s="1" t="s">
        <v>1844</v>
      </c>
      <c r="E89" s="1" t="s">
        <v>1845</v>
      </c>
      <c r="F89" s="1" t="s">
        <v>112</v>
      </c>
      <c r="G89" s="1">
        <v>718567</v>
      </c>
    </row>
    <row r="90" spans="1:10" x14ac:dyDescent="0.25">
      <c r="A90" s="1" t="str">
        <f t="shared" si="1"/>
        <v>14</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1846</v>
      </c>
      <c r="D90" s="1" t="s">
        <v>1847</v>
      </c>
      <c r="E90" s="1" t="s">
        <v>1848</v>
      </c>
      <c r="F90" s="1" t="s">
        <v>112</v>
      </c>
      <c r="G90" s="1">
        <v>875600</v>
      </c>
    </row>
    <row r="91" spans="1:10" x14ac:dyDescent="0.25">
      <c r="A91" s="1" t="str">
        <f t="shared" si="1"/>
        <v>14</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1849</v>
      </c>
      <c r="D91" s="1" t="s">
        <v>1850</v>
      </c>
      <c r="E91" s="1" t="s">
        <v>1851</v>
      </c>
      <c r="F91" s="1" t="s">
        <v>112</v>
      </c>
      <c r="G91" s="1">
        <v>1089390</v>
      </c>
    </row>
    <row r="92" spans="1:10" x14ac:dyDescent="0.2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10" x14ac:dyDescent="0.2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237</v>
      </c>
      <c r="D93" s="1" t="s">
        <v>112</v>
      </c>
      <c r="E93" s="1" t="s">
        <v>238</v>
      </c>
      <c r="F93" s="1" t="s">
        <v>239</v>
      </c>
      <c r="G93" s="1" t="s">
        <v>240</v>
      </c>
      <c r="H93" s="1" t="s">
        <v>241</v>
      </c>
      <c r="I93" s="1" t="s">
        <v>242</v>
      </c>
      <c r="J93" s="1" t="s">
        <v>243</v>
      </c>
    </row>
    <row r="94" spans="1:10" x14ac:dyDescent="0.25">
      <c r="A94" s="1" t="str">
        <f t="shared" si="1"/>
        <v>14</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1852</v>
      </c>
      <c r="D94" s="1" t="s">
        <v>112</v>
      </c>
      <c r="E94" s="1" t="s">
        <v>1853</v>
      </c>
      <c r="F94" s="1" t="s">
        <v>1854</v>
      </c>
      <c r="G94" s="1" t="s">
        <v>1855</v>
      </c>
      <c r="H94" s="1" t="s">
        <v>1856</v>
      </c>
      <c r="I94" s="1">
        <v>24</v>
      </c>
      <c r="J94" s="1">
        <v>24</v>
      </c>
    </row>
    <row r="95" spans="1:10" x14ac:dyDescent="0.2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10" x14ac:dyDescent="0.2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2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2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2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2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249</v>
      </c>
      <c r="D100" s="1" t="s">
        <v>110</v>
      </c>
      <c r="E100" s="1" t="s">
        <v>111</v>
      </c>
      <c r="F100" s="1" t="s">
        <v>112</v>
      </c>
      <c r="G100" s="1" t="s">
        <v>113</v>
      </c>
    </row>
    <row r="101" spans="1:7" x14ac:dyDescent="0.25">
      <c r="A101" s="1" t="str">
        <f t="shared" si="1"/>
        <v>15</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1857</v>
      </c>
      <c r="D101" s="1" t="s">
        <v>1858</v>
      </c>
      <c r="E101" s="1" t="s">
        <v>1859</v>
      </c>
      <c r="F101" s="1" t="s">
        <v>112</v>
      </c>
      <c r="G101" s="1">
        <v>4775016</v>
      </c>
    </row>
    <row r="102" spans="1:7" x14ac:dyDescent="0.25">
      <c r="A102" s="1" t="str">
        <f t="shared" si="1"/>
        <v>15</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1860</v>
      </c>
      <c r="D102" s="1" t="s">
        <v>1861</v>
      </c>
      <c r="E102" s="1" t="s">
        <v>1862</v>
      </c>
      <c r="F102" s="1" t="s">
        <v>112</v>
      </c>
      <c r="G102" s="1">
        <v>4019721</v>
      </c>
    </row>
    <row r="103" spans="1:7" x14ac:dyDescent="0.25">
      <c r="A103" s="1" t="str">
        <f t="shared" si="1"/>
        <v>15</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1863</v>
      </c>
      <c r="D103" s="1" t="s">
        <v>1864</v>
      </c>
      <c r="E103" s="1" t="s">
        <v>1865</v>
      </c>
      <c r="F103" s="1" t="s">
        <v>112</v>
      </c>
      <c r="G103" s="1">
        <v>4101828</v>
      </c>
    </row>
    <row r="104" spans="1:7" x14ac:dyDescent="0.25">
      <c r="A104" s="1" t="str">
        <f t="shared" si="1"/>
        <v>15</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1866</v>
      </c>
      <c r="D104" s="1" t="s">
        <v>1867</v>
      </c>
      <c r="E104" s="1" t="s">
        <v>1868</v>
      </c>
      <c r="F104" s="1" t="s">
        <v>112</v>
      </c>
      <c r="G104" s="1">
        <v>2381884</v>
      </c>
    </row>
    <row r="105" spans="1:7" x14ac:dyDescent="0.25">
      <c r="A105" s="1" t="str">
        <f t="shared" si="1"/>
        <v>15</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1869</v>
      </c>
      <c r="D105" s="1" t="s">
        <v>1870</v>
      </c>
      <c r="E105" s="1" t="s">
        <v>1871</v>
      </c>
      <c r="F105" s="1" t="s">
        <v>112</v>
      </c>
      <c r="G105" s="1">
        <v>2375525</v>
      </c>
    </row>
    <row r="106" spans="1:7" x14ac:dyDescent="0.25">
      <c r="A106" s="1" t="str">
        <f t="shared" si="1"/>
        <v>15</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1872</v>
      </c>
      <c r="D106" s="1" t="s">
        <v>1873</v>
      </c>
      <c r="E106" s="1" t="s">
        <v>1874</v>
      </c>
      <c r="F106" s="1" t="s">
        <v>112</v>
      </c>
      <c r="G106" s="1">
        <v>2482074</v>
      </c>
    </row>
    <row r="107" spans="1:7" x14ac:dyDescent="0.25">
      <c r="A107" s="1" t="str">
        <f t="shared" si="1"/>
        <v>15</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1875</v>
      </c>
      <c r="D107" s="1" t="s">
        <v>1876</v>
      </c>
      <c r="E107" s="1" t="s">
        <v>1877</v>
      </c>
      <c r="F107" s="1" t="s">
        <v>112</v>
      </c>
      <c r="G107" s="1">
        <v>1623864</v>
      </c>
    </row>
    <row r="108" spans="1:7" x14ac:dyDescent="0.25">
      <c r="A108" s="1" t="str">
        <f t="shared" si="1"/>
        <v>15</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1878</v>
      </c>
    </row>
    <row r="109" spans="1:7" x14ac:dyDescent="0.25">
      <c r="A109" s="1" t="str">
        <f t="shared" si="1"/>
        <v>15</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1879</v>
      </c>
    </row>
    <row r="110" spans="1:7" x14ac:dyDescent="0.25">
      <c r="A110" s="1" t="str">
        <f t="shared" si="1"/>
        <v>15</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1880</v>
      </c>
      <c r="D110" s="1" t="s">
        <v>1881</v>
      </c>
      <c r="E110" s="1" t="s">
        <v>1882</v>
      </c>
      <c r="F110" s="1" t="s">
        <v>112</v>
      </c>
      <c r="G110" s="1">
        <v>2927347</v>
      </c>
    </row>
    <row r="111" spans="1:7" x14ac:dyDescent="0.25">
      <c r="A111" s="1" t="str">
        <f t="shared" si="1"/>
        <v>15</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1883</v>
      </c>
      <c r="D111" s="1" t="s">
        <v>1884</v>
      </c>
      <c r="E111" s="1" t="s">
        <v>1885</v>
      </c>
      <c r="F111" s="1" t="s">
        <v>112</v>
      </c>
      <c r="G111" s="1">
        <v>2406542</v>
      </c>
    </row>
    <row r="112" spans="1:7" x14ac:dyDescent="0.25">
      <c r="A112" s="1" t="str">
        <f t="shared" si="1"/>
        <v>15</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1886</v>
      </c>
      <c r="D112" s="1" t="s">
        <v>1887</v>
      </c>
      <c r="E112" s="1" t="s">
        <v>1888</v>
      </c>
      <c r="F112" s="1" t="s">
        <v>112</v>
      </c>
      <c r="G112" s="1">
        <v>2771611</v>
      </c>
    </row>
    <row r="113" spans="1:10" x14ac:dyDescent="0.25">
      <c r="A113" s="1" t="str">
        <f t="shared" si="1"/>
        <v>15</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1889</v>
      </c>
      <c r="D113" s="1" t="s">
        <v>1890</v>
      </c>
      <c r="E113" s="1" t="s">
        <v>1891</v>
      </c>
      <c r="F113" s="1" t="s">
        <v>112</v>
      </c>
      <c r="G113" s="1">
        <v>5309685</v>
      </c>
    </row>
    <row r="114" spans="1:10" x14ac:dyDescent="0.25">
      <c r="A114" s="1" t="str">
        <f t="shared" si="1"/>
        <v>15</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1892</v>
      </c>
      <c r="D114" s="1" t="s">
        <v>1893</v>
      </c>
      <c r="E114" s="1" t="s">
        <v>1894</v>
      </c>
      <c r="F114" s="1" t="s">
        <v>112</v>
      </c>
      <c r="G114" s="1">
        <v>5245617</v>
      </c>
    </row>
    <row r="115" spans="1:10" x14ac:dyDescent="0.25">
      <c r="A115" s="1" t="str">
        <f t="shared" si="1"/>
        <v>15</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1895</v>
      </c>
      <c r="D115" s="1" t="s">
        <v>1896</v>
      </c>
      <c r="E115" s="1" t="s">
        <v>1897</v>
      </c>
      <c r="F115" s="1" t="s">
        <v>112</v>
      </c>
      <c r="G115" s="1">
        <v>5676766</v>
      </c>
    </row>
    <row r="116" spans="1:10" x14ac:dyDescent="0.25">
      <c r="A116" s="1" t="str">
        <f t="shared" si="1"/>
        <v>15</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1898</v>
      </c>
      <c r="D116" s="1" t="s">
        <v>1899</v>
      </c>
      <c r="E116" s="1" t="s">
        <v>1900</v>
      </c>
      <c r="F116" s="1" t="s">
        <v>112</v>
      </c>
      <c r="G116" s="1">
        <v>4233857</v>
      </c>
    </row>
    <row r="117" spans="1:10" x14ac:dyDescent="0.25">
      <c r="A117" s="1" t="str">
        <f t="shared" si="1"/>
        <v>15</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1901</v>
      </c>
      <c r="D117" s="1" t="s">
        <v>1902</v>
      </c>
      <c r="E117" s="1" t="s">
        <v>1903</v>
      </c>
      <c r="F117" s="1" t="s">
        <v>112</v>
      </c>
      <c r="G117" s="1">
        <v>4513229</v>
      </c>
    </row>
    <row r="118" spans="1:10" x14ac:dyDescent="0.25">
      <c r="A118" s="1" t="str">
        <f t="shared" si="1"/>
        <v>15</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1904</v>
      </c>
      <c r="D118" s="1" t="s">
        <v>1905</v>
      </c>
      <c r="E118" s="1" t="s">
        <v>1906</v>
      </c>
      <c r="F118" s="1" t="s">
        <v>112</v>
      </c>
      <c r="G118" s="1">
        <v>4079744</v>
      </c>
    </row>
    <row r="119" spans="1:10" x14ac:dyDescent="0.25">
      <c r="A119" s="1" t="str">
        <f t="shared" si="1"/>
        <v>15</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1907</v>
      </c>
      <c r="D119" s="1" t="s">
        <v>1908</v>
      </c>
      <c r="E119" s="1" t="s">
        <v>1909</v>
      </c>
      <c r="F119" s="1" t="s">
        <v>112</v>
      </c>
      <c r="G119" s="1">
        <v>3378654</v>
      </c>
    </row>
    <row r="120" spans="1:10" x14ac:dyDescent="0.25">
      <c r="A120" s="1" t="str">
        <f t="shared" si="1"/>
        <v>15</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1910</v>
      </c>
      <c r="D120" s="1" t="s">
        <v>1911</v>
      </c>
      <c r="E120" s="1" t="s">
        <v>1912</v>
      </c>
      <c r="F120" s="1" t="s">
        <v>112</v>
      </c>
      <c r="G120" s="1">
        <v>3620347</v>
      </c>
    </row>
    <row r="121" spans="1:10" x14ac:dyDescent="0.25">
      <c r="A121" s="1" t="str">
        <f t="shared" si="1"/>
        <v>15</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1913</v>
      </c>
      <c r="D121" s="1" t="s">
        <v>1914</v>
      </c>
      <c r="E121" s="1" t="s">
        <v>1915</v>
      </c>
      <c r="F121" s="1" t="s">
        <v>112</v>
      </c>
      <c r="G121" s="1">
        <v>2856682</v>
      </c>
    </row>
    <row r="122" spans="1:10" x14ac:dyDescent="0.25">
      <c r="A122" s="1" t="str">
        <f t="shared" si="1"/>
        <v>15</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1916</v>
      </c>
      <c r="D122" s="1" t="s">
        <v>1917</v>
      </c>
      <c r="E122" s="1" t="s">
        <v>1918</v>
      </c>
      <c r="F122" s="1" t="s">
        <v>112</v>
      </c>
      <c r="G122" s="1">
        <v>3742837</v>
      </c>
    </row>
    <row r="123" spans="1:10" x14ac:dyDescent="0.25">
      <c r="A123" s="1" t="str">
        <f t="shared" si="1"/>
        <v>15</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1919</v>
      </c>
      <c r="D123" s="1" t="s">
        <v>1920</v>
      </c>
      <c r="E123" s="1" t="s">
        <v>1921</v>
      </c>
      <c r="F123" s="1" t="s">
        <v>112</v>
      </c>
      <c r="G123" s="1">
        <v>4071741</v>
      </c>
    </row>
    <row r="124" spans="1:10" x14ac:dyDescent="0.25">
      <c r="A124" s="1" t="str">
        <f t="shared" si="1"/>
        <v>15</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1922</v>
      </c>
      <c r="D124" s="1" t="s">
        <v>1923</v>
      </c>
      <c r="E124" s="1" t="s">
        <v>1924</v>
      </c>
      <c r="F124" s="1" t="s">
        <v>112</v>
      </c>
      <c r="G124" s="1">
        <v>3509494</v>
      </c>
    </row>
    <row r="125" spans="1:10" x14ac:dyDescent="0.2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112</v>
      </c>
    </row>
    <row r="126" spans="1:10" x14ac:dyDescent="0.2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237</v>
      </c>
      <c r="D126" s="1" t="s">
        <v>112</v>
      </c>
      <c r="E126" s="1" t="s">
        <v>238</v>
      </c>
      <c r="F126" s="1" t="s">
        <v>239</v>
      </c>
      <c r="G126" s="1" t="s">
        <v>240</v>
      </c>
      <c r="H126" s="1" t="s">
        <v>241</v>
      </c>
      <c r="I126" s="1" t="s">
        <v>242</v>
      </c>
      <c r="J126" s="1" t="s">
        <v>243</v>
      </c>
    </row>
    <row r="127" spans="1:10" x14ac:dyDescent="0.25">
      <c r="A127" s="1" t="str">
        <f t="shared" si="1"/>
        <v>15</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1925</v>
      </c>
      <c r="D127" s="1" t="s">
        <v>112</v>
      </c>
      <c r="E127" s="1" t="s">
        <v>1926</v>
      </c>
      <c r="F127" s="1" t="s">
        <v>1927</v>
      </c>
      <c r="G127" s="1" t="s">
        <v>1928</v>
      </c>
      <c r="H127" s="1" t="s">
        <v>1929</v>
      </c>
      <c r="I127" s="1">
        <v>24</v>
      </c>
      <c r="J127" s="1">
        <v>24</v>
      </c>
    </row>
    <row r="128" spans="1:10" x14ac:dyDescent="0.2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112</v>
      </c>
    </row>
    <row r="129" spans="1:7" x14ac:dyDescent="0.2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2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2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2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2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249</v>
      </c>
      <c r="D133" s="1" t="s">
        <v>110</v>
      </c>
      <c r="E133" s="1" t="s">
        <v>111</v>
      </c>
      <c r="F133" s="1" t="s">
        <v>112</v>
      </c>
      <c r="G133" s="1" t="s">
        <v>113</v>
      </c>
    </row>
    <row r="134" spans="1:7" x14ac:dyDescent="0.25">
      <c r="A134" s="1" t="str">
        <f t="shared" si="2"/>
        <v>16</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1930</v>
      </c>
      <c r="D134" s="1" t="s">
        <v>303</v>
      </c>
      <c r="E134" s="1" t="s">
        <v>1931</v>
      </c>
      <c r="F134" s="1" t="s">
        <v>112</v>
      </c>
      <c r="G134" s="1">
        <v>4110</v>
      </c>
    </row>
    <row r="135" spans="1:7" x14ac:dyDescent="0.25">
      <c r="A135" s="1" t="str">
        <f t="shared" si="2"/>
        <v>16</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1932</v>
      </c>
      <c r="D135" s="1" t="s">
        <v>1933</v>
      </c>
      <c r="E135" s="1" t="s">
        <v>1934</v>
      </c>
      <c r="F135" s="1" t="s">
        <v>112</v>
      </c>
      <c r="G135" s="1">
        <v>345343</v>
      </c>
    </row>
    <row r="136" spans="1:7" x14ac:dyDescent="0.25">
      <c r="A136" s="1" t="str">
        <f t="shared" si="2"/>
        <v>16</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1935</v>
      </c>
      <c r="D136" s="1" t="s">
        <v>1936</v>
      </c>
      <c r="E136" s="1" t="s">
        <v>1937</v>
      </c>
      <c r="F136" s="1" t="s">
        <v>112</v>
      </c>
      <c r="G136" s="1">
        <v>262176</v>
      </c>
    </row>
    <row r="137" spans="1:7" x14ac:dyDescent="0.25">
      <c r="A137" s="1" t="str">
        <f t="shared" si="2"/>
        <v>16</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1938</v>
      </c>
      <c r="D137" s="1" t="s">
        <v>1939</v>
      </c>
      <c r="E137" s="1" t="s">
        <v>1940</v>
      </c>
      <c r="F137" s="1" t="s">
        <v>112</v>
      </c>
      <c r="G137" s="1">
        <v>68091</v>
      </c>
    </row>
    <row r="138" spans="1:7" x14ac:dyDescent="0.25">
      <c r="A138" s="1" t="str">
        <f t="shared" si="2"/>
        <v>16</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1941</v>
      </c>
      <c r="D138" s="1" t="s">
        <v>1942</v>
      </c>
      <c r="E138" s="1" t="s">
        <v>1943</v>
      </c>
      <c r="F138" s="1" t="s">
        <v>112</v>
      </c>
      <c r="G138" s="1">
        <v>245932</v>
      </c>
    </row>
    <row r="139" spans="1:7" x14ac:dyDescent="0.25">
      <c r="A139" s="1" t="str">
        <f t="shared" si="2"/>
        <v>16</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1944</v>
      </c>
      <c r="D139" s="1" t="s">
        <v>1945</v>
      </c>
      <c r="E139" s="1" t="s">
        <v>1946</v>
      </c>
      <c r="F139" s="1" t="s">
        <v>112</v>
      </c>
      <c r="G139" s="1">
        <v>411530</v>
      </c>
    </row>
    <row r="140" spans="1:7" x14ac:dyDescent="0.25">
      <c r="A140" s="1" t="str">
        <f t="shared" si="2"/>
        <v>16</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1947</v>
      </c>
      <c r="D140" s="1" t="s">
        <v>263</v>
      </c>
      <c r="E140" s="1" t="s">
        <v>1948</v>
      </c>
      <c r="F140" s="1" t="s">
        <v>112</v>
      </c>
      <c r="G140" s="1">
        <v>47218</v>
      </c>
    </row>
    <row r="141" spans="1:7" x14ac:dyDescent="0.25">
      <c r="A141" s="1" t="str">
        <f t="shared" si="2"/>
        <v>16</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1949</v>
      </c>
      <c r="D141" s="1" t="s">
        <v>1105</v>
      </c>
      <c r="E141" s="1" t="s">
        <v>1950</v>
      </c>
      <c r="F141" s="1" t="s">
        <v>112</v>
      </c>
      <c r="G141" s="1">
        <v>365437</v>
      </c>
    </row>
    <row r="142" spans="1:7" x14ac:dyDescent="0.25">
      <c r="A142" s="1" t="str">
        <f t="shared" si="2"/>
        <v>16</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1951</v>
      </c>
      <c r="D142" s="1" t="s">
        <v>1952</v>
      </c>
      <c r="E142" s="1" t="s">
        <v>1953</v>
      </c>
      <c r="F142" s="1" t="s">
        <v>112</v>
      </c>
      <c r="G142" s="1">
        <v>245478</v>
      </c>
    </row>
    <row r="143" spans="1:7" x14ac:dyDescent="0.25">
      <c r="A143" s="1" t="str">
        <f t="shared" si="2"/>
        <v>16</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1954</v>
      </c>
      <c r="D143" s="1" t="s">
        <v>1586</v>
      </c>
      <c r="E143" s="1" t="s">
        <v>1955</v>
      </c>
      <c r="F143" s="1" t="s">
        <v>112</v>
      </c>
      <c r="G143" s="1">
        <v>11529</v>
      </c>
    </row>
    <row r="144" spans="1:7" x14ac:dyDescent="0.25">
      <c r="A144" s="1" t="str">
        <f t="shared" si="2"/>
        <v>16</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1956</v>
      </c>
      <c r="D144" s="1" t="s">
        <v>1957</v>
      </c>
      <c r="E144" s="1" t="s">
        <v>1958</v>
      </c>
      <c r="F144" s="1" t="s">
        <v>112</v>
      </c>
      <c r="G144" s="1">
        <v>8176</v>
      </c>
    </row>
    <row r="145" spans="1:10" x14ac:dyDescent="0.25">
      <c r="A145" s="1" t="str">
        <f t="shared" si="2"/>
        <v>16</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1959</v>
      </c>
      <c r="D145" s="1" t="s">
        <v>1960</v>
      </c>
      <c r="E145" s="1" t="s">
        <v>1961</v>
      </c>
      <c r="F145" s="1" t="s">
        <v>112</v>
      </c>
      <c r="G145" s="1">
        <v>59331</v>
      </c>
    </row>
    <row r="146" spans="1:10" x14ac:dyDescent="0.25">
      <c r="A146" s="1" t="str">
        <f t="shared" si="2"/>
        <v>16</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1962</v>
      </c>
      <c r="D146" s="1" t="s">
        <v>549</v>
      </c>
      <c r="E146" s="1">
        <v>30</v>
      </c>
      <c r="F146" s="1" t="s">
        <v>112</v>
      </c>
      <c r="G146" s="1">
        <v>649</v>
      </c>
    </row>
    <row r="147" spans="1:10" x14ac:dyDescent="0.25">
      <c r="A147" s="1" t="str">
        <f t="shared" si="2"/>
        <v>16</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1963</v>
      </c>
      <c r="D147" s="1">
        <v>0</v>
      </c>
      <c r="E147" s="1">
        <v>0</v>
      </c>
      <c r="F147" s="1" t="s">
        <v>112</v>
      </c>
      <c r="G147" s="1">
        <v>0</v>
      </c>
    </row>
    <row r="148" spans="1:10" x14ac:dyDescent="0.25">
      <c r="A148" s="1" t="str">
        <f t="shared" si="2"/>
        <v>16</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1964</v>
      </c>
      <c r="D148" s="1" t="s">
        <v>1965</v>
      </c>
      <c r="E148" s="1" t="s">
        <v>1966</v>
      </c>
      <c r="F148" s="1" t="s">
        <v>112</v>
      </c>
      <c r="G148" s="1">
        <v>131899</v>
      </c>
    </row>
    <row r="149" spans="1:10" x14ac:dyDescent="0.25">
      <c r="A149" s="1" t="str">
        <f t="shared" si="2"/>
        <v>16</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1967</v>
      </c>
      <c r="D149" s="1" t="s">
        <v>691</v>
      </c>
      <c r="E149" s="1" t="s">
        <v>1968</v>
      </c>
      <c r="F149" s="1" t="s">
        <v>112</v>
      </c>
      <c r="G149" s="1">
        <v>409692</v>
      </c>
    </row>
    <row r="150" spans="1:10" x14ac:dyDescent="0.25">
      <c r="A150" s="1" t="str">
        <f t="shared" si="2"/>
        <v>16</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1969</v>
      </c>
      <c r="D150" s="1" t="s">
        <v>1970</v>
      </c>
      <c r="E150" s="1" t="s">
        <v>1971</v>
      </c>
      <c r="F150" s="1" t="s">
        <v>112</v>
      </c>
      <c r="G150" s="1">
        <v>262176</v>
      </c>
    </row>
    <row r="151" spans="1:10" x14ac:dyDescent="0.25">
      <c r="A151" s="1" t="str">
        <f t="shared" si="2"/>
        <v>16</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1972</v>
      </c>
      <c r="D151" s="1" t="s">
        <v>1973</v>
      </c>
      <c r="E151" s="1" t="s">
        <v>1974</v>
      </c>
      <c r="F151" s="1" t="s">
        <v>112</v>
      </c>
      <c r="G151" s="1">
        <v>311060</v>
      </c>
    </row>
    <row r="152" spans="1:10" x14ac:dyDescent="0.25">
      <c r="A152" s="1" t="str">
        <f t="shared" si="2"/>
        <v>16</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1975</v>
      </c>
      <c r="D152" s="1" t="s">
        <v>1051</v>
      </c>
      <c r="E152" s="1" t="s">
        <v>1976</v>
      </c>
      <c r="F152" s="1" t="s">
        <v>112</v>
      </c>
      <c r="G152" s="1">
        <v>194691</v>
      </c>
    </row>
    <row r="153" spans="1:10" x14ac:dyDescent="0.25">
      <c r="A153" s="1" t="str">
        <f t="shared" si="2"/>
        <v>16</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1977</v>
      </c>
      <c r="D153" s="1" t="s">
        <v>1978</v>
      </c>
      <c r="E153" s="1" t="s">
        <v>1979</v>
      </c>
      <c r="F153" s="1" t="s">
        <v>112</v>
      </c>
      <c r="G153" s="1">
        <v>153983</v>
      </c>
    </row>
    <row r="154" spans="1:10" x14ac:dyDescent="0.25">
      <c r="A154" s="1" t="str">
        <f t="shared" si="2"/>
        <v>16</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1980</v>
      </c>
      <c r="D154" s="1" t="s">
        <v>1981</v>
      </c>
      <c r="E154" s="1" t="s">
        <v>1982</v>
      </c>
      <c r="F154" s="1" t="s">
        <v>112</v>
      </c>
      <c r="G154" s="1">
        <v>68026</v>
      </c>
    </row>
    <row r="155" spans="1:10" x14ac:dyDescent="0.25">
      <c r="A155" s="1" t="str">
        <f t="shared" si="2"/>
        <v>16</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1983</v>
      </c>
      <c r="D155" s="1" t="s">
        <v>991</v>
      </c>
      <c r="E155" s="1" t="s">
        <v>1984</v>
      </c>
      <c r="F155" s="1" t="s">
        <v>112</v>
      </c>
      <c r="G155" s="1">
        <v>229450</v>
      </c>
    </row>
    <row r="156" spans="1:10" x14ac:dyDescent="0.25">
      <c r="A156" s="1" t="str">
        <f t="shared" si="2"/>
        <v>16</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1985</v>
      </c>
      <c r="D156" s="1" t="s">
        <v>232</v>
      </c>
      <c r="E156" s="1" t="s">
        <v>1986</v>
      </c>
      <c r="F156" s="1" t="s">
        <v>112</v>
      </c>
      <c r="G156" s="1">
        <v>113124</v>
      </c>
    </row>
    <row r="157" spans="1:10" x14ac:dyDescent="0.25">
      <c r="A157" s="1" t="str">
        <f t="shared" si="2"/>
        <v>16</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1987</v>
      </c>
      <c r="D157" s="1" t="s">
        <v>1978</v>
      </c>
      <c r="E157" s="1" t="s">
        <v>1988</v>
      </c>
      <c r="F157" s="1" t="s">
        <v>112</v>
      </c>
      <c r="G157" s="1">
        <v>162354</v>
      </c>
    </row>
    <row r="158" spans="1:10" x14ac:dyDescent="0.2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10" x14ac:dyDescent="0.2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237</v>
      </c>
      <c r="D159" s="1" t="s">
        <v>112</v>
      </c>
      <c r="E159" s="1" t="s">
        <v>238</v>
      </c>
      <c r="F159" s="1" t="s">
        <v>239</v>
      </c>
      <c r="G159" s="1" t="s">
        <v>240</v>
      </c>
      <c r="H159" s="1" t="s">
        <v>241</v>
      </c>
      <c r="I159" s="1" t="s">
        <v>242</v>
      </c>
      <c r="J159" s="1" t="s">
        <v>243</v>
      </c>
    </row>
    <row r="160" spans="1:10" x14ac:dyDescent="0.25">
      <c r="A160" s="1" t="str">
        <f t="shared" si="2"/>
        <v>16</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1989</v>
      </c>
      <c r="D160" s="1" t="s">
        <v>112</v>
      </c>
      <c r="E160" s="1" t="s">
        <v>1990</v>
      </c>
      <c r="F160" s="1" t="s">
        <v>1991</v>
      </c>
      <c r="G160" s="1" t="s">
        <v>1992</v>
      </c>
      <c r="H160" s="1" t="s">
        <v>1993</v>
      </c>
      <c r="I160" s="1">
        <v>23</v>
      </c>
      <c r="J160" s="1">
        <v>24</v>
      </c>
    </row>
    <row r="161" spans="1:7" x14ac:dyDescent="0.2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2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2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2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2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2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249</v>
      </c>
      <c r="D166" s="1" t="s">
        <v>110</v>
      </c>
      <c r="E166" s="1" t="s">
        <v>111</v>
      </c>
      <c r="F166" s="1" t="s">
        <v>112</v>
      </c>
      <c r="G166" s="1" t="s">
        <v>113</v>
      </c>
    </row>
    <row r="167" spans="1:7" x14ac:dyDescent="0.25">
      <c r="A167" s="1" t="str">
        <f t="shared" si="2"/>
        <v>2</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1994</v>
      </c>
    </row>
    <row r="168" spans="1:7" x14ac:dyDescent="0.25">
      <c r="A168" s="1" t="str">
        <f t="shared" si="2"/>
        <v>2</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1995</v>
      </c>
    </row>
    <row r="169" spans="1:7" x14ac:dyDescent="0.25">
      <c r="A169" s="1" t="str">
        <f t="shared" si="2"/>
        <v>2</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1996</v>
      </c>
    </row>
    <row r="170" spans="1:7" x14ac:dyDescent="0.25">
      <c r="A170" s="1" t="str">
        <f t="shared" si="2"/>
        <v>2</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1997</v>
      </c>
      <c r="D170" s="1" t="s">
        <v>1998</v>
      </c>
      <c r="E170" s="1" t="s">
        <v>1999</v>
      </c>
      <c r="F170" s="1" t="s">
        <v>112</v>
      </c>
      <c r="G170" s="1">
        <v>177062</v>
      </c>
    </row>
    <row r="171" spans="1:7" x14ac:dyDescent="0.25">
      <c r="A171" s="1" t="str">
        <f t="shared" si="2"/>
        <v>2</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2000</v>
      </c>
      <c r="D171" s="1" t="s">
        <v>662</v>
      </c>
      <c r="E171" s="1" t="s">
        <v>2001</v>
      </c>
      <c r="F171" s="1" t="s">
        <v>112</v>
      </c>
      <c r="G171" s="1">
        <v>120500</v>
      </c>
    </row>
    <row r="172" spans="1:7" x14ac:dyDescent="0.25">
      <c r="A172" s="1" t="str">
        <f t="shared" si="2"/>
        <v>2</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2002</v>
      </c>
      <c r="D172" s="1" t="s">
        <v>2003</v>
      </c>
      <c r="E172" s="1" t="s">
        <v>2004</v>
      </c>
      <c r="F172" s="1" t="s">
        <v>112</v>
      </c>
      <c r="G172" s="1">
        <v>114595</v>
      </c>
    </row>
    <row r="173" spans="1:7" x14ac:dyDescent="0.25">
      <c r="A173" s="1" t="str">
        <f t="shared" si="2"/>
        <v>2</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2005</v>
      </c>
      <c r="D173" s="1" t="s">
        <v>2006</v>
      </c>
      <c r="E173" s="1" t="s">
        <v>2007</v>
      </c>
      <c r="F173" s="1" t="s">
        <v>112</v>
      </c>
      <c r="G173" s="1">
        <v>351702</v>
      </c>
    </row>
    <row r="174" spans="1:7" x14ac:dyDescent="0.25">
      <c r="A174" s="1" t="str">
        <f t="shared" si="2"/>
        <v>2</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2008</v>
      </c>
      <c r="D174" s="1" t="s">
        <v>2009</v>
      </c>
      <c r="E174" s="1" t="s">
        <v>2010</v>
      </c>
      <c r="F174" s="1" t="s">
        <v>112</v>
      </c>
      <c r="G174" s="1">
        <v>101552</v>
      </c>
    </row>
    <row r="175" spans="1:7" x14ac:dyDescent="0.25">
      <c r="A175" s="1" t="str">
        <f t="shared" si="2"/>
        <v>2</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2011</v>
      </c>
      <c r="D175" s="1" t="s">
        <v>2012</v>
      </c>
      <c r="E175" s="1" t="s">
        <v>2013</v>
      </c>
      <c r="F175" s="1" t="s">
        <v>112</v>
      </c>
      <c r="G175" s="1">
        <v>184287</v>
      </c>
    </row>
    <row r="176" spans="1:7" x14ac:dyDescent="0.25">
      <c r="A176" s="1" t="str">
        <f t="shared" si="2"/>
        <v>2</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2014</v>
      </c>
      <c r="D176" s="1" t="s">
        <v>2015</v>
      </c>
      <c r="E176" s="1" t="s">
        <v>2016</v>
      </c>
      <c r="F176" s="1" t="s">
        <v>112</v>
      </c>
      <c r="G176" s="1">
        <v>285904</v>
      </c>
    </row>
    <row r="177" spans="1:10" x14ac:dyDescent="0.25">
      <c r="A177" s="1" t="str">
        <f t="shared" si="2"/>
        <v>2</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2017</v>
      </c>
      <c r="D177" s="1" t="s">
        <v>483</v>
      </c>
      <c r="E177" s="1" t="s">
        <v>2018</v>
      </c>
      <c r="F177" s="1" t="s">
        <v>112</v>
      </c>
      <c r="G177" s="1">
        <v>226422</v>
      </c>
    </row>
    <row r="178" spans="1:10" x14ac:dyDescent="0.25">
      <c r="A178" s="1" t="str">
        <f t="shared" si="2"/>
        <v>2</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2019</v>
      </c>
      <c r="D178" s="1" t="s">
        <v>229</v>
      </c>
      <c r="E178" s="1" t="s">
        <v>2020</v>
      </c>
      <c r="F178" s="1" t="s">
        <v>112</v>
      </c>
      <c r="G178" s="1">
        <v>37139</v>
      </c>
    </row>
    <row r="179" spans="1:10" x14ac:dyDescent="0.25">
      <c r="A179" s="1" t="str">
        <f t="shared" si="2"/>
        <v>2</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2021</v>
      </c>
      <c r="D179" s="1" t="s">
        <v>2022</v>
      </c>
      <c r="E179" s="1" t="s">
        <v>2023</v>
      </c>
      <c r="F179" s="1" t="s">
        <v>112</v>
      </c>
      <c r="G179" s="1">
        <v>603669</v>
      </c>
    </row>
    <row r="180" spans="1:10" x14ac:dyDescent="0.25">
      <c r="A180" s="1" t="str">
        <f t="shared" si="2"/>
        <v>2</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2024</v>
      </c>
      <c r="D180" s="1" t="s">
        <v>309</v>
      </c>
      <c r="E180" s="1" t="s">
        <v>2025</v>
      </c>
      <c r="F180" s="1" t="s">
        <v>112</v>
      </c>
      <c r="G180" s="1">
        <v>7268</v>
      </c>
    </row>
    <row r="181" spans="1:10" x14ac:dyDescent="0.25">
      <c r="A181" s="1" t="str">
        <f t="shared" si="2"/>
        <v>2</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2026</v>
      </c>
    </row>
    <row r="182" spans="1:10" x14ac:dyDescent="0.25">
      <c r="A182" s="1" t="str">
        <f t="shared" si="2"/>
        <v>2</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2027</v>
      </c>
      <c r="D182" s="1">
        <v>0</v>
      </c>
      <c r="E182" s="1">
        <v>0</v>
      </c>
      <c r="F182" s="1" t="s">
        <v>112</v>
      </c>
      <c r="G182" s="1">
        <v>0</v>
      </c>
    </row>
    <row r="183" spans="1:10" x14ac:dyDescent="0.25">
      <c r="A183" s="1" t="str">
        <f t="shared" si="2"/>
        <v>2</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2028</v>
      </c>
    </row>
    <row r="184" spans="1:10" x14ac:dyDescent="0.25">
      <c r="A184" s="1" t="str">
        <f t="shared" si="2"/>
        <v>2</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2029</v>
      </c>
    </row>
    <row r="185" spans="1:10" x14ac:dyDescent="0.25">
      <c r="A185" s="1" t="str">
        <f t="shared" si="2"/>
        <v>2</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2030</v>
      </c>
    </row>
    <row r="186" spans="1:10" x14ac:dyDescent="0.25">
      <c r="A186" s="1" t="str">
        <f t="shared" si="2"/>
        <v>2</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2031</v>
      </c>
      <c r="D186" s="1" t="s">
        <v>2032</v>
      </c>
      <c r="E186" s="1" t="s">
        <v>2033</v>
      </c>
      <c r="F186" s="1" t="s">
        <v>112</v>
      </c>
      <c r="G186" s="1">
        <v>125237</v>
      </c>
    </row>
    <row r="187" spans="1:10" x14ac:dyDescent="0.25">
      <c r="A187" s="1" t="str">
        <f t="shared" si="2"/>
        <v>2</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2034</v>
      </c>
      <c r="D187" s="1">
        <v>0</v>
      </c>
      <c r="E187" s="1">
        <v>0</v>
      </c>
      <c r="F187" s="1" t="s">
        <v>112</v>
      </c>
      <c r="G187" s="1">
        <v>0</v>
      </c>
    </row>
    <row r="188" spans="1:10" x14ac:dyDescent="0.25">
      <c r="A188" s="1" t="str">
        <f t="shared" si="2"/>
        <v>2</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2035</v>
      </c>
      <c r="D188" s="1" t="s">
        <v>2036</v>
      </c>
      <c r="E188" s="1" t="s">
        <v>2037</v>
      </c>
      <c r="F188" s="1" t="s">
        <v>112</v>
      </c>
      <c r="G188" s="1">
        <v>147754</v>
      </c>
    </row>
    <row r="189" spans="1:10" x14ac:dyDescent="0.25">
      <c r="A189" s="1" t="str">
        <f t="shared" si="2"/>
        <v>2</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2038</v>
      </c>
      <c r="D189" s="1" t="s">
        <v>1003</v>
      </c>
      <c r="E189" s="1" t="s">
        <v>2039</v>
      </c>
      <c r="F189" s="1" t="s">
        <v>112</v>
      </c>
      <c r="G189" s="1">
        <v>145959</v>
      </c>
    </row>
    <row r="190" spans="1:10" x14ac:dyDescent="0.25">
      <c r="A190" s="1" t="str">
        <f t="shared" si="2"/>
        <v>2</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2040</v>
      </c>
      <c r="D190" s="1" t="s">
        <v>1271</v>
      </c>
      <c r="E190" s="1" t="s">
        <v>2041</v>
      </c>
      <c r="F190" s="1" t="s">
        <v>112</v>
      </c>
      <c r="G190" s="1">
        <v>134538</v>
      </c>
    </row>
    <row r="191" spans="1:10" x14ac:dyDescent="0.2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112</v>
      </c>
    </row>
    <row r="192" spans="1:10" x14ac:dyDescent="0.2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237</v>
      </c>
      <c r="D192" s="1" t="s">
        <v>112</v>
      </c>
      <c r="E192" s="1" t="s">
        <v>238</v>
      </c>
      <c r="F192" s="1" t="s">
        <v>239</v>
      </c>
      <c r="G192" s="1" t="s">
        <v>240</v>
      </c>
      <c r="H192" s="1" t="s">
        <v>241</v>
      </c>
      <c r="I192" s="1" t="s">
        <v>242</v>
      </c>
      <c r="J192" s="1" t="s">
        <v>243</v>
      </c>
    </row>
    <row r="193" spans="1:10" x14ac:dyDescent="0.25">
      <c r="A193" s="1" t="str">
        <f t="shared" si="2"/>
        <v>2</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2042</v>
      </c>
      <c r="D193" s="1" t="s">
        <v>112</v>
      </c>
      <c r="E193" s="1" t="s">
        <v>2043</v>
      </c>
      <c r="F193" s="1" t="s">
        <v>2044</v>
      </c>
      <c r="G193" s="1" t="s">
        <v>2045</v>
      </c>
      <c r="H193" s="1" t="s">
        <v>2046</v>
      </c>
      <c r="I193" s="1">
        <v>21</v>
      </c>
      <c r="J193" s="1">
        <v>24</v>
      </c>
    </row>
    <row r="194" spans="1:10" x14ac:dyDescent="0.2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112</v>
      </c>
    </row>
    <row r="195" spans="1:10" x14ac:dyDescent="0.2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10" x14ac:dyDescent="0.2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10" x14ac:dyDescent="0.2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10" x14ac:dyDescent="0.2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10" x14ac:dyDescent="0.2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249</v>
      </c>
      <c r="D199" s="1" t="s">
        <v>110</v>
      </c>
      <c r="E199" s="1" t="s">
        <v>111</v>
      </c>
      <c r="F199" s="1" t="s">
        <v>112</v>
      </c>
      <c r="G199" s="1" t="s">
        <v>113</v>
      </c>
    </row>
    <row r="200" spans="1:10" x14ac:dyDescent="0.25">
      <c r="A200" s="1" t="str">
        <f t="shared" si="3"/>
        <v>3</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2047</v>
      </c>
      <c r="D200" s="1" t="s">
        <v>1554</v>
      </c>
      <c r="E200" s="1" t="s">
        <v>2048</v>
      </c>
      <c r="F200" s="1" t="s">
        <v>112</v>
      </c>
      <c r="G200" s="1">
        <v>269552</v>
      </c>
    </row>
    <row r="201" spans="1:10" x14ac:dyDescent="0.25">
      <c r="A201" s="1" t="str">
        <f t="shared" si="3"/>
        <v>3</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2049</v>
      </c>
      <c r="D201" s="1" t="s">
        <v>1583</v>
      </c>
      <c r="E201" s="1" t="s">
        <v>2050</v>
      </c>
      <c r="F201" s="1" t="s">
        <v>112</v>
      </c>
      <c r="G201" s="1">
        <v>22690</v>
      </c>
    </row>
    <row r="202" spans="1:10" x14ac:dyDescent="0.25">
      <c r="A202" s="1" t="str">
        <f t="shared" si="3"/>
        <v>3</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2051</v>
      </c>
      <c r="D202" s="1" t="s">
        <v>1824</v>
      </c>
      <c r="E202" s="1" t="s">
        <v>1825</v>
      </c>
      <c r="F202" s="1" t="s">
        <v>112</v>
      </c>
      <c r="G202" s="1">
        <v>19575</v>
      </c>
    </row>
    <row r="203" spans="1:10" x14ac:dyDescent="0.25">
      <c r="A203" s="1" t="str">
        <f t="shared" si="3"/>
        <v>3</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2052</v>
      </c>
      <c r="D203" s="1" t="s">
        <v>613</v>
      </c>
      <c r="E203" s="1" t="s">
        <v>2053</v>
      </c>
      <c r="F203" s="1" t="s">
        <v>112</v>
      </c>
      <c r="G203" s="1">
        <v>35733</v>
      </c>
    </row>
    <row r="204" spans="1:10" x14ac:dyDescent="0.25">
      <c r="A204" s="1" t="str">
        <f t="shared" si="3"/>
        <v>3</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2054</v>
      </c>
      <c r="D204" s="1" t="s">
        <v>1824</v>
      </c>
      <c r="E204" s="1" t="s">
        <v>2055</v>
      </c>
      <c r="F204" s="1" t="s">
        <v>112</v>
      </c>
      <c r="G204" s="1">
        <v>20137</v>
      </c>
    </row>
    <row r="205" spans="1:10" x14ac:dyDescent="0.25">
      <c r="A205" s="1" t="str">
        <f t="shared" si="3"/>
        <v>3</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2056</v>
      </c>
    </row>
    <row r="206" spans="1:10" x14ac:dyDescent="0.25">
      <c r="A206" s="1" t="str">
        <f t="shared" si="3"/>
        <v>3</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2057</v>
      </c>
      <c r="D206" s="1" t="s">
        <v>2058</v>
      </c>
      <c r="E206" s="1" t="s">
        <v>2059</v>
      </c>
      <c r="F206" s="1" t="s">
        <v>112</v>
      </c>
      <c r="G206" s="1">
        <v>233105</v>
      </c>
    </row>
    <row r="207" spans="1:10" x14ac:dyDescent="0.25">
      <c r="A207" s="1" t="str">
        <f t="shared" si="3"/>
        <v>3</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2060</v>
      </c>
    </row>
    <row r="208" spans="1:10" x14ac:dyDescent="0.25">
      <c r="A208" s="1" t="str">
        <f t="shared" si="3"/>
        <v>3</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2061</v>
      </c>
    </row>
    <row r="209" spans="1:7" x14ac:dyDescent="0.25">
      <c r="A209" s="1" t="str">
        <f t="shared" si="3"/>
        <v>3</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2062</v>
      </c>
      <c r="D209" s="1" t="s">
        <v>520</v>
      </c>
      <c r="E209" s="1" t="s">
        <v>2063</v>
      </c>
      <c r="F209" s="1" t="s">
        <v>112</v>
      </c>
      <c r="G209" s="1">
        <v>18234</v>
      </c>
    </row>
    <row r="210" spans="1:7" x14ac:dyDescent="0.25">
      <c r="A210" s="1" t="str">
        <f t="shared" si="3"/>
        <v>3</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2064</v>
      </c>
      <c r="D210" s="1" t="s">
        <v>1960</v>
      </c>
      <c r="E210" s="1">
        <v>32</v>
      </c>
      <c r="F210" s="1" t="s">
        <v>112</v>
      </c>
      <c r="G210" s="1">
        <v>56757</v>
      </c>
    </row>
    <row r="211" spans="1:7" x14ac:dyDescent="0.25">
      <c r="A211" s="1" t="str">
        <f t="shared" si="3"/>
        <v>3</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2065</v>
      </c>
      <c r="D211" s="1" t="s">
        <v>648</v>
      </c>
      <c r="E211" s="1" t="s">
        <v>2066</v>
      </c>
      <c r="F211" s="1" t="s">
        <v>112</v>
      </c>
      <c r="G211" s="1">
        <v>98611</v>
      </c>
    </row>
    <row r="212" spans="1:7" x14ac:dyDescent="0.25">
      <c r="A212" s="1" t="str">
        <f t="shared" si="3"/>
        <v>3</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2067</v>
      </c>
      <c r="D212" s="1" t="s">
        <v>557</v>
      </c>
      <c r="E212" s="1" t="s">
        <v>2068</v>
      </c>
      <c r="F212" s="1" t="s">
        <v>112</v>
      </c>
      <c r="G212" s="1">
        <v>217186</v>
      </c>
    </row>
    <row r="213" spans="1:7" x14ac:dyDescent="0.25">
      <c r="A213" s="1" t="str">
        <f t="shared" si="3"/>
        <v>3</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2069</v>
      </c>
      <c r="D213" s="1" t="s">
        <v>1978</v>
      </c>
      <c r="E213" s="1" t="s">
        <v>2070</v>
      </c>
      <c r="F213" s="1" t="s">
        <v>112</v>
      </c>
      <c r="G213" s="1">
        <v>165945</v>
      </c>
    </row>
    <row r="214" spans="1:7" x14ac:dyDescent="0.25">
      <c r="A214" s="1" t="str">
        <f t="shared" si="3"/>
        <v>3</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2071</v>
      </c>
      <c r="D214" s="1" t="s">
        <v>2072</v>
      </c>
      <c r="E214" s="1" t="s">
        <v>2073</v>
      </c>
      <c r="F214" s="1" t="s">
        <v>112</v>
      </c>
      <c r="G214" s="1">
        <v>188829</v>
      </c>
    </row>
    <row r="215" spans="1:7" x14ac:dyDescent="0.25">
      <c r="A215" s="1" t="str">
        <f t="shared" si="3"/>
        <v>3</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2074</v>
      </c>
      <c r="D215" s="1">
        <v>0</v>
      </c>
      <c r="E215" s="1">
        <v>0</v>
      </c>
      <c r="F215" s="1" t="s">
        <v>112</v>
      </c>
      <c r="G215" s="1">
        <v>0</v>
      </c>
    </row>
    <row r="216" spans="1:7" x14ac:dyDescent="0.25">
      <c r="A216" s="1" t="str">
        <f t="shared" si="3"/>
        <v>3</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2075</v>
      </c>
      <c r="D216" s="1" t="s">
        <v>2076</v>
      </c>
      <c r="E216" s="1" t="s">
        <v>2077</v>
      </c>
      <c r="F216" s="1" t="s">
        <v>112</v>
      </c>
      <c r="G216" s="1">
        <v>216429</v>
      </c>
    </row>
    <row r="217" spans="1:7" x14ac:dyDescent="0.25">
      <c r="A217" s="1" t="str">
        <f t="shared" si="3"/>
        <v>3</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2078</v>
      </c>
      <c r="D217" s="1" t="s">
        <v>151</v>
      </c>
      <c r="E217" s="1" t="s">
        <v>2079</v>
      </c>
      <c r="F217" s="1" t="s">
        <v>112</v>
      </c>
      <c r="G217" s="1">
        <v>138972</v>
      </c>
    </row>
    <row r="218" spans="1:7" x14ac:dyDescent="0.25">
      <c r="A218" s="1" t="str">
        <f t="shared" si="3"/>
        <v>3</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2080</v>
      </c>
      <c r="D218" s="1" t="s">
        <v>227</v>
      </c>
      <c r="E218" s="1">
        <v>32</v>
      </c>
      <c r="F218" s="1" t="s">
        <v>112</v>
      </c>
      <c r="G218" s="1">
        <v>1384</v>
      </c>
    </row>
    <row r="219" spans="1:7" x14ac:dyDescent="0.25">
      <c r="A219" s="1" t="str">
        <f t="shared" si="3"/>
        <v>3</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2081</v>
      </c>
      <c r="D219" s="1" t="s">
        <v>2082</v>
      </c>
      <c r="E219" s="1" t="s">
        <v>2083</v>
      </c>
      <c r="F219" s="1" t="s">
        <v>112</v>
      </c>
      <c r="G219" s="1">
        <v>212990</v>
      </c>
    </row>
    <row r="220" spans="1:7" x14ac:dyDescent="0.25">
      <c r="A220" s="1" t="str">
        <f t="shared" si="3"/>
        <v>3</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2084</v>
      </c>
      <c r="D220" s="1" t="s">
        <v>2085</v>
      </c>
      <c r="E220" s="1" t="s">
        <v>2086</v>
      </c>
      <c r="F220" s="1" t="s">
        <v>112</v>
      </c>
      <c r="G220" s="1">
        <v>219068</v>
      </c>
    </row>
    <row r="221" spans="1:7" x14ac:dyDescent="0.25">
      <c r="A221" s="1" t="str">
        <f t="shared" si="3"/>
        <v>3</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2087</v>
      </c>
      <c r="D221" s="1">
        <v>0</v>
      </c>
      <c r="E221" s="1">
        <v>0</v>
      </c>
      <c r="F221" s="1" t="s">
        <v>112</v>
      </c>
      <c r="G221" s="1">
        <v>0</v>
      </c>
    </row>
    <row r="222" spans="1:7" x14ac:dyDescent="0.25">
      <c r="A222" s="1" t="str">
        <f t="shared" si="3"/>
        <v>3</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2088</v>
      </c>
      <c r="D222" s="1" t="s">
        <v>309</v>
      </c>
      <c r="E222" s="1" t="s">
        <v>2089</v>
      </c>
      <c r="F222" s="1" t="s">
        <v>112</v>
      </c>
      <c r="G222" s="1">
        <v>7051</v>
      </c>
    </row>
    <row r="223" spans="1:7" x14ac:dyDescent="0.25">
      <c r="A223" s="1" t="str">
        <f t="shared" si="3"/>
        <v>3</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2090</v>
      </c>
      <c r="D223" s="1" t="s">
        <v>520</v>
      </c>
      <c r="E223" s="1" t="s">
        <v>2091</v>
      </c>
      <c r="F223" s="1" t="s">
        <v>112</v>
      </c>
      <c r="G223" s="1">
        <v>18645</v>
      </c>
    </row>
    <row r="224" spans="1:7" x14ac:dyDescent="0.2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112</v>
      </c>
    </row>
    <row r="225" spans="1:10" x14ac:dyDescent="0.2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237</v>
      </c>
      <c r="D225" s="1" t="s">
        <v>112</v>
      </c>
      <c r="E225" s="1" t="s">
        <v>238</v>
      </c>
      <c r="F225" s="1" t="s">
        <v>239</v>
      </c>
      <c r="G225" s="1" t="s">
        <v>240</v>
      </c>
      <c r="H225" s="1" t="s">
        <v>241</v>
      </c>
      <c r="I225" s="1" t="s">
        <v>242</v>
      </c>
      <c r="J225" s="1" t="s">
        <v>243</v>
      </c>
    </row>
    <row r="226" spans="1:10" x14ac:dyDescent="0.25">
      <c r="A226" s="1" t="str">
        <f t="shared" si="3"/>
        <v>3</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2092</v>
      </c>
      <c r="D226" s="1" t="s">
        <v>112</v>
      </c>
      <c r="E226" s="1" t="s">
        <v>2093</v>
      </c>
      <c r="F226" s="1" t="s">
        <v>2094</v>
      </c>
      <c r="G226" s="1" t="s">
        <v>2095</v>
      </c>
      <c r="H226" s="1" t="s">
        <v>2096</v>
      </c>
      <c r="I226" s="1">
        <v>21</v>
      </c>
      <c r="J226" s="1">
        <v>24</v>
      </c>
    </row>
    <row r="227" spans="1:10" x14ac:dyDescent="0.2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112</v>
      </c>
    </row>
    <row r="228" spans="1:10" x14ac:dyDescent="0.2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10" x14ac:dyDescent="0.2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10" x14ac:dyDescent="0.2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10" x14ac:dyDescent="0.2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10" x14ac:dyDescent="0.2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249</v>
      </c>
      <c r="D232" s="1" t="s">
        <v>110</v>
      </c>
      <c r="E232" s="1" t="s">
        <v>111</v>
      </c>
      <c r="F232" s="1" t="s">
        <v>112</v>
      </c>
      <c r="G232" s="1" t="s">
        <v>113</v>
      </c>
    </row>
    <row r="233" spans="1:10" x14ac:dyDescent="0.25">
      <c r="A233" s="1" t="str">
        <f t="shared" si="3"/>
        <v>4</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2097</v>
      </c>
      <c r="D233" s="1" t="s">
        <v>1477</v>
      </c>
      <c r="E233" s="1" t="s">
        <v>2098</v>
      </c>
      <c r="F233" s="1" t="s">
        <v>112</v>
      </c>
      <c r="G233" s="1">
        <v>3374</v>
      </c>
    </row>
    <row r="234" spans="1:10" x14ac:dyDescent="0.25">
      <c r="A234" s="1" t="str">
        <f t="shared" si="3"/>
        <v>4</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2099</v>
      </c>
      <c r="D234" s="1" t="s">
        <v>469</v>
      </c>
      <c r="E234" s="1" t="s">
        <v>2100</v>
      </c>
      <c r="F234" s="1" t="s">
        <v>112</v>
      </c>
      <c r="G234" s="1">
        <v>39626</v>
      </c>
    </row>
    <row r="235" spans="1:10" x14ac:dyDescent="0.25">
      <c r="A235" s="1" t="str">
        <f t="shared" si="3"/>
        <v>4</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2101</v>
      </c>
    </row>
    <row r="236" spans="1:10" x14ac:dyDescent="0.25">
      <c r="A236" s="1" t="str">
        <f t="shared" si="3"/>
        <v>4</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2102</v>
      </c>
      <c r="D236" s="1" t="s">
        <v>2103</v>
      </c>
      <c r="E236" s="1" t="s">
        <v>2104</v>
      </c>
      <c r="F236" s="1" t="s">
        <v>112</v>
      </c>
      <c r="G236" s="1">
        <v>73563</v>
      </c>
    </row>
    <row r="237" spans="1:10" x14ac:dyDescent="0.25">
      <c r="A237" s="1" t="str">
        <f t="shared" si="3"/>
        <v>4</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2105</v>
      </c>
      <c r="D237" s="1" t="s">
        <v>2106</v>
      </c>
      <c r="E237" s="1" t="s">
        <v>2107</v>
      </c>
      <c r="F237" s="1" t="s">
        <v>112</v>
      </c>
      <c r="G237" s="1">
        <v>44752</v>
      </c>
    </row>
    <row r="238" spans="1:10" x14ac:dyDescent="0.25">
      <c r="A238" s="1" t="str">
        <f t="shared" si="3"/>
        <v>4</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2108</v>
      </c>
      <c r="D238" s="1" t="s">
        <v>2009</v>
      </c>
      <c r="E238" s="1" t="s">
        <v>2109</v>
      </c>
      <c r="F238" s="1" t="s">
        <v>112</v>
      </c>
      <c r="G238" s="1">
        <v>110961</v>
      </c>
    </row>
    <row r="239" spans="1:10" x14ac:dyDescent="0.25">
      <c r="A239" s="1" t="str">
        <f t="shared" si="3"/>
        <v>4</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2110</v>
      </c>
    </row>
    <row r="240" spans="1:10" x14ac:dyDescent="0.25">
      <c r="A240" s="1" t="str">
        <f t="shared" si="3"/>
        <v>4</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2111</v>
      </c>
    </row>
    <row r="241" spans="1:7" x14ac:dyDescent="0.25">
      <c r="A241" s="1" t="str">
        <f t="shared" si="3"/>
        <v>4</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2112</v>
      </c>
    </row>
    <row r="242" spans="1:7" x14ac:dyDescent="0.25">
      <c r="A242" s="1" t="str">
        <f t="shared" si="3"/>
        <v>4</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2113</v>
      </c>
      <c r="D242" s="1" t="s">
        <v>2114</v>
      </c>
      <c r="E242" s="1" t="s">
        <v>2115</v>
      </c>
      <c r="F242" s="1" t="s">
        <v>112</v>
      </c>
      <c r="G242" s="1">
        <v>5321</v>
      </c>
    </row>
    <row r="243" spans="1:7" x14ac:dyDescent="0.25">
      <c r="A243" s="1" t="str">
        <f t="shared" si="3"/>
        <v>4</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2116</v>
      </c>
      <c r="D243" s="1" t="s">
        <v>1777</v>
      </c>
      <c r="E243" s="1" t="s">
        <v>2117</v>
      </c>
      <c r="F243" s="1" t="s">
        <v>112</v>
      </c>
      <c r="G243" s="1">
        <v>161943</v>
      </c>
    </row>
    <row r="244" spans="1:7" x14ac:dyDescent="0.25">
      <c r="A244" s="1" t="str">
        <f t="shared" si="3"/>
        <v>4</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2118</v>
      </c>
      <c r="D244" s="1" t="s">
        <v>372</v>
      </c>
      <c r="E244" s="1" t="s">
        <v>2119</v>
      </c>
      <c r="F244" s="1" t="s">
        <v>112</v>
      </c>
      <c r="G244" s="1">
        <v>144315</v>
      </c>
    </row>
    <row r="245" spans="1:7" x14ac:dyDescent="0.25">
      <c r="A245" s="1" t="str">
        <f t="shared" si="3"/>
        <v>4</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2120</v>
      </c>
      <c r="D245" s="1" t="s">
        <v>1051</v>
      </c>
      <c r="E245" s="1" t="s">
        <v>2121</v>
      </c>
      <c r="F245" s="1" t="s">
        <v>112</v>
      </c>
      <c r="G245" s="1">
        <v>195599</v>
      </c>
    </row>
    <row r="246" spans="1:7" x14ac:dyDescent="0.25">
      <c r="A246" s="1" t="str">
        <f t="shared" si="3"/>
        <v>4</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2122</v>
      </c>
      <c r="D246" s="1" t="s">
        <v>2123</v>
      </c>
      <c r="E246" s="1" t="s">
        <v>2124</v>
      </c>
      <c r="F246" s="1" t="s">
        <v>112</v>
      </c>
      <c r="G246" s="1">
        <v>9496</v>
      </c>
    </row>
    <row r="247" spans="1:7" x14ac:dyDescent="0.25">
      <c r="A247" s="1" t="str">
        <f t="shared" si="3"/>
        <v>4</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2125</v>
      </c>
      <c r="D247" s="1" t="s">
        <v>2126</v>
      </c>
      <c r="E247" s="1" t="s">
        <v>2127</v>
      </c>
      <c r="F247" s="1" t="s">
        <v>112</v>
      </c>
      <c r="G247" s="1">
        <v>216299</v>
      </c>
    </row>
    <row r="248" spans="1:7" x14ac:dyDescent="0.25">
      <c r="A248" s="1" t="str">
        <f t="shared" si="3"/>
        <v>4</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2128</v>
      </c>
      <c r="D248" s="1" t="s">
        <v>2129</v>
      </c>
      <c r="E248" s="1" t="s">
        <v>2130</v>
      </c>
      <c r="F248" s="1" t="s">
        <v>112</v>
      </c>
      <c r="G248" s="1">
        <v>233387</v>
      </c>
    </row>
    <row r="249" spans="1:7" x14ac:dyDescent="0.25">
      <c r="A249" s="1" t="str">
        <f t="shared" si="3"/>
        <v>4</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2131</v>
      </c>
      <c r="D249" s="1" t="s">
        <v>2132</v>
      </c>
      <c r="E249" s="1" t="s">
        <v>2133</v>
      </c>
      <c r="F249" s="1" t="s">
        <v>112</v>
      </c>
      <c r="G249" s="1">
        <v>160169</v>
      </c>
    </row>
    <row r="250" spans="1:7" x14ac:dyDescent="0.25">
      <c r="A250" s="1" t="str">
        <f t="shared" si="3"/>
        <v>4</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2134</v>
      </c>
      <c r="D250" s="1" t="s">
        <v>2135</v>
      </c>
      <c r="E250" s="1" t="s">
        <v>2136</v>
      </c>
      <c r="F250" s="1" t="s">
        <v>112</v>
      </c>
      <c r="G250" s="1">
        <v>154156</v>
      </c>
    </row>
    <row r="251" spans="1:7" x14ac:dyDescent="0.25">
      <c r="A251" s="1" t="str">
        <f t="shared" si="3"/>
        <v>4</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2137</v>
      </c>
      <c r="D251" s="1" t="s">
        <v>2138</v>
      </c>
      <c r="E251" s="1" t="s">
        <v>2139</v>
      </c>
      <c r="F251" s="1" t="s">
        <v>112</v>
      </c>
      <c r="G251" s="1">
        <v>496795</v>
      </c>
    </row>
    <row r="252" spans="1:7" x14ac:dyDescent="0.25">
      <c r="A252" s="1" t="str">
        <f t="shared" si="3"/>
        <v>4</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2140</v>
      </c>
      <c r="D252" s="1" t="s">
        <v>2141</v>
      </c>
      <c r="E252" s="1" t="s">
        <v>2142</v>
      </c>
      <c r="F252" s="1" t="s">
        <v>112</v>
      </c>
      <c r="G252" s="1">
        <v>455482</v>
      </c>
    </row>
    <row r="253" spans="1:7" x14ac:dyDescent="0.25">
      <c r="A253" s="1" t="str">
        <f t="shared" si="3"/>
        <v>4</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2143</v>
      </c>
    </row>
    <row r="254" spans="1:7" x14ac:dyDescent="0.25">
      <c r="A254" s="1" t="str">
        <f t="shared" si="3"/>
        <v>4</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2144</v>
      </c>
      <c r="D254" s="1" t="s">
        <v>997</v>
      </c>
      <c r="E254" s="1" t="s">
        <v>2145</v>
      </c>
      <c r="F254" s="1" t="s">
        <v>112</v>
      </c>
      <c r="G254" s="1">
        <v>142801</v>
      </c>
    </row>
    <row r="255" spans="1:7" x14ac:dyDescent="0.25">
      <c r="A255" s="1" t="str">
        <f t="shared" si="3"/>
        <v>4</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2146</v>
      </c>
      <c r="D255" s="1" t="s">
        <v>2147</v>
      </c>
      <c r="E255" s="1" t="s">
        <v>2148</v>
      </c>
      <c r="F255" s="1" t="s">
        <v>112</v>
      </c>
      <c r="G255" s="1">
        <v>95691</v>
      </c>
    </row>
    <row r="256" spans="1:7" x14ac:dyDescent="0.25">
      <c r="A256" s="1" t="str">
        <f t="shared" si="3"/>
        <v>4</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2149</v>
      </c>
      <c r="D256" s="1" t="s">
        <v>2150</v>
      </c>
      <c r="E256" s="1" t="s">
        <v>2151</v>
      </c>
      <c r="F256" s="1" t="s">
        <v>112</v>
      </c>
      <c r="G256" s="1">
        <v>359943</v>
      </c>
    </row>
    <row r="257" spans="1:10" x14ac:dyDescent="0.2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112</v>
      </c>
    </row>
    <row r="258" spans="1:10" x14ac:dyDescent="0.2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237</v>
      </c>
      <c r="D258" s="1" t="s">
        <v>112</v>
      </c>
      <c r="E258" s="1" t="s">
        <v>238</v>
      </c>
      <c r="F258" s="1" t="s">
        <v>239</v>
      </c>
      <c r="G258" s="1" t="s">
        <v>240</v>
      </c>
      <c r="H258" s="1" t="s">
        <v>241</v>
      </c>
      <c r="I258" s="1" t="s">
        <v>242</v>
      </c>
      <c r="J258" s="1" t="s">
        <v>243</v>
      </c>
    </row>
    <row r="259" spans="1:10" x14ac:dyDescent="0.25">
      <c r="A259" s="1" t="str">
        <f t="shared" si="4"/>
        <v>4</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2152</v>
      </c>
      <c r="D259" s="1" t="s">
        <v>112</v>
      </c>
      <c r="E259" s="1" t="s">
        <v>2153</v>
      </c>
      <c r="F259" s="1" t="s">
        <v>2154</v>
      </c>
      <c r="G259" s="1" t="s">
        <v>2155</v>
      </c>
      <c r="H259" s="1" t="s">
        <v>2156</v>
      </c>
      <c r="I259" s="1">
        <v>22</v>
      </c>
      <c r="J259" s="1">
        <v>24</v>
      </c>
    </row>
    <row r="260" spans="1:10" x14ac:dyDescent="0.2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112</v>
      </c>
    </row>
    <row r="261" spans="1:10" x14ac:dyDescent="0.2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10" x14ac:dyDescent="0.2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10" x14ac:dyDescent="0.2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10" x14ac:dyDescent="0.2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10" x14ac:dyDescent="0.2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249</v>
      </c>
      <c r="D265" s="1" t="s">
        <v>110</v>
      </c>
      <c r="E265" s="1" t="s">
        <v>111</v>
      </c>
      <c r="F265" s="1" t="s">
        <v>112</v>
      </c>
      <c r="G265" s="1" t="s">
        <v>113</v>
      </c>
    </row>
    <row r="266" spans="1:10" x14ac:dyDescent="0.25">
      <c r="A266" s="1" t="str">
        <f t="shared" si="4"/>
        <v>5</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2157</v>
      </c>
      <c r="D266" s="1" t="s">
        <v>227</v>
      </c>
      <c r="E266" s="1" t="s">
        <v>1958</v>
      </c>
      <c r="F266" s="1" t="s">
        <v>112</v>
      </c>
      <c r="G266" s="1">
        <v>1363</v>
      </c>
    </row>
    <row r="267" spans="1:10" x14ac:dyDescent="0.25">
      <c r="A267" s="1" t="str">
        <f t="shared" si="4"/>
        <v>5</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2158</v>
      </c>
      <c r="D267" s="1">
        <v>0</v>
      </c>
      <c r="E267" s="1">
        <v>0</v>
      </c>
      <c r="F267" s="1" t="s">
        <v>112</v>
      </c>
      <c r="G267" s="1">
        <v>0</v>
      </c>
    </row>
    <row r="268" spans="1:10" x14ac:dyDescent="0.25">
      <c r="A268" s="1" t="str">
        <f t="shared" si="4"/>
        <v>5</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2159</v>
      </c>
    </row>
    <row r="269" spans="1:10" x14ac:dyDescent="0.25">
      <c r="A269" s="1" t="str">
        <f t="shared" si="4"/>
        <v>5</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2160</v>
      </c>
      <c r="D269" s="1" t="s">
        <v>2161</v>
      </c>
      <c r="E269" s="1" t="s">
        <v>2162</v>
      </c>
      <c r="F269" s="1" t="s">
        <v>112</v>
      </c>
      <c r="G269" s="1">
        <v>846097</v>
      </c>
    </row>
    <row r="270" spans="1:10" x14ac:dyDescent="0.25">
      <c r="A270" s="1" t="str">
        <f t="shared" si="4"/>
        <v>5</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2163</v>
      </c>
      <c r="D270" s="1" t="s">
        <v>2164</v>
      </c>
      <c r="E270" s="1" t="s">
        <v>2165</v>
      </c>
      <c r="F270" s="1" t="s">
        <v>112</v>
      </c>
      <c r="G270" s="1">
        <v>1385243</v>
      </c>
    </row>
    <row r="271" spans="1:10" x14ac:dyDescent="0.25">
      <c r="A271" s="1" t="str">
        <f t="shared" si="4"/>
        <v>5</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2166</v>
      </c>
      <c r="D271" s="1" t="s">
        <v>2167</v>
      </c>
      <c r="E271" s="1" t="s">
        <v>2168</v>
      </c>
      <c r="F271" s="1" t="s">
        <v>112</v>
      </c>
      <c r="G271" s="1">
        <v>1202492</v>
      </c>
    </row>
    <row r="272" spans="1:10" x14ac:dyDescent="0.25">
      <c r="A272" s="1" t="str">
        <f t="shared" si="4"/>
        <v>5</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2169</v>
      </c>
      <c r="D272" s="1" t="s">
        <v>2170</v>
      </c>
      <c r="E272" s="1" t="s">
        <v>2171</v>
      </c>
      <c r="F272" s="1" t="s">
        <v>112</v>
      </c>
      <c r="G272" s="1">
        <v>68653</v>
      </c>
    </row>
    <row r="273" spans="1:7" x14ac:dyDescent="0.25">
      <c r="A273" s="1" t="str">
        <f t="shared" si="4"/>
        <v>5</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2172</v>
      </c>
      <c r="D273" s="1" t="s">
        <v>1583</v>
      </c>
      <c r="E273" s="1" t="s">
        <v>2173</v>
      </c>
      <c r="F273" s="1" t="s">
        <v>112</v>
      </c>
      <c r="G273" s="1">
        <v>21781</v>
      </c>
    </row>
    <row r="274" spans="1:7" x14ac:dyDescent="0.25">
      <c r="A274" s="1" t="str">
        <f t="shared" si="4"/>
        <v>5</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2174</v>
      </c>
      <c r="D274" s="1">
        <v>0</v>
      </c>
      <c r="E274" s="1">
        <v>0</v>
      </c>
      <c r="F274" s="1" t="s">
        <v>112</v>
      </c>
      <c r="G274" s="1">
        <v>0</v>
      </c>
    </row>
    <row r="275" spans="1:7" x14ac:dyDescent="0.25">
      <c r="A275" s="1" t="str">
        <f t="shared" si="4"/>
        <v>5</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2175</v>
      </c>
      <c r="D275" s="1">
        <v>0</v>
      </c>
      <c r="E275" s="1">
        <v>0</v>
      </c>
      <c r="F275" s="1" t="s">
        <v>112</v>
      </c>
      <c r="G275" s="1">
        <v>0</v>
      </c>
    </row>
    <row r="276" spans="1:7" x14ac:dyDescent="0.25">
      <c r="A276" s="1" t="str">
        <f t="shared" si="4"/>
        <v>5</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2176</v>
      </c>
    </row>
    <row r="277" spans="1:7" x14ac:dyDescent="0.25">
      <c r="A277" s="1" t="str">
        <f t="shared" si="4"/>
        <v>5</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2177</v>
      </c>
      <c r="D277" s="1">
        <v>0</v>
      </c>
      <c r="E277" s="1">
        <v>0</v>
      </c>
      <c r="F277" s="1" t="s">
        <v>112</v>
      </c>
      <c r="G277" s="1">
        <v>0</v>
      </c>
    </row>
    <row r="278" spans="1:7" x14ac:dyDescent="0.25">
      <c r="A278" s="1" t="str">
        <f t="shared" si="4"/>
        <v>5</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2178</v>
      </c>
      <c r="D278" s="1" t="s">
        <v>2179</v>
      </c>
      <c r="E278" s="1" t="s">
        <v>2180</v>
      </c>
      <c r="F278" s="1" t="s">
        <v>112</v>
      </c>
      <c r="G278" s="1">
        <v>977260</v>
      </c>
    </row>
    <row r="279" spans="1:7" x14ac:dyDescent="0.25">
      <c r="A279" s="1" t="str">
        <f t="shared" si="4"/>
        <v>5</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2181</v>
      </c>
      <c r="D279" s="1" t="s">
        <v>643</v>
      </c>
      <c r="E279" s="1" t="s">
        <v>2182</v>
      </c>
      <c r="F279" s="1" t="s">
        <v>112</v>
      </c>
      <c r="G279" s="1">
        <v>110680</v>
      </c>
    </row>
    <row r="280" spans="1:7" x14ac:dyDescent="0.25">
      <c r="A280" s="1" t="str">
        <f t="shared" si="4"/>
        <v>5</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2183</v>
      </c>
      <c r="D280" s="1" t="s">
        <v>2184</v>
      </c>
      <c r="E280" s="1" t="s">
        <v>2185</v>
      </c>
      <c r="F280" s="1" t="s">
        <v>112</v>
      </c>
      <c r="G280" s="1">
        <v>448388</v>
      </c>
    </row>
    <row r="281" spans="1:7" x14ac:dyDescent="0.25">
      <c r="A281" s="1" t="str">
        <f t="shared" si="4"/>
        <v>5</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2186</v>
      </c>
      <c r="D281" s="1">
        <v>0</v>
      </c>
      <c r="E281" s="1">
        <v>0</v>
      </c>
      <c r="F281" s="1" t="s">
        <v>112</v>
      </c>
      <c r="G281" s="1">
        <v>0</v>
      </c>
    </row>
    <row r="282" spans="1:7" x14ac:dyDescent="0.25">
      <c r="A282" s="1" t="str">
        <f t="shared" si="4"/>
        <v>5</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2187</v>
      </c>
      <c r="D282" s="1" t="s">
        <v>2188</v>
      </c>
      <c r="E282" s="1" t="s">
        <v>2189</v>
      </c>
      <c r="F282" s="1" t="s">
        <v>112</v>
      </c>
      <c r="G282" s="1">
        <v>22236</v>
      </c>
    </row>
    <row r="283" spans="1:7" x14ac:dyDescent="0.25">
      <c r="A283" s="1" t="str">
        <f t="shared" si="4"/>
        <v>5</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2190</v>
      </c>
      <c r="D283" s="1">
        <v>0</v>
      </c>
      <c r="E283" s="1">
        <v>0</v>
      </c>
      <c r="F283" s="1" t="s">
        <v>112</v>
      </c>
      <c r="G283" s="1">
        <v>0</v>
      </c>
    </row>
    <row r="284" spans="1:7" x14ac:dyDescent="0.25">
      <c r="A284" s="1" t="str">
        <f t="shared" si="4"/>
        <v>5</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2191</v>
      </c>
      <c r="D284" s="1" t="s">
        <v>1032</v>
      </c>
      <c r="E284" s="1" t="s">
        <v>2192</v>
      </c>
      <c r="F284" s="1" t="s">
        <v>112</v>
      </c>
      <c r="G284" s="1">
        <v>259040</v>
      </c>
    </row>
    <row r="285" spans="1:7" x14ac:dyDescent="0.25">
      <c r="A285" s="1" t="str">
        <f t="shared" si="4"/>
        <v>5</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2193</v>
      </c>
      <c r="D285" s="1" t="s">
        <v>2194</v>
      </c>
      <c r="E285" s="1" t="s">
        <v>2195</v>
      </c>
      <c r="F285" s="1" t="s">
        <v>112</v>
      </c>
      <c r="G285" s="1">
        <v>144509</v>
      </c>
    </row>
    <row r="286" spans="1:7" x14ac:dyDescent="0.25">
      <c r="A286" s="1" t="str">
        <f t="shared" si="4"/>
        <v>5</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2196</v>
      </c>
      <c r="D286" s="1" t="s">
        <v>176</v>
      </c>
      <c r="E286" s="1" t="s">
        <v>2197</v>
      </c>
      <c r="F286" s="1" t="s">
        <v>112</v>
      </c>
      <c r="G286" s="1">
        <v>132721</v>
      </c>
    </row>
    <row r="287" spans="1:7" x14ac:dyDescent="0.25">
      <c r="A287" s="1" t="str">
        <f t="shared" si="4"/>
        <v>5</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2198</v>
      </c>
      <c r="D287" s="1" t="s">
        <v>2199</v>
      </c>
      <c r="E287" s="1" t="s">
        <v>2200</v>
      </c>
      <c r="F287" s="1" t="s">
        <v>112</v>
      </c>
      <c r="G287" s="1">
        <v>90781</v>
      </c>
    </row>
    <row r="288" spans="1:7" x14ac:dyDescent="0.25">
      <c r="A288" s="1" t="str">
        <f t="shared" si="4"/>
        <v>5</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2201</v>
      </c>
      <c r="D288" s="1" t="s">
        <v>2202</v>
      </c>
      <c r="E288" s="1" t="s">
        <v>2203</v>
      </c>
      <c r="F288" s="1" t="s">
        <v>112</v>
      </c>
      <c r="G288" s="1">
        <v>219327</v>
      </c>
    </row>
    <row r="289" spans="1:10" x14ac:dyDescent="0.25">
      <c r="A289" s="1" t="str">
        <f t="shared" si="4"/>
        <v>5</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2204</v>
      </c>
      <c r="D289" s="1" t="s">
        <v>502</v>
      </c>
      <c r="E289" s="1" t="s">
        <v>2205</v>
      </c>
      <c r="F289" s="1" t="s">
        <v>112</v>
      </c>
      <c r="G289" s="1">
        <v>83600</v>
      </c>
    </row>
    <row r="290" spans="1:10" x14ac:dyDescent="0.2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112</v>
      </c>
    </row>
    <row r="291" spans="1:10" x14ac:dyDescent="0.2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237</v>
      </c>
      <c r="D291" s="1" t="s">
        <v>112</v>
      </c>
      <c r="E291" s="1" t="s">
        <v>238</v>
      </c>
      <c r="F291" s="1" t="s">
        <v>239</v>
      </c>
      <c r="G291" s="1" t="s">
        <v>240</v>
      </c>
      <c r="H291" s="1" t="s">
        <v>241</v>
      </c>
      <c r="I291" s="1" t="s">
        <v>242</v>
      </c>
      <c r="J291" s="1" t="s">
        <v>243</v>
      </c>
    </row>
    <row r="292" spans="1:10" x14ac:dyDescent="0.25">
      <c r="A292" s="1" t="str">
        <f t="shared" si="4"/>
        <v>5</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2206</v>
      </c>
      <c r="D292" s="1" t="s">
        <v>112</v>
      </c>
      <c r="E292" s="1" t="s">
        <v>2207</v>
      </c>
      <c r="F292" s="1" t="s">
        <v>2208</v>
      </c>
      <c r="G292" s="1" t="s">
        <v>2209</v>
      </c>
      <c r="H292" s="1" t="s">
        <v>2210</v>
      </c>
      <c r="I292" s="1">
        <v>17</v>
      </c>
      <c r="J292" s="1">
        <v>24</v>
      </c>
    </row>
    <row r="293" spans="1:10" x14ac:dyDescent="0.2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112</v>
      </c>
    </row>
    <row r="294" spans="1:10" x14ac:dyDescent="0.2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10" x14ac:dyDescent="0.2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10" x14ac:dyDescent="0.2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10" x14ac:dyDescent="0.2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10" x14ac:dyDescent="0.2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249</v>
      </c>
      <c r="D298" s="1" t="s">
        <v>110</v>
      </c>
      <c r="E298" s="1" t="s">
        <v>111</v>
      </c>
      <c r="F298" s="1" t="s">
        <v>112</v>
      </c>
      <c r="G298" s="1" t="s">
        <v>113</v>
      </c>
    </row>
    <row r="299" spans="1:10" x14ac:dyDescent="0.25">
      <c r="A299" s="1" t="str">
        <f t="shared" si="4"/>
        <v>6</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2211</v>
      </c>
      <c r="D299" s="1" t="s">
        <v>2212</v>
      </c>
      <c r="E299" s="1" t="s">
        <v>2213</v>
      </c>
      <c r="F299" s="1" t="s">
        <v>112</v>
      </c>
      <c r="G299" s="1">
        <v>2138980</v>
      </c>
    </row>
    <row r="300" spans="1:10" x14ac:dyDescent="0.25">
      <c r="A300" s="1" t="str">
        <f t="shared" si="4"/>
        <v>6</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2214</v>
      </c>
      <c r="D300" s="1" t="s">
        <v>2215</v>
      </c>
      <c r="E300" s="1" t="s">
        <v>2216</v>
      </c>
      <c r="F300" s="1" t="s">
        <v>112</v>
      </c>
      <c r="G300" s="1">
        <v>2197013</v>
      </c>
    </row>
    <row r="301" spans="1:10" x14ac:dyDescent="0.25">
      <c r="A301" s="1" t="str">
        <f t="shared" si="4"/>
        <v>6</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2217</v>
      </c>
      <c r="D301" s="1" t="s">
        <v>2218</v>
      </c>
      <c r="E301" s="1" t="s">
        <v>2219</v>
      </c>
      <c r="F301" s="1" t="s">
        <v>112</v>
      </c>
      <c r="G301" s="1">
        <v>2777516</v>
      </c>
    </row>
    <row r="302" spans="1:10" x14ac:dyDescent="0.25">
      <c r="A302" s="1" t="str">
        <f t="shared" si="4"/>
        <v>6</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2220</v>
      </c>
      <c r="D302" s="1" t="s">
        <v>2221</v>
      </c>
      <c r="E302" s="1" t="s">
        <v>2222</v>
      </c>
      <c r="F302" s="1" t="s">
        <v>112</v>
      </c>
      <c r="G302" s="1">
        <v>2349180</v>
      </c>
    </row>
    <row r="303" spans="1:10" x14ac:dyDescent="0.25">
      <c r="A303" s="1" t="str">
        <f t="shared" si="4"/>
        <v>6</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2223</v>
      </c>
      <c r="D303" s="1" t="s">
        <v>2224</v>
      </c>
      <c r="E303" s="1" t="s">
        <v>2225</v>
      </c>
      <c r="F303" s="1" t="s">
        <v>112</v>
      </c>
      <c r="G303" s="1">
        <v>2259762</v>
      </c>
    </row>
    <row r="304" spans="1:10" x14ac:dyDescent="0.25">
      <c r="A304" s="1" t="str">
        <f t="shared" si="4"/>
        <v>6</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2226</v>
      </c>
      <c r="D304" s="1" t="s">
        <v>2227</v>
      </c>
      <c r="E304" s="1" t="s">
        <v>2228</v>
      </c>
      <c r="F304" s="1" t="s">
        <v>112</v>
      </c>
      <c r="G304" s="1">
        <v>2153126</v>
      </c>
    </row>
    <row r="305" spans="1:7" x14ac:dyDescent="0.25">
      <c r="A305" s="1" t="str">
        <f t="shared" si="4"/>
        <v>6</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2229</v>
      </c>
      <c r="D305" s="1" t="s">
        <v>2230</v>
      </c>
      <c r="E305" s="1" t="s">
        <v>2231</v>
      </c>
      <c r="F305" s="1" t="s">
        <v>112</v>
      </c>
      <c r="G305" s="1">
        <v>2835376</v>
      </c>
    </row>
    <row r="306" spans="1:7" x14ac:dyDescent="0.25">
      <c r="A306" s="1" t="str">
        <f t="shared" si="4"/>
        <v>6</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2232</v>
      </c>
      <c r="D306" s="1" t="s">
        <v>2233</v>
      </c>
      <c r="E306" s="1" t="s">
        <v>2234</v>
      </c>
      <c r="F306" s="1" t="s">
        <v>112</v>
      </c>
      <c r="G306" s="1">
        <v>2890230</v>
      </c>
    </row>
    <row r="307" spans="1:7" x14ac:dyDescent="0.25">
      <c r="A307" s="1" t="str">
        <f t="shared" si="4"/>
        <v>6</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2235</v>
      </c>
      <c r="D307" s="1" t="s">
        <v>2236</v>
      </c>
      <c r="E307" s="1" t="s">
        <v>2237</v>
      </c>
      <c r="F307" s="1" t="s">
        <v>112</v>
      </c>
      <c r="G307" s="1">
        <v>2985207</v>
      </c>
    </row>
    <row r="308" spans="1:7" x14ac:dyDescent="0.25">
      <c r="A308" s="1" t="str">
        <f t="shared" si="4"/>
        <v>6</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2238</v>
      </c>
    </row>
    <row r="309" spans="1:7" x14ac:dyDescent="0.25">
      <c r="A309" s="1" t="str">
        <f t="shared" si="4"/>
        <v>6</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2239</v>
      </c>
    </row>
    <row r="310" spans="1:7" x14ac:dyDescent="0.25">
      <c r="A310" s="1" t="str">
        <f t="shared" si="4"/>
        <v>6</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2240</v>
      </c>
    </row>
    <row r="311" spans="1:7" x14ac:dyDescent="0.25">
      <c r="A311" s="1" t="str">
        <f t="shared" si="4"/>
        <v>6</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2241</v>
      </c>
      <c r="D311" s="1" t="s">
        <v>2242</v>
      </c>
      <c r="E311" s="1" t="s">
        <v>2243</v>
      </c>
      <c r="F311" s="1" t="s">
        <v>112</v>
      </c>
      <c r="G311" s="1">
        <v>4977017</v>
      </c>
    </row>
    <row r="312" spans="1:7" x14ac:dyDescent="0.25">
      <c r="A312" s="1" t="str">
        <f t="shared" si="4"/>
        <v>6</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2244</v>
      </c>
      <c r="D312" s="1" t="s">
        <v>2245</v>
      </c>
      <c r="E312" s="1" t="s">
        <v>2246</v>
      </c>
      <c r="F312" s="1" t="s">
        <v>112</v>
      </c>
      <c r="G312" s="1">
        <v>4680039</v>
      </c>
    </row>
    <row r="313" spans="1:7" x14ac:dyDescent="0.25">
      <c r="A313" s="1" t="str">
        <f t="shared" si="4"/>
        <v>6</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2247</v>
      </c>
      <c r="D313" s="1" t="s">
        <v>947</v>
      </c>
      <c r="E313" s="1" t="s">
        <v>2248</v>
      </c>
      <c r="F313" s="1" t="s">
        <v>112</v>
      </c>
      <c r="G313" s="1">
        <v>4240714</v>
      </c>
    </row>
    <row r="314" spans="1:7" x14ac:dyDescent="0.25">
      <c r="A314" s="1" t="str">
        <f t="shared" si="4"/>
        <v>6</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2249</v>
      </c>
      <c r="D314" s="1" t="s">
        <v>2250</v>
      </c>
      <c r="E314" s="1" t="s">
        <v>2251</v>
      </c>
      <c r="F314" s="1" t="s">
        <v>112</v>
      </c>
      <c r="G314" s="1">
        <v>2138050</v>
      </c>
    </row>
    <row r="315" spans="1:7" x14ac:dyDescent="0.25">
      <c r="A315" s="1" t="str">
        <f t="shared" si="4"/>
        <v>6</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2252</v>
      </c>
      <c r="D315" s="1" t="s">
        <v>2253</v>
      </c>
      <c r="E315" s="1" t="s">
        <v>2254</v>
      </c>
      <c r="F315" s="1" t="s">
        <v>112</v>
      </c>
      <c r="G315" s="1">
        <v>2138353</v>
      </c>
    </row>
    <row r="316" spans="1:7" x14ac:dyDescent="0.25">
      <c r="A316" s="1" t="str">
        <f t="shared" si="4"/>
        <v>6</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2255</v>
      </c>
      <c r="D316" s="1" t="s">
        <v>2256</v>
      </c>
      <c r="E316" s="1" t="s">
        <v>2257</v>
      </c>
      <c r="F316" s="1" t="s">
        <v>112</v>
      </c>
      <c r="G316" s="1">
        <v>2449888</v>
      </c>
    </row>
    <row r="317" spans="1:7" x14ac:dyDescent="0.25">
      <c r="A317" s="1" t="str">
        <f t="shared" si="4"/>
        <v>6</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2258</v>
      </c>
      <c r="D317" s="1" t="s">
        <v>2259</v>
      </c>
      <c r="E317" s="1" t="s">
        <v>2260</v>
      </c>
      <c r="F317" s="1" t="s">
        <v>112</v>
      </c>
      <c r="G317" s="1">
        <v>2931262</v>
      </c>
    </row>
    <row r="318" spans="1:7" x14ac:dyDescent="0.25">
      <c r="A318" s="1" t="str">
        <f t="shared" si="4"/>
        <v>6</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2261</v>
      </c>
      <c r="D318" s="1" t="s">
        <v>2262</v>
      </c>
      <c r="E318" s="1" t="s">
        <v>2263</v>
      </c>
      <c r="F318" s="1" t="s">
        <v>112</v>
      </c>
      <c r="G318" s="1">
        <v>2709079</v>
      </c>
    </row>
    <row r="319" spans="1:7" x14ac:dyDescent="0.25">
      <c r="A319" s="1" t="str">
        <f t="shared" si="4"/>
        <v>6</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2264</v>
      </c>
      <c r="D319" s="1" t="s">
        <v>2265</v>
      </c>
      <c r="E319" s="1" t="s">
        <v>2266</v>
      </c>
      <c r="F319" s="1" t="s">
        <v>112</v>
      </c>
      <c r="G319" s="1">
        <v>2310159</v>
      </c>
    </row>
    <row r="320" spans="1:7" x14ac:dyDescent="0.25">
      <c r="A320" s="1" t="str">
        <f t="shared" si="4"/>
        <v>6</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2267</v>
      </c>
      <c r="D320" s="1" t="s">
        <v>2268</v>
      </c>
      <c r="E320" s="1" t="s">
        <v>2269</v>
      </c>
      <c r="F320" s="1" t="s">
        <v>112</v>
      </c>
      <c r="G320" s="1">
        <v>2920577</v>
      </c>
    </row>
    <row r="321" spans="1:10" x14ac:dyDescent="0.25">
      <c r="A321" s="1" t="str">
        <f t="shared" si="4"/>
        <v>6</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2270</v>
      </c>
      <c r="D321" s="1" t="s">
        <v>2271</v>
      </c>
      <c r="E321" s="1" t="s">
        <v>2272</v>
      </c>
      <c r="F321" s="1" t="s">
        <v>112</v>
      </c>
      <c r="G321" s="1">
        <v>2517222</v>
      </c>
    </row>
    <row r="322" spans="1:10" x14ac:dyDescent="0.25">
      <c r="A322" s="1" t="str">
        <f t="shared" ref="A322:A385" si="5">IFERROR(LEFT(RIGHT(C322,LEN(C322)-SEARCH("@",C322)),SEARCH("/",RIGHT(C322,LEN(C322)-SEARCH("@",C322)-1))),"")</f>
        <v>6</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2273</v>
      </c>
      <c r="D322" s="1" t="s">
        <v>2274</v>
      </c>
      <c r="E322" s="1" t="s">
        <v>2275</v>
      </c>
      <c r="F322" s="1" t="s">
        <v>112</v>
      </c>
      <c r="G322" s="1">
        <v>2506169</v>
      </c>
    </row>
    <row r="323" spans="1:10" x14ac:dyDescent="0.2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112</v>
      </c>
    </row>
    <row r="324" spans="1:10" x14ac:dyDescent="0.2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237</v>
      </c>
      <c r="D324" s="1" t="s">
        <v>112</v>
      </c>
      <c r="E324" s="1" t="s">
        <v>238</v>
      </c>
      <c r="F324" s="1" t="s">
        <v>239</v>
      </c>
      <c r="G324" s="1" t="s">
        <v>240</v>
      </c>
      <c r="H324" s="1" t="s">
        <v>241</v>
      </c>
      <c r="I324" s="1" t="s">
        <v>242</v>
      </c>
      <c r="J324" s="1" t="s">
        <v>243</v>
      </c>
    </row>
    <row r="325" spans="1:10" x14ac:dyDescent="0.25">
      <c r="A325" s="1" t="str">
        <f t="shared" si="5"/>
        <v>6</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2276</v>
      </c>
      <c r="D325" s="1" t="s">
        <v>112</v>
      </c>
      <c r="E325" s="1" t="s">
        <v>2277</v>
      </c>
      <c r="F325" s="1" t="s">
        <v>2278</v>
      </c>
      <c r="G325" s="1" t="s">
        <v>2279</v>
      </c>
      <c r="H325" s="1" t="s">
        <v>2280</v>
      </c>
      <c r="I325" s="1">
        <v>24</v>
      </c>
      <c r="J325" s="1">
        <v>24</v>
      </c>
    </row>
    <row r="326" spans="1:10" x14ac:dyDescent="0.2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10" x14ac:dyDescent="0.2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10" x14ac:dyDescent="0.2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10" x14ac:dyDescent="0.2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10" x14ac:dyDescent="0.2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10" x14ac:dyDescent="0.2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249</v>
      </c>
      <c r="D331" s="1" t="s">
        <v>110</v>
      </c>
      <c r="E331" s="1" t="s">
        <v>111</v>
      </c>
      <c r="F331" s="1" t="s">
        <v>112</v>
      </c>
      <c r="G331" s="1" t="s">
        <v>113</v>
      </c>
    </row>
    <row r="332" spans="1:10" x14ac:dyDescent="0.25">
      <c r="A332" s="1" t="str">
        <f t="shared" si="5"/>
        <v>7</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2281</v>
      </c>
      <c r="D332" s="1" t="s">
        <v>2282</v>
      </c>
      <c r="E332" s="1" t="s">
        <v>2283</v>
      </c>
      <c r="F332" s="1" t="s">
        <v>112</v>
      </c>
      <c r="G332" s="1">
        <v>4757019</v>
      </c>
    </row>
    <row r="333" spans="1:10" x14ac:dyDescent="0.25">
      <c r="A333" s="1" t="str">
        <f t="shared" si="5"/>
        <v>7</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2284</v>
      </c>
      <c r="D333" s="1" t="s">
        <v>2285</v>
      </c>
      <c r="E333" s="1" t="s">
        <v>2286</v>
      </c>
      <c r="F333" s="1" t="s">
        <v>112</v>
      </c>
      <c r="G333" s="1">
        <v>4845940</v>
      </c>
    </row>
    <row r="334" spans="1:10" x14ac:dyDescent="0.25">
      <c r="A334" s="1" t="str">
        <f t="shared" si="5"/>
        <v>7</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2287</v>
      </c>
      <c r="D334" s="1" t="s">
        <v>2288</v>
      </c>
      <c r="E334" s="1" t="s">
        <v>2289</v>
      </c>
      <c r="F334" s="1" t="s">
        <v>112</v>
      </c>
      <c r="G334" s="1">
        <v>5114432</v>
      </c>
    </row>
    <row r="335" spans="1:10" x14ac:dyDescent="0.25">
      <c r="A335" s="1" t="str">
        <f t="shared" si="5"/>
        <v>7</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2290</v>
      </c>
      <c r="D335" s="1" t="s">
        <v>2291</v>
      </c>
      <c r="E335" s="1" t="s">
        <v>2292</v>
      </c>
      <c r="F335" s="1" t="s">
        <v>112</v>
      </c>
      <c r="G335" s="1">
        <v>3660881</v>
      </c>
    </row>
    <row r="336" spans="1:10" x14ac:dyDescent="0.25">
      <c r="A336" s="1" t="str">
        <f t="shared" si="5"/>
        <v>7</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2293</v>
      </c>
      <c r="D336" s="1" t="s">
        <v>2294</v>
      </c>
      <c r="E336" s="1" t="s">
        <v>2295</v>
      </c>
      <c r="F336" s="1" t="s">
        <v>112</v>
      </c>
      <c r="G336" s="1">
        <v>3654674</v>
      </c>
    </row>
    <row r="337" spans="1:7" x14ac:dyDescent="0.25">
      <c r="A337" s="1" t="str">
        <f t="shared" si="5"/>
        <v>7</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2296</v>
      </c>
      <c r="D337" s="1" t="s">
        <v>2297</v>
      </c>
      <c r="E337" s="1" t="s">
        <v>2298</v>
      </c>
      <c r="F337" s="1" t="s">
        <v>112</v>
      </c>
      <c r="G337" s="1">
        <v>3621537</v>
      </c>
    </row>
    <row r="338" spans="1:7" x14ac:dyDescent="0.25">
      <c r="A338" s="1" t="str">
        <f t="shared" si="5"/>
        <v>7</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2299</v>
      </c>
      <c r="D338" s="1" t="s">
        <v>2300</v>
      </c>
      <c r="E338" s="1" t="s">
        <v>2301</v>
      </c>
      <c r="F338" s="1" t="s">
        <v>112</v>
      </c>
      <c r="G338" s="1">
        <v>4894326</v>
      </c>
    </row>
    <row r="339" spans="1:7" x14ac:dyDescent="0.25">
      <c r="A339" s="1" t="str">
        <f t="shared" si="5"/>
        <v>7</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2302</v>
      </c>
      <c r="D339" s="1" t="s">
        <v>2303</v>
      </c>
      <c r="E339" s="1" t="s">
        <v>2304</v>
      </c>
      <c r="F339" s="1" t="s">
        <v>112</v>
      </c>
      <c r="G339" s="1">
        <v>4358078</v>
      </c>
    </row>
    <row r="340" spans="1:7" x14ac:dyDescent="0.25">
      <c r="A340" s="1" t="str">
        <f t="shared" si="5"/>
        <v>7</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2305</v>
      </c>
      <c r="D340" s="1" t="s">
        <v>2306</v>
      </c>
      <c r="E340" s="1" t="s">
        <v>2307</v>
      </c>
      <c r="F340" s="1" t="s">
        <v>112</v>
      </c>
      <c r="G340" s="1">
        <v>4561031</v>
      </c>
    </row>
    <row r="341" spans="1:7" x14ac:dyDescent="0.25">
      <c r="A341" s="1" t="str">
        <f t="shared" si="5"/>
        <v>7</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2308</v>
      </c>
      <c r="D341" s="1" t="s">
        <v>2309</v>
      </c>
      <c r="E341" s="1" t="s">
        <v>2310</v>
      </c>
      <c r="F341" s="1" t="s">
        <v>112</v>
      </c>
      <c r="G341" s="1">
        <v>4334999</v>
      </c>
    </row>
    <row r="342" spans="1:7" x14ac:dyDescent="0.25">
      <c r="A342" s="1" t="str">
        <f t="shared" si="5"/>
        <v>7</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2311</v>
      </c>
      <c r="D342" s="1" t="s">
        <v>2312</v>
      </c>
      <c r="E342" s="1" t="s">
        <v>2313</v>
      </c>
      <c r="F342" s="1" t="s">
        <v>112</v>
      </c>
      <c r="G342" s="1">
        <v>4601976</v>
      </c>
    </row>
    <row r="343" spans="1:7" x14ac:dyDescent="0.25">
      <c r="A343" s="1" t="str">
        <f t="shared" si="5"/>
        <v>7</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2314</v>
      </c>
      <c r="D343" s="1" t="s">
        <v>2315</v>
      </c>
      <c r="E343" s="1" t="s">
        <v>2316</v>
      </c>
      <c r="F343" s="1" t="s">
        <v>112</v>
      </c>
      <c r="G343" s="1">
        <v>4267146</v>
      </c>
    </row>
    <row r="344" spans="1:7" x14ac:dyDescent="0.25">
      <c r="A344" s="1" t="str">
        <f t="shared" si="5"/>
        <v>7</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2317</v>
      </c>
    </row>
    <row r="345" spans="1:7" x14ac:dyDescent="0.25">
      <c r="A345" s="1" t="str">
        <f t="shared" si="5"/>
        <v>7</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2318</v>
      </c>
      <c r="D345" s="1" t="s">
        <v>2319</v>
      </c>
      <c r="E345" s="1" t="s">
        <v>2320</v>
      </c>
      <c r="F345" s="1" t="s">
        <v>112</v>
      </c>
      <c r="G345" s="1">
        <v>3895566</v>
      </c>
    </row>
    <row r="346" spans="1:7" x14ac:dyDescent="0.25">
      <c r="A346" s="1" t="str">
        <f t="shared" si="5"/>
        <v>7</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2321</v>
      </c>
    </row>
    <row r="347" spans="1:7" x14ac:dyDescent="0.25">
      <c r="A347" s="1" t="str">
        <f t="shared" si="5"/>
        <v>7</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2322</v>
      </c>
      <c r="D347" s="1" t="s">
        <v>2323</v>
      </c>
      <c r="E347" s="1" t="s">
        <v>2324</v>
      </c>
      <c r="F347" s="1" t="s">
        <v>112</v>
      </c>
      <c r="G347" s="1">
        <v>4292604</v>
      </c>
    </row>
    <row r="348" spans="1:7" x14ac:dyDescent="0.25">
      <c r="A348" s="1" t="str">
        <f t="shared" si="5"/>
        <v>7</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2325</v>
      </c>
      <c r="D348" s="1" t="s">
        <v>830</v>
      </c>
      <c r="E348" s="1" t="s">
        <v>2326</v>
      </c>
      <c r="F348" s="1" t="s">
        <v>112</v>
      </c>
      <c r="G348" s="1">
        <v>3729967</v>
      </c>
    </row>
    <row r="349" spans="1:7" x14ac:dyDescent="0.25">
      <c r="A349" s="1" t="str">
        <f t="shared" si="5"/>
        <v>7</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2327</v>
      </c>
      <c r="D349" s="1" t="s">
        <v>2328</v>
      </c>
      <c r="E349" s="1" t="s">
        <v>2329</v>
      </c>
      <c r="F349" s="1" t="s">
        <v>112</v>
      </c>
      <c r="G349" s="1">
        <v>3660687</v>
      </c>
    </row>
    <row r="350" spans="1:7" x14ac:dyDescent="0.25">
      <c r="A350" s="1" t="str">
        <f t="shared" si="5"/>
        <v>7</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2330</v>
      </c>
      <c r="D350" s="1" t="s">
        <v>2331</v>
      </c>
      <c r="E350" s="1" t="s">
        <v>2332</v>
      </c>
      <c r="F350" s="1" t="s">
        <v>112</v>
      </c>
      <c r="G350" s="1">
        <v>4579092</v>
      </c>
    </row>
    <row r="351" spans="1:7" x14ac:dyDescent="0.25">
      <c r="A351" s="1" t="str">
        <f t="shared" si="5"/>
        <v>7</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2333</v>
      </c>
      <c r="D351" s="1" t="s">
        <v>2334</v>
      </c>
      <c r="E351" s="1" t="s">
        <v>2335</v>
      </c>
      <c r="F351" s="1" t="s">
        <v>112</v>
      </c>
      <c r="G351" s="1">
        <v>4708071</v>
      </c>
    </row>
    <row r="352" spans="1:7" x14ac:dyDescent="0.25">
      <c r="A352" s="1" t="str">
        <f t="shared" si="5"/>
        <v>7</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2336</v>
      </c>
      <c r="D352" s="1" t="s">
        <v>2337</v>
      </c>
      <c r="E352" s="1" t="s">
        <v>2338</v>
      </c>
      <c r="F352" s="1" t="s">
        <v>112</v>
      </c>
      <c r="G352" s="1">
        <v>4313066</v>
      </c>
    </row>
    <row r="353" spans="1:10" x14ac:dyDescent="0.25">
      <c r="A353" s="1" t="str">
        <f t="shared" si="5"/>
        <v>7</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2339</v>
      </c>
      <c r="D353" s="1" t="s">
        <v>2340</v>
      </c>
      <c r="E353" s="1" t="s">
        <v>2341</v>
      </c>
      <c r="F353" s="1" t="s">
        <v>112</v>
      </c>
      <c r="G353" s="1">
        <v>5612936</v>
      </c>
    </row>
    <row r="354" spans="1:10" x14ac:dyDescent="0.25">
      <c r="A354" s="1" t="str">
        <f t="shared" si="5"/>
        <v>7</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2342</v>
      </c>
      <c r="D354" s="1" t="s">
        <v>2343</v>
      </c>
      <c r="E354" s="1" t="s">
        <v>2344</v>
      </c>
      <c r="F354" s="1" t="s">
        <v>112</v>
      </c>
      <c r="G354" s="1">
        <v>4688799</v>
      </c>
    </row>
    <row r="355" spans="1:10" x14ac:dyDescent="0.25">
      <c r="A355" s="1" t="str">
        <f t="shared" si="5"/>
        <v>7</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2345</v>
      </c>
      <c r="D355" s="1" t="s">
        <v>2346</v>
      </c>
      <c r="E355" s="1" t="s">
        <v>2347</v>
      </c>
      <c r="F355" s="1" t="s">
        <v>112</v>
      </c>
      <c r="G355" s="1">
        <v>4876070</v>
      </c>
    </row>
    <row r="356" spans="1:10" x14ac:dyDescent="0.2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112</v>
      </c>
    </row>
    <row r="357" spans="1:10" x14ac:dyDescent="0.2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237</v>
      </c>
      <c r="D357" s="1" t="s">
        <v>112</v>
      </c>
      <c r="E357" s="1" t="s">
        <v>238</v>
      </c>
      <c r="F357" s="1" t="s">
        <v>239</v>
      </c>
      <c r="G357" s="1" t="s">
        <v>240</v>
      </c>
      <c r="H357" s="1" t="s">
        <v>241</v>
      </c>
      <c r="I357" s="1" t="s">
        <v>242</v>
      </c>
      <c r="J357" s="1" t="s">
        <v>243</v>
      </c>
    </row>
    <row r="358" spans="1:10" x14ac:dyDescent="0.25">
      <c r="A358" s="1" t="str">
        <f t="shared" si="5"/>
        <v>7</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2348</v>
      </c>
      <c r="D358" s="1" t="s">
        <v>112</v>
      </c>
      <c r="E358" s="1" t="s">
        <v>2349</v>
      </c>
      <c r="F358" s="1" t="s">
        <v>2350</v>
      </c>
      <c r="G358" s="1" t="s">
        <v>2351</v>
      </c>
      <c r="H358" s="1" t="s">
        <v>2352</v>
      </c>
      <c r="I358" s="1">
        <v>24</v>
      </c>
      <c r="J358" s="1">
        <v>24</v>
      </c>
    </row>
    <row r="359" spans="1:10" x14ac:dyDescent="0.2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112</v>
      </c>
    </row>
    <row r="360" spans="1:10" x14ac:dyDescent="0.2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10" x14ac:dyDescent="0.2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10" x14ac:dyDescent="0.2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10" x14ac:dyDescent="0.2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10" x14ac:dyDescent="0.2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249</v>
      </c>
      <c r="D364" s="1" t="s">
        <v>110</v>
      </c>
      <c r="E364" s="1" t="s">
        <v>111</v>
      </c>
      <c r="F364" s="1" t="s">
        <v>112</v>
      </c>
      <c r="G364" s="1" t="s">
        <v>113</v>
      </c>
    </row>
    <row r="365" spans="1:10" x14ac:dyDescent="0.25">
      <c r="A365" s="1" t="str">
        <f t="shared" si="5"/>
        <v>10</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2353</v>
      </c>
    </row>
    <row r="366" spans="1:10" x14ac:dyDescent="0.25">
      <c r="A366" s="1" t="str">
        <f t="shared" si="5"/>
        <v>10</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2354</v>
      </c>
      <c r="D366" s="1">
        <v>0</v>
      </c>
      <c r="E366" s="1">
        <v>0</v>
      </c>
      <c r="F366" s="1" t="s">
        <v>112</v>
      </c>
      <c r="G366" s="1">
        <v>0</v>
      </c>
    </row>
    <row r="367" spans="1:10" x14ac:dyDescent="0.25">
      <c r="A367" s="1" t="str">
        <f t="shared" si="5"/>
        <v>10</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2355</v>
      </c>
      <c r="D367" s="1" t="s">
        <v>2356</v>
      </c>
      <c r="E367" s="1" t="s">
        <v>2357</v>
      </c>
      <c r="F367" s="1" t="s">
        <v>112</v>
      </c>
      <c r="G367" s="1">
        <v>583661</v>
      </c>
    </row>
    <row r="368" spans="1:10" x14ac:dyDescent="0.25">
      <c r="A368" s="1" t="str">
        <f t="shared" si="5"/>
        <v>10</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2358</v>
      </c>
      <c r="D368" s="1" t="s">
        <v>994</v>
      </c>
      <c r="E368" s="1" t="s">
        <v>2359</v>
      </c>
      <c r="F368" s="1" t="s">
        <v>112</v>
      </c>
      <c r="G368" s="1">
        <v>232370</v>
      </c>
    </row>
    <row r="369" spans="1:7" x14ac:dyDescent="0.25">
      <c r="A369" s="1" t="str">
        <f t="shared" si="5"/>
        <v>10</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2360</v>
      </c>
      <c r="D369" s="1" t="s">
        <v>2361</v>
      </c>
      <c r="E369" s="1" t="s">
        <v>2362</v>
      </c>
      <c r="F369" s="1" t="s">
        <v>112</v>
      </c>
      <c r="G369" s="1">
        <v>171979</v>
      </c>
    </row>
    <row r="370" spans="1:7" x14ac:dyDescent="0.25">
      <c r="A370" s="1" t="str">
        <f t="shared" si="5"/>
        <v>10</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2363</v>
      </c>
      <c r="D370" s="1" t="s">
        <v>2364</v>
      </c>
      <c r="E370" s="1" t="s">
        <v>2365</v>
      </c>
      <c r="F370" s="1" t="s">
        <v>112</v>
      </c>
      <c r="G370" s="1">
        <v>61753</v>
      </c>
    </row>
    <row r="371" spans="1:7" x14ac:dyDescent="0.25">
      <c r="A371" s="1" t="str">
        <f t="shared" si="5"/>
        <v>10</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2366</v>
      </c>
      <c r="D371" s="1" t="s">
        <v>2367</v>
      </c>
      <c r="E371" s="1" t="s">
        <v>2368</v>
      </c>
      <c r="F371" s="1" t="s">
        <v>112</v>
      </c>
      <c r="G371" s="1">
        <v>358213</v>
      </c>
    </row>
    <row r="372" spans="1:7" x14ac:dyDescent="0.25">
      <c r="A372" s="1" t="str">
        <f t="shared" si="5"/>
        <v>10</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2369</v>
      </c>
      <c r="D372" s="1" t="s">
        <v>1603</v>
      </c>
      <c r="E372" s="1" t="s">
        <v>2370</v>
      </c>
      <c r="F372" s="1" t="s">
        <v>112</v>
      </c>
      <c r="G372" s="1">
        <v>296870</v>
      </c>
    </row>
    <row r="373" spans="1:7" x14ac:dyDescent="0.25">
      <c r="A373" s="1" t="str">
        <f t="shared" si="5"/>
        <v>10</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2371</v>
      </c>
      <c r="D373" s="1" t="s">
        <v>1672</v>
      </c>
      <c r="E373" s="1" t="s">
        <v>2372</v>
      </c>
      <c r="F373" s="1" t="s">
        <v>112</v>
      </c>
      <c r="G373" s="1">
        <v>365718</v>
      </c>
    </row>
    <row r="374" spans="1:7" x14ac:dyDescent="0.25">
      <c r="A374" s="1" t="str">
        <f t="shared" si="5"/>
        <v>10</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2373</v>
      </c>
      <c r="D374" s="1" t="s">
        <v>2374</v>
      </c>
      <c r="E374" s="1" t="s">
        <v>2375</v>
      </c>
      <c r="F374" s="1" t="s">
        <v>112</v>
      </c>
      <c r="G374" s="1">
        <v>363339</v>
      </c>
    </row>
    <row r="375" spans="1:7" x14ac:dyDescent="0.25">
      <c r="A375" s="1" t="str">
        <f t="shared" si="5"/>
        <v>10</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2376</v>
      </c>
      <c r="D375" s="1" t="s">
        <v>2377</v>
      </c>
      <c r="E375" s="1" t="s">
        <v>2378</v>
      </c>
      <c r="F375" s="1" t="s">
        <v>112</v>
      </c>
      <c r="G375" s="1">
        <v>65149</v>
      </c>
    </row>
    <row r="376" spans="1:7" x14ac:dyDescent="0.25">
      <c r="A376" s="1" t="str">
        <f t="shared" si="5"/>
        <v>10</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2379</v>
      </c>
      <c r="D376" s="1" t="s">
        <v>1960</v>
      </c>
      <c r="E376" s="1">
        <v>34</v>
      </c>
      <c r="F376" s="1" t="s">
        <v>112</v>
      </c>
      <c r="G376" s="1">
        <v>60304</v>
      </c>
    </row>
    <row r="377" spans="1:7" x14ac:dyDescent="0.25">
      <c r="A377" s="1" t="str">
        <f t="shared" si="5"/>
        <v>10</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2380</v>
      </c>
      <c r="D377" s="1" t="s">
        <v>179</v>
      </c>
      <c r="E377" s="1" t="s">
        <v>2381</v>
      </c>
      <c r="F377" s="1" t="s">
        <v>112</v>
      </c>
      <c r="G377" s="1">
        <v>207128</v>
      </c>
    </row>
    <row r="378" spans="1:7" x14ac:dyDescent="0.25">
      <c r="A378" s="1" t="str">
        <f t="shared" si="5"/>
        <v>10</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2382</v>
      </c>
      <c r="D378" s="1" t="s">
        <v>1017</v>
      </c>
      <c r="E378" s="1" t="s">
        <v>2383</v>
      </c>
      <c r="F378" s="1" t="s">
        <v>112</v>
      </c>
      <c r="G378" s="1">
        <v>32012</v>
      </c>
    </row>
    <row r="379" spans="1:7" x14ac:dyDescent="0.25">
      <c r="A379" s="1" t="str">
        <f t="shared" si="5"/>
        <v>10</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2384</v>
      </c>
      <c r="D379" s="1" t="s">
        <v>191</v>
      </c>
      <c r="E379" s="1" t="s">
        <v>2385</v>
      </c>
      <c r="F379" s="1" t="s">
        <v>112</v>
      </c>
      <c r="G379" s="1">
        <v>148511</v>
      </c>
    </row>
    <row r="380" spans="1:7" x14ac:dyDescent="0.25">
      <c r="A380" s="1" t="str">
        <f t="shared" si="5"/>
        <v>10</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2386</v>
      </c>
      <c r="D380" s="1" t="s">
        <v>2387</v>
      </c>
      <c r="E380" s="1" t="s">
        <v>2388</v>
      </c>
      <c r="F380" s="1" t="s">
        <v>112</v>
      </c>
      <c r="G380" s="1">
        <v>29525</v>
      </c>
    </row>
    <row r="381" spans="1:7" x14ac:dyDescent="0.25">
      <c r="A381" s="1" t="str">
        <f t="shared" si="5"/>
        <v>10</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2389</v>
      </c>
      <c r="D381" s="1" t="s">
        <v>2390</v>
      </c>
      <c r="E381" s="1" t="s">
        <v>2391</v>
      </c>
      <c r="F381" s="1" t="s">
        <v>112</v>
      </c>
      <c r="G381" s="1">
        <v>570315</v>
      </c>
    </row>
    <row r="382" spans="1:7" x14ac:dyDescent="0.25">
      <c r="A382" s="1" t="str">
        <f t="shared" si="5"/>
        <v>10</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2392</v>
      </c>
    </row>
    <row r="383" spans="1:7" x14ac:dyDescent="0.25">
      <c r="A383" s="1" t="str">
        <f t="shared" si="5"/>
        <v>10</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2393</v>
      </c>
      <c r="D383" s="1" t="s">
        <v>2394</v>
      </c>
      <c r="E383" s="1" t="s">
        <v>2395</v>
      </c>
      <c r="F383" s="1" t="s">
        <v>112</v>
      </c>
      <c r="G383" s="1">
        <v>421004</v>
      </c>
    </row>
    <row r="384" spans="1:7" x14ac:dyDescent="0.25">
      <c r="A384" s="1" t="str">
        <f t="shared" si="5"/>
        <v>10</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2396</v>
      </c>
      <c r="D384" s="1" t="s">
        <v>203</v>
      </c>
      <c r="E384" s="1" t="s">
        <v>2397</v>
      </c>
      <c r="F384" s="1" t="s">
        <v>112</v>
      </c>
      <c r="G384" s="1">
        <v>302840</v>
      </c>
    </row>
    <row r="385" spans="1:10" x14ac:dyDescent="0.25">
      <c r="A385" s="1" t="str">
        <f t="shared" si="5"/>
        <v>10</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2398</v>
      </c>
      <c r="D385" s="1" t="s">
        <v>1970</v>
      </c>
      <c r="E385" s="1" t="s">
        <v>2399</v>
      </c>
      <c r="F385" s="1" t="s">
        <v>112</v>
      </c>
      <c r="G385" s="1">
        <v>252334</v>
      </c>
    </row>
    <row r="386" spans="1:10" x14ac:dyDescent="0.25">
      <c r="A386" s="1" t="str">
        <f t="shared" ref="A386:A449" si="6">IFERROR(LEFT(RIGHT(C386,LEN(C386)-SEARCH("@",C386)),SEARCH("/",RIGHT(C386,LEN(C386)-SEARCH("@",C386)-1))),"")</f>
        <v>10</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2400</v>
      </c>
      <c r="D386" s="1" t="s">
        <v>2401</v>
      </c>
      <c r="E386" s="1" t="s">
        <v>2402</v>
      </c>
      <c r="F386" s="1" t="s">
        <v>112</v>
      </c>
      <c r="G386" s="1">
        <v>194280</v>
      </c>
    </row>
    <row r="387" spans="1:10" x14ac:dyDescent="0.25">
      <c r="A387" s="1" t="str">
        <f t="shared" si="6"/>
        <v>10</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2403</v>
      </c>
      <c r="D387" s="1" t="s">
        <v>1013</v>
      </c>
      <c r="E387" s="1" t="s">
        <v>2404</v>
      </c>
      <c r="F387" s="1" t="s">
        <v>112</v>
      </c>
      <c r="G387" s="1">
        <v>174661</v>
      </c>
    </row>
    <row r="388" spans="1:10" x14ac:dyDescent="0.25">
      <c r="A388" s="1" t="str">
        <f t="shared" si="6"/>
        <v>10</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2405</v>
      </c>
      <c r="D388" s="1" t="s">
        <v>625</v>
      </c>
      <c r="E388" s="1" t="s">
        <v>2406</v>
      </c>
      <c r="F388" s="1" t="s">
        <v>112</v>
      </c>
      <c r="G388" s="1">
        <v>158396</v>
      </c>
    </row>
    <row r="389" spans="1:10" x14ac:dyDescent="0.2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112</v>
      </c>
    </row>
    <row r="390" spans="1:10" x14ac:dyDescent="0.2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237</v>
      </c>
      <c r="D390" s="1" t="s">
        <v>112</v>
      </c>
      <c r="E390" s="1" t="s">
        <v>238</v>
      </c>
      <c r="F390" s="1" t="s">
        <v>239</v>
      </c>
      <c r="G390" s="1" t="s">
        <v>240</v>
      </c>
      <c r="H390" s="1" t="s">
        <v>241</v>
      </c>
      <c r="I390" s="1" t="s">
        <v>242</v>
      </c>
      <c r="J390" s="1" t="s">
        <v>243</v>
      </c>
    </row>
    <row r="391" spans="1:10" x14ac:dyDescent="0.25">
      <c r="A391" s="1" t="str">
        <f t="shared" si="6"/>
        <v>10</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2407</v>
      </c>
      <c r="D391" s="1" t="s">
        <v>112</v>
      </c>
      <c r="E391" s="1" t="s">
        <v>2408</v>
      </c>
      <c r="F391" s="1" t="s">
        <v>2409</v>
      </c>
      <c r="G391" s="1" t="s">
        <v>2410</v>
      </c>
      <c r="H391" s="1" t="s">
        <v>2411</v>
      </c>
      <c r="I391" s="1">
        <v>22</v>
      </c>
      <c r="J391" s="1">
        <v>24</v>
      </c>
    </row>
    <row r="392" spans="1:10" x14ac:dyDescent="0.2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112</v>
      </c>
    </row>
    <row r="393" spans="1:10" x14ac:dyDescent="0.2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10" x14ac:dyDescent="0.2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10" x14ac:dyDescent="0.2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10" x14ac:dyDescent="0.2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10" x14ac:dyDescent="0.2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249</v>
      </c>
      <c r="D397" s="1" t="s">
        <v>110</v>
      </c>
      <c r="E397" s="1" t="s">
        <v>111</v>
      </c>
      <c r="F397" s="1" t="s">
        <v>112</v>
      </c>
      <c r="G397" s="1" t="s">
        <v>113</v>
      </c>
    </row>
    <row r="398" spans="1:10" x14ac:dyDescent="0.25">
      <c r="A398" s="1" t="str">
        <f t="shared" si="6"/>
        <v>11</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2412</v>
      </c>
    </row>
    <row r="399" spans="1:10" x14ac:dyDescent="0.25">
      <c r="A399" s="1" t="str">
        <f t="shared" si="6"/>
        <v>11</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2413</v>
      </c>
    </row>
    <row r="400" spans="1:10" x14ac:dyDescent="0.25">
      <c r="A400" s="1" t="str">
        <f t="shared" si="6"/>
        <v>11</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2414</v>
      </c>
    </row>
    <row r="401" spans="1:7" x14ac:dyDescent="0.25">
      <c r="A401" s="1" t="str">
        <f t="shared" si="6"/>
        <v>11</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2415</v>
      </c>
      <c r="D401" s="1" t="s">
        <v>2416</v>
      </c>
      <c r="E401" s="1" t="s">
        <v>2417</v>
      </c>
      <c r="F401" s="1" t="s">
        <v>112</v>
      </c>
      <c r="G401" s="1">
        <v>228628</v>
      </c>
    </row>
    <row r="402" spans="1:7" x14ac:dyDescent="0.25">
      <c r="A402" s="1" t="str">
        <f t="shared" si="6"/>
        <v>11</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2418</v>
      </c>
      <c r="D402" s="1" t="s">
        <v>1283</v>
      </c>
      <c r="E402" s="1" t="s">
        <v>2419</v>
      </c>
      <c r="F402" s="1" t="s">
        <v>112</v>
      </c>
      <c r="G402" s="1">
        <v>405344</v>
      </c>
    </row>
    <row r="403" spans="1:7" x14ac:dyDescent="0.25">
      <c r="A403" s="1" t="str">
        <f t="shared" si="6"/>
        <v>11</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2420</v>
      </c>
    </row>
    <row r="404" spans="1:7" x14ac:dyDescent="0.25">
      <c r="A404" s="1" t="str">
        <f t="shared" si="6"/>
        <v>11</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2421</v>
      </c>
      <c r="D404" s="1" t="s">
        <v>2422</v>
      </c>
      <c r="E404" s="1" t="s">
        <v>2423</v>
      </c>
      <c r="F404" s="1" t="s">
        <v>112</v>
      </c>
      <c r="G404" s="1">
        <v>349280</v>
      </c>
    </row>
    <row r="405" spans="1:7" x14ac:dyDescent="0.25">
      <c r="A405" s="1" t="str">
        <f t="shared" si="6"/>
        <v>11</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2424</v>
      </c>
      <c r="D405" s="1" t="s">
        <v>2425</v>
      </c>
      <c r="E405" s="1" t="s">
        <v>2426</v>
      </c>
      <c r="F405" s="1" t="s">
        <v>112</v>
      </c>
      <c r="G405" s="1">
        <v>240286</v>
      </c>
    </row>
    <row r="406" spans="1:7" x14ac:dyDescent="0.25">
      <c r="A406" s="1" t="str">
        <f t="shared" si="6"/>
        <v>11</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2427</v>
      </c>
      <c r="D406" s="1" t="s">
        <v>2428</v>
      </c>
      <c r="E406" s="1" t="s">
        <v>2429</v>
      </c>
      <c r="F406" s="1" t="s">
        <v>112</v>
      </c>
      <c r="G406" s="1">
        <v>315342</v>
      </c>
    </row>
    <row r="407" spans="1:7" x14ac:dyDescent="0.25">
      <c r="A407" s="1" t="str">
        <f t="shared" si="6"/>
        <v>11</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2430</v>
      </c>
    </row>
    <row r="408" spans="1:7" x14ac:dyDescent="0.25">
      <c r="A408" s="1" t="str">
        <f t="shared" si="6"/>
        <v>11</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2431</v>
      </c>
    </row>
    <row r="409" spans="1:7" x14ac:dyDescent="0.25">
      <c r="A409" s="1" t="str">
        <f t="shared" si="6"/>
        <v>11</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2432</v>
      </c>
    </row>
    <row r="410" spans="1:7" x14ac:dyDescent="0.25">
      <c r="A410" s="1" t="str">
        <f t="shared" si="6"/>
        <v>11</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2433</v>
      </c>
      <c r="D410" s="1" t="s">
        <v>2434</v>
      </c>
      <c r="E410" s="1" t="s">
        <v>2435</v>
      </c>
      <c r="F410" s="1" t="s">
        <v>112</v>
      </c>
      <c r="G410" s="1">
        <v>65257</v>
      </c>
    </row>
    <row r="411" spans="1:7" x14ac:dyDescent="0.25">
      <c r="A411" s="1" t="str">
        <f t="shared" si="6"/>
        <v>11</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2436</v>
      </c>
      <c r="D411" s="1" t="s">
        <v>1271</v>
      </c>
      <c r="E411" s="1" t="s">
        <v>2070</v>
      </c>
      <c r="F411" s="1" t="s">
        <v>112</v>
      </c>
      <c r="G411" s="1">
        <v>142238</v>
      </c>
    </row>
    <row r="412" spans="1:7" x14ac:dyDescent="0.25">
      <c r="A412" s="1" t="str">
        <f t="shared" si="6"/>
        <v>11</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2437</v>
      </c>
      <c r="D412" s="1" t="s">
        <v>2438</v>
      </c>
      <c r="E412" s="1" t="s">
        <v>2439</v>
      </c>
      <c r="F412" s="1" t="s">
        <v>112</v>
      </c>
      <c r="G412" s="1">
        <v>250150</v>
      </c>
    </row>
    <row r="413" spans="1:7" x14ac:dyDescent="0.25">
      <c r="A413" s="1" t="str">
        <f t="shared" si="6"/>
        <v>11</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2440</v>
      </c>
      <c r="D413" s="1" t="s">
        <v>1051</v>
      </c>
      <c r="E413" s="1" t="s">
        <v>2441</v>
      </c>
      <c r="F413" s="1" t="s">
        <v>112</v>
      </c>
      <c r="G413" s="1">
        <v>210783</v>
      </c>
    </row>
    <row r="414" spans="1:7" x14ac:dyDescent="0.25">
      <c r="A414" s="1" t="str">
        <f t="shared" si="6"/>
        <v>11</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2442</v>
      </c>
      <c r="D414" s="1" t="s">
        <v>2076</v>
      </c>
      <c r="E414" s="1" t="s">
        <v>2443</v>
      </c>
      <c r="F414" s="1" t="s">
        <v>112</v>
      </c>
      <c r="G414" s="1">
        <v>218484</v>
      </c>
    </row>
    <row r="415" spans="1:7" x14ac:dyDescent="0.25">
      <c r="A415" s="1" t="str">
        <f t="shared" si="6"/>
        <v>11</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2444</v>
      </c>
      <c r="D415" s="1" t="s">
        <v>291</v>
      </c>
      <c r="E415" s="1" t="s">
        <v>2445</v>
      </c>
      <c r="F415" s="1" t="s">
        <v>112</v>
      </c>
      <c r="G415" s="1">
        <v>267367</v>
      </c>
    </row>
    <row r="416" spans="1:7" x14ac:dyDescent="0.25">
      <c r="A416" s="1" t="str">
        <f t="shared" si="6"/>
        <v>11</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2446</v>
      </c>
      <c r="D416" s="1" t="s">
        <v>1485</v>
      </c>
      <c r="E416" s="1" t="s">
        <v>2447</v>
      </c>
      <c r="F416" s="1" t="s">
        <v>112</v>
      </c>
      <c r="G416" s="1">
        <v>140594</v>
      </c>
    </row>
    <row r="417" spans="1:10" x14ac:dyDescent="0.25">
      <c r="A417" s="1" t="str">
        <f t="shared" si="6"/>
        <v>11</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2448</v>
      </c>
    </row>
    <row r="418" spans="1:10" x14ac:dyDescent="0.25">
      <c r="A418" s="1" t="str">
        <f t="shared" si="6"/>
        <v>11</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2449</v>
      </c>
      <c r="D418" s="1">
        <v>0</v>
      </c>
      <c r="E418" s="1">
        <v>0</v>
      </c>
      <c r="F418" s="1" t="s">
        <v>112</v>
      </c>
      <c r="G418" s="1">
        <v>0</v>
      </c>
    </row>
    <row r="419" spans="1:10" x14ac:dyDescent="0.25">
      <c r="A419" s="1" t="str">
        <f t="shared" si="6"/>
        <v>11</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2450</v>
      </c>
      <c r="D419" s="1" t="s">
        <v>2451</v>
      </c>
      <c r="E419" s="1" t="s">
        <v>2452</v>
      </c>
      <c r="F419" s="1" t="s">
        <v>112</v>
      </c>
      <c r="G419" s="1">
        <v>515289</v>
      </c>
    </row>
    <row r="420" spans="1:10" x14ac:dyDescent="0.25">
      <c r="A420" s="1" t="str">
        <f t="shared" si="6"/>
        <v>11</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2453</v>
      </c>
      <c r="D420" s="1">
        <v>0</v>
      </c>
      <c r="E420" s="1">
        <v>0</v>
      </c>
      <c r="F420" s="1" t="s">
        <v>112</v>
      </c>
      <c r="G420" s="1">
        <v>0</v>
      </c>
    </row>
    <row r="421" spans="1:10" x14ac:dyDescent="0.25">
      <c r="A421" s="1" t="str">
        <f t="shared" si="6"/>
        <v>11</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2454</v>
      </c>
      <c r="D421" s="1" t="s">
        <v>2455</v>
      </c>
      <c r="E421" s="1" t="s">
        <v>2456</v>
      </c>
      <c r="F421" s="1" t="s">
        <v>112</v>
      </c>
      <c r="G421" s="1">
        <v>493421</v>
      </c>
    </row>
    <row r="422" spans="1:10" x14ac:dyDescent="0.2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112</v>
      </c>
    </row>
    <row r="423" spans="1:10" x14ac:dyDescent="0.2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237</v>
      </c>
      <c r="D423" s="1" t="s">
        <v>112</v>
      </c>
      <c r="E423" s="1" t="s">
        <v>238</v>
      </c>
      <c r="F423" s="1" t="s">
        <v>239</v>
      </c>
      <c r="G423" s="1" t="s">
        <v>240</v>
      </c>
      <c r="H423" s="1" t="s">
        <v>241</v>
      </c>
      <c r="I423" s="1" t="s">
        <v>242</v>
      </c>
      <c r="J423" s="1" t="s">
        <v>243</v>
      </c>
    </row>
    <row r="424" spans="1:10" x14ac:dyDescent="0.25">
      <c r="A424" s="1" t="str">
        <f t="shared" si="6"/>
        <v>11</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2457</v>
      </c>
      <c r="D424" s="1" t="s">
        <v>112</v>
      </c>
      <c r="E424" s="1" t="s">
        <v>2458</v>
      </c>
      <c r="F424" s="1" t="s">
        <v>2459</v>
      </c>
      <c r="G424" s="1" t="s">
        <v>2460</v>
      </c>
      <c r="H424" s="1" t="s">
        <v>2461</v>
      </c>
      <c r="I424" s="1">
        <v>20</v>
      </c>
      <c r="J424" s="1">
        <v>24</v>
      </c>
    </row>
    <row r="425" spans="1:10" x14ac:dyDescent="0.2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112</v>
      </c>
    </row>
    <row r="426" spans="1:10" x14ac:dyDescent="0.2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10" x14ac:dyDescent="0.2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10" x14ac:dyDescent="0.2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10" x14ac:dyDescent="0.2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10" x14ac:dyDescent="0.2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249</v>
      </c>
      <c r="D430" s="1" t="s">
        <v>110</v>
      </c>
      <c r="E430" s="1" t="s">
        <v>111</v>
      </c>
      <c r="F430" s="1" t="s">
        <v>112</v>
      </c>
      <c r="G430" s="1" t="s">
        <v>113</v>
      </c>
    </row>
    <row r="431" spans="1:10" x14ac:dyDescent="0.25">
      <c r="A431" s="1" t="str">
        <f t="shared" si="6"/>
        <v>12</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2462</v>
      </c>
    </row>
    <row r="432" spans="1:10" x14ac:dyDescent="0.25">
      <c r="A432" s="1" t="str">
        <f t="shared" si="6"/>
        <v>12</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2463</v>
      </c>
    </row>
    <row r="433" spans="1:7" x14ac:dyDescent="0.25">
      <c r="A433" s="1" t="str">
        <f t="shared" si="6"/>
        <v>12</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2464</v>
      </c>
    </row>
    <row r="434" spans="1:7" x14ac:dyDescent="0.25">
      <c r="A434" s="1" t="str">
        <f t="shared" si="6"/>
        <v>12</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2465</v>
      </c>
      <c r="D434" s="1" t="s">
        <v>1271</v>
      </c>
      <c r="E434" s="1" t="s">
        <v>2466</v>
      </c>
      <c r="F434" s="1" t="s">
        <v>112</v>
      </c>
      <c r="G434" s="1">
        <v>132656</v>
      </c>
    </row>
    <row r="435" spans="1:7" x14ac:dyDescent="0.25">
      <c r="A435" s="1" t="str">
        <f t="shared" si="6"/>
        <v>12</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2467</v>
      </c>
    </row>
    <row r="436" spans="1:7" x14ac:dyDescent="0.25">
      <c r="A436" s="1" t="str">
        <f t="shared" si="6"/>
        <v>12</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2468</v>
      </c>
    </row>
    <row r="437" spans="1:7" x14ac:dyDescent="0.25">
      <c r="A437" s="1" t="str">
        <f t="shared" si="6"/>
        <v>12</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2469</v>
      </c>
      <c r="D437" s="1" t="s">
        <v>2470</v>
      </c>
      <c r="E437" s="1" t="s">
        <v>2471</v>
      </c>
      <c r="F437" s="1" t="s">
        <v>112</v>
      </c>
      <c r="G437" s="1">
        <v>348739</v>
      </c>
    </row>
    <row r="438" spans="1:7" x14ac:dyDescent="0.25">
      <c r="A438" s="1" t="str">
        <f t="shared" si="6"/>
        <v>12</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2472</v>
      </c>
      <c r="D438" s="1" t="s">
        <v>526</v>
      </c>
      <c r="E438" s="1" t="s">
        <v>2473</v>
      </c>
      <c r="F438" s="1" t="s">
        <v>112</v>
      </c>
      <c r="G438" s="1">
        <v>292004</v>
      </c>
    </row>
    <row r="439" spans="1:7" x14ac:dyDescent="0.25">
      <c r="A439" s="1" t="str">
        <f t="shared" si="6"/>
        <v>12</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2474</v>
      </c>
      <c r="D439" s="1" t="s">
        <v>2475</v>
      </c>
      <c r="E439" s="1" t="s">
        <v>2476</v>
      </c>
      <c r="F439" s="1" t="s">
        <v>112</v>
      </c>
      <c r="G439" s="1">
        <v>294253</v>
      </c>
    </row>
    <row r="440" spans="1:7" x14ac:dyDescent="0.25">
      <c r="A440" s="1" t="str">
        <f t="shared" si="6"/>
        <v>12</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2477</v>
      </c>
      <c r="D440" s="1" t="s">
        <v>2478</v>
      </c>
      <c r="E440" s="1" t="s">
        <v>2479</v>
      </c>
      <c r="F440" s="1" t="s">
        <v>112</v>
      </c>
      <c r="G440" s="1">
        <v>349323</v>
      </c>
    </row>
    <row r="441" spans="1:7" x14ac:dyDescent="0.25">
      <c r="A441" s="1" t="str">
        <f t="shared" si="6"/>
        <v>12</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2480</v>
      </c>
      <c r="D441" s="1" t="s">
        <v>2481</v>
      </c>
      <c r="E441" s="1" t="s">
        <v>2482</v>
      </c>
      <c r="F441" s="1" t="s">
        <v>112</v>
      </c>
      <c r="G441" s="1">
        <v>325032</v>
      </c>
    </row>
    <row r="442" spans="1:7" x14ac:dyDescent="0.25">
      <c r="A442" s="1" t="str">
        <f t="shared" si="6"/>
        <v>12</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2483</v>
      </c>
      <c r="D442" s="1" t="s">
        <v>2484</v>
      </c>
      <c r="E442" s="1" t="s">
        <v>2485</v>
      </c>
      <c r="F442" s="1" t="s">
        <v>112</v>
      </c>
      <c r="G442" s="1">
        <v>337794</v>
      </c>
    </row>
    <row r="443" spans="1:7" x14ac:dyDescent="0.25">
      <c r="A443" s="1" t="str">
        <f t="shared" si="6"/>
        <v>12</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2486</v>
      </c>
      <c r="D443" s="1" t="s">
        <v>2487</v>
      </c>
      <c r="E443" s="1" t="s">
        <v>2488</v>
      </c>
      <c r="F443" s="1" t="s">
        <v>112</v>
      </c>
      <c r="G443" s="1">
        <v>537114</v>
      </c>
    </row>
    <row r="444" spans="1:7" x14ac:dyDescent="0.25">
      <c r="A444" s="1" t="str">
        <f t="shared" si="6"/>
        <v>12</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2489</v>
      </c>
    </row>
    <row r="445" spans="1:7" x14ac:dyDescent="0.25">
      <c r="A445" s="1" t="str">
        <f t="shared" si="6"/>
        <v>12</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2490</v>
      </c>
    </row>
    <row r="446" spans="1:7" x14ac:dyDescent="0.25">
      <c r="A446" s="1" t="str">
        <f t="shared" si="6"/>
        <v>12</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2491</v>
      </c>
      <c r="D446" s="1" t="s">
        <v>2492</v>
      </c>
      <c r="E446" s="1" t="s">
        <v>2493</v>
      </c>
      <c r="F446" s="1" t="s">
        <v>112</v>
      </c>
      <c r="G446" s="1">
        <v>555499</v>
      </c>
    </row>
    <row r="447" spans="1:7" x14ac:dyDescent="0.25">
      <c r="A447" s="1" t="str">
        <f t="shared" si="6"/>
        <v>12</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2494</v>
      </c>
      <c r="D447" s="1" t="s">
        <v>2495</v>
      </c>
      <c r="E447" s="1" t="s">
        <v>2496</v>
      </c>
      <c r="F447" s="1" t="s">
        <v>112</v>
      </c>
      <c r="G447" s="1">
        <v>458640</v>
      </c>
    </row>
    <row r="448" spans="1:7" x14ac:dyDescent="0.25">
      <c r="A448" s="1" t="str">
        <f t="shared" si="6"/>
        <v>12</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2497</v>
      </c>
      <c r="D448" s="1" t="s">
        <v>2498</v>
      </c>
      <c r="E448" s="1" t="s">
        <v>2499</v>
      </c>
      <c r="F448" s="1" t="s">
        <v>112</v>
      </c>
      <c r="G448" s="1">
        <v>508562</v>
      </c>
    </row>
    <row r="449" spans="1:10" x14ac:dyDescent="0.25">
      <c r="A449" s="1" t="str">
        <f t="shared" si="6"/>
        <v>12</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2500</v>
      </c>
      <c r="D449" s="1" t="s">
        <v>1283</v>
      </c>
      <c r="E449" s="1" t="s">
        <v>2501</v>
      </c>
      <c r="F449" s="1" t="s">
        <v>112</v>
      </c>
      <c r="G449" s="1">
        <v>416311</v>
      </c>
    </row>
    <row r="450" spans="1:10" x14ac:dyDescent="0.25">
      <c r="A450" s="1" t="str">
        <f t="shared" ref="A450:A513" si="7">IFERROR(LEFT(RIGHT(C450,LEN(C450)-SEARCH("@",C450)),SEARCH("/",RIGHT(C450,LEN(C450)-SEARCH("@",C450)-1))),"")</f>
        <v>12</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2502</v>
      </c>
      <c r="D450" s="1" t="s">
        <v>2503</v>
      </c>
      <c r="E450" s="1" t="s">
        <v>2504</v>
      </c>
      <c r="F450" s="1" t="s">
        <v>112</v>
      </c>
      <c r="G450" s="1">
        <v>381595</v>
      </c>
    </row>
    <row r="451" spans="1:10" x14ac:dyDescent="0.25">
      <c r="A451" s="1" t="str">
        <f t="shared" si="7"/>
        <v>12</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2505</v>
      </c>
      <c r="D451" s="1" t="s">
        <v>508</v>
      </c>
      <c r="E451" s="1" t="s">
        <v>2506</v>
      </c>
      <c r="F451" s="1" t="s">
        <v>112</v>
      </c>
      <c r="G451" s="1">
        <v>403592</v>
      </c>
    </row>
    <row r="452" spans="1:10" x14ac:dyDescent="0.25">
      <c r="A452" s="1" t="str">
        <f t="shared" si="7"/>
        <v>12</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2507</v>
      </c>
      <c r="D452" s="1" t="s">
        <v>2508</v>
      </c>
      <c r="E452" s="1" t="s">
        <v>2509</v>
      </c>
      <c r="F452" s="1" t="s">
        <v>112</v>
      </c>
      <c r="G452" s="1">
        <v>309978</v>
      </c>
    </row>
    <row r="453" spans="1:10" x14ac:dyDescent="0.25">
      <c r="A453" s="1" t="str">
        <f t="shared" si="7"/>
        <v>12</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2510</v>
      </c>
      <c r="D453" s="1" t="s">
        <v>167</v>
      </c>
      <c r="E453" s="1" t="s">
        <v>2511</v>
      </c>
      <c r="F453" s="1" t="s">
        <v>112</v>
      </c>
      <c r="G453" s="1">
        <v>404176</v>
      </c>
    </row>
    <row r="454" spans="1:10" x14ac:dyDescent="0.25">
      <c r="A454" s="1" t="str">
        <f t="shared" si="7"/>
        <v>12</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2512</v>
      </c>
      <c r="D454" s="1" t="s">
        <v>635</v>
      </c>
      <c r="E454" s="1" t="s">
        <v>2513</v>
      </c>
      <c r="F454" s="1" t="s">
        <v>112</v>
      </c>
      <c r="G454" s="1">
        <v>416808</v>
      </c>
    </row>
    <row r="455" spans="1:10" x14ac:dyDescent="0.2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112</v>
      </c>
    </row>
    <row r="456" spans="1:10" x14ac:dyDescent="0.2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237</v>
      </c>
      <c r="D456" s="1" t="s">
        <v>112</v>
      </c>
      <c r="E456" s="1" t="s">
        <v>238</v>
      </c>
      <c r="F456" s="1" t="s">
        <v>239</v>
      </c>
      <c r="G456" s="1" t="s">
        <v>240</v>
      </c>
      <c r="H456" s="1" t="s">
        <v>241</v>
      </c>
      <c r="I456" s="1" t="s">
        <v>242</v>
      </c>
      <c r="J456" s="1" t="s">
        <v>243</v>
      </c>
    </row>
    <row r="457" spans="1:10" x14ac:dyDescent="0.25">
      <c r="A457" s="1" t="str">
        <f t="shared" si="7"/>
        <v>12</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2514</v>
      </c>
      <c r="D457" s="1" t="s">
        <v>112</v>
      </c>
      <c r="E457" s="1" t="s">
        <v>2515</v>
      </c>
      <c r="F457" s="1" t="s">
        <v>2516</v>
      </c>
      <c r="G457" s="1" t="s">
        <v>2517</v>
      </c>
      <c r="H457" s="1" t="s">
        <v>2518</v>
      </c>
      <c r="I457" s="1">
        <v>23</v>
      </c>
      <c r="J457" s="1">
        <v>24</v>
      </c>
    </row>
    <row r="458" spans="1:10" x14ac:dyDescent="0.2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112</v>
      </c>
    </row>
    <row r="459" spans="1:10" x14ac:dyDescent="0.2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10" x14ac:dyDescent="0.2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10" x14ac:dyDescent="0.2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10" x14ac:dyDescent="0.2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10" x14ac:dyDescent="0.2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249</v>
      </c>
      <c r="D463" s="1" t="s">
        <v>110</v>
      </c>
      <c r="E463" s="1" t="s">
        <v>111</v>
      </c>
      <c r="F463" s="1" t="s">
        <v>112</v>
      </c>
      <c r="G463" s="1" t="s">
        <v>113</v>
      </c>
    </row>
    <row r="464" spans="1:10" x14ac:dyDescent="0.25">
      <c r="A464" s="1" t="str">
        <f t="shared" si="7"/>
        <v>17</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2519</v>
      </c>
      <c r="D464" s="1" t="s">
        <v>2520</v>
      </c>
      <c r="E464" s="1" t="s">
        <v>2521</v>
      </c>
      <c r="F464" s="1" t="s">
        <v>112</v>
      </c>
      <c r="G464" s="1">
        <v>1634312</v>
      </c>
    </row>
    <row r="465" spans="1:7" x14ac:dyDescent="0.25">
      <c r="A465" s="1" t="str">
        <f t="shared" si="7"/>
        <v>17</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2522</v>
      </c>
      <c r="D465" s="1" t="s">
        <v>2523</v>
      </c>
      <c r="E465" s="1" t="s">
        <v>2524</v>
      </c>
      <c r="F465" s="1" t="s">
        <v>112</v>
      </c>
      <c r="G465" s="1">
        <v>2233525</v>
      </c>
    </row>
    <row r="466" spans="1:7" x14ac:dyDescent="0.25">
      <c r="A466" s="1" t="str">
        <f t="shared" si="7"/>
        <v>17</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2525</v>
      </c>
      <c r="D466" s="1" t="s">
        <v>2526</v>
      </c>
      <c r="E466" s="1" t="s">
        <v>2527</v>
      </c>
      <c r="F466" s="1" t="s">
        <v>112</v>
      </c>
      <c r="G466" s="1">
        <v>1617375</v>
      </c>
    </row>
    <row r="467" spans="1:7" x14ac:dyDescent="0.25">
      <c r="A467" s="1" t="str">
        <f t="shared" si="7"/>
        <v>17</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2528</v>
      </c>
    </row>
    <row r="468" spans="1:7" x14ac:dyDescent="0.25">
      <c r="A468" s="1" t="str">
        <f t="shared" si="7"/>
        <v>17</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2529</v>
      </c>
      <c r="D468" s="1" t="s">
        <v>2530</v>
      </c>
      <c r="E468" s="1" t="s">
        <v>2531</v>
      </c>
      <c r="F468" s="1" t="s">
        <v>112</v>
      </c>
      <c r="G468" s="1">
        <v>1015567</v>
      </c>
    </row>
    <row r="469" spans="1:7" x14ac:dyDescent="0.25">
      <c r="A469" s="1" t="str">
        <f t="shared" si="7"/>
        <v>17</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2532</v>
      </c>
      <c r="D469" s="1" t="s">
        <v>2533</v>
      </c>
      <c r="E469" s="1" t="s">
        <v>2534</v>
      </c>
      <c r="F469" s="1" t="s">
        <v>112</v>
      </c>
      <c r="G469" s="1">
        <v>1668833</v>
      </c>
    </row>
    <row r="470" spans="1:7" x14ac:dyDescent="0.25">
      <c r="A470" s="1" t="str">
        <f t="shared" si="7"/>
        <v>17</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2535</v>
      </c>
      <c r="D470" s="1" t="s">
        <v>2536</v>
      </c>
      <c r="E470" s="1" t="s">
        <v>2537</v>
      </c>
      <c r="F470" s="1" t="s">
        <v>112</v>
      </c>
      <c r="G470" s="1">
        <v>1310858</v>
      </c>
    </row>
    <row r="471" spans="1:7" x14ac:dyDescent="0.25">
      <c r="A471" s="1" t="str">
        <f t="shared" si="7"/>
        <v>17</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2538</v>
      </c>
      <c r="D471" s="1" t="s">
        <v>2539</v>
      </c>
      <c r="E471" s="1" t="s">
        <v>2540</v>
      </c>
      <c r="F471" s="1" t="s">
        <v>112</v>
      </c>
      <c r="G471" s="1">
        <v>1029021</v>
      </c>
    </row>
    <row r="472" spans="1:7" x14ac:dyDescent="0.25">
      <c r="A472" s="1" t="str">
        <f t="shared" si="7"/>
        <v>17</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2541</v>
      </c>
      <c r="D472" s="1" t="s">
        <v>2542</v>
      </c>
      <c r="E472" s="1" t="s">
        <v>2543</v>
      </c>
      <c r="F472" s="1" t="s">
        <v>112</v>
      </c>
      <c r="G472" s="1">
        <v>1081365</v>
      </c>
    </row>
    <row r="473" spans="1:7" x14ac:dyDescent="0.25">
      <c r="A473" s="1" t="str">
        <f t="shared" si="7"/>
        <v>17</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2544</v>
      </c>
      <c r="D473" s="1" t="s">
        <v>2545</v>
      </c>
      <c r="E473" s="1" t="s">
        <v>2546</v>
      </c>
      <c r="F473" s="1" t="s">
        <v>112</v>
      </c>
      <c r="G473" s="1">
        <v>1086426</v>
      </c>
    </row>
    <row r="474" spans="1:7" x14ac:dyDescent="0.25">
      <c r="A474" s="1" t="str">
        <f t="shared" si="7"/>
        <v>17</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2547</v>
      </c>
      <c r="D474" s="1" t="s">
        <v>2548</v>
      </c>
      <c r="E474" s="1" t="s">
        <v>2549</v>
      </c>
      <c r="F474" s="1" t="s">
        <v>112</v>
      </c>
      <c r="G474" s="1">
        <v>827711</v>
      </c>
    </row>
    <row r="475" spans="1:7" x14ac:dyDescent="0.25">
      <c r="A475" s="1" t="str">
        <f t="shared" si="7"/>
        <v>17</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2550</v>
      </c>
      <c r="D475" s="1" t="s">
        <v>2551</v>
      </c>
      <c r="E475" s="1" t="s">
        <v>2552</v>
      </c>
      <c r="F475" s="1" t="s">
        <v>112</v>
      </c>
      <c r="G475" s="1">
        <v>1371876</v>
      </c>
    </row>
    <row r="476" spans="1:7" x14ac:dyDescent="0.25">
      <c r="A476" s="1" t="str">
        <f t="shared" si="7"/>
        <v>17</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2553</v>
      </c>
      <c r="D476" s="1" t="s">
        <v>2554</v>
      </c>
      <c r="E476" s="1" t="s">
        <v>2555</v>
      </c>
      <c r="F476" s="1" t="s">
        <v>112</v>
      </c>
      <c r="G476" s="1">
        <v>1025344</v>
      </c>
    </row>
    <row r="477" spans="1:7" x14ac:dyDescent="0.25">
      <c r="A477" s="1" t="str">
        <f t="shared" si="7"/>
        <v>17</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2556</v>
      </c>
      <c r="D477" s="1" t="s">
        <v>2557</v>
      </c>
      <c r="E477" s="1" t="s">
        <v>2558</v>
      </c>
      <c r="F477" s="1" t="s">
        <v>112</v>
      </c>
      <c r="G477" s="1">
        <v>716339</v>
      </c>
    </row>
    <row r="478" spans="1:7" x14ac:dyDescent="0.25">
      <c r="A478" s="1" t="str">
        <f t="shared" si="7"/>
        <v>17</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2559</v>
      </c>
      <c r="D478" s="1" t="s">
        <v>2560</v>
      </c>
      <c r="E478" s="1" t="s">
        <v>2561</v>
      </c>
      <c r="F478" s="1" t="s">
        <v>112</v>
      </c>
      <c r="G478" s="1">
        <v>675934</v>
      </c>
    </row>
    <row r="479" spans="1:7" x14ac:dyDescent="0.25">
      <c r="A479" s="1" t="str">
        <f t="shared" si="7"/>
        <v>17</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2562</v>
      </c>
      <c r="D479" s="1" t="s">
        <v>2563</v>
      </c>
      <c r="E479" s="1" t="s">
        <v>2564</v>
      </c>
      <c r="F479" s="1" t="s">
        <v>112</v>
      </c>
      <c r="G479" s="1">
        <v>1046973</v>
      </c>
    </row>
    <row r="480" spans="1:7" x14ac:dyDescent="0.25">
      <c r="A480" s="1" t="str">
        <f t="shared" si="7"/>
        <v>17</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2565</v>
      </c>
      <c r="D480" s="1" t="s">
        <v>1387</v>
      </c>
      <c r="E480" s="1" t="s">
        <v>2566</v>
      </c>
      <c r="F480" s="1" t="s">
        <v>112</v>
      </c>
      <c r="G480" s="1">
        <v>692222</v>
      </c>
    </row>
    <row r="481" spans="1:10" x14ac:dyDescent="0.25">
      <c r="A481" s="1" t="str">
        <f t="shared" si="7"/>
        <v>17</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2567</v>
      </c>
      <c r="D481" s="1" t="s">
        <v>2568</v>
      </c>
      <c r="E481" s="1" t="s">
        <v>2569</v>
      </c>
      <c r="F481" s="1" t="s">
        <v>112</v>
      </c>
      <c r="G481" s="1">
        <v>791719</v>
      </c>
    </row>
    <row r="482" spans="1:10" x14ac:dyDescent="0.25">
      <c r="A482" s="1" t="str">
        <f t="shared" si="7"/>
        <v>17</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2570</v>
      </c>
      <c r="D482" s="1" t="s">
        <v>2571</v>
      </c>
      <c r="E482" s="1" t="s">
        <v>2572</v>
      </c>
      <c r="F482" s="1" t="s">
        <v>112</v>
      </c>
      <c r="G482" s="1">
        <v>275630</v>
      </c>
    </row>
    <row r="483" spans="1:10" x14ac:dyDescent="0.25">
      <c r="A483" s="1" t="str">
        <f t="shared" si="7"/>
        <v>17</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2573</v>
      </c>
      <c r="D483" s="1" t="s">
        <v>1274</v>
      </c>
      <c r="E483" s="1" t="s">
        <v>2574</v>
      </c>
      <c r="F483" s="1" t="s">
        <v>112</v>
      </c>
      <c r="G483" s="1">
        <v>110896</v>
      </c>
    </row>
    <row r="484" spans="1:10" x14ac:dyDescent="0.25">
      <c r="A484" s="1" t="str">
        <f t="shared" si="7"/>
        <v>17</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2575</v>
      </c>
      <c r="D484" s="1" t="s">
        <v>2377</v>
      </c>
      <c r="E484" s="1">
        <v>33</v>
      </c>
      <c r="F484" s="1" t="s">
        <v>112</v>
      </c>
      <c r="G484" s="1">
        <v>61386</v>
      </c>
    </row>
    <row r="485" spans="1:10" x14ac:dyDescent="0.25">
      <c r="A485" s="1" t="str">
        <f t="shared" si="7"/>
        <v>17</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2576</v>
      </c>
      <c r="D485" s="1" t="s">
        <v>472</v>
      </c>
      <c r="E485" s="1" t="s">
        <v>2577</v>
      </c>
      <c r="F485" s="1" t="s">
        <v>112</v>
      </c>
      <c r="G485" s="1">
        <v>66728</v>
      </c>
    </row>
    <row r="486" spans="1:10" x14ac:dyDescent="0.25">
      <c r="A486" s="1" t="str">
        <f t="shared" si="7"/>
        <v>17</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2578</v>
      </c>
      <c r="D486" s="1" t="s">
        <v>2579</v>
      </c>
      <c r="E486" s="1" t="s">
        <v>2580</v>
      </c>
      <c r="F486" s="1" t="s">
        <v>112</v>
      </c>
      <c r="G486" s="1">
        <v>75099</v>
      </c>
    </row>
    <row r="487" spans="1:10" x14ac:dyDescent="0.25">
      <c r="A487" s="1" t="str">
        <f t="shared" si="7"/>
        <v>17</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2581</v>
      </c>
      <c r="D487" s="1" t="s">
        <v>2582</v>
      </c>
      <c r="E487" s="1" t="s">
        <v>2583</v>
      </c>
      <c r="F487" s="1" t="s">
        <v>112</v>
      </c>
      <c r="G487" s="1">
        <v>139837</v>
      </c>
    </row>
    <row r="488" spans="1:10" x14ac:dyDescent="0.2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112</v>
      </c>
    </row>
    <row r="489" spans="1:10" x14ac:dyDescent="0.2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237</v>
      </c>
      <c r="D489" s="1" t="s">
        <v>112</v>
      </c>
      <c r="E489" s="1" t="s">
        <v>238</v>
      </c>
      <c r="F489" s="1" t="s">
        <v>239</v>
      </c>
      <c r="G489" s="1" t="s">
        <v>240</v>
      </c>
      <c r="H489" s="1" t="s">
        <v>241</v>
      </c>
      <c r="I489" s="1" t="s">
        <v>242</v>
      </c>
      <c r="J489" s="1" t="s">
        <v>243</v>
      </c>
    </row>
    <row r="490" spans="1:10" x14ac:dyDescent="0.25">
      <c r="A490" s="1" t="str">
        <f t="shared" si="7"/>
        <v>17</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2584</v>
      </c>
      <c r="D490" s="1" t="s">
        <v>112</v>
      </c>
      <c r="E490" s="1" t="s">
        <v>2585</v>
      </c>
      <c r="F490" s="1" t="s">
        <v>2586</v>
      </c>
      <c r="G490" s="1" t="s">
        <v>2587</v>
      </c>
      <c r="H490" s="1" t="s">
        <v>2588</v>
      </c>
      <c r="I490" s="1">
        <v>24</v>
      </c>
      <c r="J490" s="1">
        <v>24</v>
      </c>
    </row>
    <row r="491" spans="1:10" x14ac:dyDescent="0.2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10" x14ac:dyDescent="0.2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10" x14ac:dyDescent="0.2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10" x14ac:dyDescent="0.2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10" x14ac:dyDescent="0.2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10" x14ac:dyDescent="0.2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249</v>
      </c>
      <c r="D496" s="1" t="s">
        <v>110</v>
      </c>
      <c r="E496" s="1" t="s">
        <v>111</v>
      </c>
      <c r="F496" s="1" t="s">
        <v>112</v>
      </c>
      <c r="G496" s="1" t="s">
        <v>113</v>
      </c>
    </row>
    <row r="497" spans="1:7" x14ac:dyDescent="0.25">
      <c r="A497" s="1" t="str">
        <f t="shared" si="7"/>
        <v>18</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2589</v>
      </c>
    </row>
    <row r="498" spans="1:7" x14ac:dyDescent="0.25">
      <c r="A498" s="1" t="str">
        <f t="shared" si="7"/>
        <v>18</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2590</v>
      </c>
      <c r="D498" s="1" t="s">
        <v>2591</v>
      </c>
      <c r="E498" s="1" t="s">
        <v>2592</v>
      </c>
      <c r="F498" s="1" t="s">
        <v>112</v>
      </c>
      <c r="G498" s="1">
        <v>365437</v>
      </c>
    </row>
    <row r="499" spans="1:7" x14ac:dyDescent="0.25">
      <c r="A499" s="1" t="str">
        <f t="shared" si="7"/>
        <v>18</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2593</v>
      </c>
      <c r="D499" s="1" t="s">
        <v>2594</v>
      </c>
      <c r="E499" s="1" t="s">
        <v>2595</v>
      </c>
      <c r="F499" s="1" t="s">
        <v>112</v>
      </c>
      <c r="G499" s="1">
        <v>352784</v>
      </c>
    </row>
    <row r="500" spans="1:7" x14ac:dyDescent="0.25">
      <c r="A500" s="1" t="str">
        <f t="shared" si="7"/>
        <v>18</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2596</v>
      </c>
      <c r="D500" s="1" t="s">
        <v>2597</v>
      </c>
      <c r="E500" s="1" t="s">
        <v>2598</v>
      </c>
      <c r="F500" s="1" t="s">
        <v>112</v>
      </c>
      <c r="G500" s="1">
        <v>1650037</v>
      </c>
    </row>
    <row r="501" spans="1:7" x14ac:dyDescent="0.25">
      <c r="A501" s="1" t="str">
        <f t="shared" si="7"/>
        <v>18</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2599</v>
      </c>
    </row>
    <row r="502" spans="1:7" x14ac:dyDescent="0.25">
      <c r="A502" s="1" t="str">
        <f t="shared" si="7"/>
        <v>18</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2600</v>
      </c>
    </row>
    <row r="503" spans="1:7" x14ac:dyDescent="0.25">
      <c r="A503" s="1" t="str">
        <f t="shared" si="7"/>
        <v>18</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2601</v>
      </c>
      <c r="D503" s="1" t="s">
        <v>2602</v>
      </c>
      <c r="E503" s="1" t="s">
        <v>2603</v>
      </c>
      <c r="F503" s="1" t="s">
        <v>112</v>
      </c>
      <c r="G503" s="1">
        <v>1006417</v>
      </c>
    </row>
    <row r="504" spans="1:7" x14ac:dyDescent="0.25">
      <c r="A504" s="1" t="str">
        <f t="shared" si="7"/>
        <v>18</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2604</v>
      </c>
      <c r="D504" s="1" t="s">
        <v>2605</v>
      </c>
      <c r="E504" s="1" t="s">
        <v>2606</v>
      </c>
      <c r="F504" s="1" t="s">
        <v>112</v>
      </c>
      <c r="G504" s="1">
        <v>883884</v>
      </c>
    </row>
    <row r="505" spans="1:7" x14ac:dyDescent="0.25">
      <c r="A505" s="1" t="str">
        <f t="shared" si="7"/>
        <v>18</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2607</v>
      </c>
      <c r="D505" s="1" t="s">
        <v>2608</v>
      </c>
      <c r="E505" s="1" t="s">
        <v>1590</v>
      </c>
      <c r="F505" s="1" t="s">
        <v>112</v>
      </c>
      <c r="G505" s="1">
        <v>1009208</v>
      </c>
    </row>
    <row r="506" spans="1:7" x14ac:dyDescent="0.25">
      <c r="A506" s="1" t="str">
        <f t="shared" si="7"/>
        <v>18</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2609</v>
      </c>
    </row>
    <row r="507" spans="1:7" x14ac:dyDescent="0.25">
      <c r="A507" s="1" t="str">
        <f t="shared" si="7"/>
        <v>18</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2610</v>
      </c>
      <c r="D507" s="1" t="s">
        <v>2611</v>
      </c>
      <c r="E507" s="1" t="s">
        <v>2612</v>
      </c>
      <c r="F507" s="1" t="s">
        <v>112</v>
      </c>
      <c r="G507" s="1">
        <v>209767</v>
      </c>
    </row>
    <row r="508" spans="1:7" x14ac:dyDescent="0.25">
      <c r="A508" s="1" t="str">
        <f t="shared" si="7"/>
        <v>18</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2613</v>
      </c>
      <c r="D508" s="1" t="s">
        <v>182</v>
      </c>
      <c r="E508" s="1" t="s">
        <v>2614</v>
      </c>
      <c r="F508" s="1" t="s">
        <v>112</v>
      </c>
      <c r="G508" s="1">
        <v>242709</v>
      </c>
    </row>
    <row r="509" spans="1:7" x14ac:dyDescent="0.25">
      <c r="A509" s="1" t="str">
        <f t="shared" si="7"/>
        <v>18</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2615</v>
      </c>
      <c r="D509" s="1" t="s">
        <v>2616</v>
      </c>
      <c r="E509" s="1" t="s">
        <v>2617</v>
      </c>
      <c r="F509" s="1" t="s">
        <v>112</v>
      </c>
      <c r="G509" s="1">
        <v>1067241</v>
      </c>
    </row>
    <row r="510" spans="1:7" x14ac:dyDescent="0.25">
      <c r="A510" s="1" t="str">
        <f t="shared" si="7"/>
        <v>18</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2618</v>
      </c>
      <c r="D510" s="1" t="s">
        <v>2619</v>
      </c>
      <c r="E510" s="1" t="s">
        <v>2620</v>
      </c>
      <c r="F510" s="1" t="s">
        <v>112</v>
      </c>
      <c r="G510" s="1">
        <v>1250403</v>
      </c>
    </row>
    <row r="511" spans="1:7" x14ac:dyDescent="0.25">
      <c r="A511" s="1" t="str">
        <f t="shared" si="7"/>
        <v>18</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2621</v>
      </c>
      <c r="D511" s="1" t="s">
        <v>2602</v>
      </c>
      <c r="E511" s="1" t="s">
        <v>2622</v>
      </c>
      <c r="F511" s="1" t="s">
        <v>112</v>
      </c>
      <c r="G511" s="1">
        <v>1079591</v>
      </c>
    </row>
    <row r="512" spans="1:7" x14ac:dyDescent="0.25">
      <c r="A512" s="1" t="str">
        <f t="shared" si="7"/>
        <v>18</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2623</v>
      </c>
    </row>
    <row r="513" spans="1:10" x14ac:dyDescent="0.25">
      <c r="A513" s="1" t="str">
        <f t="shared" si="7"/>
        <v>18</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2624</v>
      </c>
      <c r="D513" s="1" t="s">
        <v>2625</v>
      </c>
      <c r="E513" s="1" t="s">
        <v>2626</v>
      </c>
      <c r="F513" s="1" t="s">
        <v>112</v>
      </c>
      <c r="G513" s="1">
        <v>1231541</v>
      </c>
    </row>
    <row r="514" spans="1:10" x14ac:dyDescent="0.25">
      <c r="A514" s="1" t="str">
        <f t="shared" ref="A514:A577" si="8">IFERROR(LEFT(RIGHT(C514,LEN(C514)-SEARCH("@",C514)),SEARCH("/",RIGHT(C514,LEN(C514)-SEARCH("@",C514)-1))),"")</f>
        <v>18</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2627</v>
      </c>
      <c r="D514" s="1" t="s">
        <v>2628</v>
      </c>
      <c r="E514" s="1" t="s">
        <v>2629</v>
      </c>
      <c r="F514" s="1" t="s">
        <v>112</v>
      </c>
      <c r="G514" s="1">
        <v>1579328</v>
      </c>
    </row>
    <row r="515" spans="1:10" x14ac:dyDescent="0.25">
      <c r="A515" s="1" t="str">
        <f t="shared" si="8"/>
        <v>18</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2630</v>
      </c>
      <c r="D515" s="1" t="s">
        <v>2631</v>
      </c>
      <c r="E515" s="1" t="s">
        <v>2632</v>
      </c>
      <c r="F515" s="1" t="s">
        <v>112</v>
      </c>
      <c r="G515" s="1">
        <v>1689100</v>
      </c>
    </row>
    <row r="516" spans="1:10" x14ac:dyDescent="0.25">
      <c r="A516" s="1" t="str">
        <f t="shared" si="8"/>
        <v>18</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2633</v>
      </c>
      <c r="D516" s="1" t="s">
        <v>2634</v>
      </c>
      <c r="E516" s="1" t="s">
        <v>2635</v>
      </c>
      <c r="F516" s="1" t="s">
        <v>112</v>
      </c>
      <c r="G516" s="1">
        <v>1365885</v>
      </c>
    </row>
    <row r="517" spans="1:10" x14ac:dyDescent="0.25">
      <c r="A517" s="1" t="str">
        <f t="shared" si="8"/>
        <v>18</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2636</v>
      </c>
      <c r="D517" s="1" t="s">
        <v>2637</v>
      </c>
      <c r="E517" s="1" t="s">
        <v>2638</v>
      </c>
      <c r="F517" s="1" t="s">
        <v>112</v>
      </c>
      <c r="G517" s="1">
        <v>1346093</v>
      </c>
    </row>
    <row r="518" spans="1:10" x14ac:dyDescent="0.25">
      <c r="A518" s="1" t="str">
        <f t="shared" si="8"/>
        <v>18</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2639</v>
      </c>
      <c r="D518" s="1" t="s">
        <v>2640</v>
      </c>
      <c r="E518" s="1" t="s">
        <v>2641</v>
      </c>
      <c r="F518" s="1" t="s">
        <v>112</v>
      </c>
      <c r="G518" s="1">
        <v>666958</v>
      </c>
    </row>
    <row r="519" spans="1:10" x14ac:dyDescent="0.25">
      <c r="A519" s="1" t="str">
        <f t="shared" si="8"/>
        <v>18</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2642</v>
      </c>
      <c r="D519" s="1" t="s">
        <v>1721</v>
      </c>
      <c r="E519" s="1" t="s">
        <v>2643</v>
      </c>
      <c r="F519" s="1" t="s">
        <v>112</v>
      </c>
      <c r="G519" s="1">
        <v>1135094</v>
      </c>
    </row>
    <row r="520" spans="1:10" x14ac:dyDescent="0.25">
      <c r="A520" s="1" t="str">
        <f t="shared" si="8"/>
        <v>18</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2644</v>
      </c>
      <c r="D520" s="1" t="s">
        <v>2645</v>
      </c>
      <c r="E520" s="1" t="s">
        <v>2646</v>
      </c>
      <c r="F520" s="1" t="s">
        <v>112</v>
      </c>
      <c r="G520" s="1">
        <v>571743</v>
      </c>
    </row>
    <row r="521" spans="1:10" x14ac:dyDescent="0.2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112</v>
      </c>
    </row>
    <row r="522" spans="1:10" x14ac:dyDescent="0.2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237</v>
      </c>
      <c r="D522" s="1" t="s">
        <v>112</v>
      </c>
      <c r="E522" s="1" t="s">
        <v>238</v>
      </c>
      <c r="F522" s="1" t="s">
        <v>239</v>
      </c>
      <c r="G522" s="1" t="s">
        <v>240</v>
      </c>
      <c r="H522" s="1" t="s">
        <v>241</v>
      </c>
      <c r="I522" s="1" t="s">
        <v>242</v>
      </c>
      <c r="J522" s="1" t="s">
        <v>243</v>
      </c>
    </row>
    <row r="523" spans="1:10" x14ac:dyDescent="0.25">
      <c r="A523" s="1" t="str">
        <f t="shared" si="8"/>
        <v>18</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2647</v>
      </c>
      <c r="D523" s="1" t="s">
        <v>112</v>
      </c>
      <c r="E523" s="1" t="s">
        <v>2648</v>
      </c>
      <c r="F523" s="1" t="s">
        <v>2649</v>
      </c>
      <c r="G523" s="1" t="s">
        <v>2650</v>
      </c>
      <c r="H523" s="1" t="s">
        <v>2651</v>
      </c>
      <c r="I523" s="1">
        <v>24</v>
      </c>
      <c r="J523" s="1">
        <v>24</v>
      </c>
    </row>
    <row r="524" spans="1:10" x14ac:dyDescent="0.2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112</v>
      </c>
    </row>
    <row r="525" spans="1:10" x14ac:dyDescent="0.2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10" x14ac:dyDescent="0.2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10" x14ac:dyDescent="0.2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10" x14ac:dyDescent="0.2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2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249</v>
      </c>
      <c r="D529" s="1" t="s">
        <v>110</v>
      </c>
      <c r="E529" s="1" t="s">
        <v>111</v>
      </c>
      <c r="F529" s="1" t="s">
        <v>112</v>
      </c>
      <c r="G529" s="1" t="s">
        <v>113</v>
      </c>
    </row>
    <row r="530" spans="1:7" x14ac:dyDescent="0.25">
      <c r="A530" s="1" t="str">
        <f t="shared" si="8"/>
        <v>19</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2652</v>
      </c>
      <c r="D530" s="1" t="s">
        <v>2147</v>
      </c>
      <c r="E530" s="1" t="s">
        <v>2653</v>
      </c>
      <c r="F530" s="1" t="s">
        <v>112</v>
      </c>
      <c r="G530" s="1">
        <v>80225</v>
      </c>
    </row>
    <row r="531" spans="1:7" x14ac:dyDescent="0.25">
      <c r="A531" s="1" t="str">
        <f t="shared" si="8"/>
        <v>19</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2654</v>
      </c>
      <c r="D531" s="1" t="s">
        <v>722</v>
      </c>
      <c r="E531" s="1" t="s">
        <v>2655</v>
      </c>
      <c r="F531" s="1" t="s">
        <v>112</v>
      </c>
      <c r="G531" s="1">
        <v>242666</v>
      </c>
    </row>
    <row r="532" spans="1:7" x14ac:dyDescent="0.25">
      <c r="A532" s="1" t="str">
        <f t="shared" si="8"/>
        <v>19</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2656</v>
      </c>
      <c r="D532" s="1" t="s">
        <v>719</v>
      </c>
      <c r="E532" s="1" t="s">
        <v>2657</v>
      </c>
      <c r="F532" s="1" t="s">
        <v>112</v>
      </c>
      <c r="G532" s="1">
        <v>106506</v>
      </c>
    </row>
    <row r="533" spans="1:7" x14ac:dyDescent="0.25">
      <c r="A533" s="1" t="str">
        <f t="shared" si="8"/>
        <v>19</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2658</v>
      </c>
      <c r="D533" s="1" t="s">
        <v>2659</v>
      </c>
      <c r="E533" s="1" t="s">
        <v>2660</v>
      </c>
      <c r="F533" s="1" t="s">
        <v>112</v>
      </c>
      <c r="G533" s="1">
        <v>460198</v>
      </c>
    </row>
    <row r="534" spans="1:7" x14ac:dyDescent="0.25">
      <c r="A534" s="1" t="str">
        <f t="shared" si="8"/>
        <v>19</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2661</v>
      </c>
      <c r="D534" s="1" t="s">
        <v>2662</v>
      </c>
      <c r="E534" s="1" t="s">
        <v>2663</v>
      </c>
      <c r="F534" s="1" t="s">
        <v>112</v>
      </c>
      <c r="G534" s="1">
        <v>718004</v>
      </c>
    </row>
    <row r="535" spans="1:7" x14ac:dyDescent="0.25">
      <c r="A535" s="1" t="str">
        <f t="shared" si="8"/>
        <v>19</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2664</v>
      </c>
      <c r="D535" s="1" t="s">
        <v>2665</v>
      </c>
      <c r="E535" s="1" t="s">
        <v>2666</v>
      </c>
      <c r="F535" s="1" t="s">
        <v>112</v>
      </c>
      <c r="G535" s="1">
        <v>764530</v>
      </c>
    </row>
    <row r="536" spans="1:7" x14ac:dyDescent="0.25">
      <c r="A536" s="1" t="str">
        <f t="shared" si="8"/>
        <v>19</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2667</v>
      </c>
    </row>
    <row r="537" spans="1:7" x14ac:dyDescent="0.25">
      <c r="A537" s="1" t="str">
        <f t="shared" si="8"/>
        <v>19</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2668</v>
      </c>
      <c r="D537" s="1" t="s">
        <v>2669</v>
      </c>
      <c r="E537" s="1" t="s">
        <v>2670</v>
      </c>
      <c r="F537" s="1" t="s">
        <v>112</v>
      </c>
      <c r="G537" s="1">
        <v>325314</v>
      </c>
    </row>
    <row r="538" spans="1:7" x14ac:dyDescent="0.25">
      <c r="A538" s="1" t="str">
        <f t="shared" si="8"/>
        <v>19</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2671</v>
      </c>
      <c r="D538" s="1" t="s">
        <v>2672</v>
      </c>
      <c r="E538" s="1" t="s">
        <v>2673</v>
      </c>
      <c r="F538" s="1" t="s">
        <v>112</v>
      </c>
      <c r="G538" s="1">
        <v>451848</v>
      </c>
    </row>
    <row r="539" spans="1:7" x14ac:dyDescent="0.25">
      <c r="A539" s="1" t="str">
        <f t="shared" si="8"/>
        <v>19</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2674</v>
      </c>
    </row>
    <row r="540" spans="1:7" x14ac:dyDescent="0.25">
      <c r="A540" s="1" t="str">
        <f t="shared" si="8"/>
        <v>19</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2675</v>
      </c>
    </row>
    <row r="541" spans="1:7" x14ac:dyDescent="0.25">
      <c r="A541" s="1" t="str">
        <f t="shared" si="8"/>
        <v>19</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2676</v>
      </c>
    </row>
    <row r="542" spans="1:7" x14ac:dyDescent="0.25">
      <c r="A542" s="1" t="str">
        <f t="shared" si="8"/>
        <v>19</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2677</v>
      </c>
      <c r="D542" s="1" t="s">
        <v>2253</v>
      </c>
      <c r="E542" s="1" t="s">
        <v>2678</v>
      </c>
      <c r="F542" s="1" t="s">
        <v>112</v>
      </c>
      <c r="G542" s="1">
        <v>1693642</v>
      </c>
    </row>
    <row r="543" spans="1:7" x14ac:dyDescent="0.25">
      <c r="A543" s="1" t="str">
        <f t="shared" si="8"/>
        <v>19</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2679</v>
      </c>
      <c r="D543" s="1" t="s">
        <v>2680</v>
      </c>
      <c r="E543" s="1" t="s">
        <v>2681</v>
      </c>
      <c r="F543" s="1" t="s">
        <v>112</v>
      </c>
      <c r="G543" s="1">
        <v>1757970</v>
      </c>
    </row>
    <row r="544" spans="1:7" x14ac:dyDescent="0.25">
      <c r="A544" s="1" t="str">
        <f t="shared" si="8"/>
        <v>19</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2682</v>
      </c>
      <c r="D544" s="1" t="s">
        <v>2683</v>
      </c>
      <c r="E544" s="1" t="s">
        <v>2684</v>
      </c>
      <c r="F544" s="1" t="s">
        <v>112</v>
      </c>
      <c r="G544" s="1">
        <v>1614585</v>
      </c>
    </row>
    <row r="545" spans="1:10" x14ac:dyDescent="0.25">
      <c r="A545" s="1" t="str">
        <f t="shared" si="8"/>
        <v>19</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2685</v>
      </c>
      <c r="D545" s="1" t="s">
        <v>2686</v>
      </c>
      <c r="E545" s="1" t="s">
        <v>2687</v>
      </c>
      <c r="F545" s="1" t="s">
        <v>112</v>
      </c>
      <c r="G545" s="1">
        <v>1385784</v>
      </c>
    </row>
    <row r="546" spans="1:10" x14ac:dyDescent="0.25">
      <c r="A546" s="1" t="str">
        <f t="shared" si="8"/>
        <v>19</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2688</v>
      </c>
      <c r="D546" s="1" t="s">
        <v>2689</v>
      </c>
      <c r="E546" s="1" t="s">
        <v>2690</v>
      </c>
      <c r="F546" s="1" t="s">
        <v>112</v>
      </c>
      <c r="G546" s="1">
        <v>1167019</v>
      </c>
    </row>
    <row r="547" spans="1:10" x14ac:dyDescent="0.25">
      <c r="A547" s="1" t="str">
        <f t="shared" si="8"/>
        <v>19</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2691</v>
      </c>
      <c r="D547" s="1" t="s">
        <v>2692</v>
      </c>
      <c r="E547" s="1" t="s">
        <v>2693</v>
      </c>
      <c r="F547" s="1" t="s">
        <v>112</v>
      </c>
      <c r="G547" s="1">
        <v>1923655</v>
      </c>
    </row>
    <row r="548" spans="1:10" x14ac:dyDescent="0.25">
      <c r="A548" s="1" t="str">
        <f t="shared" si="8"/>
        <v>19</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2694</v>
      </c>
      <c r="D548" s="1" t="s">
        <v>1195</v>
      </c>
      <c r="E548" s="1" t="s">
        <v>2695</v>
      </c>
      <c r="F548" s="1" t="s">
        <v>112</v>
      </c>
      <c r="G548" s="1">
        <v>1060146</v>
      </c>
    </row>
    <row r="549" spans="1:10" x14ac:dyDescent="0.25">
      <c r="A549" s="1" t="str">
        <f t="shared" si="8"/>
        <v>19</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2696</v>
      </c>
      <c r="D549" s="1" t="s">
        <v>2697</v>
      </c>
      <c r="E549" s="1" t="s">
        <v>2698</v>
      </c>
      <c r="F549" s="1" t="s">
        <v>112</v>
      </c>
      <c r="G549" s="1">
        <v>1591246</v>
      </c>
    </row>
    <row r="550" spans="1:10" x14ac:dyDescent="0.25">
      <c r="A550" s="1" t="str">
        <f t="shared" si="8"/>
        <v>19</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2699</v>
      </c>
      <c r="D550" s="1" t="s">
        <v>2700</v>
      </c>
      <c r="E550" s="1" t="s">
        <v>2701</v>
      </c>
      <c r="F550" s="1" t="s">
        <v>112</v>
      </c>
      <c r="G550" s="1">
        <v>1383102</v>
      </c>
    </row>
    <row r="551" spans="1:10" x14ac:dyDescent="0.25">
      <c r="A551" s="1" t="str">
        <f t="shared" si="8"/>
        <v>19</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2702</v>
      </c>
      <c r="D551" s="1" t="s">
        <v>2703</v>
      </c>
      <c r="E551" s="1" t="s">
        <v>2704</v>
      </c>
      <c r="F551" s="1" t="s">
        <v>112</v>
      </c>
      <c r="G551" s="1">
        <v>941030</v>
      </c>
    </row>
    <row r="552" spans="1:10" x14ac:dyDescent="0.25">
      <c r="A552" s="1" t="str">
        <f t="shared" si="8"/>
        <v>19</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2705</v>
      </c>
      <c r="D552" s="1" t="s">
        <v>2706</v>
      </c>
      <c r="E552" s="1" t="s">
        <v>2707</v>
      </c>
      <c r="F552" s="1" t="s">
        <v>112</v>
      </c>
      <c r="G552" s="1">
        <v>978407</v>
      </c>
    </row>
    <row r="553" spans="1:10" x14ac:dyDescent="0.25">
      <c r="A553" s="1" t="str">
        <f t="shared" si="8"/>
        <v>19</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2708</v>
      </c>
      <c r="D553" s="1" t="s">
        <v>2709</v>
      </c>
      <c r="E553" s="1" t="s">
        <v>2710</v>
      </c>
      <c r="F553" s="1" t="s">
        <v>112</v>
      </c>
      <c r="G553" s="1">
        <v>1063801</v>
      </c>
    </row>
    <row r="554" spans="1:10" x14ac:dyDescent="0.2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112</v>
      </c>
    </row>
    <row r="555" spans="1:10" x14ac:dyDescent="0.2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237</v>
      </c>
      <c r="D555" s="1" t="s">
        <v>112</v>
      </c>
      <c r="E555" s="1" t="s">
        <v>238</v>
      </c>
      <c r="F555" s="1" t="s">
        <v>239</v>
      </c>
      <c r="G555" s="1" t="s">
        <v>240</v>
      </c>
      <c r="H555" s="1" t="s">
        <v>241</v>
      </c>
      <c r="I555" s="1" t="s">
        <v>242</v>
      </c>
      <c r="J555" s="1" t="s">
        <v>243</v>
      </c>
    </row>
    <row r="556" spans="1:10" x14ac:dyDescent="0.25">
      <c r="A556" s="1" t="str">
        <f t="shared" si="8"/>
        <v>19</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2711</v>
      </c>
      <c r="D556" s="1" t="s">
        <v>112</v>
      </c>
      <c r="E556" s="1" t="s">
        <v>2712</v>
      </c>
      <c r="F556" s="1" t="s">
        <v>2713</v>
      </c>
      <c r="G556" s="1" t="s">
        <v>2714</v>
      </c>
      <c r="H556" s="1" t="s">
        <v>2715</v>
      </c>
      <c r="I556" s="1">
        <v>24</v>
      </c>
      <c r="J556" s="1">
        <v>24</v>
      </c>
    </row>
    <row r="557" spans="1:10" x14ac:dyDescent="0.2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112</v>
      </c>
    </row>
    <row r="558" spans="1:10" x14ac:dyDescent="0.2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10" x14ac:dyDescent="0.2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10" x14ac:dyDescent="0.2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2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2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249</v>
      </c>
      <c r="D562" s="1" t="s">
        <v>110</v>
      </c>
      <c r="E562" s="1" t="s">
        <v>111</v>
      </c>
      <c r="F562" s="1" t="s">
        <v>112</v>
      </c>
      <c r="G562" s="1" t="s">
        <v>113</v>
      </c>
    </row>
    <row r="563" spans="1:7" x14ac:dyDescent="0.25">
      <c r="A563" s="1" t="str">
        <f t="shared" si="8"/>
        <v>20</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2716</v>
      </c>
      <c r="D563" s="1" t="s">
        <v>285</v>
      </c>
      <c r="E563" s="1" t="s">
        <v>2717</v>
      </c>
      <c r="F563" s="1" t="s">
        <v>112</v>
      </c>
      <c r="G563" s="1">
        <v>494438</v>
      </c>
    </row>
    <row r="564" spans="1:7" x14ac:dyDescent="0.25">
      <c r="A564" s="1" t="str">
        <f t="shared" si="8"/>
        <v>20</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2718</v>
      </c>
      <c r="D564" s="1" t="s">
        <v>2719</v>
      </c>
      <c r="E564" s="1" t="s">
        <v>2720</v>
      </c>
      <c r="F564" s="1" t="s">
        <v>112</v>
      </c>
      <c r="G564" s="1">
        <v>582644</v>
      </c>
    </row>
    <row r="565" spans="1:7" x14ac:dyDescent="0.25">
      <c r="A565" s="1" t="str">
        <f t="shared" si="8"/>
        <v>20</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2721</v>
      </c>
      <c r="D565" s="1" t="s">
        <v>1032</v>
      </c>
      <c r="E565" s="1" t="s">
        <v>2722</v>
      </c>
      <c r="F565" s="1" t="s">
        <v>112</v>
      </c>
      <c r="G565" s="1">
        <v>209161</v>
      </c>
    </row>
    <row r="566" spans="1:7" x14ac:dyDescent="0.25">
      <c r="A566" s="1" t="str">
        <f t="shared" si="8"/>
        <v>20</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2723</v>
      </c>
    </row>
    <row r="567" spans="1:7" x14ac:dyDescent="0.25">
      <c r="A567" s="1" t="str">
        <f t="shared" si="8"/>
        <v>20</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2724</v>
      </c>
    </row>
    <row r="568" spans="1:7" x14ac:dyDescent="0.25">
      <c r="A568" s="1" t="str">
        <f t="shared" si="8"/>
        <v>20</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2725</v>
      </c>
      <c r="D568" s="1" t="s">
        <v>2726</v>
      </c>
      <c r="E568" s="1" t="s">
        <v>2727</v>
      </c>
      <c r="F568" s="1" t="s">
        <v>112</v>
      </c>
      <c r="G568" s="1">
        <v>67291</v>
      </c>
    </row>
    <row r="569" spans="1:7" x14ac:dyDescent="0.25">
      <c r="A569" s="1" t="str">
        <f t="shared" si="8"/>
        <v>20</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2728</v>
      </c>
    </row>
    <row r="570" spans="1:7" x14ac:dyDescent="0.25">
      <c r="A570" s="1" t="str">
        <f t="shared" si="8"/>
        <v>20</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2729</v>
      </c>
    </row>
    <row r="571" spans="1:7" x14ac:dyDescent="0.25">
      <c r="A571" s="1" t="str">
        <f t="shared" si="8"/>
        <v>20</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2730</v>
      </c>
    </row>
    <row r="572" spans="1:7" x14ac:dyDescent="0.25">
      <c r="A572" s="1" t="str">
        <f t="shared" si="8"/>
        <v>20</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2731</v>
      </c>
      <c r="D572" s="1" t="s">
        <v>2732</v>
      </c>
      <c r="E572" s="1" t="s">
        <v>2733</v>
      </c>
      <c r="F572" s="1" t="s">
        <v>112</v>
      </c>
      <c r="G572" s="1">
        <v>1516731</v>
      </c>
    </row>
    <row r="573" spans="1:7" x14ac:dyDescent="0.25">
      <c r="A573" s="1" t="str">
        <f t="shared" si="8"/>
        <v>20</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2734</v>
      </c>
      <c r="D573" s="1" t="s">
        <v>2735</v>
      </c>
      <c r="E573" s="1" t="s">
        <v>2736</v>
      </c>
      <c r="F573" s="1" t="s">
        <v>112</v>
      </c>
      <c r="G573" s="1">
        <v>1044551</v>
      </c>
    </row>
    <row r="574" spans="1:7" x14ac:dyDescent="0.25">
      <c r="A574" s="1" t="str">
        <f t="shared" si="8"/>
        <v>20</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2737</v>
      </c>
      <c r="D574" s="1" t="s">
        <v>2738</v>
      </c>
      <c r="E574" s="1" t="s">
        <v>2739</v>
      </c>
      <c r="F574" s="1" t="s">
        <v>112</v>
      </c>
      <c r="G574" s="1">
        <v>1284253</v>
      </c>
    </row>
    <row r="575" spans="1:7" x14ac:dyDescent="0.25">
      <c r="A575" s="1" t="str">
        <f t="shared" si="8"/>
        <v>20</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2740</v>
      </c>
      <c r="D575" s="1" t="s">
        <v>2741</v>
      </c>
      <c r="E575" s="1" t="s">
        <v>2742</v>
      </c>
      <c r="F575" s="1" t="s">
        <v>112</v>
      </c>
      <c r="G575" s="1">
        <v>760010</v>
      </c>
    </row>
    <row r="576" spans="1:7" x14ac:dyDescent="0.25">
      <c r="A576" s="1" t="str">
        <f t="shared" si="8"/>
        <v>20</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2743</v>
      </c>
      <c r="D576" s="1" t="s">
        <v>2744</v>
      </c>
      <c r="E576" s="1" t="s">
        <v>2745</v>
      </c>
      <c r="F576" s="1" t="s">
        <v>112</v>
      </c>
      <c r="G576" s="1">
        <v>606199</v>
      </c>
    </row>
    <row r="577" spans="1:10" x14ac:dyDescent="0.25">
      <c r="A577" s="1" t="str">
        <f t="shared" si="8"/>
        <v>20</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2746</v>
      </c>
      <c r="D577" s="1" t="s">
        <v>2747</v>
      </c>
      <c r="E577" s="1" t="s">
        <v>2748</v>
      </c>
      <c r="F577" s="1" t="s">
        <v>112</v>
      </c>
      <c r="G577" s="1">
        <v>907158</v>
      </c>
    </row>
    <row r="578" spans="1:10" x14ac:dyDescent="0.25">
      <c r="A578" s="1" t="str">
        <f t="shared" ref="A578:A641" si="9">IFERROR(LEFT(RIGHT(C578,LEN(C578)-SEARCH("@",C578)),SEARCH("/",RIGHT(C578,LEN(C578)-SEARCH("@",C578)-1))),"")</f>
        <v>20</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2749</v>
      </c>
      <c r="D578" s="1" t="s">
        <v>2750</v>
      </c>
      <c r="E578" s="1" t="s">
        <v>2751</v>
      </c>
      <c r="F578" s="1" t="s">
        <v>112</v>
      </c>
      <c r="G578" s="1">
        <v>2073615</v>
      </c>
    </row>
    <row r="579" spans="1:10" x14ac:dyDescent="0.25">
      <c r="A579" s="1" t="str">
        <f t="shared" si="9"/>
        <v>20</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2752</v>
      </c>
      <c r="D579" s="1" t="s">
        <v>2753</v>
      </c>
      <c r="E579" s="1" t="s">
        <v>2754</v>
      </c>
      <c r="F579" s="1" t="s">
        <v>112</v>
      </c>
      <c r="G579" s="1">
        <v>1425605</v>
      </c>
    </row>
    <row r="580" spans="1:10" x14ac:dyDescent="0.25">
      <c r="A580" s="1" t="str">
        <f t="shared" si="9"/>
        <v>20</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2755</v>
      </c>
      <c r="D580" s="1" t="s">
        <v>2756</v>
      </c>
      <c r="E580" s="1" t="s">
        <v>2757</v>
      </c>
      <c r="F580" s="1" t="s">
        <v>112</v>
      </c>
      <c r="G580" s="1">
        <v>1675343</v>
      </c>
    </row>
    <row r="581" spans="1:10" x14ac:dyDescent="0.25">
      <c r="A581" s="1" t="str">
        <f t="shared" si="9"/>
        <v>20</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2758</v>
      </c>
    </row>
    <row r="582" spans="1:10" x14ac:dyDescent="0.25">
      <c r="A582" s="1" t="str">
        <f t="shared" si="9"/>
        <v>20</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2759</v>
      </c>
    </row>
    <row r="583" spans="1:10" x14ac:dyDescent="0.25">
      <c r="A583" s="1" t="str">
        <f t="shared" si="9"/>
        <v>20</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2760</v>
      </c>
    </row>
    <row r="584" spans="1:10" x14ac:dyDescent="0.25">
      <c r="A584" s="1" t="str">
        <f t="shared" si="9"/>
        <v>20</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2761</v>
      </c>
      <c r="D584" s="1" t="s">
        <v>2762</v>
      </c>
      <c r="E584" s="1" t="s">
        <v>2763</v>
      </c>
      <c r="F584" s="1" t="s">
        <v>112</v>
      </c>
      <c r="G584" s="1">
        <v>958875</v>
      </c>
    </row>
    <row r="585" spans="1:10" x14ac:dyDescent="0.25">
      <c r="A585" s="1" t="str">
        <f t="shared" si="9"/>
        <v>20</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2764</v>
      </c>
      <c r="D585" s="1" t="s">
        <v>162</v>
      </c>
      <c r="E585" s="1" t="s">
        <v>2765</v>
      </c>
      <c r="F585" s="1" t="s">
        <v>112</v>
      </c>
      <c r="G585" s="1">
        <v>713765</v>
      </c>
    </row>
    <row r="586" spans="1:10" x14ac:dyDescent="0.25">
      <c r="A586" s="1" t="str">
        <f t="shared" si="9"/>
        <v>20</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2766</v>
      </c>
      <c r="D586" s="1" t="s">
        <v>2767</v>
      </c>
      <c r="E586" s="1" t="s">
        <v>2768</v>
      </c>
      <c r="F586" s="1" t="s">
        <v>112</v>
      </c>
      <c r="G586" s="1">
        <v>1021039</v>
      </c>
    </row>
    <row r="587" spans="1:10" x14ac:dyDescent="0.2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112</v>
      </c>
    </row>
    <row r="588" spans="1:10" x14ac:dyDescent="0.2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237</v>
      </c>
      <c r="D588" s="1" t="s">
        <v>112</v>
      </c>
      <c r="E588" s="1" t="s">
        <v>238</v>
      </c>
      <c r="F588" s="1" t="s">
        <v>239</v>
      </c>
      <c r="G588" s="1" t="s">
        <v>240</v>
      </c>
      <c r="H588" s="1" t="s">
        <v>241</v>
      </c>
      <c r="I588" s="1" t="s">
        <v>242</v>
      </c>
      <c r="J588" s="1" t="s">
        <v>243</v>
      </c>
    </row>
    <row r="589" spans="1:10" x14ac:dyDescent="0.25">
      <c r="A589" s="1" t="str">
        <f t="shared" si="9"/>
        <v>20</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2769</v>
      </c>
      <c r="D589" s="1" t="s">
        <v>112</v>
      </c>
      <c r="E589" s="1" t="s">
        <v>2770</v>
      </c>
      <c r="F589" s="1" t="s">
        <v>2771</v>
      </c>
      <c r="G589" s="1" t="s">
        <v>2772</v>
      </c>
      <c r="H589" s="1" t="s">
        <v>2773</v>
      </c>
      <c r="I589" s="1">
        <v>24</v>
      </c>
      <c r="J589" s="1">
        <v>24</v>
      </c>
    </row>
    <row r="590" spans="1:10" x14ac:dyDescent="0.2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112</v>
      </c>
    </row>
    <row r="591" spans="1:10" x14ac:dyDescent="0.2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10" x14ac:dyDescent="0.2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2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2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2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249</v>
      </c>
      <c r="D595" s="1" t="s">
        <v>110</v>
      </c>
      <c r="E595" s="1" t="s">
        <v>111</v>
      </c>
      <c r="F595" s="1" t="s">
        <v>112</v>
      </c>
      <c r="G595" s="1" t="s">
        <v>113</v>
      </c>
    </row>
    <row r="596" spans="1:7" x14ac:dyDescent="0.25">
      <c r="A596" s="1" t="str">
        <f t="shared" si="9"/>
        <v>21</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2774</v>
      </c>
      <c r="D596" s="1" t="s">
        <v>2775</v>
      </c>
      <c r="E596" s="1" t="s">
        <v>2776</v>
      </c>
      <c r="F596" s="1" t="s">
        <v>112</v>
      </c>
      <c r="G596" s="1">
        <v>965796</v>
      </c>
    </row>
    <row r="597" spans="1:7" x14ac:dyDescent="0.25">
      <c r="A597" s="1" t="str">
        <f t="shared" si="9"/>
        <v>21</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2777</v>
      </c>
    </row>
    <row r="598" spans="1:7" x14ac:dyDescent="0.25">
      <c r="A598" s="1" t="str">
        <f t="shared" si="9"/>
        <v>21</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2778</v>
      </c>
    </row>
    <row r="599" spans="1:7" x14ac:dyDescent="0.25">
      <c r="A599" s="1" t="str">
        <f t="shared" si="9"/>
        <v>21</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2779</v>
      </c>
      <c r="D599" s="1" t="s">
        <v>2780</v>
      </c>
      <c r="E599" s="1" t="s">
        <v>2781</v>
      </c>
      <c r="F599" s="1" t="s">
        <v>112</v>
      </c>
      <c r="G599" s="1">
        <v>1118503</v>
      </c>
    </row>
    <row r="600" spans="1:7" x14ac:dyDescent="0.25">
      <c r="A600" s="1" t="str">
        <f t="shared" si="9"/>
        <v>21</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2782</v>
      </c>
      <c r="D600" s="1" t="s">
        <v>2783</v>
      </c>
      <c r="E600" s="1" t="s">
        <v>2784</v>
      </c>
      <c r="F600" s="1" t="s">
        <v>112</v>
      </c>
      <c r="G600" s="1">
        <v>1262818</v>
      </c>
    </row>
    <row r="601" spans="1:7" x14ac:dyDescent="0.25">
      <c r="A601" s="1" t="str">
        <f t="shared" si="9"/>
        <v>21</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2785</v>
      </c>
      <c r="D601" s="1" t="s">
        <v>2786</v>
      </c>
      <c r="E601" s="1" t="s">
        <v>2787</v>
      </c>
      <c r="F601" s="1" t="s">
        <v>112</v>
      </c>
      <c r="G601" s="1">
        <v>1360347</v>
      </c>
    </row>
    <row r="602" spans="1:7" x14ac:dyDescent="0.25">
      <c r="A602" s="1" t="str">
        <f t="shared" si="9"/>
        <v>21</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2788</v>
      </c>
      <c r="D602" s="1" t="s">
        <v>2495</v>
      </c>
      <c r="E602" s="1" t="s">
        <v>2789</v>
      </c>
      <c r="F602" s="1" t="s">
        <v>112</v>
      </c>
      <c r="G602" s="1">
        <v>459419</v>
      </c>
    </row>
    <row r="603" spans="1:7" x14ac:dyDescent="0.25">
      <c r="A603" s="1" t="str">
        <f t="shared" si="9"/>
        <v>21</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2790</v>
      </c>
      <c r="D603" s="1" t="s">
        <v>2791</v>
      </c>
      <c r="E603" s="1" t="s">
        <v>2792</v>
      </c>
      <c r="F603" s="1" t="s">
        <v>112</v>
      </c>
      <c r="G603" s="1">
        <v>562031</v>
      </c>
    </row>
    <row r="604" spans="1:7" x14ac:dyDescent="0.25">
      <c r="A604" s="1" t="str">
        <f t="shared" si="9"/>
        <v>21</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2793</v>
      </c>
      <c r="D604" s="1" t="s">
        <v>2794</v>
      </c>
      <c r="E604" s="1" t="s">
        <v>2795</v>
      </c>
      <c r="F604" s="1" t="s">
        <v>112</v>
      </c>
      <c r="G604" s="1">
        <v>554872</v>
      </c>
    </row>
    <row r="605" spans="1:7" x14ac:dyDescent="0.25">
      <c r="A605" s="1" t="str">
        <f t="shared" si="9"/>
        <v>21</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2796</v>
      </c>
      <c r="D605" s="1" t="s">
        <v>2797</v>
      </c>
      <c r="E605" s="1" t="s">
        <v>2798</v>
      </c>
      <c r="F605" s="1" t="s">
        <v>112</v>
      </c>
      <c r="G605" s="1">
        <v>1466312</v>
      </c>
    </row>
    <row r="606" spans="1:7" x14ac:dyDescent="0.25">
      <c r="A606" s="1" t="str">
        <f t="shared" si="9"/>
        <v>21</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2799</v>
      </c>
    </row>
    <row r="607" spans="1:7" x14ac:dyDescent="0.25">
      <c r="A607" s="1" t="str">
        <f t="shared" si="9"/>
        <v>21</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2800</v>
      </c>
    </row>
    <row r="608" spans="1:7" x14ac:dyDescent="0.25">
      <c r="A608" s="1" t="str">
        <f t="shared" si="9"/>
        <v>21</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2801</v>
      </c>
      <c r="D608" s="1" t="s">
        <v>2802</v>
      </c>
      <c r="E608" s="1" t="s">
        <v>2803</v>
      </c>
      <c r="F608" s="1" t="s">
        <v>112</v>
      </c>
      <c r="G608" s="1">
        <v>2145534</v>
      </c>
    </row>
    <row r="609" spans="1:10" x14ac:dyDescent="0.25">
      <c r="A609" s="1" t="str">
        <f t="shared" si="9"/>
        <v>21</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2804</v>
      </c>
      <c r="D609" s="1" t="s">
        <v>2805</v>
      </c>
      <c r="E609" s="1" t="s">
        <v>2806</v>
      </c>
      <c r="F609" s="1" t="s">
        <v>112</v>
      </c>
      <c r="G609" s="1">
        <v>2043484</v>
      </c>
    </row>
    <row r="610" spans="1:10" x14ac:dyDescent="0.25">
      <c r="A610" s="1" t="str">
        <f t="shared" si="9"/>
        <v>21</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2807</v>
      </c>
      <c r="D610" s="1" t="s">
        <v>2808</v>
      </c>
      <c r="E610" s="1" t="s">
        <v>2809</v>
      </c>
      <c r="F610" s="1" t="s">
        <v>112</v>
      </c>
      <c r="G610" s="1">
        <v>2009244</v>
      </c>
    </row>
    <row r="611" spans="1:10" x14ac:dyDescent="0.25">
      <c r="A611" s="1" t="str">
        <f t="shared" si="9"/>
        <v>21</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2810</v>
      </c>
      <c r="D611" s="1" t="s">
        <v>2811</v>
      </c>
      <c r="E611" s="1" t="s">
        <v>2812</v>
      </c>
      <c r="F611" s="1" t="s">
        <v>112</v>
      </c>
      <c r="G611" s="1">
        <v>764033</v>
      </c>
    </row>
    <row r="612" spans="1:10" x14ac:dyDescent="0.25">
      <c r="A612" s="1" t="str">
        <f t="shared" si="9"/>
        <v>21</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2813</v>
      </c>
      <c r="D612" s="1" t="s">
        <v>2814</v>
      </c>
      <c r="E612" s="1" t="s">
        <v>2815</v>
      </c>
      <c r="F612" s="1" t="s">
        <v>112</v>
      </c>
      <c r="G612" s="1">
        <v>948622</v>
      </c>
    </row>
    <row r="613" spans="1:10" x14ac:dyDescent="0.25">
      <c r="A613" s="1" t="str">
        <f t="shared" si="9"/>
        <v>21</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2816</v>
      </c>
      <c r="D613" s="1" t="s">
        <v>2817</v>
      </c>
      <c r="E613" s="1" t="s">
        <v>2818</v>
      </c>
      <c r="F613" s="1" t="s">
        <v>112</v>
      </c>
      <c r="G613" s="1">
        <v>866515</v>
      </c>
    </row>
    <row r="614" spans="1:10" x14ac:dyDescent="0.25">
      <c r="A614" s="1" t="str">
        <f t="shared" si="9"/>
        <v>21</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2819</v>
      </c>
      <c r="D614" s="1" t="s">
        <v>1315</v>
      </c>
      <c r="E614" s="1" t="s">
        <v>2820</v>
      </c>
      <c r="F614" s="1" t="s">
        <v>112</v>
      </c>
      <c r="G614" s="1">
        <v>2111013</v>
      </c>
    </row>
    <row r="615" spans="1:10" x14ac:dyDescent="0.25">
      <c r="A615" s="1" t="str">
        <f t="shared" si="9"/>
        <v>21</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2821</v>
      </c>
      <c r="D615" s="1" t="s">
        <v>2822</v>
      </c>
      <c r="E615" s="1" t="s">
        <v>2823</v>
      </c>
      <c r="F615" s="1" t="s">
        <v>112</v>
      </c>
      <c r="G615" s="1">
        <v>1843213</v>
      </c>
    </row>
    <row r="616" spans="1:10" x14ac:dyDescent="0.25">
      <c r="A616" s="1" t="str">
        <f t="shared" si="9"/>
        <v>21</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2824</v>
      </c>
      <c r="D616" s="1" t="s">
        <v>2825</v>
      </c>
      <c r="E616" s="1" t="s">
        <v>2826</v>
      </c>
      <c r="F616" s="1" t="s">
        <v>112</v>
      </c>
      <c r="G616" s="1">
        <v>1892508</v>
      </c>
    </row>
    <row r="617" spans="1:10" x14ac:dyDescent="0.25">
      <c r="A617" s="1" t="str">
        <f t="shared" si="9"/>
        <v>21</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2827</v>
      </c>
      <c r="D617" s="1">
        <v>0</v>
      </c>
      <c r="E617" s="1">
        <v>0</v>
      </c>
      <c r="F617" s="1" t="s">
        <v>112</v>
      </c>
      <c r="G617" s="1">
        <v>0</v>
      </c>
    </row>
    <row r="618" spans="1:10" x14ac:dyDescent="0.25">
      <c r="A618" s="1" t="str">
        <f t="shared" si="9"/>
        <v>21</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2828</v>
      </c>
    </row>
    <row r="619" spans="1:10" x14ac:dyDescent="0.25">
      <c r="A619" s="1" t="str">
        <f t="shared" si="9"/>
        <v>21</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2829</v>
      </c>
      <c r="D619" s="1" t="s">
        <v>2129</v>
      </c>
      <c r="E619" s="1" t="s">
        <v>2830</v>
      </c>
      <c r="F619" s="1" t="s">
        <v>112</v>
      </c>
      <c r="G619" s="1">
        <v>230510</v>
      </c>
    </row>
    <row r="620" spans="1:10" x14ac:dyDescent="0.2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112</v>
      </c>
    </row>
    <row r="621" spans="1:10" x14ac:dyDescent="0.2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237</v>
      </c>
      <c r="D621" s="1" t="s">
        <v>112</v>
      </c>
      <c r="E621" s="1" t="s">
        <v>238</v>
      </c>
      <c r="F621" s="1" t="s">
        <v>239</v>
      </c>
      <c r="G621" s="1" t="s">
        <v>240</v>
      </c>
      <c r="H621" s="1" t="s">
        <v>241</v>
      </c>
      <c r="I621" s="1" t="s">
        <v>242</v>
      </c>
      <c r="J621" s="1" t="s">
        <v>243</v>
      </c>
    </row>
    <row r="622" spans="1:10" x14ac:dyDescent="0.25">
      <c r="A622" s="1" t="str">
        <f t="shared" si="9"/>
        <v>21</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2831</v>
      </c>
      <c r="D622" s="1" t="s">
        <v>112</v>
      </c>
      <c r="E622" s="1" t="s">
        <v>2832</v>
      </c>
      <c r="F622" s="1" t="s">
        <v>2833</v>
      </c>
      <c r="G622" s="1" t="s">
        <v>2834</v>
      </c>
      <c r="H622" s="1" t="s">
        <v>2835</v>
      </c>
      <c r="I622" s="1">
        <v>23</v>
      </c>
      <c r="J622" s="1">
        <v>24</v>
      </c>
    </row>
    <row r="623" spans="1:10" x14ac:dyDescent="0.2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112</v>
      </c>
    </row>
    <row r="624" spans="1:10" x14ac:dyDescent="0.2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2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2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2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2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249</v>
      </c>
      <c r="D628" s="1" t="s">
        <v>110</v>
      </c>
      <c r="E628" s="1" t="s">
        <v>111</v>
      </c>
      <c r="F628" s="1" t="s">
        <v>112</v>
      </c>
      <c r="G628" s="1" t="s">
        <v>113</v>
      </c>
    </row>
    <row r="629" spans="1:7" x14ac:dyDescent="0.25">
      <c r="A629" s="1" t="str">
        <f t="shared" si="9"/>
        <v>8</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2836</v>
      </c>
      <c r="D629" s="1" t="s">
        <v>147</v>
      </c>
      <c r="E629" s="1" t="s">
        <v>2837</v>
      </c>
      <c r="F629" s="1" t="s">
        <v>112</v>
      </c>
      <c r="G629" s="1">
        <v>181626</v>
      </c>
    </row>
    <row r="630" spans="1:7" x14ac:dyDescent="0.25">
      <c r="A630" s="1" t="str">
        <f t="shared" si="9"/>
        <v>8</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2838</v>
      </c>
      <c r="D630" s="1" t="s">
        <v>2839</v>
      </c>
      <c r="E630" s="1" t="s">
        <v>2840</v>
      </c>
      <c r="F630" s="1" t="s">
        <v>112</v>
      </c>
      <c r="G630" s="1">
        <v>298904</v>
      </c>
    </row>
    <row r="631" spans="1:7" x14ac:dyDescent="0.25">
      <c r="A631" s="1" t="str">
        <f t="shared" si="9"/>
        <v>8</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2841</v>
      </c>
      <c r="D631" s="1" t="s">
        <v>2842</v>
      </c>
      <c r="E631" s="1" t="s">
        <v>2843</v>
      </c>
      <c r="F631" s="1" t="s">
        <v>112</v>
      </c>
      <c r="G631" s="1">
        <v>227136</v>
      </c>
    </row>
    <row r="632" spans="1:7" x14ac:dyDescent="0.25">
      <c r="A632" s="1" t="str">
        <f t="shared" si="9"/>
        <v>8</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2844</v>
      </c>
      <c r="D632" s="1" t="s">
        <v>991</v>
      </c>
      <c r="E632" s="1" t="s">
        <v>2845</v>
      </c>
      <c r="F632" s="1" t="s">
        <v>112</v>
      </c>
      <c r="G632" s="1">
        <v>221944</v>
      </c>
    </row>
    <row r="633" spans="1:7" x14ac:dyDescent="0.25">
      <c r="A633" s="1" t="str">
        <f t="shared" si="9"/>
        <v>8</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2846</v>
      </c>
      <c r="D633" s="1" t="s">
        <v>526</v>
      </c>
      <c r="E633" s="1" t="s">
        <v>2847</v>
      </c>
      <c r="F633" s="1" t="s">
        <v>112</v>
      </c>
      <c r="G633" s="1">
        <v>281167</v>
      </c>
    </row>
    <row r="634" spans="1:7" x14ac:dyDescent="0.25">
      <c r="A634" s="1" t="str">
        <f t="shared" si="9"/>
        <v>8</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2848</v>
      </c>
      <c r="D634" s="1" t="s">
        <v>711</v>
      </c>
      <c r="E634" s="1" t="s">
        <v>2849</v>
      </c>
      <c r="F634" s="1" t="s">
        <v>112</v>
      </c>
      <c r="G634" s="1">
        <v>147840</v>
      </c>
    </row>
    <row r="635" spans="1:7" x14ac:dyDescent="0.25">
      <c r="A635" s="1" t="str">
        <f t="shared" si="9"/>
        <v>8</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2850</v>
      </c>
      <c r="D635" s="1" t="s">
        <v>2851</v>
      </c>
      <c r="E635" s="1" t="s">
        <v>2852</v>
      </c>
      <c r="F635" s="1" t="s">
        <v>112</v>
      </c>
      <c r="G635" s="1">
        <v>340606</v>
      </c>
    </row>
    <row r="636" spans="1:7" x14ac:dyDescent="0.25">
      <c r="A636" s="1" t="str">
        <f t="shared" si="9"/>
        <v>8</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2853</v>
      </c>
      <c r="D636" s="1" t="s">
        <v>549</v>
      </c>
      <c r="E636" s="1">
        <v>30</v>
      </c>
      <c r="F636" s="1" t="s">
        <v>112</v>
      </c>
      <c r="G636" s="1">
        <v>649</v>
      </c>
    </row>
    <row r="637" spans="1:7" x14ac:dyDescent="0.25">
      <c r="A637" s="1" t="str">
        <f t="shared" si="9"/>
        <v>8</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2854</v>
      </c>
      <c r="D637" s="1" t="s">
        <v>717</v>
      </c>
      <c r="E637" s="1" t="s">
        <v>2855</v>
      </c>
      <c r="F637" s="1" t="s">
        <v>112</v>
      </c>
      <c r="G637" s="1">
        <v>1968</v>
      </c>
    </row>
    <row r="638" spans="1:7" x14ac:dyDescent="0.25">
      <c r="A638" s="1" t="str">
        <f t="shared" si="9"/>
        <v>8</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2856</v>
      </c>
      <c r="D638" s="1" t="s">
        <v>357</v>
      </c>
      <c r="E638" s="1" t="s">
        <v>2857</v>
      </c>
      <c r="F638" s="1" t="s">
        <v>112</v>
      </c>
      <c r="G638" s="1">
        <v>430262</v>
      </c>
    </row>
    <row r="639" spans="1:7" x14ac:dyDescent="0.25">
      <c r="A639" s="1" t="str">
        <f t="shared" si="9"/>
        <v>8</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2858</v>
      </c>
      <c r="D639" s="1" t="s">
        <v>1451</v>
      </c>
      <c r="E639" s="1" t="s">
        <v>2859</v>
      </c>
      <c r="F639" s="1" t="s">
        <v>112</v>
      </c>
      <c r="G639" s="1">
        <v>298990</v>
      </c>
    </row>
    <row r="640" spans="1:7" x14ac:dyDescent="0.25">
      <c r="A640" s="1" t="str">
        <f t="shared" si="9"/>
        <v>8</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2860</v>
      </c>
      <c r="D640" s="1" t="s">
        <v>354</v>
      </c>
      <c r="E640" s="1" t="s">
        <v>2861</v>
      </c>
      <c r="F640" s="1" t="s">
        <v>112</v>
      </c>
      <c r="G640" s="1">
        <v>369006</v>
      </c>
    </row>
    <row r="641" spans="1:10" x14ac:dyDescent="0.25">
      <c r="A641" s="1" t="str">
        <f t="shared" si="9"/>
        <v>8</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2862</v>
      </c>
      <c r="D641" s="1" t="s">
        <v>717</v>
      </c>
      <c r="E641" s="1" t="s">
        <v>2855</v>
      </c>
      <c r="F641" s="1" t="s">
        <v>112</v>
      </c>
      <c r="G641" s="1">
        <v>1968</v>
      </c>
    </row>
    <row r="642" spans="1:10" x14ac:dyDescent="0.25">
      <c r="A642" s="1" t="str">
        <f t="shared" ref="A642:A705" si="10">IFERROR(LEFT(RIGHT(C642,LEN(C642)-SEARCH("@",C642)),SEARCH("/",RIGHT(C642,LEN(C642)-SEARCH("@",C642)-1))),"")</f>
        <v>8</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2863</v>
      </c>
      <c r="D642" s="1" t="s">
        <v>328</v>
      </c>
      <c r="E642" s="1" t="s">
        <v>2864</v>
      </c>
      <c r="F642" s="1" t="s">
        <v>112</v>
      </c>
      <c r="G642" s="1">
        <v>5105</v>
      </c>
    </row>
    <row r="643" spans="1:10" x14ac:dyDescent="0.25">
      <c r="A643" s="1" t="str">
        <f t="shared" si="10"/>
        <v>8</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2865</v>
      </c>
      <c r="D643" s="1" t="s">
        <v>309</v>
      </c>
      <c r="E643" s="1" t="s">
        <v>2866</v>
      </c>
      <c r="F643" s="1" t="s">
        <v>112</v>
      </c>
      <c r="G643" s="1">
        <v>7116</v>
      </c>
    </row>
    <row r="644" spans="1:10" x14ac:dyDescent="0.25">
      <c r="A644" s="1" t="str">
        <f t="shared" si="10"/>
        <v>8</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2867</v>
      </c>
    </row>
    <row r="645" spans="1:10" x14ac:dyDescent="0.25">
      <c r="A645" s="1" t="str">
        <f t="shared" si="10"/>
        <v>8</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2868</v>
      </c>
      <c r="D645" s="1" t="s">
        <v>1059</v>
      </c>
      <c r="E645" s="1" t="s">
        <v>2869</v>
      </c>
      <c r="F645" s="1" t="s">
        <v>112</v>
      </c>
      <c r="G645" s="1">
        <v>180480</v>
      </c>
    </row>
    <row r="646" spans="1:10" x14ac:dyDescent="0.25">
      <c r="A646" s="1" t="str">
        <f t="shared" si="10"/>
        <v>8</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2870</v>
      </c>
      <c r="D646" s="1" t="s">
        <v>303</v>
      </c>
      <c r="E646" s="1" t="s">
        <v>2871</v>
      </c>
      <c r="F646" s="1" t="s">
        <v>112</v>
      </c>
      <c r="G646" s="1">
        <v>4131</v>
      </c>
    </row>
    <row r="647" spans="1:10" x14ac:dyDescent="0.25">
      <c r="A647" s="1" t="str">
        <f t="shared" si="10"/>
        <v>8</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2872</v>
      </c>
      <c r="D647" s="1" t="s">
        <v>2873</v>
      </c>
      <c r="E647" s="1" t="s">
        <v>2874</v>
      </c>
      <c r="F647" s="1" t="s">
        <v>112</v>
      </c>
      <c r="G647" s="1">
        <v>508540</v>
      </c>
    </row>
    <row r="648" spans="1:10" x14ac:dyDescent="0.25">
      <c r="A648" s="1" t="str">
        <f t="shared" si="10"/>
        <v>8</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2875</v>
      </c>
      <c r="D648" s="1" t="s">
        <v>2876</v>
      </c>
      <c r="E648" s="1" t="s">
        <v>2877</v>
      </c>
      <c r="F648" s="1" t="s">
        <v>112</v>
      </c>
      <c r="G648" s="1">
        <v>481849</v>
      </c>
    </row>
    <row r="649" spans="1:10" x14ac:dyDescent="0.25">
      <c r="A649" s="1" t="str">
        <f t="shared" si="10"/>
        <v>8</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2878</v>
      </c>
      <c r="D649" s="1" t="s">
        <v>529</v>
      </c>
      <c r="E649" s="1" t="s">
        <v>2879</v>
      </c>
      <c r="F649" s="1" t="s">
        <v>112</v>
      </c>
      <c r="G649" s="1">
        <v>253027</v>
      </c>
    </row>
    <row r="650" spans="1:10" x14ac:dyDescent="0.25">
      <c r="A650" s="1" t="str">
        <f t="shared" si="10"/>
        <v>8</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2880</v>
      </c>
      <c r="D650" s="1" t="s">
        <v>2881</v>
      </c>
      <c r="E650" s="1" t="s">
        <v>2882</v>
      </c>
      <c r="F650" s="1" t="s">
        <v>112</v>
      </c>
      <c r="G650" s="1">
        <v>41875</v>
      </c>
    </row>
    <row r="651" spans="1:10" x14ac:dyDescent="0.25">
      <c r="A651" s="1" t="str">
        <f t="shared" si="10"/>
        <v>8</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2883</v>
      </c>
      <c r="D651" s="1" t="s">
        <v>2884</v>
      </c>
      <c r="E651" s="1" t="s">
        <v>2885</v>
      </c>
      <c r="F651" s="1" t="s">
        <v>112</v>
      </c>
      <c r="G651" s="1">
        <v>643619</v>
      </c>
    </row>
    <row r="652" spans="1:10" x14ac:dyDescent="0.25">
      <c r="A652" s="1" t="str">
        <f t="shared" si="10"/>
        <v>8</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2886</v>
      </c>
      <c r="D652" s="1" t="s">
        <v>2887</v>
      </c>
      <c r="E652" s="1" t="s">
        <v>2888</v>
      </c>
      <c r="F652" s="1" t="s">
        <v>112</v>
      </c>
      <c r="G652" s="1">
        <v>691897</v>
      </c>
    </row>
    <row r="653" spans="1:10" x14ac:dyDescent="0.2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10" x14ac:dyDescent="0.2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237</v>
      </c>
      <c r="D654" s="1" t="s">
        <v>112</v>
      </c>
      <c r="E654" s="1" t="s">
        <v>238</v>
      </c>
      <c r="F654" s="1" t="s">
        <v>239</v>
      </c>
      <c r="G654" s="1" t="s">
        <v>240</v>
      </c>
      <c r="H654" s="1" t="s">
        <v>241</v>
      </c>
      <c r="I654" s="1" t="s">
        <v>242</v>
      </c>
      <c r="J654" s="1" t="s">
        <v>243</v>
      </c>
    </row>
    <row r="655" spans="1:10" x14ac:dyDescent="0.25">
      <c r="A655" s="1" t="str">
        <f t="shared" si="10"/>
        <v>8</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2889</v>
      </c>
      <c r="D655" s="1" t="s">
        <v>112</v>
      </c>
      <c r="E655" s="1" t="s">
        <v>2890</v>
      </c>
      <c r="F655" s="1" t="s">
        <v>2891</v>
      </c>
      <c r="G655" s="1" t="s">
        <v>2892</v>
      </c>
      <c r="H655" s="1" t="s">
        <v>2893</v>
      </c>
      <c r="I655" s="1">
        <v>24</v>
      </c>
      <c r="J655" s="1">
        <v>24</v>
      </c>
    </row>
    <row r="656" spans="1:10" x14ac:dyDescent="0.2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2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2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2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2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2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249</v>
      </c>
      <c r="D661" s="1" t="s">
        <v>110</v>
      </c>
      <c r="E661" s="1" t="s">
        <v>111</v>
      </c>
      <c r="F661" s="1" t="s">
        <v>112</v>
      </c>
      <c r="G661" s="1" t="s">
        <v>113</v>
      </c>
    </row>
    <row r="662" spans="1:7" x14ac:dyDescent="0.25">
      <c r="A662" s="1" t="str">
        <f t="shared" si="10"/>
        <v>9</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2894</v>
      </c>
      <c r="D662" s="1" t="s">
        <v>2015</v>
      </c>
      <c r="E662" s="1" t="s">
        <v>2895</v>
      </c>
      <c r="F662" s="1" t="s">
        <v>112</v>
      </c>
      <c r="G662" s="1">
        <v>286164</v>
      </c>
    </row>
    <row r="663" spans="1:7" x14ac:dyDescent="0.25">
      <c r="A663" s="1" t="str">
        <f t="shared" si="10"/>
        <v>9</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2896</v>
      </c>
      <c r="D663" s="1" t="s">
        <v>2582</v>
      </c>
      <c r="E663" s="1" t="s">
        <v>2897</v>
      </c>
      <c r="F663" s="1" t="s">
        <v>112</v>
      </c>
      <c r="G663" s="1">
        <v>154675</v>
      </c>
    </row>
    <row r="664" spans="1:7" x14ac:dyDescent="0.25">
      <c r="A664" s="1" t="str">
        <f t="shared" si="10"/>
        <v>9</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2898</v>
      </c>
      <c r="D664" s="1" t="s">
        <v>197</v>
      </c>
      <c r="E664" s="1" t="s">
        <v>2899</v>
      </c>
      <c r="F664" s="1" t="s">
        <v>112</v>
      </c>
      <c r="G664" s="1">
        <v>186753</v>
      </c>
    </row>
    <row r="665" spans="1:7" x14ac:dyDescent="0.25">
      <c r="A665" s="1" t="str">
        <f t="shared" si="10"/>
        <v>9</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2900</v>
      </c>
      <c r="D665" s="1" t="s">
        <v>2901</v>
      </c>
      <c r="E665" s="1" t="s">
        <v>2902</v>
      </c>
      <c r="F665" s="1" t="s">
        <v>112</v>
      </c>
      <c r="G665" s="1">
        <v>258369</v>
      </c>
    </row>
    <row r="666" spans="1:7" x14ac:dyDescent="0.25">
      <c r="A666" s="1" t="str">
        <f t="shared" si="10"/>
        <v>9</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2903</v>
      </c>
      <c r="D666" s="1" t="s">
        <v>2904</v>
      </c>
      <c r="E666" s="1" t="s">
        <v>2905</v>
      </c>
      <c r="F666" s="1" t="s">
        <v>112</v>
      </c>
      <c r="G666" s="1">
        <v>239118</v>
      </c>
    </row>
    <row r="667" spans="1:7" x14ac:dyDescent="0.25">
      <c r="A667" s="1" t="str">
        <f t="shared" si="10"/>
        <v>9</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2906</v>
      </c>
      <c r="D667" s="1" t="s">
        <v>1509</v>
      </c>
      <c r="E667" s="1" t="s">
        <v>2907</v>
      </c>
      <c r="F667" s="1" t="s">
        <v>112</v>
      </c>
      <c r="G667" s="1">
        <v>96902</v>
      </c>
    </row>
    <row r="668" spans="1:7" x14ac:dyDescent="0.25">
      <c r="A668" s="1" t="str">
        <f t="shared" si="10"/>
        <v>9</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2908</v>
      </c>
      <c r="D668" s="1" t="s">
        <v>1957</v>
      </c>
      <c r="E668" s="1" t="s">
        <v>2909</v>
      </c>
      <c r="F668" s="1" t="s">
        <v>112</v>
      </c>
      <c r="G668" s="1">
        <v>8414</v>
      </c>
    </row>
    <row r="669" spans="1:7" x14ac:dyDescent="0.25">
      <c r="A669" s="1" t="str">
        <f t="shared" si="10"/>
        <v>9</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2910</v>
      </c>
      <c r="D669" s="1" t="s">
        <v>1119</v>
      </c>
      <c r="E669" s="1" t="s">
        <v>2911</v>
      </c>
      <c r="F669" s="1" t="s">
        <v>112</v>
      </c>
      <c r="G669" s="1">
        <v>78430</v>
      </c>
    </row>
    <row r="670" spans="1:7" x14ac:dyDescent="0.25">
      <c r="A670" s="1" t="str">
        <f t="shared" si="10"/>
        <v>9</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2912</v>
      </c>
      <c r="D670" s="1" t="s">
        <v>2913</v>
      </c>
      <c r="E670" s="1" t="s">
        <v>2914</v>
      </c>
      <c r="F670" s="1" t="s">
        <v>112</v>
      </c>
      <c r="G670" s="1">
        <v>245391</v>
      </c>
    </row>
    <row r="671" spans="1:7" x14ac:dyDescent="0.25">
      <c r="A671" s="1" t="str">
        <f t="shared" si="10"/>
        <v>9</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2915</v>
      </c>
      <c r="D671" s="1" t="s">
        <v>2916</v>
      </c>
      <c r="E671" s="1" t="s">
        <v>2917</v>
      </c>
      <c r="F671" s="1" t="s">
        <v>112</v>
      </c>
      <c r="G671" s="1">
        <v>263084</v>
      </c>
    </row>
    <row r="672" spans="1:7" x14ac:dyDescent="0.25">
      <c r="A672" s="1" t="str">
        <f t="shared" si="10"/>
        <v>9</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2918</v>
      </c>
      <c r="D672" s="1" t="s">
        <v>592</v>
      </c>
      <c r="E672" s="1" t="s">
        <v>2919</v>
      </c>
      <c r="F672" s="1" t="s">
        <v>112</v>
      </c>
      <c r="G672" s="1">
        <v>111437</v>
      </c>
    </row>
    <row r="673" spans="1:10" x14ac:dyDescent="0.25">
      <c r="A673" s="1" t="str">
        <f t="shared" si="10"/>
        <v>9</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2920</v>
      </c>
      <c r="D673" s="1" t="s">
        <v>1067</v>
      </c>
      <c r="E673" s="1" t="s">
        <v>2921</v>
      </c>
      <c r="F673" s="1" t="s">
        <v>112</v>
      </c>
      <c r="G673" s="1">
        <v>197156</v>
      </c>
    </row>
    <row r="674" spans="1:10" x14ac:dyDescent="0.25">
      <c r="A674" s="1" t="str">
        <f t="shared" si="10"/>
        <v>9</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2922</v>
      </c>
    </row>
    <row r="675" spans="1:10" x14ac:dyDescent="0.25">
      <c r="A675" s="1" t="str">
        <f t="shared" si="10"/>
        <v>9</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2923</v>
      </c>
      <c r="D675" s="1" t="s">
        <v>2924</v>
      </c>
      <c r="E675" s="1" t="s">
        <v>2925</v>
      </c>
      <c r="F675" s="1" t="s">
        <v>112</v>
      </c>
      <c r="G675" s="1">
        <v>249306</v>
      </c>
    </row>
    <row r="676" spans="1:10" x14ac:dyDescent="0.25">
      <c r="A676" s="1" t="str">
        <f t="shared" si="10"/>
        <v>9</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2926</v>
      </c>
      <c r="D676" s="1">
        <v>0</v>
      </c>
      <c r="E676" s="1">
        <v>0</v>
      </c>
      <c r="F676" s="1" t="s">
        <v>112</v>
      </c>
      <c r="G676" s="1">
        <v>0</v>
      </c>
    </row>
    <row r="677" spans="1:10" x14ac:dyDescent="0.25">
      <c r="A677" s="1" t="str">
        <f t="shared" si="10"/>
        <v>9</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2927</v>
      </c>
      <c r="D677" s="1" t="s">
        <v>2579</v>
      </c>
      <c r="E677" s="1" t="s">
        <v>2928</v>
      </c>
      <c r="F677" s="1" t="s">
        <v>112</v>
      </c>
      <c r="G677" s="1">
        <v>78776</v>
      </c>
    </row>
    <row r="678" spans="1:10" x14ac:dyDescent="0.25">
      <c r="A678" s="1" t="str">
        <f t="shared" si="10"/>
        <v>9</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2929</v>
      </c>
      <c r="D678" s="1" t="s">
        <v>643</v>
      </c>
      <c r="E678" s="1" t="s">
        <v>2930</v>
      </c>
      <c r="F678" s="1" t="s">
        <v>112</v>
      </c>
      <c r="G678" s="1">
        <v>124804</v>
      </c>
    </row>
    <row r="679" spans="1:10" x14ac:dyDescent="0.25">
      <c r="A679" s="1" t="str">
        <f t="shared" si="10"/>
        <v>9</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2931</v>
      </c>
      <c r="D679" s="1" t="s">
        <v>571</v>
      </c>
      <c r="E679" s="1" t="s">
        <v>2932</v>
      </c>
      <c r="F679" s="1" t="s">
        <v>112</v>
      </c>
      <c r="G679" s="1">
        <v>116261</v>
      </c>
    </row>
    <row r="680" spans="1:10" x14ac:dyDescent="0.25">
      <c r="A680" s="1" t="str">
        <f t="shared" si="10"/>
        <v>9</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2933</v>
      </c>
      <c r="D680" s="1" t="s">
        <v>2672</v>
      </c>
      <c r="E680" s="1" t="s">
        <v>2934</v>
      </c>
      <c r="F680" s="1" t="s">
        <v>112</v>
      </c>
      <c r="G680" s="1">
        <v>447198</v>
      </c>
    </row>
    <row r="681" spans="1:10" x14ac:dyDescent="0.25">
      <c r="A681" s="1" t="str">
        <f t="shared" si="10"/>
        <v>9</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2935</v>
      </c>
      <c r="D681" s="1" t="s">
        <v>2936</v>
      </c>
      <c r="E681" s="1" t="s">
        <v>2937</v>
      </c>
      <c r="F681" s="1" t="s">
        <v>112</v>
      </c>
      <c r="G681" s="1">
        <v>461993</v>
      </c>
    </row>
    <row r="682" spans="1:10" x14ac:dyDescent="0.25">
      <c r="A682" s="1" t="str">
        <f t="shared" si="10"/>
        <v>9</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2938</v>
      </c>
      <c r="D682" s="1" t="s">
        <v>2939</v>
      </c>
      <c r="E682" s="1" t="s">
        <v>2940</v>
      </c>
      <c r="F682" s="1" t="s">
        <v>112</v>
      </c>
      <c r="G682" s="1">
        <v>567439</v>
      </c>
    </row>
    <row r="683" spans="1:10" x14ac:dyDescent="0.25">
      <c r="A683" s="1" t="str">
        <f t="shared" si="10"/>
        <v>9</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2941</v>
      </c>
      <c r="D683" s="1" t="s">
        <v>665</v>
      </c>
      <c r="E683" s="1" t="s">
        <v>2942</v>
      </c>
      <c r="F683" s="1" t="s">
        <v>112</v>
      </c>
      <c r="G683" s="1">
        <v>147538</v>
      </c>
    </row>
    <row r="684" spans="1:10" x14ac:dyDescent="0.25">
      <c r="A684" s="1" t="str">
        <f t="shared" si="10"/>
        <v>9</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2943</v>
      </c>
      <c r="D684" s="1" t="s">
        <v>1189</v>
      </c>
      <c r="E684" s="1" t="s">
        <v>2944</v>
      </c>
      <c r="F684" s="1" t="s">
        <v>112</v>
      </c>
      <c r="G684" s="1">
        <v>405993</v>
      </c>
    </row>
    <row r="685" spans="1:10" x14ac:dyDescent="0.25">
      <c r="A685" s="1" t="str">
        <f t="shared" si="10"/>
        <v>9</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2945</v>
      </c>
    </row>
    <row r="686" spans="1:10" x14ac:dyDescent="0.2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112</v>
      </c>
    </row>
    <row r="687" spans="1:10" x14ac:dyDescent="0.2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237</v>
      </c>
      <c r="D687" s="1" t="s">
        <v>112</v>
      </c>
      <c r="E687" s="1" t="s">
        <v>238</v>
      </c>
      <c r="F687" s="1" t="s">
        <v>239</v>
      </c>
      <c r="G687" s="1" t="s">
        <v>240</v>
      </c>
      <c r="H687" s="1" t="s">
        <v>241</v>
      </c>
      <c r="I687" s="1" t="s">
        <v>242</v>
      </c>
      <c r="J687" s="1" t="s">
        <v>243</v>
      </c>
    </row>
    <row r="688" spans="1:10" x14ac:dyDescent="0.25">
      <c r="A688" s="1" t="str">
        <f t="shared" si="10"/>
        <v>9</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2946</v>
      </c>
      <c r="D688" s="1" t="s">
        <v>112</v>
      </c>
      <c r="E688" s="1" t="s">
        <v>2947</v>
      </c>
      <c r="F688" s="1" t="s">
        <v>2948</v>
      </c>
      <c r="G688" s="1" t="s">
        <v>2949</v>
      </c>
      <c r="H688" s="1" t="s">
        <v>2950</v>
      </c>
      <c r="I688" s="1">
        <v>23</v>
      </c>
      <c r="J688" s="1">
        <v>24</v>
      </c>
    </row>
    <row r="689" spans="1:7" x14ac:dyDescent="0.2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0" spans="1:7" x14ac:dyDescent="0.25">
      <c r="A690" s="1" t="str">
        <f t="shared" si="10"/>
        <v>1</v>
      </c>
      <c r="B6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0" s="1" t="s">
        <v>4591</v>
      </c>
      <c r="D690" s="1" t="s">
        <v>4592</v>
      </c>
      <c r="E690" s="1" t="s">
        <v>4593</v>
      </c>
      <c r="F690" s="1" t="s">
        <v>112</v>
      </c>
      <c r="G690" s="1">
        <v>528873</v>
      </c>
    </row>
    <row r="691" spans="1:7" x14ac:dyDescent="0.25">
      <c r="A691" s="1" t="str">
        <f t="shared" si="10"/>
        <v>1</v>
      </c>
      <c r="B6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1" s="1" t="s">
        <v>4594</v>
      </c>
      <c r="D691" s="1" t="s">
        <v>4595</v>
      </c>
      <c r="E691" s="1" t="s">
        <v>4596</v>
      </c>
      <c r="F691" s="1" t="s">
        <v>112</v>
      </c>
      <c r="G691" s="1">
        <v>454444</v>
      </c>
    </row>
    <row r="692" spans="1:7" x14ac:dyDescent="0.25">
      <c r="A692" s="1" t="str">
        <f t="shared" si="10"/>
        <v>1</v>
      </c>
      <c r="B6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2" s="1" t="s">
        <v>4597</v>
      </c>
      <c r="D692" s="1" t="s">
        <v>635</v>
      </c>
      <c r="E692" s="1" t="s">
        <v>4598</v>
      </c>
      <c r="F692" s="1" t="s">
        <v>112</v>
      </c>
      <c r="G692" s="1">
        <v>337448</v>
      </c>
    </row>
    <row r="693" spans="1:7" x14ac:dyDescent="0.25">
      <c r="A693" s="1" t="str">
        <f t="shared" si="10"/>
        <v>1</v>
      </c>
      <c r="B6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3" s="1" t="s">
        <v>4599</v>
      </c>
      <c r="D693" s="1" t="s">
        <v>4600</v>
      </c>
      <c r="E693" s="1" t="s">
        <v>4601</v>
      </c>
      <c r="F693" s="1" t="s">
        <v>112</v>
      </c>
      <c r="G693" s="1">
        <v>21760</v>
      </c>
    </row>
    <row r="694" spans="1:7" x14ac:dyDescent="0.25">
      <c r="A694" s="1" t="str">
        <f t="shared" si="10"/>
        <v>1</v>
      </c>
      <c r="B6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94" s="1" t="s">
        <v>4602</v>
      </c>
      <c r="D694" s="1" t="s">
        <v>4603</v>
      </c>
      <c r="E694" s="1" t="s">
        <v>4604</v>
      </c>
      <c r="F694" s="1" t="s">
        <v>112</v>
      </c>
      <c r="G694" s="1">
        <v>398228</v>
      </c>
    </row>
    <row r="695" spans="1:7" x14ac:dyDescent="0.25">
      <c r="A695" s="1" t="str">
        <f t="shared" si="10"/>
        <v>1</v>
      </c>
      <c r="B6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95" s="1" t="s">
        <v>4605</v>
      </c>
      <c r="D695" s="1" t="s">
        <v>4606</v>
      </c>
      <c r="E695" s="1" t="s">
        <v>4607</v>
      </c>
      <c r="F695" s="1" t="s">
        <v>112</v>
      </c>
      <c r="G695" s="1">
        <v>363361</v>
      </c>
    </row>
    <row r="696" spans="1:7" x14ac:dyDescent="0.25">
      <c r="A696" s="1" t="str">
        <f t="shared" si="10"/>
        <v>1</v>
      </c>
      <c r="B6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96" s="1" t="s">
        <v>4608</v>
      </c>
      <c r="D696" s="1" t="s">
        <v>4609</v>
      </c>
      <c r="E696" s="1" t="s">
        <v>4610</v>
      </c>
      <c r="F696" s="1" t="s">
        <v>112</v>
      </c>
      <c r="G696" s="1">
        <v>325768</v>
      </c>
    </row>
    <row r="697" spans="1:7" x14ac:dyDescent="0.25">
      <c r="A697" s="1" t="str">
        <f t="shared" si="10"/>
        <v>1</v>
      </c>
      <c r="B6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97" s="1" t="s">
        <v>4611</v>
      </c>
      <c r="D697" s="1">
        <v>0</v>
      </c>
      <c r="E697" s="1">
        <v>0</v>
      </c>
      <c r="F697" s="1" t="s">
        <v>112</v>
      </c>
      <c r="G697" s="1">
        <v>0</v>
      </c>
    </row>
    <row r="698" spans="1:7" x14ac:dyDescent="0.25">
      <c r="A698" s="1" t="str">
        <f t="shared" si="10"/>
        <v>1</v>
      </c>
      <c r="B6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98" s="1" t="s">
        <v>4612</v>
      </c>
      <c r="D698" s="1" t="s">
        <v>1933</v>
      </c>
      <c r="E698" s="1" t="s">
        <v>4613</v>
      </c>
      <c r="F698" s="1" t="s">
        <v>112</v>
      </c>
      <c r="G698" s="1">
        <v>344672</v>
      </c>
    </row>
    <row r="699" spans="1:7" x14ac:dyDescent="0.25">
      <c r="A699" s="1" t="str">
        <f t="shared" si="10"/>
        <v>1</v>
      </c>
      <c r="B6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99" s="1" t="s">
        <v>4614</v>
      </c>
      <c r="D699" s="1" t="s">
        <v>4615</v>
      </c>
      <c r="E699" s="1" t="s">
        <v>4616</v>
      </c>
      <c r="F699" s="1" t="s">
        <v>112</v>
      </c>
      <c r="G699" s="1">
        <v>307880</v>
      </c>
    </row>
    <row r="700" spans="1:7" x14ac:dyDescent="0.25">
      <c r="A700" s="1" t="str">
        <f t="shared" si="10"/>
        <v>1</v>
      </c>
      <c r="B7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00" s="1" t="s">
        <v>4617</v>
      </c>
      <c r="D700" s="1" t="s">
        <v>4615</v>
      </c>
      <c r="E700" s="1" t="s">
        <v>4618</v>
      </c>
      <c r="F700" s="1" t="s">
        <v>112</v>
      </c>
      <c r="G700" s="1">
        <v>307837</v>
      </c>
    </row>
    <row r="701" spans="1:7" x14ac:dyDescent="0.25">
      <c r="A701" s="1" t="str">
        <f t="shared" si="10"/>
        <v>1</v>
      </c>
      <c r="B7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01" s="1" t="s">
        <v>4619</v>
      </c>
      <c r="D701" s="1" t="s">
        <v>2669</v>
      </c>
      <c r="E701" s="1" t="s">
        <v>4620</v>
      </c>
      <c r="F701" s="1" t="s">
        <v>112</v>
      </c>
      <c r="G701" s="1">
        <v>329834</v>
      </c>
    </row>
    <row r="702" spans="1:7" x14ac:dyDescent="0.25">
      <c r="A702" s="1" t="str">
        <f t="shared" si="10"/>
        <v>1</v>
      </c>
      <c r="B7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02" s="1" t="s">
        <v>4621</v>
      </c>
    </row>
    <row r="703" spans="1:7" x14ac:dyDescent="0.25">
      <c r="A703" s="1" t="str">
        <f t="shared" si="10"/>
        <v>1</v>
      </c>
      <c r="B7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03" s="1" t="s">
        <v>4622</v>
      </c>
      <c r="D703" s="1" t="s">
        <v>4623</v>
      </c>
      <c r="E703" s="1" t="s">
        <v>4624</v>
      </c>
      <c r="F703" s="1" t="s">
        <v>112</v>
      </c>
      <c r="G703" s="1">
        <v>488338</v>
      </c>
    </row>
    <row r="704" spans="1:7" x14ac:dyDescent="0.25">
      <c r="A704" s="1" t="str">
        <f t="shared" si="10"/>
        <v>1</v>
      </c>
      <c r="B7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04" s="1" t="s">
        <v>4625</v>
      </c>
      <c r="D704" s="1" t="s">
        <v>194</v>
      </c>
      <c r="E704" s="1" t="s">
        <v>4626</v>
      </c>
      <c r="F704" s="1" t="s">
        <v>112</v>
      </c>
      <c r="G704" s="1">
        <v>377593</v>
      </c>
    </row>
    <row r="705" spans="1:7" x14ac:dyDescent="0.25">
      <c r="A705" s="1" t="str">
        <f t="shared" si="10"/>
        <v>1</v>
      </c>
      <c r="B7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05" s="1" t="s">
        <v>4627</v>
      </c>
      <c r="D705" s="1" t="s">
        <v>4628</v>
      </c>
      <c r="E705" s="1" t="s">
        <v>4629</v>
      </c>
      <c r="F705" s="1" t="s">
        <v>112</v>
      </c>
      <c r="G705" s="1">
        <v>399677</v>
      </c>
    </row>
    <row r="706" spans="1:7" x14ac:dyDescent="0.25">
      <c r="A706" s="1" t="str">
        <f t="shared" ref="A706:A769" si="11">IFERROR(LEFT(RIGHT(C706,LEN(C706)-SEARCH("@",C706)),SEARCH("/",RIGHT(C706,LEN(C706)-SEARCH("@",C706)-1))),"")</f>
        <v>1</v>
      </c>
      <c r="B7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06" s="1" t="s">
        <v>4630</v>
      </c>
      <c r="D706" s="1" t="s">
        <v>2591</v>
      </c>
      <c r="E706" s="1" t="s">
        <v>4631</v>
      </c>
      <c r="F706" s="1" t="s">
        <v>112</v>
      </c>
      <c r="G706" s="1">
        <v>363663</v>
      </c>
    </row>
    <row r="707" spans="1:7" x14ac:dyDescent="0.25">
      <c r="A707" s="1" t="str">
        <f t="shared" si="11"/>
        <v>1</v>
      </c>
      <c r="B7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07" s="1" t="s">
        <v>4632</v>
      </c>
      <c r="D707" s="1" t="s">
        <v>1942</v>
      </c>
      <c r="E707" s="1" t="s">
        <v>4633</v>
      </c>
      <c r="F707" s="1" t="s">
        <v>112</v>
      </c>
      <c r="G707" s="1">
        <v>233408</v>
      </c>
    </row>
    <row r="708" spans="1:7" x14ac:dyDescent="0.25">
      <c r="A708" s="1" t="str">
        <f t="shared" si="11"/>
        <v>1</v>
      </c>
      <c r="B7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08" s="1" t="s">
        <v>4634</v>
      </c>
      <c r="D708" s="1" t="s">
        <v>565</v>
      </c>
      <c r="E708" s="1" t="s">
        <v>4635</v>
      </c>
      <c r="F708" s="1" t="s">
        <v>112</v>
      </c>
      <c r="G708" s="1">
        <v>241368</v>
      </c>
    </row>
    <row r="709" spans="1:7" x14ac:dyDescent="0.25">
      <c r="A709" s="1" t="str">
        <f t="shared" si="11"/>
        <v>1</v>
      </c>
      <c r="B7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09" s="1" t="s">
        <v>4636</v>
      </c>
      <c r="D709" s="1" t="s">
        <v>2980</v>
      </c>
      <c r="E709" s="1" t="s">
        <v>4637</v>
      </c>
      <c r="F709" s="1" t="s">
        <v>112</v>
      </c>
      <c r="G709" s="1">
        <v>407810</v>
      </c>
    </row>
    <row r="710" spans="1:7" x14ac:dyDescent="0.25">
      <c r="A710" s="1" t="str">
        <f t="shared" si="11"/>
        <v>1</v>
      </c>
      <c r="B7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10" s="1" t="s">
        <v>4638</v>
      </c>
      <c r="D710" s="1" t="s">
        <v>4639</v>
      </c>
      <c r="E710" s="1" t="s">
        <v>4640</v>
      </c>
      <c r="F710" s="1" t="s">
        <v>112</v>
      </c>
      <c r="G710" s="1">
        <v>641153</v>
      </c>
    </row>
    <row r="711" spans="1:7" x14ac:dyDescent="0.25">
      <c r="A711" s="1" t="str">
        <f t="shared" si="11"/>
        <v>1</v>
      </c>
      <c r="B7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11" s="1" t="s">
        <v>4641</v>
      </c>
      <c r="D711" s="1" t="s">
        <v>1519</v>
      </c>
      <c r="E711" s="1" t="s">
        <v>4642</v>
      </c>
      <c r="F711" s="1" t="s">
        <v>112</v>
      </c>
      <c r="G711" s="1">
        <v>205830</v>
      </c>
    </row>
    <row r="712" spans="1:7" x14ac:dyDescent="0.25">
      <c r="A712" s="1" t="str">
        <f t="shared" si="11"/>
        <v>1</v>
      </c>
      <c r="B7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12" s="1" t="s">
        <v>4643</v>
      </c>
      <c r="D712" s="1" t="s">
        <v>1070</v>
      </c>
      <c r="E712" s="1" t="s">
        <v>1475</v>
      </c>
      <c r="F712" s="1" t="s">
        <v>112</v>
      </c>
      <c r="G712" s="1">
        <v>367730</v>
      </c>
    </row>
    <row r="713" spans="1:7" x14ac:dyDescent="0.25">
      <c r="A713" s="1" t="str">
        <f t="shared" si="11"/>
        <v>1</v>
      </c>
      <c r="B7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13" s="1" t="s">
        <v>4644</v>
      </c>
      <c r="D713" s="1" t="s">
        <v>2356</v>
      </c>
      <c r="E713" s="1" t="s">
        <v>4645</v>
      </c>
      <c r="F713" s="1" t="s">
        <v>112</v>
      </c>
      <c r="G713" s="1">
        <v>562572</v>
      </c>
    </row>
    <row r="714" spans="1:7" x14ac:dyDescent="0.25">
      <c r="A714" s="1" t="str">
        <f t="shared" si="11"/>
        <v>1</v>
      </c>
      <c r="B7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14" s="1" t="s">
        <v>4646</v>
      </c>
      <c r="D714" s="1" t="s">
        <v>3562</v>
      </c>
      <c r="E714" s="1" t="s">
        <v>4647</v>
      </c>
      <c r="F714" s="1" t="s">
        <v>112</v>
      </c>
      <c r="G714" s="1">
        <v>546869</v>
      </c>
    </row>
    <row r="715" spans="1:7" x14ac:dyDescent="0.25">
      <c r="A715" s="1" t="str">
        <f t="shared" si="11"/>
        <v>1</v>
      </c>
      <c r="B7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15" s="1" t="s">
        <v>4648</v>
      </c>
      <c r="D715" s="1" t="s">
        <v>312</v>
      </c>
      <c r="E715" s="1" t="s">
        <v>4649</v>
      </c>
      <c r="F715" s="1" t="s">
        <v>112</v>
      </c>
      <c r="G715" s="1">
        <v>597353</v>
      </c>
    </row>
    <row r="716" spans="1:7" x14ac:dyDescent="0.25">
      <c r="A716" s="1" t="str">
        <f t="shared" si="11"/>
        <v>1</v>
      </c>
      <c r="B7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16" s="1" t="s">
        <v>4650</v>
      </c>
      <c r="D716" s="1" t="s">
        <v>4651</v>
      </c>
      <c r="E716" s="1" t="s">
        <v>4652</v>
      </c>
      <c r="F716" s="1" t="s">
        <v>112</v>
      </c>
      <c r="G716" s="1">
        <v>534734</v>
      </c>
    </row>
    <row r="717" spans="1:7" x14ac:dyDescent="0.25">
      <c r="A717" s="1" t="str">
        <f t="shared" si="11"/>
        <v>1</v>
      </c>
      <c r="B7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17" s="1" t="s">
        <v>4653</v>
      </c>
      <c r="D717" s="1" t="s">
        <v>4654</v>
      </c>
      <c r="E717" s="1" t="s">
        <v>4655</v>
      </c>
      <c r="F717" s="1" t="s">
        <v>112</v>
      </c>
      <c r="G717" s="1">
        <v>341406</v>
      </c>
    </row>
    <row r="718" spans="1:7" x14ac:dyDescent="0.25">
      <c r="A718" s="1" t="str">
        <f t="shared" si="11"/>
        <v>1</v>
      </c>
      <c r="B7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18" s="1" t="s">
        <v>4656</v>
      </c>
      <c r="D718" s="1" t="s">
        <v>1945</v>
      </c>
      <c r="E718" s="1" t="s">
        <v>4657</v>
      </c>
      <c r="F718" s="1" t="s">
        <v>112</v>
      </c>
      <c r="G718" s="1">
        <v>337708</v>
      </c>
    </row>
    <row r="719" spans="1:7" x14ac:dyDescent="0.25">
      <c r="A719" s="1" t="str">
        <f t="shared" si="11"/>
        <v>1</v>
      </c>
      <c r="B7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19" s="1" t="s">
        <v>4658</v>
      </c>
      <c r="D719" s="1" t="s">
        <v>1059</v>
      </c>
      <c r="E719" s="1" t="s">
        <v>4659</v>
      </c>
      <c r="F719" s="1" t="s">
        <v>112</v>
      </c>
      <c r="G719" s="1">
        <v>199882</v>
      </c>
    </row>
    <row r="720" spans="1:7" x14ac:dyDescent="0.25">
      <c r="A720" s="1" t="str">
        <f t="shared" si="11"/>
        <v>1</v>
      </c>
      <c r="B7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20" s="1" t="s">
        <v>4660</v>
      </c>
      <c r="D720" s="1" t="s">
        <v>291</v>
      </c>
      <c r="E720" s="1" t="s">
        <v>4661</v>
      </c>
      <c r="F720" s="1" t="s">
        <v>112</v>
      </c>
      <c r="G720" s="1">
        <v>261332</v>
      </c>
    </row>
    <row r="721" spans="1:10" x14ac:dyDescent="0.25">
      <c r="A721" s="1" t="str">
        <f t="shared" si="11"/>
        <v>1</v>
      </c>
      <c r="B7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21" s="1" t="s">
        <v>4662</v>
      </c>
      <c r="D721" s="1" t="s">
        <v>717</v>
      </c>
      <c r="E721" s="1" t="s">
        <v>2855</v>
      </c>
      <c r="F721" s="1" t="s">
        <v>112</v>
      </c>
      <c r="G721" s="1">
        <v>1968</v>
      </c>
    </row>
    <row r="722" spans="1:10" x14ac:dyDescent="0.2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22" s="1" t="s">
        <v>112</v>
      </c>
    </row>
    <row r="723" spans="1:10" x14ac:dyDescent="0.2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23" s="1" t="s">
        <v>237</v>
      </c>
      <c r="D723" s="1" t="s">
        <v>112</v>
      </c>
      <c r="E723" s="1" t="s">
        <v>238</v>
      </c>
      <c r="F723" s="1" t="s">
        <v>239</v>
      </c>
      <c r="G723" s="1" t="s">
        <v>240</v>
      </c>
      <c r="H723" s="1" t="s">
        <v>241</v>
      </c>
      <c r="I723" s="1" t="s">
        <v>242</v>
      </c>
      <c r="J723" s="1" t="s">
        <v>243</v>
      </c>
    </row>
    <row r="724" spans="1:10" x14ac:dyDescent="0.25">
      <c r="A724" s="1" t="str">
        <f t="shared" si="11"/>
        <v>1</v>
      </c>
      <c r="B7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724" s="1" t="s">
        <v>4663</v>
      </c>
      <c r="D724" s="1" t="s">
        <v>112</v>
      </c>
      <c r="E724" s="1" t="s">
        <v>4664</v>
      </c>
      <c r="F724" s="1" t="s">
        <v>4665</v>
      </c>
      <c r="G724" s="1" t="s">
        <v>4666</v>
      </c>
      <c r="H724" s="1" t="s">
        <v>4667</v>
      </c>
      <c r="I724" s="1">
        <v>31</v>
      </c>
      <c r="J724" s="1">
        <v>32</v>
      </c>
    </row>
    <row r="725" spans="1:10" x14ac:dyDescent="0.2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25" s="1" t="s">
        <v>112</v>
      </c>
    </row>
    <row r="726" spans="1:10" x14ac:dyDescent="0.2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26" s="1" t="s">
        <v>112</v>
      </c>
    </row>
    <row r="727" spans="1:10" x14ac:dyDescent="0.2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27" s="1" t="s">
        <v>112</v>
      </c>
    </row>
    <row r="728" spans="1:10" x14ac:dyDescent="0.2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28" s="1" t="s">
        <v>112</v>
      </c>
    </row>
    <row r="729" spans="1:10" x14ac:dyDescent="0.2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29" s="1" t="s">
        <v>112</v>
      </c>
    </row>
    <row r="730" spans="1:10" x14ac:dyDescent="0.2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30" s="1" t="s">
        <v>249</v>
      </c>
      <c r="D730" s="1" t="s">
        <v>110</v>
      </c>
      <c r="E730" s="1" t="s">
        <v>111</v>
      </c>
      <c r="F730" s="1" t="s">
        <v>112</v>
      </c>
      <c r="G730" s="1" t="s">
        <v>113</v>
      </c>
    </row>
    <row r="731" spans="1:10" x14ac:dyDescent="0.25">
      <c r="A731" s="1" t="str">
        <f t="shared" si="11"/>
        <v>13</v>
      </c>
      <c r="B7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31" s="1" t="s">
        <v>4668</v>
      </c>
      <c r="D731" s="1" t="s">
        <v>4669</v>
      </c>
      <c r="E731" s="1" t="s">
        <v>4670</v>
      </c>
      <c r="F731" s="1" t="s">
        <v>112</v>
      </c>
      <c r="G731" s="1">
        <v>779066</v>
      </c>
    </row>
    <row r="732" spans="1:10" x14ac:dyDescent="0.25">
      <c r="A732" s="1" t="str">
        <f t="shared" si="11"/>
        <v>13</v>
      </c>
      <c r="B7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32" s="1" t="s">
        <v>4671</v>
      </c>
      <c r="D732" s="1" t="s">
        <v>4672</v>
      </c>
      <c r="E732" s="1" t="s">
        <v>4673</v>
      </c>
      <c r="F732" s="1" t="s">
        <v>112</v>
      </c>
      <c r="G732" s="1">
        <v>1010960</v>
      </c>
    </row>
    <row r="733" spans="1:10" x14ac:dyDescent="0.25">
      <c r="A733" s="1" t="str">
        <f t="shared" si="11"/>
        <v>13</v>
      </c>
      <c r="B7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33" s="1" t="s">
        <v>4674</v>
      </c>
      <c r="D733" s="1" t="s">
        <v>4675</v>
      </c>
      <c r="E733" s="1" t="s">
        <v>4676</v>
      </c>
      <c r="F733" s="1" t="s">
        <v>112</v>
      </c>
      <c r="G733" s="1">
        <v>835347</v>
      </c>
    </row>
    <row r="734" spans="1:10" x14ac:dyDescent="0.25">
      <c r="A734" s="1" t="str">
        <f t="shared" si="11"/>
        <v>13</v>
      </c>
      <c r="B7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34" s="1" t="s">
        <v>4677</v>
      </c>
      <c r="D734" s="1" t="s">
        <v>4678</v>
      </c>
      <c r="E734" s="1" t="s">
        <v>4679</v>
      </c>
      <c r="F734" s="1" t="s">
        <v>112</v>
      </c>
      <c r="G734" s="1">
        <v>1258211</v>
      </c>
    </row>
    <row r="735" spans="1:10" x14ac:dyDescent="0.25">
      <c r="A735" s="1" t="str">
        <f t="shared" si="11"/>
        <v>13</v>
      </c>
      <c r="B7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5" s="1" t="s">
        <v>4680</v>
      </c>
      <c r="D735" s="1" t="s">
        <v>4681</v>
      </c>
      <c r="E735" s="1" t="s">
        <v>4682</v>
      </c>
      <c r="F735" s="1" t="s">
        <v>112</v>
      </c>
      <c r="G735" s="1">
        <v>2502968</v>
      </c>
    </row>
    <row r="736" spans="1:10" x14ac:dyDescent="0.25">
      <c r="A736" s="1" t="str">
        <f t="shared" si="11"/>
        <v>13</v>
      </c>
      <c r="B7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6" s="1" t="s">
        <v>4683</v>
      </c>
      <c r="D736" s="1" t="s">
        <v>4684</v>
      </c>
      <c r="E736" s="1" t="s">
        <v>4685</v>
      </c>
      <c r="F736" s="1" t="s">
        <v>112</v>
      </c>
      <c r="G736" s="1">
        <v>2771460</v>
      </c>
    </row>
    <row r="737" spans="1:7" x14ac:dyDescent="0.25">
      <c r="A737" s="1" t="str">
        <f t="shared" si="11"/>
        <v>13</v>
      </c>
      <c r="B7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7" s="1" t="s">
        <v>4686</v>
      </c>
      <c r="D737" s="1" t="s">
        <v>4687</v>
      </c>
      <c r="E737" s="1" t="s">
        <v>4688</v>
      </c>
      <c r="F737" s="1" t="s">
        <v>112</v>
      </c>
      <c r="G737" s="1">
        <v>2695107</v>
      </c>
    </row>
    <row r="738" spans="1:7" x14ac:dyDescent="0.25">
      <c r="A738" s="1" t="str">
        <f t="shared" si="11"/>
        <v>13</v>
      </c>
      <c r="B7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8" s="1" t="s">
        <v>4689</v>
      </c>
      <c r="D738" s="1" t="s">
        <v>4690</v>
      </c>
      <c r="E738" s="1" t="s">
        <v>4691</v>
      </c>
      <c r="F738" s="1" t="s">
        <v>112</v>
      </c>
      <c r="G738" s="1">
        <v>2486573</v>
      </c>
    </row>
    <row r="739" spans="1:7" x14ac:dyDescent="0.25">
      <c r="A739" s="1" t="str">
        <f t="shared" si="11"/>
        <v>13</v>
      </c>
      <c r="B7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39" s="1" t="s">
        <v>4692</v>
      </c>
      <c r="D739" s="1" t="s">
        <v>4693</v>
      </c>
      <c r="E739" s="1" t="s">
        <v>4694</v>
      </c>
      <c r="F739" s="1" t="s">
        <v>112</v>
      </c>
      <c r="G739" s="1">
        <v>2196775</v>
      </c>
    </row>
    <row r="740" spans="1:7" x14ac:dyDescent="0.25">
      <c r="A740" s="1" t="str">
        <f t="shared" si="11"/>
        <v>13</v>
      </c>
      <c r="B7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0" s="1" t="s">
        <v>4695</v>
      </c>
      <c r="D740" s="1" t="s">
        <v>4696</v>
      </c>
      <c r="E740" s="1" t="s">
        <v>4697</v>
      </c>
      <c r="F740" s="1" t="s">
        <v>112</v>
      </c>
      <c r="G740" s="1">
        <v>2339403</v>
      </c>
    </row>
    <row r="741" spans="1:7" x14ac:dyDescent="0.25">
      <c r="A741" s="1" t="str">
        <f t="shared" si="11"/>
        <v>13</v>
      </c>
      <c r="B7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1" s="1" t="s">
        <v>4698</v>
      </c>
      <c r="D741" s="1" t="s">
        <v>4699</v>
      </c>
      <c r="E741" s="1" t="s">
        <v>4700</v>
      </c>
      <c r="F741" s="1" t="s">
        <v>112</v>
      </c>
      <c r="G741" s="1">
        <v>1771315</v>
      </c>
    </row>
    <row r="742" spans="1:7" x14ac:dyDescent="0.25">
      <c r="A742" s="1" t="str">
        <f t="shared" si="11"/>
        <v>13</v>
      </c>
      <c r="B7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2" s="1" t="s">
        <v>4701</v>
      </c>
      <c r="D742" s="1" t="s">
        <v>4702</v>
      </c>
      <c r="E742" s="1" t="s">
        <v>4703</v>
      </c>
      <c r="F742" s="1" t="s">
        <v>112</v>
      </c>
      <c r="G742" s="1">
        <v>2020838</v>
      </c>
    </row>
    <row r="743" spans="1:7" x14ac:dyDescent="0.25">
      <c r="A743" s="1" t="str">
        <f t="shared" si="11"/>
        <v>13</v>
      </c>
      <c r="B7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43" s="1" t="s">
        <v>4704</v>
      </c>
      <c r="D743" s="1" t="s">
        <v>4705</v>
      </c>
      <c r="E743" s="1" t="s">
        <v>4706</v>
      </c>
      <c r="F743" s="1" t="s">
        <v>112</v>
      </c>
      <c r="G743" s="1">
        <v>3417523</v>
      </c>
    </row>
    <row r="744" spans="1:7" x14ac:dyDescent="0.25">
      <c r="A744" s="1" t="str">
        <f t="shared" si="11"/>
        <v>13</v>
      </c>
      <c r="B7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44" s="1" t="s">
        <v>4707</v>
      </c>
      <c r="D744" s="1" t="s">
        <v>4708</v>
      </c>
      <c r="E744" s="1" t="s">
        <v>4709</v>
      </c>
      <c r="F744" s="1" t="s">
        <v>112</v>
      </c>
      <c r="G744" s="1">
        <v>2929228</v>
      </c>
    </row>
    <row r="745" spans="1:7" x14ac:dyDescent="0.25">
      <c r="A745" s="1" t="str">
        <f t="shared" si="11"/>
        <v>13</v>
      </c>
      <c r="B7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45" s="1" t="s">
        <v>4710</v>
      </c>
      <c r="D745" s="1" t="s">
        <v>4711</v>
      </c>
      <c r="E745" s="1" t="s">
        <v>4712</v>
      </c>
      <c r="F745" s="1" t="s">
        <v>112</v>
      </c>
      <c r="G745" s="1">
        <v>2910237</v>
      </c>
    </row>
    <row r="746" spans="1:7" x14ac:dyDescent="0.25">
      <c r="A746" s="1" t="str">
        <f t="shared" si="11"/>
        <v>13</v>
      </c>
      <c r="B7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46" s="1" t="s">
        <v>4713</v>
      </c>
      <c r="D746" s="1" t="s">
        <v>4291</v>
      </c>
      <c r="E746" s="1" t="s">
        <v>4714</v>
      </c>
      <c r="F746" s="1" t="s">
        <v>112</v>
      </c>
      <c r="G746" s="1">
        <v>3423645</v>
      </c>
    </row>
    <row r="747" spans="1:7" x14ac:dyDescent="0.25">
      <c r="A747" s="1" t="str">
        <f t="shared" si="11"/>
        <v>13</v>
      </c>
      <c r="B7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47" s="1" t="s">
        <v>4715</v>
      </c>
      <c r="D747" s="1" t="s">
        <v>4716</v>
      </c>
      <c r="E747" s="1" t="s">
        <v>4717</v>
      </c>
      <c r="F747" s="1" t="s">
        <v>112</v>
      </c>
      <c r="G747" s="1">
        <v>538022</v>
      </c>
    </row>
    <row r="748" spans="1:7" x14ac:dyDescent="0.25">
      <c r="A748" s="1" t="str">
        <f t="shared" si="11"/>
        <v>13</v>
      </c>
      <c r="B7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48" s="1" t="s">
        <v>4718</v>
      </c>
      <c r="D748" s="1" t="s">
        <v>4719</v>
      </c>
      <c r="E748" s="1" t="s">
        <v>4720</v>
      </c>
      <c r="F748" s="1" t="s">
        <v>112</v>
      </c>
      <c r="G748" s="1">
        <v>764617</v>
      </c>
    </row>
    <row r="749" spans="1:7" x14ac:dyDescent="0.25">
      <c r="A749" s="1" t="str">
        <f t="shared" si="11"/>
        <v>13</v>
      </c>
      <c r="B7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49" s="1" t="s">
        <v>4721</v>
      </c>
      <c r="D749" s="1" t="s">
        <v>4722</v>
      </c>
      <c r="E749" s="1" t="s">
        <v>4723</v>
      </c>
      <c r="F749" s="1" t="s">
        <v>112</v>
      </c>
      <c r="G749" s="1">
        <v>1341053</v>
      </c>
    </row>
    <row r="750" spans="1:7" x14ac:dyDescent="0.25">
      <c r="A750" s="1" t="str">
        <f t="shared" si="11"/>
        <v>13</v>
      </c>
      <c r="B7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50" s="1" t="s">
        <v>4724</v>
      </c>
      <c r="D750" s="1" t="s">
        <v>4725</v>
      </c>
      <c r="E750" s="1" t="s">
        <v>4726</v>
      </c>
      <c r="F750" s="1" t="s">
        <v>112</v>
      </c>
      <c r="G750" s="1">
        <v>1040982</v>
      </c>
    </row>
    <row r="751" spans="1:7" x14ac:dyDescent="0.25">
      <c r="A751" s="1" t="str">
        <f t="shared" si="11"/>
        <v>13</v>
      </c>
      <c r="B7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51" s="1" t="s">
        <v>4727</v>
      </c>
      <c r="D751" s="1" t="s">
        <v>4728</v>
      </c>
      <c r="E751" s="1" t="s">
        <v>4729</v>
      </c>
      <c r="F751" s="1" t="s">
        <v>112</v>
      </c>
      <c r="G751" s="1">
        <v>3351120</v>
      </c>
    </row>
    <row r="752" spans="1:7" x14ac:dyDescent="0.25">
      <c r="A752" s="1" t="str">
        <f t="shared" si="11"/>
        <v>13</v>
      </c>
      <c r="B7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52" s="1" t="s">
        <v>4730</v>
      </c>
      <c r="D752" s="1" t="s">
        <v>4731</v>
      </c>
      <c r="E752" s="1" t="s">
        <v>4732</v>
      </c>
      <c r="F752" s="1" t="s">
        <v>112</v>
      </c>
      <c r="G752" s="1">
        <v>2619229</v>
      </c>
    </row>
    <row r="753" spans="1:10" x14ac:dyDescent="0.25">
      <c r="A753" s="1" t="str">
        <f t="shared" si="11"/>
        <v>13</v>
      </c>
      <c r="B7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53" s="1" t="s">
        <v>4733</v>
      </c>
      <c r="D753" s="1" t="s">
        <v>813</v>
      </c>
      <c r="E753" s="1" t="s">
        <v>4734</v>
      </c>
      <c r="F753" s="1" t="s">
        <v>112</v>
      </c>
      <c r="G753" s="1">
        <v>2503444</v>
      </c>
    </row>
    <row r="754" spans="1:10" x14ac:dyDescent="0.25">
      <c r="A754" s="1" t="str">
        <f t="shared" si="11"/>
        <v>13</v>
      </c>
      <c r="B7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54" s="1" t="s">
        <v>4735</v>
      </c>
      <c r="D754" s="1" t="s">
        <v>4736</v>
      </c>
      <c r="E754" s="1" t="s">
        <v>4737</v>
      </c>
      <c r="F754" s="1" t="s">
        <v>112</v>
      </c>
      <c r="G754" s="1">
        <v>2789910</v>
      </c>
    </row>
    <row r="755" spans="1:10" x14ac:dyDescent="0.25">
      <c r="A755" s="1" t="str">
        <f t="shared" si="11"/>
        <v>13</v>
      </c>
      <c r="B7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55" s="1" t="s">
        <v>4738</v>
      </c>
      <c r="D755" s="1" t="s">
        <v>4739</v>
      </c>
      <c r="E755" s="1" t="s">
        <v>4740</v>
      </c>
      <c r="F755" s="1" t="s">
        <v>112</v>
      </c>
      <c r="G755" s="1">
        <v>2106254</v>
      </c>
    </row>
    <row r="756" spans="1:10" x14ac:dyDescent="0.25">
      <c r="A756" s="1" t="str">
        <f t="shared" si="11"/>
        <v>13</v>
      </c>
      <c r="B7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56" s="1" t="s">
        <v>4741</v>
      </c>
      <c r="D756" s="1" t="s">
        <v>4105</v>
      </c>
      <c r="E756" s="1" t="s">
        <v>4742</v>
      </c>
      <c r="F756" s="1" t="s">
        <v>112</v>
      </c>
      <c r="G756" s="1">
        <v>1973079</v>
      </c>
    </row>
    <row r="757" spans="1:10" x14ac:dyDescent="0.25">
      <c r="A757" s="1" t="str">
        <f t="shared" si="11"/>
        <v>13</v>
      </c>
      <c r="B7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57" s="1" t="s">
        <v>4743</v>
      </c>
      <c r="D757" s="1" t="s">
        <v>4744</v>
      </c>
      <c r="E757" s="1" t="s">
        <v>4745</v>
      </c>
      <c r="F757" s="1" t="s">
        <v>112</v>
      </c>
      <c r="G757" s="1">
        <v>2883698</v>
      </c>
    </row>
    <row r="758" spans="1:10" x14ac:dyDescent="0.25">
      <c r="A758" s="1" t="str">
        <f t="shared" si="11"/>
        <v>13</v>
      </c>
      <c r="B7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58" s="1" t="s">
        <v>4746</v>
      </c>
      <c r="D758" s="1" t="s">
        <v>4747</v>
      </c>
      <c r="E758" s="1" t="s">
        <v>4748</v>
      </c>
      <c r="F758" s="1" t="s">
        <v>112</v>
      </c>
      <c r="G758" s="1">
        <v>2708279</v>
      </c>
    </row>
    <row r="759" spans="1:10" x14ac:dyDescent="0.25">
      <c r="A759" s="1" t="str">
        <f t="shared" si="11"/>
        <v>13</v>
      </c>
      <c r="B7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59" s="1" t="s">
        <v>4749</v>
      </c>
      <c r="D759" s="1" t="s">
        <v>2230</v>
      </c>
      <c r="E759" s="1" t="s">
        <v>4750</v>
      </c>
      <c r="F759" s="1" t="s">
        <v>112</v>
      </c>
      <c r="G759" s="1">
        <v>2239430</v>
      </c>
    </row>
    <row r="760" spans="1:10" x14ac:dyDescent="0.25">
      <c r="A760" s="1" t="str">
        <f t="shared" si="11"/>
        <v>13</v>
      </c>
      <c r="B7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60" s="1" t="s">
        <v>4751</v>
      </c>
      <c r="D760" s="1" t="s">
        <v>4752</v>
      </c>
      <c r="E760" s="1" t="s">
        <v>4753</v>
      </c>
      <c r="F760" s="1" t="s">
        <v>112</v>
      </c>
      <c r="G760" s="1">
        <v>2190503</v>
      </c>
    </row>
    <row r="761" spans="1:10" x14ac:dyDescent="0.25">
      <c r="A761" s="1" t="str">
        <f t="shared" si="11"/>
        <v>13</v>
      </c>
      <c r="B7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61" s="1" t="s">
        <v>4754</v>
      </c>
      <c r="D761" s="1" t="s">
        <v>4755</v>
      </c>
      <c r="E761" s="1" t="s">
        <v>4756</v>
      </c>
      <c r="F761" s="1" t="s">
        <v>112</v>
      </c>
      <c r="G761" s="1">
        <v>2814049</v>
      </c>
    </row>
    <row r="762" spans="1:10" x14ac:dyDescent="0.25">
      <c r="A762" s="1" t="str">
        <f t="shared" si="11"/>
        <v>13</v>
      </c>
      <c r="B7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62" s="1" t="s">
        <v>4757</v>
      </c>
      <c r="D762" s="1" t="s">
        <v>4758</v>
      </c>
      <c r="E762" s="1" t="s">
        <v>4759</v>
      </c>
      <c r="F762" s="1" t="s">
        <v>112</v>
      </c>
      <c r="G762" s="1">
        <v>2509133</v>
      </c>
    </row>
    <row r="763" spans="1:10" x14ac:dyDescent="0.2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63" s="1" t="s">
        <v>112</v>
      </c>
    </row>
    <row r="764" spans="1:10" x14ac:dyDescent="0.2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64" s="1" t="s">
        <v>237</v>
      </c>
      <c r="D764" s="1" t="s">
        <v>112</v>
      </c>
      <c r="E764" s="1" t="s">
        <v>238</v>
      </c>
      <c r="F764" s="1" t="s">
        <v>239</v>
      </c>
      <c r="G764" s="1" t="s">
        <v>240</v>
      </c>
      <c r="H764" s="1" t="s">
        <v>241</v>
      </c>
      <c r="I764" s="1" t="s">
        <v>242</v>
      </c>
      <c r="J764" s="1" t="s">
        <v>243</v>
      </c>
    </row>
    <row r="765" spans="1:10" x14ac:dyDescent="0.25">
      <c r="A765" s="1" t="str">
        <f t="shared" si="11"/>
        <v>13</v>
      </c>
      <c r="B7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765" s="1" t="s">
        <v>4760</v>
      </c>
      <c r="D765" s="1" t="s">
        <v>112</v>
      </c>
      <c r="E765" s="1" t="s">
        <v>4761</v>
      </c>
      <c r="F765" s="1" t="s">
        <v>4762</v>
      </c>
      <c r="G765" s="1" t="s">
        <v>4763</v>
      </c>
      <c r="H765" s="1" t="s">
        <v>4764</v>
      </c>
      <c r="I765" s="1">
        <v>32</v>
      </c>
      <c r="J765" s="1">
        <v>32</v>
      </c>
    </row>
    <row r="766" spans="1:10" x14ac:dyDescent="0.2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66" s="1" t="s">
        <v>112</v>
      </c>
    </row>
    <row r="767" spans="1:10" x14ac:dyDescent="0.2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67" s="1" t="s">
        <v>112</v>
      </c>
    </row>
    <row r="768" spans="1:10" x14ac:dyDescent="0.2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68" s="1" t="s">
        <v>112</v>
      </c>
    </row>
    <row r="769" spans="1:7" x14ac:dyDescent="0.2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69" s="1" t="s">
        <v>112</v>
      </c>
    </row>
    <row r="770" spans="1:7" x14ac:dyDescent="0.2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70" s="1" t="s">
        <v>112</v>
      </c>
    </row>
    <row r="771" spans="1:7" x14ac:dyDescent="0.2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71" s="1" t="s">
        <v>249</v>
      </c>
      <c r="D771" s="1" t="s">
        <v>110</v>
      </c>
      <c r="E771" s="1" t="s">
        <v>111</v>
      </c>
      <c r="F771" s="1" t="s">
        <v>112</v>
      </c>
      <c r="G771" s="1" t="s">
        <v>113</v>
      </c>
    </row>
    <row r="772" spans="1:7" x14ac:dyDescent="0.25">
      <c r="A772" s="1" t="str">
        <f t="shared" si="12"/>
        <v>14</v>
      </c>
      <c r="B7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72" s="1" t="s">
        <v>4765</v>
      </c>
      <c r="D772" s="1" t="s">
        <v>4766</v>
      </c>
      <c r="E772" s="1" t="s">
        <v>4767</v>
      </c>
      <c r="F772" s="1" t="s">
        <v>112</v>
      </c>
      <c r="G772" s="1">
        <v>1495880</v>
      </c>
    </row>
    <row r="773" spans="1:7" x14ac:dyDescent="0.25">
      <c r="A773" s="1" t="str">
        <f t="shared" si="12"/>
        <v>14</v>
      </c>
      <c r="B7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73" s="1" t="s">
        <v>4768</v>
      </c>
      <c r="D773" s="1" t="s">
        <v>2605</v>
      </c>
      <c r="E773" s="1" t="s">
        <v>4769</v>
      </c>
      <c r="F773" s="1" t="s">
        <v>112</v>
      </c>
      <c r="G773" s="1">
        <v>934087</v>
      </c>
    </row>
    <row r="774" spans="1:7" x14ac:dyDescent="0.25">
      <c r="A774" s="1" t="str">
        <f t="shared" si="12"/>
        <v>14</v>
      </c>
      <c r="B7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74" s="1" t="s">
        <v>4770</v>
      </c>
      <c r="D774" s="1" t="s">
        <v>4771</v>
      </c>
      <c r="E774" s="1" t="s">
        <v>4772</v>
      </c>
      <c r="F774" s="1" t="s">
        <v>112</v>
      </c>
      <c r="G774" s="1">
        <v>1492874</v>
      </c>
    </row>
    <row r="775" spans="1:7" x14ac:dyDescent="0.25">
      <c r="A775" s="1" t="str">
        <f t="shared" si="12"/>
        <v>14</v>
      </c>
      <c r="B7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75" s="1" t="s">
        <v>4773</v>
      </c>
      <c r="D775" s="1" t="s">
        <v>4774</v>
      </c>
      <c r="E775" s="1" t="s">
        <v>4775</v>
      </c>
      <c r="F775" s="1" t="s">
        <v>112</v>
      </c>
      <c r="G775" s="1">
        <v>1197171</v>
      </c>
    </row>
    <row r="776" spans="1:7" x14ac:dyDescent="0.25">
      <c r="A776" s="1" t="str">
        <f t="shared" si="12"/>
        <v>14</v>
      </c>
      <c r="B7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76" s="1" t="s">
        <v>4776</v>
      </c>
      <c r="D776" s="1" t="s">
        <v>4777</v>
      </c>
      <c r="E776" s="1" t="s">
        <v>4778</v>
      </c>
      <c r="F776" s="1" t="s">
        <v>112</v>
      </c>
      <c r="G776" s="1">
        <v>2516681</v>
      </c>
    </row>
    <row r="777" spans="1:7" x14ac:dyDescent="0.25">
      <c r="A777" s="1" t="str">
        <f t="shared" si="12"/>
        <v>14</v>
      </c>
      <c r="B7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77" s="1" t="s">
        <v>4779</v>
      </c>
      <c r="D777" s="1" t="s">
        <v>4780</v>
      </c>
      <c r="E777" s="1" t="s">
        <v>4781</v>
      </c>
      <c r="F777" s="1" t="s">
        <v>112</v>
      </c>
      <c r="G777" s="1">
        <v>3149486</v>
      </c>
    </row>
    <row r="778" spans="1:7" x14ac:dyDescent="0.25">
      <c r="A778" s="1" t="str">
        <f t="shared" si="12"/>
        <v>14</v>
      </c>
      <c r="B7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78" s="1" t="s">
        <v>4782</v>
      </c>
      <c r="D778" s="1" t="s">
        <v>4783</v>
      </c>
      <c r="E778" s="1" t="s">
        <v>4784</v>
      </c>
      <c r="F778" s="1" t="s">
        <v>112</v>
      </c>
      <c r="G778" s="1">
        <v>2556307</v>
      </c>
    </row>
    <row r="779" spans="1:7" x14ac:dyDescent="0.25">
      <c r="A779" s="1" t="str">
        <f t="shared" si="12"/>
        <v>14</v>
      </c>
      <c r="B7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79" s="1" t="s">
        <v>4785</v>
      </c>
      <c r="D779" s="1" t="s">
        <v>4786</v>
      </c>
      <c r="E779" s="1" t="s">
        <v>4787</v>
      </c>
      <c r="F779" s="1" t="s">
        <v>112</v>
      </c>
      <c r="G779" s="1">
        <v>3010427</v>
      </c>
    </row>
    <row r="780" spans="1:7" x14ac:dyDescent="0.25">
      <c r="A780" s="1" t="str">
        <f t="shared" si="12"/>
        <v>14</v>
      </c>
      <c r="B7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80" s="1" t="s">
        <v>4788</v>
      </c>
      <c r="D780" s="1" t="s">
        <v>4789</v>
      </c>
      <c r="E780" s="1" t="s">
        <v>4790</v>
      </c>
      <c r="F780" s="1" t="s">
        <v>112</v>
      </c>
      <c r="G780" s="1">
        <v>3039238</v>
      </c>
    </row>
    <row r="781" spans="1:7" x14ac:dyDescent="0.25">
      <c r="A781" s="1" t="str">
        <f t="shared" si="12"/>
        <v>14</v>
      </c>
      <c r="B7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81" s="1" t="s">
        <v>4791</v>
      </c>
      <c r="D781" s="1" t="s">
        <v>4792</v>
      </c>
      <c r="E781" s="1" t="s">
        <v>4793</v>
      </c>
      <c r="F781" s="1" t="s">
        <v>112</v>
      </c>
      <c r="G781" s="1">
        <v>3130819</v>
      </c>
    </row>
    <row r="782" spans="1:7" x14ac:dyDescent="0.25">
      <c r="A782" s="1" t="str">
        <f t="shared" si="12"/>
        <v>14</v>
      </c>
      <c r="B7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82" s="1" t="s">
        <v>4794</v>
      </c>
      <c r="D782" s="1" t="s">
        <v>4795</v>
      </c>
      <c r="E782" s="1" t="s">
        <v>4796</v>
      </c>
      <c r="F782" s="1" t="s">
        <v>112</v>
      </c>
      <c r="G782" s="1">
        <v>2922891</v>
      </c>
    </row>
    <row r="783" spans="1:7" x14ac:dyDescent="0.25">
      <c r="A783" s="1" t="str">
        <f t="shared" si="12"/>
        <v>14</v>
      </c>
      <c r="B7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83" s="1" t="s">
        <v>4797</v>
      </c>
      <c r="D783" s="1" t="s">
        <v>4798</v>
      </c>
      <c r="E783" s="1" t="s">
        <v>4799</v>
      </c>
      <c r="F783" s="1" t="s">
        <v>112</v>
      </c>
      <c r="G783" s="1">
        <v>3168196</v>
      </c>
    </row>
    <row r="784" spans="1:7" x14ac:dyDescent="0.25">
      <c r="A784" s="1" t="str">
        <f t="shared" si="12"/>
        <v>14</v>
      </c>
      <c r="B7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84" s="1" t="s">
        <v>4800</v>
      </c>
      <c r="D784" s="1" t="s">
        <v>4285</v>
      </c>
      <c r="E784" s="1" t="s">
        <v>4801</v>
      </c>
      <c r="F784" s="1" t="s">
        <v>112</v>
      </c>
      <c r="G784" s="1">
        <v>2525939</v>
      </c>
    </row>
    <row r="785" spans="1:10" x14ac:dyDescent="0.25">
      <c r="A785" s="1" t="str">
        <f t="shared" si="12"/>
        <v>14</v>
      </c>
      <c r="B7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85" s="1" t="s">
        <v>4802</v>
      </c>
      <c r="D785" s="1" t="s">
        <v>4803</v>
      </c>
      <c r="E785" s="1" t="s">
        <v>4804</v>
      </c>
      <c r="F785" s="1" t="s">
        <v>112</v>
      </c>
      <c r="G785" s="1">
        <v>2481576</v>
      </c>
    </row>
    <row r="786" spans="1:10" x14ac:dyDescent="0.25">
      <c r="A786" s="1" t="str">
        <f t="shared" si="12"/>
        <v>14</v>
      </c>
      <c r="B7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86" s="1" t="s">
        <v>4805</v>
      </c>
      <c r="D786" s="1" t="s">
        <v>4806</v>
      </c>
      <c r="E786" s="1" t="s">
        <v>4807</v>
      </c>
      <c r="F786" s="1" t="s">
        <v>112</v>
      </c>
      <c r="G786" s="1">
        <v>2829407</v>
      </c>
    </row>
    <row r="787" spans="1:10" x14ac:dyDescent="0.25">
      <c r="A787" s="1" t="str">
        <f t="shared" si="12"/>
        <v>14</v>
      </c>
      <c r="B7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87" s="1" t="s">
        <v>4808</v>
      </c>
      <c r="D787" s="1" t="s">
        <v>4809</v>
      </c>
      <c r="E787" s="1" t="s">
        <v>4810</v>
      </c>
      <c r="F787" s="1" t="s">
        <v>112</v>
      </c>
      <c r="G787" s="1">
        <v>2776868</v>
      </c>
    </row>
    <row r="788" spans="1:10" x14ac:dyDescent="0.2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88" s="1" t="s">
        <v>112</v>
      </c>
    </row>
    <row r="789" spans="1:10" x14ac:dyDescent="0.2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89" s="1" t="s">
        <v>237</v>
      </c>
      <c r="D789" s="1" t="s">
        <v>112</v>
      </c>
      <c r="E789" s="1" t="s">
        <v>238</v>
      </c>
      <c r="F789" s="1" t="s">
        <v>239</v>
      </c>
      <c r="G789" s="1" t="s">
        <v>240</v>
      </c>
      <c r="H789" s="1" t="s">
        <v>241</v>
      </c>
      <c r="I789" s="1" t="s">
        <v>242</v>
      </c>
      <c r="J789" s="1" t="s">
        <v>243</v>
      </c>
    </row>
    <row r="790" spans="1:10" x14ac:dyDescent="0.25">
      <c r="A790" s="1" t="str">
        <f t="shared" si="12"/>
        <v>14</v>
      </c>
      <c r="B7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790" s="1" t="s">
        <v>4811</v>
      </c>
      <c r="D790" s="1" t="s">
        <v>112</v>
      </c>
      <c r="E790" s="1" t="s">
        <v>4812</v>
      </c>
      <c r="F790" s="1" t="s">
        <v>4813</v>
      </c>
      <c r="G790" s="1" t="s">
        <v>4814</v>
      </c>
      <c r="H790" s="1" t="s">
        <v>4815</v>
      </c>
      <c r="I790" s="1">
        <v>16</v>
      </c>
      <c r="J790" s="1">
        <v>16</v>
      </c>
    </row>
    <row r="791" spans="1:10" x14ac:dyDescent="0.2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91" s="1" t="s">
        <v>112</v>
      </c>
    </row>
    <row r="792" spans="1:10" x14ac:dyDescent="0.2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92" s="1" t="s">
        <v>112</v>
      </c>
    </row>
    <row r="793" spans="1:10" x14ac:dyDescent="0.2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93" s="1" t="s">
        <v>112</v>
      </c>
    </row>
    <row r="794" spans="1:10" x14ac:dyDescent="0.2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94" s="1" t="s">
        <v>112</v>
      </c>
    </row>
    <row r="795" spans="1:10" x14ac:dyDescent="0.2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95" s="1" t="s">
        <v>112</v>
      </c>
    </row>
    <row r="796" spans="1:10" x14ac:dyDescent="0.2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96" s="1" t="s">
        <v>249</v>
      </c>
      <c r="D796" s="1" t="s">
        <v>110</v>
      </c>
      <c r="E796" s="1" t="s">
        <v>111</v>
      </c>
      <c r="F796" s="1" t="s">
        <v>112</v>
      </c>
      <c r="G796" s="1" t="s">
        <v>113</v>
      </c>
    </row>
    <row r="797" spans="1:10" x14ac:dyDescent="0.25">
      <c r="A797" s="1" t="str">
        <f t="shared" si="12"/>
        <v>15</v>
      </c>
      <c r="B7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97" s="1" t="s">
        <v>4816</v>
      </c>
      <c r="D797" s="1" t="s">
        <v>4817</v>
      </c>
      <c r="E797" s="1" t="s">
        <v>4818</v>
      </c>
      <c r="F797" s="1" t="s">
        <v>112</v>
      </c>
      <c r="G797" s="1">
        <v>4086990</v>
      </c>
    </row>
    <row r="798" spans="1:10" x14ac:dyDescent="0.25">
      <c r="A798" s="1" t="str">
        <f t="shared" si="12"/>
        <v>15</v>
      </c>
      <c r="B7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98" s="1" t="s">
        <v>4819</v>
      </c>
      <c r="D798" s="1" t="s">
        <v>4820</v>
      </c>
      <c r="E798" s="1" t="s">
        <v>4821</v>
      </c>
      <c r="F798" s="1" t="s">
        <v>112</v>
      </c>
      <c r="G798" s="1">
        <v>4141325</v>
      </c>
    </row>
    <row r="799" spans="1:10" x14ac:dyDescent="0.25">
      <c r="A799" s="1" t="str">
        <f t="shared" si="12"/>
        <v>15</v>
      </c>
      <c r="B7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99" s="1" t="s">
        <v>4822</v>
      </c>
      <c r="D799" s="1" t="s">
        <v>4823</v>
      </c>
      <c r="E799" s="1" t="s">
        <v>4824</v>
      </c>
      <c r="F799" s="1" t="s">
        <v>112</v>
      </c>
      <c r="G799" s="1">
        <v>4740559</v>
      </c>
    </row>
    <row r="800" spans="1:10" x14ac:dyDescent="0.25">
      <c r="A800" s="1" t="str">
        <f t="shared" si="12"/>
        <v>15</v>
      </c>
      <c r="B8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800" s="1" t="s">
        <v>4825</v>
      </c>
      <c r="D800" s="1" t="s">
        <v>4826</v>
      </c>
      <c r="E800" s="1" t="s">
        <v>4827</v>
      </c>
      <c r="F800" s="1" t="s">
        <v>112</v>
      </c>
      <c r="G800" s="1">
        <v>3847461</v>
      </c>
    </row>
    <row r="801" spans="1:7" x14ac:dyDescent="0.25">
      <c r="A801" s="1" t="str">
        <f t="shared" si="12"/>
        <v>15</v>
      </c>
      <c r="B8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01" s="1" t="s">
        <v>4828</v>
      </c>
      <c r="D801" s="1" t="s">
        <v>4829</v>
      </c>
      <c r="E801" s="1" t="s">
        <v>4830</v>
      </c>
      <c r="F801" s="1" t="s">
        <v>112</v>
      </c>
      <c r="G801" s="1">
        <v>2252105</v>
      </c>
    </row>
    <row r="802" spans="1:7" x14ac:dyDescent="0.25">
      <c r="A802" s="1" t="str">
        <f t="shared" si="12"/>
        <v>15</v>
      </c>
      <c r="B8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02" s="1" t="s">
        <v>4831</v>
      </c>
      <c r="D802" s="1" t="s">
        <v>3730</v>
      </c>
      <c r="E802" s="1" t="s">
        <v>4832</v>
      </c>
      <c r="F802" s="1" t="s">
        <v>112</v>
      </c>
      <c r="G802" s="1">
        <v>2430551</v>
      </c>
    </row>
    <row r="803" spans="1:7" x14ac:dyDescent="0.25">
      <c r="A803" s="1" t="str">
        <f t="shared" si="12"/>
        <v>15</v>
      </c>
      <c r="B8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03" s="1" t="s">
        <v>4833</v>
      </c>
      <c r="D803" s="1" t="s">
        <v>4834</v>
      </c>
      <c r="E803" s="1" t="s">
        <v>4835</v>
      </c>
      <c r="F803" s="1" t="s">
        <v>112</v>
      </c>
      <c r="G803" s="1">
        <v>2411647</v>
      </c>
    </row>
    <row r="804" spans="1:7" x14ac:dyDescent="0.25">
      <c r="A804" s="1" t="str">
        <f t="shared" si="12"/>
        <v>15</v>
      </c>
      <c r="B8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04" s="1" t="s">
        <v>4836</v>
      </c>
      <c r="D804" s="1" t="s">
        <v>4837</v>
      </c>
      <c r="E804" s="1" t="s">
        <v>4838</v>
      </c>
      <c r="F804" s="1" t="s">
        <v>112</v>
      </c>
      <c r="G804" s="1">
        <v>2187280</v>
      </c>
    </row>
    <row r="805" spans="1:7" x14ac:dyDescent="0.25">
      <c r="A805" s="1" t="str">
        <f t="shared" si="12"/>
        <v>15</v>
      </c>
      <c r="B8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05" s="1" t="s">
        <v>4839</v>
      </c>
      <c r="D805" s="1" t="s">
        <v>4840</v>
      </c>
      <c r="E805" s="1" t="s">
        <v>4841</v>
      </c>
      <c r="F805" s="1" t="s">
        <v>112</v>
      </c>
      <c r="G805" s="1">
        <v>3734747</v>
      </c>
    </row>
    <row r="806" spans="1:7" x14ac:dyDescent="0.25">
      <c r="A806" s="1" t="str">
        <f t="shared" si="12"/>
        <v>15</v>
      </c>
      <c r="B8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06" s="1" t="s">
        <v>4842</v>
      </c>
      <c r="D806" s="1" t="s">
        <v>4843</v>
      </c>
      <c r="E806" s="1" t="s">
        <v>4844</v>
      </c>
      <c r="F806" s="1" t="s">
        <v>112</v>
      </c>
      <c r="G806" s="1">
        <v>4168924</v>
      </c>
    </row>
    <row r="807" spans="1:7" x14ac:dyDescent="0.25">
      <c r="A807" s="1" t="str">
        <f t="shared" si="12"/>
        <v>15</v>
      </c>
      <c r="B8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07" s="1" t="s">
        <v>4845</v>
      </c>
      <c r="D807" s="1" t="s">
        <v>4846</v>
      </c>
      <c r="E807" s="1" t="s">
        <v>4847</v>
      </c>
      <c r="F807" s="1" t="s">
        <v>112</v>
      </c>
      <c r="G807" s="1">
        <v>3567570</v>
      </c>
    </row>
    <row r="808" spans="1:7" x14ac:dyDescent="0.25">
      <c r="A808" s="1" t="str">
        <f t="shared" si="12"/>
        <v>15</v>
      </c>
      <c r="B8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08" s="1" t="s">
        <v>4848</v>
      </c>
      <c r="D808" s="1" t="s">
        <v>4849</v>
      </c>
      <c r="E808" s="1" t="s">
        <v>4850</v>
      </c>
      <c r="F808" s="1" t="s">
        <v>112</v>
      </c>
      <c r="G808" s="1">
        <v>4219668</v>
      </c>
    </row>
    <row r="809" spans="1:7" x14ac:dyDescent="0.25">
      <c r="A809" s="1" t="str">
        <f t="shared" si="12"/>
        <v>15</v>
      </c>
      <c r="B8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09" s="1" t="s">
        <v>4851</v>
      </c>
      <c r="D809" s="1" t="s">
        <v>4852</v>
      </c>
      <c r="E809" s="1" t="s">
        <v>4853</v>
      </c>
      <c r="F809" s="1" t="s">
        <v>112</v>
      </c>
      <c r="G809" s="1">
        <v>2886574</v>
      </c>
    </row>
    <row r="810" spans="1:7" x14ac:dyDescent="0.25">
      <c r="A810" s="1" t="str">
        <f t="shared" si="12"/>
        <v>15</v>
      </c>
      <c r="B8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10" s="1" t="s">
        <v>4854</v>
      </c>
      <c r="D810" s="1" t="s">
        <v>895</v>
      </c>
      <c r="E810" s="1" t="s">
        <v>4855</v>
      </c>
      <c r="F810" s="1" t="s">
        <v>112</v>
      </c>
      <c r="G810" s="1">
        <v>3005020</v>
      </c>
    </row>
    <row r="811" spans="1:7" x14ac:dyDescent="0.25">
      <c r="A811" s="1" t="str">
        <f t="shared" si="12"/>
        <v>15</v>
      </c>
      <c r="B8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11" s="1" t="s">
        <v>4856</v>
      </c>
      <c r="D811" s="1" t="s">
        <v>4857</v>
      </c>
      <c r="E811" s="1" t="s">
        <v>4858</v>
      </c>
      <c r="F811" s="1" t="s">
        <v>112</v>
      </c>
      <c r="G811" s="1">
        <v>3206654</v>
      </c>
    </row>
    <row r="812" spans="1:7" x14ac:dyDescent="0.25">
      <c r="A812" s="1" t="str">
        <f t="shared" si="12"/>
        <v>15</v>
      </c>
      <c r="B8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12" s="1" t="s">
        <v>4859</v>
      </c>
      <c r="D812" s="1" t="s">
        <v>4860</v>
      </c>
      <c r="E812" s="1" t="s">
        <v>4861</v>
      </c>
      <c r="F812" s="1" t="s">
        <v>112</v>
      </c>
      <c r="G812" s="1">
        <v>2817899</v>
      </c>
    </row>
    <row r="813" spans="1:7" x14ac:dyDescent="0.25">
      <c r="A813" s="1" t="str">
        <f t="shared" si="12"/>
        <v>15</v>
      </c>
      <c r="B8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3" s="1" t="s">
        <v>4862</v>
      </c>
      <c r="D813" s="1" t="s">
        <v>4863</v>
      </c>
      <c r="E813" s="1" t="s">
        <v>4864</v>
      </c>
      <c r="F813" s="1" t="s">
        <v>112</v>
      </c>
      <c r="G813" s="1">
        <v>3856978</v>
      </c>
    </row>
    <row r="814" spans="1:7" x14ac:dyDescent="0.25">
      <c r="A814" s="1" t="str">
        <f t="shared" si="12"/>
        <v>15</v>
      </c>
      <c r="B8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4" s="1" t="s">
        <v>4865</v>
      </c>
      <c r="D814" s="1" t="s">
        <v>4866</v>
      </c>
      <c r="E814" s="1" t="s">
        <v>4867</v>
      </c>
      <c r="F814" s="1" t="s">
        <v>112</v>
      </c>
      <c r="G814" s="1">
        <v>4091619</v>
      </c>
    </row>
    <row r="815" spans="1:7" x14ac:dyDescent="0.25">
      <c r="A815" s="1" t="str">
        <f t="shared" si="12"/>
        <v>15</v>
      </c>
      <c r="B8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5" s="1" t="s">
        <v>4868</v>
      </c>
    </row>
    <row r="816" spans="1:7" x14ac:dyDescent="0.25">
      <c r="A816" s="1" t="str">
        <f t="shared" si="12"/>
        <v>15</v>
      </c>
      <c r="B8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6" s="1" t="s">
        <v>4869</v>
      </c>
      <c r="D816" s="1" t="s">
        <v>4870</v>
      </c>
      <c r="E816" s="1" t="s">
        <v>4871</v>
      </c>
      <c r="F816" s="1" t="s">
        <v>112</v>
      </c>
      <c r="G816" s="1">
        <v>4661610</v>
      </c>
    </row>
    <row r="817" spans="1:10" x14ac:dyDescent="0.25">
      <c r="A817" s="1" t="str">
        <f t="shared" si="12"/>
        <v>15</v>
      </c>
      <c r="B8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17" s="1" t="s">
        <v>4872</v>
      </c>
      <c r="D817" s="1" t="s">
        <v>4873</v>
      </c>
      <c r="E817" s="1" t="s">
        <v>4874</v>
      </c>
      <c r="F817" s="1" t="s">
        <v>112</v>
      </c>
      <c r="G817" s="1">
        <v>4450805</v>
      </c>
    </row>
    <row r="818" spans="1:10" x14ac:dyDescent="0.25">
      <c r="A818" s="1" t="str">
        <f t="shared" si="12"/>
        <v>15</v>
      </c>
      <c r="B8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18" s="1" t="s">
        <v>4875</v>
      </c>
      <c r="D818" s="1" t="s">
        <v>4876</v>
      </c>
      <c r="E818" s="1" t="s">
        <v>4877</v>
      </c>
      <c r="F818" s="1" t="s">
        <v>112</v>
      </c>
      <c r="G818" s="1">
        <v>3602221</v>
      </c>
    </row>
    <row r="819" spans="1:10" x14ac:dyDescent="0.25">
      <c r="A819" s="1" t="str">
        <f t="shared" si="12"/>
        <v>15</v>
      </c>
      <c r="B8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19" s="1" t="s">
        <v>4878</v>
      </c>
      <c r="D819" s="1" t="s">
        <v>4879</v>
      </c>
      <c r="E819" s="1" t="s">
        <v>4880</v>
      </c>
      <c r="F819" s="1" t="s">
        <v>112</v>
      </c>
      <c r="G819" s="1">
        <v>4645171</v>
      </c>
    </row>
    <row r="820" spans="1:10" x14ac:dyDescent="0.25">
      <c r="A820" s="1" t="str">
        <f t="shared" si="12"/>
        <v>15</v>
      </c>
      <c r="B8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20" s="1" t="s">
        <v>4881</v>
      </c>
      <c r="D820" s="1" t="s">
        <v>4882</v>
      </c>
      <c r="E820" s="1" t="s">
        <v>4883</v>
      </c>
      <c r="F820" s="1" t="s">
        <v>112</v>
      </c>
      <c r="G820" s="1">
        <v>4003326</v>
      </c>
    </row>
    <row r="821" spans="1:10" x14ac:dyDescent="0.25">
      <c r="A821" s="1" t="str">
        <f t="shared" si="12"/>
        <v>15</v>
      </c>
      <c r="B8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21" s="1" t="s">
        <v>4884</v>
      </c>
      <c r="D821" s="1" t="s">
        <v>4885</v>
      </c>
      <c r="E821" s="1" t="s">
        <v>4886</v>
      </c>
      <c r="F821" s="1" t="s">
        <v>112</v>
      </c>
      <c r="G821" s="1">
        <v>3358950</v>
      </c>
    </row>
    <row r="822" spans="1:10" x14ac:dyDescent="0.25">
      <c r="A822" s="1" t="str">
        <f t="shared" si="12"/>
        <v>15</v>
      </c>
      <c r="B8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22" s="1" t="s">
        <v>4887</v>
      </c>
      <c r="D822" s="1" t="s">
        <v>4888</v>
      </c>
      <c r="E822" s="1" t="s">
        <v>4889</v>
      </c>
      <c r="F822" s="1" t="s">
        <v>112</v>
      </c>
      <c r="G822" s="1">
        <v>3022259</v>
      </c>
    </row>
    <row r="823" spans="1:10" x14ac:dyDescent="0.25">
      <c r="A823" s="1" t="str">
        <f t="shared" si="12"/>
        <v>15</v>
      </c>
      <c r="B8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23" s="1" t="s">
        <v>4890</v>
      </c>
      <c r="D823" s="1" t="s">
        <v>2297</v>
      </c>
      <c r="E823" s="1" t="s">
        <v>4891</v>
      </c>
      <c r="F823" s="1" t="s">
        <v>112</v>
      </c>
      <c r="G823" s="1">
        <v>3487691</v>
      </c>
    </row>
    <row r="824" spans="1:10" x14ac:dyDescent="0.25">
      <c r="A824" s="1" t="str">
        <f t="shared" si="12"/>
        <v>15</v>
      </c>
      <c r="B8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24" s="1" t="s">
        <v>4892</v>
      </c>
      <c r="D824" s="1" t="s">
        <v>4893</v>
      </c>
      <c r="E824" s="1" t="s">
        <v>4894</v>
      </c>
      <c r="F824" s="1" t="s">
        <v>112</v>
      </c>
      <c r="G824" s="1">
        <v>3037118</v>
      </c>
    </row>
    <row r="825" spans="1:10" x14ac:dyDescent="0.25">
      <c r="A825" s="1" t="str">
        <f t="shared" si="12"/>
        <v>15</v>
      </c>
      <c r="B8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25" s="1" t="s">
        <v>4895</v>
      </c>
      <c r="D825" s="1" t="s">
        <v>4739</v>
      </c>
      <c r="E825" s="1" t="s">
        <v>4896</v>
      </c>
      <c r="F825" s="1" t="s">
        <v>112</v>
      </c>
      <c r="G825" s="1">
        <v>2339511</v>
      </c>
    </row>
    <row r="826" spans="1:10" x14ac:dyDescent="0.25">
      <c r="A826" s="1" t="str">
        <f t="shared" si="12"/>
        <v>15</v>
      </c>
      <c r="B8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26" s="1" t="s">
        <v>4897</v>
      </c>
      <c r="D826" s="1" t="s">
        <v>4898</v>
      </c>
      <c r="E826" s="1" t="s">
        <v>4899</v>
      </c>
      <c r="F826" s="1" t="s">
        <v>112</v>
      </c>
      <c r="G826" s="1">
        <v>2534375</v>
      </c>
    </row>
    <row r="827" spans="1:10" x14ac:dyDescent="0.25">
      <c r="A827" s="1" t="str">
        <f t="shared" si="12"/>
        <v>15</v>
      </c>
      <c r="B8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27" s="1" t="s">
        <v>4900</v>
      </c>
      <c r="D827" s="1" t="s">
        <v>4901</v>
      </c>
      <c r="E827" s="1" t="s">
        <v>4902</v>
      </c>
      <c r="F827" s="1" t="s">
        <v>112</v>
      </c>
      <c r="G827" s="1">
        <v>2481208</v>
      </c>
    </row>
    <row r="828" spans="1:10" x14ac:dyDescent="0.25">
      <c r="A828" s="1" t="str">
        <f t="shared" si="12"/>
        <v>15</v>
      </c>
      <c r="B8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28" s="1" t="s">
        <v>4903</v>
      </c>
      <c r="D828" s="1" t="s">
        <v>4904</v>
      </c>
      <c r="E828" s="1" t="s">
        <v>4905</v>
      </c>
      <c r="F828" s="1" t="s">
        <v>112</v>
      </c>
      <c r="G828" s="1">
        <v>2993534</v>
      </c>
    </row>
    <row r="829" spans="1:10" x14ac:dyDescent="0.2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29" s="1" t="s">
        <v>112</v>
      </c>
    </row>
    <row r="830" spans="1:10" x14ac:dyDescent="0.2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30" s="1" t="s">
        <v>237</v>
      </c>
      <c r="D830" s="1" t="s">
        <v>112</v>
      </c>
      <c r="E830" s="1" t="s">
        <v>238</v>
      </c>
      <c r="F830" s="1" t="s">
        <v>239</v>
      </c>
      <c r="G830" s="1" t="s">
        <v>240</v>
      </c>
      <c r="H830" s="1" t="s">
        <v>241</v>
      </c>
      <c r="I830" s="1" t="s">
        <v>242</v>
      </c>
      <c r="J830" s="1" t="s">
        <v>243</v>
      </c>
    </row>
    <row r="831" spans="1:10" x14ac:dyDescent="0.25">
      <c r="A831" s="1" t="str">
        <f t="shared" si="12"/>
        <v>15</v>
      </c>
      <c r="B8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831" s="1" t="s">
        <v>4906</v>
      </c>
      <c r="D831" s="1" t="s">
        <v>112</v>
      </c>
      <c r="E831" s="1" t="s">
        <v>4907</v>
      </c>
      <c r="F831" s="1" t="s">
        <v>4908</v>
      </c>
      <c r="G831" s="1" t="s">
        <v>4909</v>
      </c>
      <c r="H831" s="1" t="s">
        <v>4910</v>
      </c>
      <c r="I831" s="1">
        <v>32</v>
      </c>
      <c r="J831" s="1">
        <v>32</v>
      </c>
    </row>
    <row r="832" spans="1:10" x14ac:dyDescent="0.2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32" s="1" t="s">
        <v>112</v>
      </c>
    </row>
    <row r="833" spans="1:7" x14ac:dyDescent="0.2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33" s="1" t="s">
        <v>112</v>
      </c>
    </row>
    <row r="834" spans="1:7" x14ac:dyDescent="0.2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34" s="1" t="s">
        <v>112</v>
      </c>
    </row>
    <row r="835" spans="1:7" x14ac:dyDescent="0.2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35" s="1" t="s">
        <v>112</v>
      </c>
    </row>
    <row r="836" spans="1:7" x14ac:dyDescent="0.2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36" s="1" t="s">
        <v>112</v>
      </c>
    </row>
    <row r="837" spans="1:7" x14ac:dyDescent="0.2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37" s="1" t="s">
        <v>249</v>
      </c>
      <c r="D837" s="1" t="s">
        <v>110</v>
      </c>
      <c r="E837" s="1" t="s">
        <v>111</v>
      </c>
      <c r="F837" s="1" t="s">
        <v>112</v>
      </c>
      <c r="G837" s="1" t="s">
        <v>113</v>
      </c>
    </row>
    <row r="838" spans="1:7" x14ac:dyDescent="0.25">
      <c r="A838" s="1" t="str">
        <f t="shared" si="13"/>
        <v>16</v>
      </c>
      <c r="B8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838" s="1" t="s">
        <v>4911</v>
      </c>
      <c r="D838" s="1" t="s">
        <v>583</v>
      </c>
      <c r="E838" s="1" t="s">
        <v>4912</v>
      </c>
      <c r="F838" s="1" t="s">
        <v>112</v>
      </c>
      <c r="G838" s="1">
        <v>651644</v>
      </c>
    </row>
    <row r="839" spans="1:7" x14ac:dyDescent="0.25">
      <c r="A839" s="1" t="str">
        <f t="shared" si="13"/>
        <v>16</v>
      </c>
      <c r="B8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839" s="1" t="s">
        <v>4913</v>
      </c>
      <c r="D839" s="1" t="s">
        <v>4914</v>
      </c>
      <c r="E839" s="1" t="s">
        <v>4915</v>
      </c>
      <c r="F839" s="1" t="s">
        <v>112</v>
      </c>
      <c r="G839" s="1">
        <v>258369</v>
      </c>
    </row>
    <row r="840" spans="1:7" x14ac:dyDescent="0.25">
      <c r="A840" s="1" t="str">
        <f t="shared" si="13"/>
        <v>16</v>
      </c>
      <c r="B8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840" s="1" t="s">
        <v>4916</v>
      </c>
      <c r="D840" s="1" t="s">
        <v>4917</v>
      </c>
      <c r="E840" s="1" t="s">
        <v>4918</v>
      </c>
      <c r="F840" s="1" t="s">
        <v>112</v>
      </c>
      <c r="G840" s="1">
        <v>481719</v>
      </c>
    </row>
    <row r="841" spans="1:7" x14ac:dyDescent="0.25">
      <c r="A841" s="1" t="str">
        <f t="shared" si="13"/>
        <v>16</v>
      </c>
      <c r="B8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841" s="1" t="s">
        <v>4919</v>
      </c>
      <c r="D841" s="1" t="s">
        <v>1945</v>
      </c>
      <c r="E841" s="1" t="s">
        <v>4920</v>
      </c>
      <c r="F841" s="1" t="s">
        <v>112</v>
      </c>
      <c r="G841" s="1">
        <v>375971</v>
      </c>
    </row>
    <row r="842" spans="1:7" x14ac:dyDescent="0.25">
      <c r="A842" s="1" t="str">
        <f t="shared" si="13"/>
        <v>16</v>
      </c>
      <c r="B8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42" s="1" t="s">
        <v>4921</v>
      </c>
      <c r="D842" s="1" t="s">
        <v>260</v>
      </c>
      <c r="E842" s="1" t="s">
        <v>4922</v>
      </c>
      <c r="F842" s="1" t="s">
        <v>112</v>
      </c>
      <c r="G842" s="1">
        <v>30996</v>
      </c>
    </row>
    <row r="843" spans="1:7" x14ac:dyDescent="0.25">
      <c r="A843" s="1" t="str">
        <f t="shared" si="13"/>
        <v>16</v>
      </c>
      <c r="B8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43" s="1" t="s">
        <v>4923</v>
      </c>
      <c r="D843" s="1" t="s">
        <v>3892</v>
      </c>
      <c r="E843" s="1" t="s">
        <v>4924</v>
      </c>
      <c r="F843" s="1" t="s">
        <v>112</v>
      </c>
      <c r="G843" s="1">
        <v>88812</v>
      </c>
    </row>
    <row r="844" spans="1:7" x14ac:dyDescent="0.25">
      <c r="A844" s="1" t="str">
        <f t="shared" si="13"/>
        <v>16</v>
      </c>
      <c r="B8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44" s="1" t="s">
        <v>4925</v>
      </c>
      <c r="D844" s="1" t="s">
        <v>1274</v>
      </c>
      <c r="E844" s="1" t="s">
        <v>4926</v>
      </c>
      <c r="F844" s="1" t="s">
        <v>112</v>
      </c>
      <c r="G844" s="1">
        <v>111783</v>
      </c>
    </row>
    <row r="845" spans="1:7" x14ac:dyDescent="0.25">
      <c r="A845" s="1" t="str">
        <f t="shared" si="13"/>
        <v>16</v>
      </c>
      <c r="B8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45" s="1" t="s">
        <v>4927</v>
      </c>
      <c r="D845" s="1" t="s">
        <v>170</v>
      </c>
      <c r="E845" s="1" t="s">
        <v>4928</v>
      </c>
      <c r="F845" s="1" t="s">
        <v>112</v>
      </c>
      <c r="G845" s="1">
        <v>88726</v>
      </c>
    </row>
    <row r="846" spans="1:7" x14ac:dyDescent="0.25">
      <c r="A846" s="1" t="str">
        <f t="shared" si="13"/>
        <v>16</v>
      </c>
      <c r="B8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46" s="1" t="s">
        <v>4929</v>
      </c>
      <c r="D846" s="1" t="s">
        <v>3961</v>
      </c>
      <c r="E846" s="1" t="s">
        <v>4930</v>
      </c>
      <c r="F846" s="1" t="s">
        <v>112</v>
      </c>
      <c r="G846" s="1">
        <v>374457</v>
      </c>
    </row>
    <row r="847" spans="1:7" x14ac:dyDescent="0.25">
      <c r="A847" s="1" t="str">
        <f t="shared" si="13"/>
        <v>16</v>
      </c>
      <c r="B8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47" s="1" t="s">
        <v>4931</v>
      </c>
      <c r="D847" s="1" t="s">
        <v>2611</v>
      </c>
      <c r="E847" s="1" t="s">
        <v>4932</v>
      </c>
      <c r="F847" s="1" t="s">
        <v>112</v>
      </c>
      <c r="G847" s="1">
        <v>217034</v>
      </c>
    </row>
    <row r="848" spans="1:7" x14ac:dyDescent="0.25">
      <c r="A848" s="1" t="str">
        <f t="shared" si="13"/>
        <v>16</v>
      </c>
      <c r="B8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48" s="1" t="s">
        <v>4933</v>
      </c>
      <c r="D848" s="1" t="s">
        <v>2006</v>
      </c>
      <c r="E848" s="1" t="s">
        <v>4934</v>
      </c>
      <c r="F848" s="1" t="s">
        <v>112</v>
      </c>
      <c r="G848" s="1">
        <v>312487</v>
      </c>
    </row>
    <row r="849" spans="1:7" x14ac:dyDescent="0.25">
      <c r="A849" s="1" t="str">
        <f t="shared" si="13"/>
        <v>16</v>
      </c>
      <c r="B8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49" s="1" t="s">
        <v>4935</v>
      </c>
      <c r="D849" s="1" t="s">
        <v>3969</v>
      </c>
      <c r="E849" s="1" t="s">
        <v>4936</v>
      </c>
      <c r="F849" s="1" t="s">
        <v>112</v>
      </c>
      <c r="G849" s="1">
        <v>195945</v>
      </c>
    </row>
    <row r="850" spans="1:7" x14ac:dyDescent="0.25">
      <c r="A850" s="1" t="str">
        <f t="shared" si="13"/>
        <v>16</v>
      </c>
      <c r="B8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50" s="1" t="s">
        <v>4937</v>
      </c>
      <c r="D850" s="1" t="s">
        <v>4938</v>
      </c>
      <c r="E850" s="1" t="s">
        <v>4939</v>
      </c>
      <c r="F850" s="1" t="s">
        <v>112</v>
      </c>
      <c r="G850" s="1">
        <v>474473</v>
      </c>
    </row>
    <row r="851" spans="1:7" x14ac:dyDescent="0.25">
      <c r="A851" s="1" t="str">
        <f t="shared" si="13"/>
        <v>16</v>
      </c>
      <c r="B8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51" s="1" t="s">
        <v>4940</v>
      </c>
      <c r="D851" s="1" t="s">
        <v>4941</v>
      </c>
      <c r="E851" s="1" t="s">
        <v>4942</v>
      </c>
      <c r="F851" s="1" t="s">
        <v>112</v>
      </c>
      <c r="G851" s="1">
        <v>529586</v>
      </c>
    </row>
    <row r="852" spans="1:7" x14ac:dyDescent="0.25">
      <c r="A852" s="1" t="str">
        <f t="shared" si="13"/>
        <v>16</v>
      </c>
      <c r="B8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52" s="1" t="s">
        <v>4943</v>
      </c>
      <c r="D852" s="1" t="s">
        <v>4944</v>
      </c>
      <c r="E852" s="1" t="s">
        <v>4945</v>
      </c>
      <c r="F852" s="1" t="s">
        <v>112</v>
      </c>
      <c r="G852" s="1">
        <v>525823</v>
      </c>
    </row>
    <row r="853" spans="1:7" x14ac:dyDescent="0.25">
      <c r="A853" s="1" t="str">
        <f t="shared" si="13"/>
        <v>16</v>
      </c>
      <c r="B8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53" s="1" t="s">
        <v>4946</v>
      </c>
      <c r="D853" s="1" t="s">
        <v>589</v>
      </c>
      <c r="E853" s="1" t="s">
        <v>4947</v>
      </c>
      <c r="F853" s="1" t="s">
        <v>112</v>
      </c>
      <c r="G853" s="1">
        <v>179139</v>
      </c>
    </row>
    <row r="854" spans="1:7" x14ac:dyDescent="0.25">
      <c r="A854" s="1" t="str">
        <f t="shared" si="13"/>
        <v>16</v>
      </c>
      <c r="B8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54" s="1" t="s">
        <v>4948</v>
      </c>
      <c r="D854" s="1" t="s">
        <v>4949</v>
      </c>
      <c r="E854" s="1" t="s">
        <v>4950</v>
      </c>
      <c r="F854" s="1" t="s">
        <v>112</v>
      </c>
      <c r="G854" s="1">
        <v>598715</v>
      </c>
    </row>
    <row r="855" spans="1:7" x14ac:dyDescent="0.25">
      <c r="A855" s="1" t="str">
        <f t="shared" si="13"/>
        <v>16</v>
      </c>
      <c r="B8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55" s="1" t="s">
        <v>4951</v>
      </c>
    </row>
    <row r="856" spans="1:7" x14ac:dyDescent="0.25">
      <c r="A856" s="1" t="str">
        <f t="shared" si="13"/>
        <v>16</v>
      </c>
      <c r="B8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56" s="1" t="s">
        <v>4952</v>
      </c>
      <c r="D856" s="1" t="s">
        <v>1841</v>
      </c>
      <c r="E856" s="1" t="s">
        <v>4953</v>
      </c>
      <c r="F856" s="1" t="s">
        <v>112</v>
      </c>
      <c r="G856" s="1">
        <v>351767</v>
      </c>
    </row>
    <row r="857" spans="1:7" x14ac:dyDescent="0.25">
      <c r="A857" s="1" t="str">
        <f t="shared" si="13"/>
        <v>16</v>
      </c>
      <c r="B8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57" s="1" t="s">
        <v>4954</v>
      </c>
    </row>
    <row r="858" spans="1:7" x14ac:dyDescent="0.25">
      <c r="A858" s="1" t="str">
        <f t="shared" si="13"/>
        <v>16</v>
      </c>
      <c r="B8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8" s="1" t="s">
        <v>4955</v>
      </c>
      <c r="D858" s="1" t="s">
        <v>1189</v>
      </c>
      <c r="E858" s="1" t="s">
        <v>4956</v>
      </c>
      <c r="F858" s="1" t="s">
        <v>112</v>
      </c>
      <c r="G858" s="1">
        <v>388257</v>
      </c>
    </row>
    <row r="859" spans="1:7" x14ac:dyDescent="0.25">
      <c r="A859" s="1" t="str">
        <f t="shared" si="13"/>
        <v>16</v>
      </c>
      <c r="B8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9" s="1" t="s">
        <v>4957</v>
      </c>
      <c r="D859" s="1" t="s">
        <v>4651</v>
      </c>
      <c r="E859" s="1" t="s">
        <v>4958</v>
      </c>
      <c r="F859" s="1" t="s">
        <v>112</v>
      </c>
      <c r="G859" s="1">
        <v>502073</v>
      </c>
    </row>
    <row r="860" spans="1:7" x14ac:dyDescent="0.25">
      <c r="A860" s="1" t="str">
        <f t="shared" si="13"/>
        <v>16</v>
      </c>
      <c r="B8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60" s="1" t="s">
        <v>4959</v>
      </c>
      <c r="D860" s="1" t="s">
        <v>1973</v>
      </c>
      <c r="E860" s="1" t="s">
        <v>4960</v>
      </c>
      <c r="F860" s="1" t="s">
        <v>112</v>
      </c>
      <c r="G860" s="1">
        <v>352740</v>
      </c>
    </row>
    <row r="861" spans="1:7" x14ac:dyDescent="0.25">
      <c r="A861" s="1" t="str">
        <f t="shared" si="13"/>
        <v>16</v>
      </c>
      <c r="B8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61" s="1" t="s">
        <v>4961</v>
      </c>
      <c r="D861" s="1" t="s">
        <v>266</v>
      </c>
      <c r="E861" s="1" t="s">
        <v>4962</v>
      </c>
      <c r="F861" s="1" t="s">
        <v>112</v>
      </c>
      <c r="G861" s="1">
        <v>175483</v>
      </c>
    </row>
    <row r="862" spans="1:7" x14ac:dyDescent="0.25">
      <c r="A862" s="1" t="str">
        <f t="shared" si="13"/>
        <v>16</v>
      </c>
      <c r="B8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2" s="1" t="s">
        <v>4963</v>
      </c>
      <c r="D862" s="1" t="s">
        <v>4964</v>
      </c>
      <c r="E862" s="1" t="s">
        <v>4965</v>
      </c>
      <c r="F862" s="1" t="s">
        <v>112</v>
      </c>
      <c r="G862" s="1">
        <v>180415</v>
      </c>
    </row>
    <row r="863" spans="1:7" x14ac:dyDescent="0.25">
      <c r="A863" s="1" t="str">
        <f t="shared" si="13"/>
        <v>16</v>
      </c>
      <c r="B8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3" s="1" t="s">
        <v>4966</v>
      </c>
      <c r="D863" s="1" t="s">
        <v>3939</v>
      </c>
      <c r="E863" s="1" t="s">
        <v>4967</v>
      </c>
      <c r="F863" s="1" t="s">
        <v>112</v>
      </c>
      <c r="G863" s="1">
        <v>389706</v>
      </c>
    </row>
    <row r="864" spans="1:7" x14ac:dyDescent="0.25">
      <c r="A864" s="1" t="str">
        <f t="shared" si="13"/>
        <v>16</v>
      </c>
      <c r="B8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4" s="1" t="s">
        <v>4968</v>
      </c>
    </row>
    <row r="865" spans="1:10" x14ac:dyDescent="0.25">
      <c r="A865" s="1" t="str">
        <f t="shared" si="13"/>
        <v>16</v>
      </c>
      <c r="B8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5" s="1" t="s">
        <v>4969</v>
      </c>
      <c r="D865" s="1" t="s">
        <v>3875</v>
      </c>
      <c r="E865" s="1" t="s">
        <v>4970</v>
      </c>
      <c r="F865" s="1" t="s">
        <v>112</v>
      </c>
      <c r="G865" s="1">
        <v>347073</v>
      </c>
    </row>
    <row r="866" spans="1:10" x14ac:dyDescent="0.25">
      <c r="A866" s="1" t="str">
        <f t="shared" si="13"/>
        <v>16</v>
      </c>
      <c r="B8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66" s="1" t="s">
        <v>4971</v>
      </c>
      <c r="D866" s="1" t="s">
        <v>227</v>
      </c>
      <c r="E866" s="1" t="s">
        <v>1958</v>
      </c>
      <c r="F866" s="1" t="s">
        <v>112</v>
      </c>
      <c r="G866" s="1">
        <v>1363</v>
      </c>
    </row>
    <row r="867" spans="1:10" x14ac:dyDescent="0.25">
      <c r="A867" s="1" t="str">
        <f t="shared" si="13"/>
        <v>16</v>
      </c>
      <c r="B8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67" s="1" t="s">
        <v>4972</v>
      </c>
      <c r="D867" s="1" t="s">
        <v>2401</v>
      </c>
      <c r="E867" s="1" t="s">
        <v>4973</v>
      </c>
      <c r="F867" s="1" t="s">
        <v>112</v>
      </c>
      <c r="G867" s="1">
        <v>211302</v>
      </c>
    </row>
    <row r="868" spans="1:10" x14ac:dyDescent="0.25">
      <c r="A868" s="1" t="str">
        <f t="shared" si="13"/>
        <v>16</v>
      </c>
      <c r="B8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68" s="1" t="s">
        <v>4974</v>
      </c>
      <c r="D868" s="1" t="s">
        <v>3477</v>
      </c>
      <c r="E868" s="1" t="s">
        <v>4975</v>
      </c>
      <c r="F868" s="1" t="s">
        <v>112</v>
      </c>
      <c r="G868" s="1">
        <v>157725</v>
      </c>
    </row>
    <row r="869" spans="1:10" x14ac:dyDescent="0.25">
      <c r="A869" s="1" t="str">
        <f t="shared" si="13"/>
        <v>16</v>
      </c>
      <c r="B8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69" s="1" t="s">
        <v>4976</v>
      </c>
      <c r="D869" s="1" t="s">
        <v>1451</v>
      </c>
      <c r="E869" s="1" t="s">
        <v>4977</v>
      </c>
      <c r="F869" s="1" t="s">
        <v>112</v>
      </c>
      <c r="G869" s="1">
        <v>352892</v>
      </c>
    </row>
    <row r="870" spans="1:10" x14ac:dyDescent="0.2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70" s="1" t="s">
        <v>112</v>
      </c>
    </row>
    <row r="871" spans="1:10" x14ac:dyDescent="0.2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71" s="1" t="s">
        <v>237</v>
      </c>
      <c r="D871" s="1" t="s">
        <v>112</v>
      </c>
      <c r="E871" s="1" t="s">
        <v>238</v>
      </c>
      <c r="F871" s="1" t="s">
        <v>239</v>
      </c>
      <c r="G871" s="1" t="s">
        <v>240</v>
      </c>
      <c r="H871" s="1" t="s">
        <v>241</v>
      </c>
      <c r="I871" s="1" t="s">
        <v>242</v>
      </c>
      <c r="J871" s="1" t="s">
        <v>243</v>
      </c>
    </row>
    <row r="872" spans="1:10" x14ac:dyDescent="0.25">
      <c r="A872" s="1" t="str">
        <f t="shared" si="13"/>
        <v>16</v>
      </c>
      <c r="B8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872" s="1" t="s">
        <v>4978</v>
      </c>
      <c r="D872" s="1" t="s">
        <v>112</v>
      </c>
      <c r="E872" s="1" t="s">
        <v>4979</v>
      </c>
      <c r="F872" s="1" t="s">
        <v>4980</v>
      </c>
      <c r="G872" s="1" t="s">
        <v>4981</v>
      </c>
      <c r="H872" s="1" t="s">
        <v>4982</v>
      </c>
      <c r="I872" s="1">
        <v>31</v>
      </c>
      <c r="J872" s="1">
        <v>32</v>
      </c>
    </row>
    <row r="873" spans="1:10" x14ac:dyDescent="0.2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73" s="1" t="s">
        <v>112</v>
      </c>
    </row>
    <row r="874" spans="1:10" x14ac:dyDescent="0.2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74" s="1" t="s">
        <v>112</v>
      </c>
    </row>
    <row r="875" spans="1:10" x14ac:dyDescent="0.2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75" s="1" t="s">
        <v>112</v>
      </c>
    </row>
    <row r="876" spans="1:10" x14ac:dyDescent="0.2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76" s="1" t="s">
        <v>112</v>
      </c>
    </row>
    <row r="877" spans="1:10" x14ac:dyDescent="0.2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77" s="1" t="s">
        <v>112</v>
      </c>
    </row>
    <row r="878" spans="1:10" x14ac:dyDescent="0.2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78" s="1" t="s">
        <v>249</v>
      </c>
      <c r="D878" s="1" t="s">
        <v>110</v>
      </c>
      <c r="E878" s="1" t="s">
        <v>111</v>
      </c>
      <c r="F878" s="1" t="s">
        <v>112</v>
      </c>
      <c r="G878" s="1" t="s">
        <v>113</v>
      </c>
    </row>
    <row r="879" spans="1:10" x14ac:dyDescent="0.25">
      <c r="A879" s="1" t="str">
        <f t="shared" si="13"/>
        <v>2</v>
      </c>
      <c r="B8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879" s="1" t="s">
        <v>4983</v>
      </c>
      <c r="D879" s="1" t="s">
        <v>4167</v>
      </c>
      <c r="E879" s="1" t="s">
        <v>4984</v>
      </c>
      <c r="F879" s="1" t="s">
        <v>112</v>
      </c>
      <c r="G879" s="1">
        <v>548750</v>
      </c>
    </row>
    <row r="880" spans="1:10" x14ac:dyDescent="0.25">
      <c r="A880" s="1" t="str">
        <f t="shared" si="13"/>
        <v>2</v>
      </c>
      <c r="B8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880" s="1" t="s">
        <v>4985</v>
      </c>
      <c r="D880" s="1" t="s">
        <v>4986</v>
      </c>
      <c r="E880" s="1" t="s">
        <v>4987</v>
      </c>
      <c r="F880" s="1" t="s">
        <v>112</v>
      </c>
      <c r="G880" s="1">
        <v>412287</v>
      </c>
    </row>
    <row r="881" spans="1:7" x14ac:dyDescent="0.25">
      <c r="A881" s="1" t="str">
        <f t="shared" si="13"/>
        <v>2</v>
      </c>
      <c r="B8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881" s="1" t="s">
        <v>4988</v>
      </c>
      <c r="D881" s="1" t="s">
        <v>580</v>
      </c>
      <c r="E881" s="1" t="s">
        <v>4989</v>
      </c>
      <c r="F881" s="1" t="s">
        <v>112</v>
      </c>
      <c r="G881" s="1">
        <v>421783</v>
      </c>
    </row>
    <row r="882" spans="1:7" x14ac:dyDescent="0.25">
      <c r="A882" s="1" t="str">
        <f t="shared" si="13"/>
        <v>2</v>
      </c>
      <c r="B8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882" s="1" t="s">
        <v>4990</v>
      </c>
    </row>
    <row r="883" spans="1:7" x14ac:dyDescent="0.25">
      <c r="A883" s="1" t="str">
        <f t="shared" si="13"/>
        <v>2</v>
      </c>
      <c r="B8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83" s="1" t="s">
        <v>4991</v>
      </c>
      <c r="D883" s="1" t="s">
        <v>4093</v>
      </c>
      <c r="E883" s="1" t="s">
        <v>4992</v>
      </c>
      <c r="F883" s="1" t="s">
        <v>112</v>
      </c>
      <c r="G883" s="1">
        <v>492469</v>
      </c>
    </row>
    <row r="884" spans="1:7" x14ac:dyDescent="0.25">
      <c r="A884" s="1" t="str">
        <f t="shared" si="13"/>
        <v>2</v>
      </c>
      <c r="B8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84" s="1" t="s">
        <v>4993</v>
      </c>
      <c r="D884" s="1" t="s">
        <v>1102</v>
      </c>
      <c r="E884" s="1" t="s">
        <v>4994</v>
      </c>
      <c r="F884" s="1" t="s">
        <v>112</v>
      </c>
      <c r="G884" s="1">
        <v>427818</v>
      </c>
    </row>
    <row r="885" spans="1:7" x14ac:dyDescent="0.25">
      <c r="A885" s="1" t="str">
        <f t="shared" si="13"/>
        <v>2</v>
      </c>
      <c r="B8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85" s="1" t="s">
        <v>4995</v>
      </c>
      <c r="D885" s="1" t="s">
        <v>2123</v>
      </c>
      <c r="E885" s="1" t="s">
        <v>4996</v>
      </c>
      <c r="F885" s="1" t="s">
        <v>112</v>
      </c>
      <c r="G885" s="1">
        <v>9647</v>
      </c>
    </row>
    <row r="886" spans="1:7" x14ac:dyDescent="0.25">
      <c r="A886" s="1" t="str">
        <f t="shared" si="13"/>
        <v>2</v>
      </c>
      <c r="B8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86" s="1" t="s">
        <v>4997</v>
      </c>
      <c r="D886" s="1" t="s">
        <v>4998</v>
      </c>
      <c r="E886" s="1" t="s">
        <v>4999</v>
      </c>
      <c r="F886" s="1" t="s">
        <v>112</v>
      </c>
      <c r="G886" s="1">
        <v>563048</v>
      </c>
    </row>
    <row r="887" spans="1:7" x14ac:dyDescent="0.25">
      <c r="A887" s="1" t="str">
        <f t="shared" si="13"/>
        <v>2</v>
      </c>
      <c r="B8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87" s="1" t="s">
        <v>5000</v>
      </c>
      <c r="D887" s="1" t="s">
        <v>147</v>
      </c>
      <c r="E887" s="1" t="s">
        <v>5001</v>
      </c>
      <c r="F887" s="1" t="s">
        <v>112</v>
      </c>
      <c r="G887" s="1">
        <v>186385</v>
      </c>
    </row>
    <row r="888" spans="1:7" x14ac:dyDescent="0.25">
      <c r="A888" s="1" t="str">
        <f t="shared" si="13"/>
        <v>2</v>
      </c>
      <c r="B8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88" s="1" t="s">
        <v>5002</v>
      </c>
      <c r="D888" s="1" t="s">
        <v>5003</v>
      </c>
      <c r="E888" s="1" t="s">
        <v>5004</v>
      </c>
      <c r="F888" s="1" t="s">
        <v>112</v>
      </c>
      <c r="G888" s="1">
        <v>154329</v>
      </c>
    </row>
    <row r="889" spans="1:7" x14ac:dyDescent="0.25">
      <c r="A889" s="1" t="str">
        <f t="shared" si="13"/>
        <v>2</v>
      </c>
      <c r="B8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89" s="1" t="s">
        <v>5005</v>
      </c>
      <c r="D889" s="1" t="s">
        <v>1580</v>
      </c>
      <c r="E889" s="1" t="s">
        <v>5006</v>
      </c>
      <c r="F889" s="1" t="s">
        <v>112</v>
      </c>
      <c r="G889" s="1">
        <v>127551</v>
      </c>
    </row>
    <row r="890" spans="1:7" x14ac:dyDescent="0.25">
      <c r="A890" s="1" t="str">
        <f t="shared" si="13"/>
        <v>2</v>
      </c>
      <c r="B8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90" s="1" t="s">
        <v>5007</v>
      </c>
    </row>
    <row r="891" spans="1:7" x14ac:dyDescent="0.25">
      <c r="A891" s="1" t="str">
        <f t="shared" si="13"/>
        <v>2</v>
      </c>
      <c r="B8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91" s="1" t="s">
        <v>5008</v>
      </c>
      <c r="D891" s="1" t="s">
        <v>4998</v>
      </c>
      <c r="E891" s="1" t="s">
        <v>5009</v>
      </c>
      <c r="F891" s="1" t="s">
        <v>112</v>
      </c>
      <c r="G891" s="1">
        <v>564389</v>
      </c>
    </row>
    <row r="892" spans="1:7" x14ac:dyDescent="0.25">
      <c r="A892" s="1" t="str">
        <f t="shared" si="13"/>
        <v>2</v>
      </c>
      <c r="B8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92" s="1" t="s">
        <v>5010</v>
      </c>
      <c r="D892" s="1" t="s">
        <v>1973</v>
      </c>
      <c r="E892" s="1" t="s">
        <v>5011</v>
      </c>
      <c r="F892" s="1" t="s">
        <v>112</v>
      </c>
      <c r="G892" s="1">
        <v>276495</v>
      </c>
    </row>
    <row r="893" spans="1:7" x14ac:dyDescent="0.25">
      <c r="A893" s="1" t="str">
        <f t="shared" si="13"/>
        <v>2</v>
      </c>
      <c r="B8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93" s="1" t="s">
        <v>5012</v>
      </c>
      <c r="D893" s="1" t="s">
        <v>1704</v>
      </c>
      <c r="E893" s="1" t="s">
        <v>5013</v>
      </c>
      <c r="F893" s="1" t="s">
        <v>112</v>
      </c>
      <c r="G893" s="1">
        <v>239616</v>
      </c>
    </row>
    <row r="894" spans="1:7" x14ac:dyDescent="0.25">
      <c r="A894" s="1" t="str">
        <f t="shared" si="13"/>
        <v>2</v>
      </c>
      <c r="B8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94" s="1" t="s">
        <v>5014</v>
      </c>
      <c r="D894" s="1" t="s">
        <v>5015</v>
      </c>
      <c r="E894" s="1" t="s">
        <v>5016</v>
      </c>
      <c r="F894" s="1" t="s">
        <v>112</v>
      </c>
      <c r="G894" s="1">
        <v>382049</v>
      </c>
    </row>
    <row r="895" spans="1:7" x14ac:dyDescent="0.25">
      <c r="A895" s="1" t="str">
        <f t="shared" si="13"/>
        <v>2</v>
      </c>
      <c r="B8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95" s="1" t="s">
        <v>5017</v>
      </c>
      <c r="D895" s="1" t="s">
        <v>2672</v>
      </c>
      <c r="E895" s="1" t="s">
        <v>5018</v>
      </c>
      <c r="F895" s="1" t="s">
        <v>112</v>
      </c>
      <c r="G895" s="1">
        <v>429180</v>
      </c>
    </row>
    <row r="896" spans="1:7" x14ac:dyDescent="0.25">
      <c r="A896" s="1" t="str">
        <f t="shared" si="13"/>
        <v>2</v>
      </c>
      <c r="B8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96" s="1" t="s">
        <v>5019</v>
      </c>
      <c r="D896" s="1" t="s">
        <v>2003</v>
      </c>
      <c r="E896" s="1" t="s">
        <v>5020</v>
      </c>
      <c r="F896" s="1" t="s">
        <v>112</v>
      </c>
      <c r="G896" s="1">
        <v>110918</v>
      </c>
    </row>
    <row r="897" spans="1:10" x14ac:dyDescent="0.25">
      <c r="A897" s="1" t="str">
        <f t="shared" si="13"/>
        <v>2</v>
      </c>
      <c r="B8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97" s="1" t="s">
        <v>5021</v>
      </c>
      <c r="D897" s="1" t="s">
        <v>5022</v>
      </c>
      <c r="E897" s="1" t="s">
        <v>5023</v>
      </c>
      <c r="F897" s="1" t="s">
        <v>112</v>
      </c>
      <c r="G897" s="1">
        <v>301283</v>
      </c>
    </row>
    <row r="898" spans="1:10" x14ac:dyDescent="0.25">
      <c r="A898" s="1" t="str">
        <f t="shared" ref="A898:A961" si="14">IFERROR(LEFT(RIGHT(C898,LEN(C898)-SEARCH("@",C898)),SEARCH("/",RIGHT(C898,LEN(C898)-SEARCH("@",C898)-1))),"")</f>
        <v>2</v>
      </c>
      <c r="B8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98" s="1" t="s">
        <v>5024</v>
      </c>
      <c r="D898" s="1" t="s">
        <v>5025</v>
      </c>
      <c r="E898" s="1" t="s">
        <v>5026</v>
      </c>
      <c r="F898" s="1" t="s">
        <v>112</v>
      </c>
      <c r="G898" s="1">
        <v>156406</v>
      </c>
    </row>
    <row r="899" spans="1:10" x14ac:dyDescent="0.25">
      <c r="A899" s="1" t="str">
        <f t="shared" si="14"/>
        <v>2</v>
      </c>
      <c r="B8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99" s="1" t="s">
        <v>5027</v>
      </c>
    </row>
    <row r="900" spans="1:10" x14ac:dyDescent="0.25">
      <c r="A900" s="1" t="str">
        <f t="shared" si="14"/>
        <v>2</v>
      </c>
      <c r="B9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900" s="1" t="s">
        <v>5028</v>
      </c>
      <c r="D900" s="1">
        <v>0</v>
      </c>
      <c r="E900" s="1">
        <v>0</v>
      </c>
      <c r="F900" s="1" t="s">
        <v>112</v>
      </c>
      <c r="G900" s="1">
        <v>0</v>
      </c>
    </row>
    <row r="901" spans="1:10" x14ac:dyDescent="0.25">
      <c r="A901" s="1" t="str">
        <f t="shared" si="14"/>
        <v>2</v>
      </c>
      <c r="B9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901" s="1" t="s">
        <v>5029</v>
      </c>
      <c r="D901" s="1" t="s">
        <v>5030</v>
      </c>
      <c r="E901" s="1" t="s">
        <v>5031</v>
      </c>
      <c r="F901" s="1" t="s">
        <v>112</v>
      </c>
      <c r="G901" s="1">
        <v>134430</v>
      </c>
    </row>
    <row r="902" spans="1:10" x14ac:dyDescent="0.25">
      <c r="A902" s="1" t="str">
        <f t="shared" si="14"/>
        <v>2</v>
      </c>
      <c r="B9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902" s="1" t="s">
        <v>5032</v>
      </c>
      <c r="D902" s="1" t="s">
        <v>2126</v>
      </c>
      <c r="E902" s="1" t="s">
        <v>5033</v>
      </c>
      <c r="F902" s="1" t="s">
        <v>112</v>
      </c>
      <c r="G902" s="1">
        <v>186298</v>
      </c>
    </row>
    <row r="903" spans="1:10" x14ac:dyDescent="0.25">
      <c r="A903" s="1" t="str">
        <f t="shared" si="14"/>
        <v>2</v>
      </c>
      <c r="B9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903" s="1" t="s">
        <v>5034</v>
      </c>
      <c r="D903" s="1" t="s">
        <v>5035</v>
      </c>
      <c r="E903" s="1" t="s">
        <v>5036</v>
      </c>
      <c r="F903" s="1" t="s">
        <v>112</v>
      </c>
      <c r="G903" s="1">
        <v>470969</v>
      </c>
    </row>
    <row r="904" spans="1:10" x14ac:dyDescent="0.25">
      <c r="A904" s="1" t="str">
        <f t="shared" si="14"/>
        <v>2</v>
      </c>
      <c r="B9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904" s="1" t="s">
        <v>5037</v>
      </c>
      <c r="D904" s="1" t="s">
        <v>3961</v>
      </c>
      <c r="E904" s="1" t="s">
        <v>5038</v>
      </c>
      <c r="F904" s="1" t="s">
        <v>112</v>
      </c>
      <c r="G904" s="1">
        <v>402576</v>
      </c>
    </row>
    <row r="905" spans="1:10" x14ac:dyDescent="0.25">
      <c r="A905" s="1" t="str">
        <f t="shared" si="14"/>
        <v>2</v>
      </c>
      <c r="B9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905" s="1" t="s">
        <v>5039</v>
      </c>
      <c r="D905" s="1" t="s">
        <v>2015</v>
      </c>
      <c r="E905" s="1" t="s">
        <v>5040</v>
      </c>
      <c r="F905" s="1" t="s">
        <v>112</v>
      </c>
      <c r="G905" s="1">
        <v>315667</v>
      </c>
    </row>
    <row r="906" spans="1:10" x14ac:dyDescent="0.25">
      <c r="A906" s="1" t="str">
        <f t="shared" si="14"/>
        <v>2</v>
      </c>
      <c r="B9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906" s="1" t="s">
        <v>5041</v>
      </c>
      <c r="D906" s="1" t="s">
        <v>1677</v>
      </c>
      <c r="E906" s="1" t="s">
        <v>5042</v>
      </c>
      <c r="F906" s="1" t="s">
        <v>112</v>
      </c>
      <c r="G906" s="1">
        <v>15638</v>
      </c>
    </row>
    <row r="907" spans="1:10" x14ac:dyDescent="0.25">
      <c r="A907" s="1" t="str">
        <f t="shared" si="14"/>
        <v>2</v>
      </c>
      <c r="B9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7" s="1" t="s">
        <v>5043</v>
      </c>
      <c r="D907" s="1" t="s">
        <v>659</v>
      </c>
      <c r="E907" s="1" t="s">
        <v>5044</v>
      </c>
      <c r="F907" s="1" t="s">
        <v>112</v>
      </c>
      <c r="G907" s="1">
        <v>44904</v>
      </c>
    </row>
    <row r="908" spans="1:10" x14ac:dyDescent="0.25">
      <c r="A908" s="1" t="str">
        <f t="shared" si="14"/>
        <v>2</v>
      </c>
      <c r="B9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8" s="1" t="s">
        <v>5045</v>
      </c>
      <c r="D908" s="1" t="s">
        <v>309</v>
      </c>
      <c r="E908" s="1" t="s">
        <v>5046</v>
      </c>
      <c r="F908" s="1" t="s">
        <v>112</v>
      </c>
      <c r="G908" s="1">
        <v>6835</v>
      </c>
    </row>
    <row r="909" spans="1:10" x14ac:dyDescent="0.25">
      <c r="A909" s="1" t="str">
        <f t="shared" si="14"/>
        <v>2</v>
      </c>
      <c r="B9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9" s="1" t="s">
        <v>5047</v>
      </c>
      <c r="D909" s="1" t="s">
        <v>1945</v>
      </c>
      <c r="E909" s="1" t="s">
        <v>5048</v>
      </c>
      <c r="F909" s="1" t="s">
        <v>112</v>
      </c>
      <c r="G909" s="1">
        <v>364594</v>
      </c>
    </row>
    <row r="910" spans="1:10" x14ac:dyDescent="0.25">
      <c r="A910" s="1" t="str">
        <f t="shared" si="14"/>
        <v>2</v>
      </c>
      <c r="B9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0" s="1" t="s">
        <v>5049</v>
      </c>
      <c r="D910" s="1" t="s">
        <v>3969</v>
      </c>
      <c r="E910" s="1" t="s">
        <v>5050</v>
      </c>
      <c r="F910" s="1" t="s">
        <v>112</v>
      </c>
      <c r="G910" s="1">
        <v>187034</v>
      </c>
    </row>
    <row r="911" spans="1:10" x14ac:dyDescent="0.2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11" s="1" t="s">
        <v>112</v>
      </c>
    </row>
    <row r="912" spans="1:10" x14ac:dyDescent="0.2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12" s="1" t="s">
        <v>237</v>
      </c>
      <c r="D912" s="1" t="s">
        <v>112</v>
      </c>
      <c r="E912" s="1" t="s">
        <v>238</v>
      </c>
      <c r="F912" s="1" t="s">
        <v>239</v>
      </c>
      <c r="G912" s="1" t="s">
        <v>240</v>
      </c>
      <c r="H912" s="1" t="s">
        <v>241</v>
      </c>
      <c r="I912" s="1" t="s">
        <v>242</v>
      </c>
      <c r="J912" s="1" t="s">
        <v>243</v>
      </c>
    </row>
    <row r="913" spans="1:10" x14ac:dyDescent="0.25">
      <c r="A913" s="1" t="str">
        <f t="shared" si="14"/>
        <v>2</v>
      </c>
      <c r="B9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13" s="1" t="s">
        <v>5051</v>
      </c>
      <c r="D913" s="1" t="s">
        <v>112</v>
      </c>
      <c r="E913" s="1" t="s">
        <v>5052</v>
      </c>
      <c r="F913" s="1" t="s">
        <v>5053</v>
      </c>
      <c r="G913" s="1" t="s">
        <v>5054</v>
      </c>
      <c r="H913" s="1" t="s">
        <v>5055</v>
      </c>
      <c r="I913" s="1">
        <v>28</v>
      </c>
      <c r="J913" s="1">
        <v>32</v>
      </c>
    </row>
    <row r="914" spans="1:10" x14ac:dyDescent="0.2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14" s="1" t="s">
        <v>112</v>
      </c>
    </row>
    <row r="915" spans="1:10" x14ac:dyDescent="0.2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15" s="1" t="s">
        <v>112</v>
      </c>
    </row>
    <row r="916" spans="1:10" x14ac:dyDescent="0.2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16" s="1" t="s">
        <v>112</v>
      </c>
    </row>
    <row r="917" spans="1:10" x14ac:dyDescent="0.2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17" s="1" t="s">
        <v>112</v>
      </c>
    </row>
    <row r="918" spans="1:10" x14ac:dyDescent="0.2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18" s="1" t="s">
        <v>112</v>
      </c>
    </row>
    <row r="919" spans="1:10" x14ac:dyDescent="0.2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19" s="1" t="s">
        <v>249</v>
      </c>
      <c r="D919" s="1" t="s">
        <v>110</v>
      </c>
      <c r="E919" s="1" t="s">
        <v>111</v>
      </c>
      <c r="F919" s="1" t="s">
        <v>112</v>
      </c>
      <c r="G919" s="1" t="s">
        <v>113</v>
      </c>
    </row>
    <row r="920" spans="1:10" x14ac:dyDescent="0.25">
      <c r="A920" s="1" t="str">
        <f t="shared" si="14"/>
        <v>3</v>
      </c>
      <c r="B9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920" s="1" t="s">
        <v>5056</v>
      </c>
      <c r="D920" s="1" t="s">
        <v>5057</v>
      </c>
      <c r="E920" s="1" t="s">
        <v>5058</v>
      </c>
      <c r="F920" s="1" t="s">
        <v>112</v>
      </c>
      <c r="G920" s="1">
        <v>227763</v>
      </c>
    </row>
    <row r="921" spans="1:10" x14ac:dyDescent="0.25">
      <c r="A921" s="1" t="str">
        <f t="shared" si="14"/>
        <v>3</v>
      </c>
      <c r="B9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921" s="1" t="s">
        <v>5059</v>
      </c>
      <c r="D921" s="1" t="s">
        <v>1025</v>
      </c>
      <c r="E921" s="1" t="s">
        <v>5060</v>
      </c>
      <c r="F921" s="1" t="s">
        <v>112</v>
      </c>
      <c r="G921" s="1">
        <v>280799</v>
      </c>
    </row>
    <row r="922" spans="1:10" x14ac:dyDescent="0.25">
      <c r="A922" s="1" t="str">
        <f t="shared" si="14"/>
        <v>3</v>
      </c>
      <c r="B9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922" s="1" t="s">
        <v>5061</v>
      </c>
      <c r="D922" s="1" t="s">
        <v>2394</v>
      </c>
      <c r="E922" s="1" t="s">
        <v>5062</v>
      </c>
      <c r="F922" s="1" t="s">
        <v>112</v>
      </c>
      <c r="G922" s="1">
        <v>413499</v>
      </c>
    </row>
    <row r="923" spans="1:10" x14ac:dyDescent="0.25">
      <c r="A923" s="1" t="str">
        <f t="shared" si="14"/>
        <v>3</v>
      </c>
      <c r="B9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923" s="1" t="s">
        <v>5063</v>
      </c>
      <c r="D923" s="1" t="s">
        <v>5064</v>
      </c>
      <c r="E923" s="1" t="s">
        <v>5065</v>
      </c>
      <c r="F923" s="1" t="s">
        <v>112</v>
      </c>
      <c r="G923" s="1">
        <v>275846</v>
      </c>
    </row>
    <row r="924" spans="1:10" x14ac:dyDescent="0.25">
      <c r="A924" s="1" t="str">
        <f t="shared" si="14"/>
        <v>3</v>
      </c>
      <c r="B9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924" s="1" t="s">
        <v>5066</v>
      </c>
    </row>
    <row r="925" spans="1:10" x14ac:dyDescent="0.25">
      <c r="A925" s="1" t="str">
        <f t="shared" si="14"/>
        <v>3</v>
      </c>
      <c r="B9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925" s="1" t="s">
        <v>5067</v>
      </c>
      <c r="D925" s="1" t="s">
        <v>1998</v>
      </c>
      <c r="E925" s="1" t="s">
        <v>5068</v>
      </c>
      <c r="F925" s="1" t="s">
        <v>112</v>
      </c>
      <c r="G925" s="1">
        <v>177668</v>
      </c>
    </row>
    <row r="926" spans="1:10" x14ac:dyDescent="0.25">
      <c r="A926" s="1" t="str">
        <f t="shared" si="14"/>
        <v>3</v>
      </c>
      <c r="B9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926" s="1" t="s">
        <v>5069</v>
      </c>
      <c r="D926" s="1" t="s">
        <v>2416</v>
      </c>
      <c r="E926" s="1" t="s">
        <v>5070</v>
      </c>
      <c r="F926" s="1" t="s">
        <v>112</v>
      </c>
      <c r="G926" s="1">
        <v>203905</v>
      </c>
    </row>
    <row r="927" spans="1:10" x14ac:dyDescent="0.25">
      <c r="A927" s="1" t="str">
        <f t="shared" si="14"/>
        <v>3</v>
      </c>
      <c r="B9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927" s="1" t="s">
        <v>5071</v>
      </c>
      <c r="D927" s="1" t="s">
        <v>5072</v>
      </c>
      <c r="E927" s="1" t="s">
        <v>5073</v>
      </c>
      <c r="F927" s="1" t="s">
        <v>112</v>
      </c>
      <c r="G927" s="1">
        <v>228823</v>
      </c>
    </row>
    <row r="928" spans="1:10" x14ac:dyDescent="0.25">
      <c r="A928" s="1" t="str">
        <f t="shared" si="14"/>
        <v>3</v>
      </c>
      <c r="B9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28" s="1" t="s">
        <v>5074</v>
      </c>
      <c r="D928" s="1" t="s">
        <v>5075</v>
      </c>
      <c r="E928" s="1" t="s">
        <v>5076</v>
      </c>
      <c r="F928" s="1" t="s">
        <v>112</v>
      </c>
      <c r="G928" s="1">
        <v>525477</v>
      </c>
    </row>
    <row r="929" spans="1:7" x14ac:dyDescent="0.25">
      <c r="A929" s="1" t="str">
        <f t="shared" si="14"/>
        <v>3</v>
      </c>
      <c r="B9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29" s="1" t="s">
        <v>5077</v>
      </c>
      <c r="D929" s="1" t="s">
        <v>2884</v>
      </c>
      <c r="E929" s="1" t="s">
        <v>5078</v>
      </c>
      <c r="F929" s="1" t="s">
        <v>112</v>
      </c>
      <c r="G929" s="1">
        <v>464589</v>
      </c>
    </row>
    <row r="930" spans="1:7" x14ac:dyDescent="0.25">
      <c r="A930" s="1" t="str">
        <f t="shared" si="14"/>
        <v>3</v>
      </c>
      <c r="B9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30" s="1" t="s">
        <v>5079</v>
      </c>
      <c r="D930" s="1" t="s">
        <v>1070</v>
      </c>
      <c r="E930" s="1" t="s">
        <v>5080</v>
      </c>
      <c r="F930" s="1" t="s">
        <v>112</v>
      </c>
      <c r="G930" s="1">
        <v>337556</v>
      </c>
    </row>
    <row r="931" spans="1:7" x14ac:dyDescent="0.25">
      <c r="A931" s="1" t="str">
        <f t="shared" si="14"/>
        <v>3</v>
      </c>
      <c r="B9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31" s="1" t="s">
        <v>5081</v>
      </c>
      <c r="D931" s="1" t="s">
        <v>5082</v>
      </c>
      <c r="E931" s="1" t="s">
        <v>5083</v>
      </c>
      <c r="F931" s="1" t="s">
        <v>112</v>
      </c>
      <c r="G931" s="1">
        <v>881937</v>
      </c>
    </row>
    <row r="932" spans="1:7" x14ac:dyDescent="0.25">
      <c r="A932" s="1" t="str">
        <f t="shared" si="14"/>
        <v>3</v>
      </c>
      <c r="B9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932" s="1" t="s">
        <v>5084</v>
      </c>
      <c r="D932" s="1" t="s">
        <v>1046</v>
      </c>
      <c r="E932" s="1" t="s">
        <v>3376</v>
      </c>
      <c r="F932" s="1" t="s">
        <v>112</v>
      </c>
      <c r="G932" s="1">
        <v>23706</v>
      </c>
    </row>
    <row r="933" spans="1:7" x14ac:dyDescent="0.25">
      <c r="A933" s="1" t="str">
        <f t="shared" si="14"/>
        <v>3</v>
      </c>
      <c r="B9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933" s="1" t="s">
        <v>5085</v>
      </c>
    </row>
    <row r="934" spans="1:7" x14ac:dyDescent="0.25">
      <c r="A934" s="1" t="str">
        <f t="shared" si="14"/>
        <v>3</v>
      </c>
      <c r="B9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934" s="1" t="s">
        <v>5086</v>
      </c>
    </row>
    <row r="935" spans="1:7" x14ac:dyDescent="0.25">
      <c r="A935" s="1" t="str">
        <f t="shared" si="14"/>
        <v>3</v>
      </c>
      <c r="B9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935" s="1" t="s">
        <v>5087</v>
      </c>
      <c r="D935" s="1" t="s">
        <v>5030</v>
      </c>
      <c r="E935" s="1" t="s">
        <v>5088</v>
      </c>
      <c r="F935" s="1" t="s">
        <v>112</v>
      </c>
      <c r="G935" s="1">
        <v>150414</v>
      </c>
    </row>
    <row r="936" spans="1:7" x14ac:dyDescent="0.25">
      <c r="A936" s="1" t="str">
        <f t="shared" si="14"/>
        <v>3</v>
      </c>
      <c r="B9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936" s="1" t="s">
        <v>5089</v>
      </c>
      <c r="D936" s="1" t="s">
        <v>5090</v>
      </c>
      <c r="E936" s="1" t="s">
        <v>5091</v>
      </c>
      <c r="F936" s="1" t="s">
        <v>112</v>
      </c>
      <c r="G936" s="1">
        <v>404825</v>
      </c>
    </row>
    <row r="937" spans="1:7" x14ac:dyDescent="0.25">
      <c r="A937" s="1" t="str">
        <f t="shared" si="14"/>
        <v>3</v>
      </c>
      <c r="B9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937" s="1" t="s">
        <v>5092</v>
      </c>
      <c r="D937" s="1" t="s">
        <v>2965</v>
      </c>
      <c r="E937" s="1" t="s">
        <v>5093</v>
      </c>
      <c r="F937" s="1" t="s">
        <v>112</v>
      </c>
      <c r="G937" s="1">
        <v>378285</v>
      </c>
    </row>
    <row r="938" spans="1:7" x14ac:dyDescent="0.25">
      <c r="A938" s="1" t="str">
        <f t="shared" si="14"/>
        <v>3</v>
      </c>
      <c r="B9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938" s="1" t="s">
        <v>5094</v>
      </c>
      <c r="D938" s="1" t="s">
        <v>2965</v>
      </c>
      <c r="E938" s="1" t="s">
        <v>5095</v>
      </c>
      <c r="F938" s="1" t="s">
        <v>112</v>
      </c>
      <c r="G938" s="1">
        <v>383736</v>
      </c>
    </row>
    <row r="939" spans="1:7" x14ac:dyDescent="0.25">
      <c r="A939" s="1" t="str">
        <f t="shared" si="14"/>
        <v>3</v>
      </c>
      <c r="B9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939" s="1" t="s">
        <v>5096</v>
      </c>
      <c r="D939" s="1" t="s">
        <v>5097</v>
      </c>
      <c r="E939" s="1" t="s">
        <v>5098</v>
      </c>
      <c r="F939" s="1" t="s">
        <v>112</v>
      </c>
      <c r="G939" s="1">
        <v>600576</v>
      </c>
    </row>
    <row r="940" spans="1:7" x14ac:dyDescent="0.25">
      <c r="A940" s="1" t="str">
        <f t="shared" si="14"/>
        <v>3</v>
      </c>
      <c r="B9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940" s="1" t="s">
        <v>5099</v>
      </c>
      <c r="D940" s="1" t="s">
        <v>5100</v>
      </c>
      <c r="E940" s="1" t="s">
        <v>5101</v>
      </c>
      <c r="F940" s="1" t="s">
        <v>112</v>
      </c>
      <c r="G940" s="1">
        <v>13064</v>
      </c>
    </row>
    <row r="941" spans="1:7" x14ac:dyDescent="0.25">
      <c r="A941" s="1" t="str">
        <f t="shared" si="14"/>
        <v>3</v>
      </c>
      <c r="B9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941" s="1" t="s">
        <v>5102</v>
      </c>
      <c r="D941" s="1" t="s">
        <v>4545</v>
      </c>
      <c r="E941" s="1" t="s">
        <v>5103</v>
      </c>
      <c r="F941" s="1" t="s">
        <v>112</v>
      </c>
      <c r="G941" s="1">
        <v>533631</v>
      </c>
    </row>
    <row r="942" spans="1:7" x14ac:dyDescent="0.25">
      <c r="A942" s="1" t="str">
        <f t="shared" si="14"/>
        <v>3</v>
      </c>
      <c r="B9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942" s="1" t="s">
        <v>5104</v>
      </c>
      <c r="D942" s="1" t="s">
        <v>3837</v>
      </c>
      <c r="E942" s="1" t="s">
        <v>5105</v>
      </c>
      <c r="F942" s="1" t="s">
        <v>112</v>
      </c>
      <c r="G942" s="1">
        <v>420550</v>
      </c>
    </row>
    <row r="943" spans="1:7" x14ac:dyDescent="0.25">
      <c r="A943" s="1" t="str">
        <f t="shared" si="14"/>
        <v>3</v>
      </c>
      <c r="B9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943" s="1" t="s">
        <v>5106</v>
      </c>
      <c r="D943" s="1" t="s">
        <v>5107</v>
      </c>
      <c r="E943" s="1" t="s">
        <v>5108</v>
      </c>
      <c r="F943" s="1" t="s">
        <v>112</v>
      </c>
      <c r="G943" s="1">
        <v>530560</v>
      </c>
    </row>
    <row r="944" spans="1:7" x14ac:dyDescent="0.25">
      <c r="A944" s="1" t="str">
        <f t="shared" si="14"/>
        <v>3</v>
      </c>
      <c r="B9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944" s="1" t="s">
        <v>5109</v>
      </c>
      <c r="D944" s="1" t="s">
        <v>2669</v>
      </c>
      <c r="E944" s="1" t="s">
        <v>5110</v>
      </c>
      <c r="F944" s="1" t="s">
        <v>112</v>
      </c>
      <c r="G944" s="1">
        <v>315234</v>
      </c>
    </row>
    <row r="945" spans="1:10" x14ac:dyDescent="0.25">
      <c r="A945" s="1" t="str">
        <f t="shared" si="14"/>
        <v>3</v>
      </c>
      <c r="B9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945" s="1" t="s">
        <v>5111</v>
      </c>
      <c r="D945" s="1" t="s">
        <v>607</v>
      </c>
      <c r="E945" s="1" t="s">
        <v>5112</v>
      </c>
      <c r="F945" s="1" t="s">
        <v>112</v>
      </c>
      <c r="G945" s="1">
        <v>336323</v>
      </c>
    </row>
    <row r="946" spans="1:10" x14ac:dyDescent="0.25">
      <c r="A946" s="1" t="str">
        <f t="shared" si="14"/>
        <v>3</v>
      </c>
      <c r="B9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946" s="1" t="s">
        <v>5113</v>
      </c>
      <c r="D946" s="1" t="s">
        <v>5114</v>
      </c>
      <c r="E946" s="1" t="s">
        <v>5115</v>
      </c>
      <c r="F946" s="1" t="s">
        <v>112</v>
      </c>
      <c r="G946" s="1">
        <v>229515</v>
      </c>
    </row>
    <row r="947" spans="1:10" x14ac:dyDescent="0.25">
      <c r="A947" s="1" t="str">
        <f t="shared" si="14"/>
        <v>3</v>
      </c>
      <c r="B9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947" s="1" t="s">
        <v>5116</v>
      </c>
      <c r="D947" s="1" t="s">
        <v>3356</v>
      </c>
      <c r="E947" s="1" t="s">
        <v>5117</v>
      </c>
      <c r="F947" s="1" t="s">
        <v>112</v>
      </c>
      <c r="G947" s="1">
        <v>382936</v>
      </c>
    </row>
    <row r="948" spans="1:10" x14ac:dyDescent="0.25">
      <c r="A948" s="1" t="str">
        <f t="shared" si="14"/>
        <v>3</v>
      </c>
      <c r="B9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48" s="1" t="s">
        <v>5118</v>
      </c>
      <c r="D948" s="1" t="s">
        <v>197</v>
      </c>
      <c r="E948" s="1" t="s">
        <v>5119</v>
      </c>
      <c r="F948" s="1" t="s">
        <v>112</v>
      </c>
      <c r="G948" s="1">
        <v>191965</v>
      </c>
    </row>
    <row r="949" spans="1:10" x14ac:dyDescent="0.25">
      <c r="A949" s="1" t="str">
        <f t="shared" si="14"/>
        <v>3</v>
      </c>
      <c r="B9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49" s="1" t="s">
        <v>5120</v>
      </c>
    </row>
    <row r="950" spans="1:10" x14ac:dyDescent="0.25">
      <c r="A950" s="1" t="str">
        <f t="shared" si="14"/>
        <v>3</v>
      </c>
      <c r="B9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50" s="1" t="s">
        <v>5121</v>
      </c>
      <c r="D950" s="1" t="s">
        <v>1838</v>
      </c>
      <c r="E950" s="1" t="s">
        <v>5122</v>
      </c>
      <c r="F950" s="1" t="s">
        <v>112</v>
      </c>
      <c r="G950" s="1">
        <v>209745</v>
      </c>
    </row>
    <row r="951" spans="1:10" x14ac:dyDescent="0.25">
      <c r="A951" s="1" t="str">
        <f t="shared" si="14"/>
        <v>3</v>
      </c>
      <c r="B9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51" s="1" t="s">
        <v>5123</v>
      </c>
      <c r="D951" s="1" t="s">
        <v>5124</v>
      </c>
      <c r="E951" s="1" t="s">
        <v>5125</v>
      </c>
      <c r="F951" s="1" t="s">
        <v>112</v>
      </c>
      <c r="G951" s="1">
        <v>284649</v>
      </c>
    </row>
    <row r="952" spans="1:10" x14ac:dyDescent="0.2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2" s="1" t="s">
        <v>112</v>
      </c>
    </row>
    <row r="953" spans="1:10" x14ac:dyDescent="0.2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3" s="1" t="s">
        <v>237</v>
      </c>
      <c r="D953" s="1" t="s">
        <v>112</v>
      </c>
      <c r="E953" s="1" t="s">
        <v>238</v>
      </c>
      <c r="F953" s="1" t="s">
        <v>239</v>
      </c>
      <c r="G953" s="1" t="s">
        <v>240</v>
      </c>
      <c r="H953" s="1" t="s">
        <v>241</v>
      </c>
      <c r="I953" s="1" t="s">
        <v>242</v>
      </c>
      <c r="J953" s="1" t="s">
        <v>243</v>
      </c>
    </row>
    <row r="954" spans="1:10" x14ac:dyDescent="0.25">
      <c r="A954" s="1" t="str">
        <f t="shared" si="14"/>
        <v>3</v>
      </c>
      <c r="B9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54" s="1" t="s">
        <v>5126</v>
      </c>
      <c r="D954" s="1" t="s">
        <v>112</v>
      </c>
      <c r="E954" s="1" t="s">
        <v>5127</v>
      </c>
      <c r="F954" s="1" t="s">
        <v>5128</v>
      </c>
      <c r="G954" s="1" t="s">
        <v>5129</v>
      </c>
      <c r="H954" s="1" t="s">
        <v>5130</v>
      </c>
      <c r="I954" s="1">
        <v>29</v>
      </c>
      <c r="J954" s="1">
        <v>32</v>
      </c>
    </row>
    <row r="955" spans="1:10" x14ac:dyDescent="0.2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5" s="1" t="s">
        <v>112</v>
      </c>
    </row>
    <row r="956" spans="1:10" x14ac:dyDescent="0.2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6" s="1" t="s">
        <v>112</v>
      </c>
    </row>
    <row r="957" spans="1:10" x14ac:dyDescent="0.2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7" s="1" t="s">
        <v>112</v>
      </c>
    </row>
    <row r="958" spans="1:10" x14ac:dyDescent="0.2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8" s="1" t="s">
        <v>112</v>
      </c>
    </row>
    <row r="959" spans="1:10" x14ac:dyDescent="0.2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9" s="1" t="s">
        <v>112</v>
      </c>
    </row>
    <row r="960" spans="1:10" x14ac:dyDescent="0.2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0" s="1" t="s">
        <v>249</v>
      </c>
      <c r="D960" s="1" t="s">
        <v>110</v>
      </c>
      <c r="E960" s="1" t="s">
        <v>111</v>
      </c>
      <c r="F960" s="1" t="s">
        <v>112</v>
      </c>
      <c r="G960" s="1" t="s">
        <v>113</v>
      </c>
    </row>
    <row r="961" spans="1:7" x14ac:dyDescent="0.25">
      <c r="A961" s="1" t="str">
        <f t="shared" si="14"/>
        <v>4</v>
      </c>
      <c r="B9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961" s="1" t="s">
        <v>5131</v>
      </c>
      <c r="D961" s="1" t="s">
        <v>5132</v>
      </c>
      <c r="E961" s="1" t="s">
        <v>5133</v>
      </c>
      <c r="F961" s="1" t="s">
        <v>112</v>
      </c>
      <c r="G961" s="1">
        <v>358602</v>
      </c>
    </row>
    <row r="962" spans="1:7" x14ac:dyDescent="0.25">
      <c r="A962" s="1" t="str">
        <f t="shared" ref="A962:A1025" si="15">IFERROR(LEFT(RIGHT(C962,LEN(C962)-SEARCH("@",C962)),SEARCH("/",RIGHT(C962,LEN(C962)-SEARCH("@",C962)-1))),"")</f>
        <v>4</v>
      </c>
      <c r="B9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962" s="1" t="s">
        <v>5134</v>
      </c>
      <c r="D962" s="1" t="s">
        <v>3875</v>
      </c>
      <c r="E962" s="1" t="s">
        <v>5135</v>
      </c>
      <c r="F962" s="1" t="s">
        <v>112</v>
      </c>
      <c r="G962" s="1">
        <v>336237</v>
      </c>
    </row>
    <row r="963" spans="1:7" x14ac:dyDescent="0.25">
      <c r="A963" s="1" t="str">
        <f t="shared" si="15"/>
        <v>4</v>
      </c>
      <c r="B9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963" s="1" t="s">
        <v>5136</v>
      </c>
      <c r="D963" s="1" t="s">
        <v>5137</v>
      </c>
      <c r="E963" s="1" t="s">
        <v>5138</v>
      </c>
      <c r="F963" s="1" t="s">
        <v>112</v>
      </c>
      <c r="G963" s="1">
        <v>186904</v>
      </c>
    </row>
    <row r="964" spans="1:7" x14ac:dyDescent="0.25">
      <c r="A964" s="1" t="str">
        <f t="shared" si="15"/>
        <v>4</v>
      </c>
      <c r="B9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964" s="1" t="s">
        <v>5139</v>
      </c>
      <c r="D964" s="1" t="s">
        <v>2422</v>
      </c>
      <c r="E964" s="1" t="s">
        <v>5140</v>
      </c>
      <c r="F964" s="1" t="s">
        <v>112</v>
      </c>
      <c r="G964" s="1">
        <v>314239</v>
      </c>
    </row>
    <row r="965" spans="1:7" x14ac:dyDescent="0.25">
      <c r="A965" s="1" t="str">
        <f t="shared" si="15"/>
        <v>4</v>
      </c>
      <c r="B9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965" s="1" t="s">
        <v>5141</v>
      </c>
      <c r="D965" s="1" t="s">
        <v>622</v>
      </c>
      <c r="E965" s="1" t="s">
        <v>5142</v>
      </c>
      <c r="F965" s="1" t="s">
        <v>112</v>
      </c>
      <c r="G965" s="1">
        <v>326655</v>
      </c>
    </row>
    <row r="966" spans="1:7" x14ac:dyDescent="0.25">
      <c r="A966" s="1" t="str">
        <f t="shared" si="15"/>
        <v>4</v>
      </c>
      <c r="B9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966" s="1" t="s">
        <v>5143</v>
      </c>
      <c r="D966" s="1" t="s">
        <v>3326</v>
      </c>
      <c r="E966" s="1" t="s">
        <v>5144</v>
      </c>
      <c r="F966" s="1" t="s">
        <v>112</v>
      </c>
      <c r="G966" s="1">
        <v>208491</v>
      </c>
    </row>
    <row r="967" spans="1:7" x14ac:dyDescent="0.25">
      <c r="A967" s="1" t="str">
        <f t="shared" si="15"/>
        <v>4</v>
      </c>
      <c r="B9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967" s="1" t="s">
        <v>5145</v>
      </c>
      <c r="D967" s="1" t="s">
        <v>3984</v>
      </c>
      <c r="E967" s="1" t="s">
        <v>5146</v>
      </c>
      <c r="F967" s="1" t="s">
        <v>112</v>
      </c>
      <c r="G967" s="1">
        <v>318565</v>
      </c>
    </row>
    <row r="968" spans="1:7" x14ac:dyDescent="0.25">
      <c r="A968" s="1" t="str">
        <f t="shared" si="15"/>
        <v>4</v>
      </c>
      <c r="B9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968" s="1" t="s">
        <v>5147</v>
      </c>
      <c r="D968" s="1" t="s">
        <v>1025</v>
      </c>
      <c r="E968" s="1" t="s">
        <v>5148</v>
      </c>
      <c r="F968" s="1" t="s">
        <v>112</v>
      </c>
      <c r="G968" s="1">
        <v>290165</v>
      </c>
    </row>
    <row r="969" spans="1:7" x14ac:dyDescent="0.25">
      <c r="A969" s="1" t="str">
        <f t="shared" si="15"/>
        <v>4</v>
      </c>
      <c r="B9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69" s="1" t="s">
        <v>5149</v>
      </c>
      <c r="D969" s="1" t="s">
        <v>5150</v>
      </c>
      <c r="E969" s="1" t="s">
        <v>5151</v>
      </c>
      <c r="F969" s="1" t="s">
        <v>112</v>
      </c>
      <c r="G969" s="1">
        <v>942588</v>
      </c>
    </row>
    <row r="970" spans="1:7" x14ac:dyDescent="0.25">
      <c r="A970" s="1" t="str">
        <f t="shared" si="15"/>
        <v>4</v>
      </c>
      <c r="B9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70" s="1" t="s">
        <v>5152</v>
      </c>
      <c r="D970" s="1" t="s">
        <v>5153</v>
      </c>
      <c r="E970" s="1" t="s">
        <v>5154</v>
      </c>
      <c r="F970" s="1" t="s">
        <v>112</v>
      </c>
      <c r="G970" s="1">
        <v>477804</v>
      </c>
    </row>
    <row r="971" spans="1:7" x14ac:dyDescent="0.25">
      <c r="A971" s="1" t="str">
        <f t="shared" si="15"/>
        <v>4</v>
      </c>
      <c r="B9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71" s="1" t="s">
        <v>5155</v>
      </c>
      <c r="D971" s="1" t="s">
        <v>4440</v>
      </c>
      <c r="E971" s="1" t="s">
        <v>5156</v>
      </c>
      <c r="F971" s="1" t="s">
        <v>112</v>
      </c>
      <c r="G971" s="1">
        <v>599299</v>
      </c>
    </row>
    <row r="972" spans="1:7" x14ac:dyDescent="0.25">
      <c r="A972" s="1" t="str">
        <f t="shared" si="15"/>
        <v>4</v>
      </c>
      <c r="B9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72" s="1" t="s">
        <v>5157</v>
      </c>
      <c r="D972" s="1" t="s">
        <v>5158</v>
      </c>
      <c r="E972" s="1" t="s">
        <v>5159</v>
      </c>
      <c r="F972" s="1" t="s">
        <v>112</v>
      </c>
      <c r="G972" s="1">
        <v>961773</v>
      </c>
    </row>
    <row r="973" spans="1:7" x14ac:dyDescent="0.25">
      <c r="A973" s="1" t="str">
        <f t="shared" si="15"/>
        <v>4</v>
      </c>
      <c r="B9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973" s="1" t="s">
        <v>5160</v>
      </c>
      <c r="D973" s="1" t="s">
        <v>2129</v>
      </c>
      <c r="E973" s="1" t="s">
        <v>5161</v>
      </c>
      <c r="F973" s="1" t="s">
        <v>112</v>
      </c>
      <c r="G973" s="1">
        <v>222442</v>
      </c>
    </row>
    <row r="974" spans="1:7" x14ac:dyDescent="0.25">
      <c r="A974" s="1" t="str">
        <f t="shared" si="15"/>
        <v>4</v>
      </c>
      <c r="B9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974" s="1" t="s">
        <v>5162</v>
      </c>
      <c r="D974" s="1" t="s">
        <v>5163</v>
      </c>
      <c r="E974" s="1" t="s">
        <v>5164</v>
      </c>
      <c r="F974" s="1" t="s">
        <v>112</v>
      </c>
      <c r="G974" s="1">
        <v>156449</v>
      </c>
    </row>
    <row r="975" spans="1:7" x14ac:dyDescent="0.25">
      <c r="A975" s="1" t="str">
        <f t="shared" si="15"/>
        <v>4</v>
      </c>
      <c r="B9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975" s="1" t="s">
        <v>5165</v>
      </c>
      <c r="D975" s="1" t="s">
        <v>1035</v>
      </c>
      <c r="E975" s="1" t="s">
        <v>5166</v>
      </c>
      <c r="F975" s="1" t="s">
        <v>112</v>
      </c>
      <c r="G975" s="1">
        <v>142217</v>
      </c>
    </row>
    <row r="976" spans="1:7" x14ac:dyDescent="0.25">
      <c r="A976" s="1" t="str">
        <f t="shared" si="15"/>
        <v>4</v>
      </c>
      <c r="B9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976" s="1" t="s">
        <v>5167</v>
      </c>
      <c r="D976" s="1" t="s">
        <v>5030</v>
      </c>
      <c r="E976" s="1" t="s">
        <v>5168</v>
      </c>
      <c r="F976" s="1" t="s">
        <v>112</v>
      </c>
      <c r="G976" s="1">
        <v>143817</v>
      </c>
    </row>
    <row r="977" spans="1:7" x14ac:dyDescent="0.25">
      <c r="A977" s="1" t="str">
        <f t="shared" si="15"/>
        <v>4</v>
      </c>
      <c r="B9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977" s="1" t="s">
        <v>5169</v>
      </c>
      <c r="D977" s="1" t="s">
        <v>5170</v>
      </c>
      <c r="E977" s="1" t="s">
        <v>694</v>
      </c>
      <c r="F977" s="1" t="s">
        <v>112</v>
      </c>
      <c r="G977" s="1">
        <v>41118</v>
      </c>
    </row>
    <row r="978" spans="1:7" x14ac:dyDescent="0.25">
      <c r="A978" s="1" t="str">
        <f t="shared" si="15"/>
        <v>4</v>
      </c>
      <c r="B9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978" s="1" t="s">
        <v>5171</v>
      </c>
      <c r="D978" s="1">
        <v>0</v>
      </c>
      <c r="E978" s="1">
        <v>0</v>
      </c>
      <c r="F978" s="1" t="s">
        <v>112</v>
      </c>
      <c r="G978" s="1">
        <v>0</v>
      </c>
    </row>
    <row r="979" spans="1:7" x14ac:dyDescent="0.25">
      <c r="A979" s="1" t="str">
        <f t="shared" si="15"/>
        <v>4</v>
      </c>
      <c r="B9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979" s="1" t="s">
        <v>5172</v>
      </c>
      <c r="D979" s="1" t="s">
        <v>3414</v>
      </c>
      <c r="E979" s="1" t="s">
        <v>5173</v>
      </c>
      <c r="F979" s="1" t="s">
        <v>112</v>
      </c>
      <c r="G979" s="1">
        <v>124242</v>
      </c>
    </row>
    <row r="980" spans="1:7" x14ac:dyDescent="0.25">
      <c r="A980" s="1" t="str">
        <f t="shared" si="15"/>
        <v>4</v>
      </c>
      <c r="B9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980" s="1" t="s">
        <v>5174</v>
      </c>
      <c r="D980" s="1" t="s">
        <v>2364</v>
      </c>
      <c r="E980" s="1" t="s">
        <v>5175</v>
      </c>
      <c r="F980" s="1" t="s">
        <v>112</v>
      </c>
      <c r="G980" s="1">
        <v>59266</v>
      </c>
    </row>
    <row r="981" spans="1:7" x14ac:dyDescent="0.25">
      <c r="A981" s="1" t="str">
        <f t="shared" si="15"/>
        <v>4</v>
      </c>
      <c r="B9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981" s="1" t="s">
        <v>5176</v>
      </c>
      <c r="D981" s="1" t="s">
        <v>5177</v>
      </c>
      <c r="E981" s="1" t="s">
        <v>5178</v>
      </c>
      <c r="F981" s="1" t="s">
        <v>112</v>
      </c>
      <c r="G981" s="1">
        <v>700830</v>
      </c>
    </row>
    <row r="982" spans="1:7" x14ac:dyDescent="0.25">
      <c r="A982" s="1" t="str">
        <f t="shared" si="15"/>
        <v>4</v>
      </c>
      <c r="B9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982" s="1" t="s">
        <v>5179</v>
      </c>
      <c r="D982" s="1" t="s">
        <v>5180</v>
      </c>
      <c r="E982" s="1" t="s">
        <v>5181</v>
      </c>
      <c r="F982" s="1" t="s">
        <v>112</v>
      </c>
      <c r="G982" s="1">
        <v>1174373</v>
      </c>
    </row>
    <row r="983" spans="1:7" x14ac:dyDescent="0.25">
      <c r="A983" s="1" t="str">
        <f t="shared" si="15"/>
        <v>4</v>
      </c>
      <c r="B9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983" s="1" t="s">
        <v>5182</v>
      </c>
      <c r="D983" s="1" t="s">
        <v>5183</v>
      </c>
      <c r="E983" s="1" t="s">
        <v>5184</v>
      </c>
      <c r="F983" s="1" t="s">
        <v>112</v>
      </c>
      <c r="G983" s="1">
        <v>1055604</v>
      </c>
    </row>
    <row r="984" spans="1:7" x14ac:dyDescent="0.25">
      <c r="A984" s="1" t="str">
        <f t="shared" si="15"/>
        <v>4</v>
      </c>
      <c r="B9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984" s="1" t="s">
        <v>5185</v>
      </c>
      <c r="D984" s="1" t="s">
        <v>5186</v>
      </c>
      <c r="E984" s="1" t="s">
        <v>5187</v>
      </c>
      <c r="F984" s="1" t="s">
        <v>112</v>
      </c>
      <c r="G984" s="1">
        <v>1517986</v>
      </c>
    </row>
    <row r="985" spans="1:7" x14ac:dyDescent="0.25">
      <c r="A985" s="1" t="str">
        <f t="shared" si="15"/>
        <v>4</v>
      </c>
      <c r="B9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985" s="1" t="s">
        <v>5188</v>
      </c>
      <c r="D985" s="1" t="s">
        <v>994</v>
      </c>
      <c r="E985" s="1" t="s">
        <v>5189</v>
      </c>
      <c r="F985" s="1" t="s">
        <v>112</v>
      </c>
      <c r="G985" s="1">
        <v>237518</v>
      </c>
    </row>
    <row r="986" spans="1:7" x14ac:dyDescent="0.25">
      <c r="A986" s="1" t="str">
        <f t="shared" si="15"/>
        <v>4</v>
      </c>
      <c r="B9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986" s="1" t="s">
        <v>5190</v>
      </c>
    </row>
    <row r="987" spans="1:7" x14ac:dyDescent="0.25">
      <c r="A987" s="1" t="str">
        <f t="shared" si="15"/>
        <v>4</v>
      </c>
      <c r="B9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987" s="1" t="s">
        <v>5191</v>
      </c>
    </row>
    <row r="988" spans="1:7" x14ac:dyDescent="0.25">
      <c r="A988" s="1" t="str">
        <f t="shared" si="15"/>
        <v>4</v>
      </c>
      <c r="B9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988" s="1" t="s">
        <v>5192</v>
      </c>
      <c r="D988" s="1" t="s">
        <v>549</v>
      </c>
      <c r="E988" s="1">
        <v>30</v>
      </c>
      <c r="F988" s="1" t="s">
        <v>112</v>
      </c>
      <c r="G988" s="1">
        <v>649</v>
      </c>
    </row>
    <row r="989" spans="1:7" x14ac:dyDescent="0.25">
      <c r="A989" s="1" t="str">
        <f t="shared" si="15"/>
        <v>4</v>
      </c>
      <c r="B9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89" s="1" t="s">
        <v>5193</v>
      </c>
      <c r="D989" s="1" t="s">
        <v>5194</v>
      </c>
      <c r="E989" s="1" t="s">
        <v>5195</v>
      </c>
      <c r="F989" s="1" t="s">
        <v>112</v>
      </c>
      <c r="G989" s="1">
        <v>511850</v>
      </c>
    </row>
    <row r="990" spans="1:7" x14ac:dyDescent="0.25">
      <c r="A990" s="1" t="str">
        <f t="shared" si="15"/>
        <v>4</v>
      </c>
      <c r="B9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90" s="1" t="s">
        <v>5196</v>
      </c>
      <c r="D990" s="1" t="s">
        <v>977</v>
      </c>
      <c r="E990" s="1" t="s">
        <v>5197</v>
      </c>
      <c r="F990" s="1" t="s">
        <v>112</v>
      </c>
      <c r="G990" s="1">
        <v>570207</v>
      </c>
    </row>
    <row r="991" spans="1:7" x14ac:dyDescent="0.25">
      <c r="A991" s="1" t="str">
        <f t="shared" si="15"/>
        <v>4</v>
      </c>
      <c r="B9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91" s="1" t="s">
        <v>5198</v>
      </c>
      <c r="D991" s="1" t="s">
        <v>1672</v>
      </c>
      <c r="E991" s="1" t="s">
        <v>5199</v>
      </c>
      <c r="F991" s="1" t="s">
        <v>112</v>
      </c>
      <c r="G991" s="1">
        <v>444754</v>
      </c>
    </row>
    <row r="992" spans="1:7" x14ac:dyDescent="0.25">
      <c r="A992" s="1" t="str">
        <f t="shared" si="15"/>
        <v>4</v>
      </c>
      <c r="B9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92" s="1" t="s">
        <v>5200</v>
      </c>
    </row>
    <row r="993" spans="1:10" x14ac:dyDescent="0.2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3" s="1" t="s">
        <v>112</v>
      </c>
    </row>
    <row r="994" spans="1:10" x14ac:dyDescent="0.2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4" s="1" t="s">
        <v>237</v>
      </c>
      <c r="D994" s="1" t="s">
        <v>112</v>
      </c>
      <c r="E994" s="1" t="s">
        <v>238</v>
      </c>
      <c r="F994" s="1" t="s">
        <v>239</v>
      </c>
      <c r="G994" s="1" t="s">
        <v>240</v>
      </c>
      <c r="H994" s="1" t="s">
        <v>241</v>
      </c>
      <c r="I994" s="1" t="s">
        <v>242</v>
      </c>
      <c r="J994" s="1" t="s">
        <v>243</v>
      </c>
    </row>
    <row r="995" spans="1:10" x14ac:dyDescent="0.25">
      <c r="A995" s="1" t="str">
        <f t="shared" si="15"/>
        <v>4</v>
      </c>
      <c r="B9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95" s="1" t="s">
        <v>5201</v>
      </c>
      <c r="D995" s="1" t="s">
        <v>112</v>
      </c>
      <c r="E995" s="1" t="s">
        <v>5202</v>
      </c>
      <c r="F995" s="1" t="s">
        <v>5203</v>
      </c>
      <c r="G995" s="1" t="s">
        <v>5204</v>
      </c>
      <c r="H995" s="1" t="s">
        <v>5205</v>
      </c>
      <c r="I995" s="1">
        <v>30</v>
      </c>
      <c r="J995" s="1">
        <v>32</v>
      </c>
    </row>
    <row r="996" spans="1:10" x14ac:dyDescent="0.2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6" s="1" t="s">
        <v>112</v>
      </c>
    </row>
    <row r="997" spans="1:10" x14ac:dyDescent="0.2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7" s="1" t="s">
        <v>112</v>
      </c>
    </row>
    <row r="998" spans="1:10" x14ac:dyDescent="0.2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8" s="1" t="s">
        <v>112</v>
      </c>
    </row>
    <row r="999" spans="1:10" x14ac:dyDescent="0.2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9" s="1" t="s">
        <v>112</v>
      </c>
    </row>
    <row r="1000" spans="1:10" x14ac:dyDescent="0.2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0" s="1" t="s">
        <v>112</v>
      </c>
    </row>
    <row r="1001" spans="1:10" x14ac:dyDescent="0.2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1" s="1" t="s">
        <v>249</v>
      </c>
      <c r="D1001" s="1" t="s">
        <v>110</v>
      </c>
      <c r="E1001" s="1" t="s">
        <v>111</v>
      </c>
      <c r="F1001" s="1" t="s">
        <v>112</v>
      </c>
      <c r="G1001" s="1" t="s">
        <v>113</v>
      </c>
    </row>
    <row r="1002" spans="1:10" x14ac:dyDescent="0.25">
      <c r="A1002" s="1" t="str">
        <f t="shared" si="15"/>
        <v>5</v>
      </c>
      <c r="B10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02" s="1" t="s">
        <v>5206</v>
      </c>
      <c r="D1002" s="1" t="s">
        <v>5207</v>
      </c>
      <c r="E1002" s="1" t="s">
        <v>5208</v>
      </c>
      <c r="F1002" s="1" t="s">
        <v>112</v>
      </c>
      <c r="G1002" s="1">
        <v>2648018</v>
      </c>
    </row>
    <row r="1003" spans="1:10" x14ac:dyDescent="0.25">
      <c r="A1003" s="1" t="str">
        <f t="shared" si="15"/>
        <v>5</v>
      </c>
      <c r="B10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03" s="1" t="s">
        <v>5209</v>
      </c>
      <c r="D1003" s="1" t="s">
        <v>5210</v>
      </c>
      <c r="E1003" s="1" t="s">
        <v>5211</v>
      </c>
      <c r="F1003" s="1" t="s">
        <v>112</v>
      </c>
      <c r="G1003" s="1">
        <v>2408337</v>
      </c>
    </row>
    <row r="1004" spans="1:10" x14ac:dyDescent="0.25">
      <c r="A1004" s="1" t="str">
        <f t="shared" si="15"/>
        <v>5</v>
      </c>
      <c r="B10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04" s="1" t="s">
        <v>5212</v>
      </c>
    </row>
    <row r="1005" spans="1:10" x14ac:dyDescent="0.25">
      <c r="A1005" s="1" t="str">
        <f t="shared" si="15"/>
        <v>5</v>
      </c>
      <c r="B10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05" s="1" t="s">
        <v>5213</v>
      </c>
      <c r="D1005" s="1" t="s">
        <v>5214</v>
      </c>
      <c r="E1005" s="1" t="s">
        <v>5215</v>
      </c>
      <c r="F1005" s="1" t="s">
        <v>112</v>
      </c>
      <c r="G1005" s="1">
        <v>1710449</v>
      </c>
    </row>
    <row r="1006" spans="1:10" x14ac:dyDescent="0.25">
      <c r="A1006" s="1" t="str">
        <f t="shared" si="15"/>
        <v>5</v>
      </c>
      <c r="B10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06" s="1" t="s">
        <v>5216</v>
      </c>
      <c r="D1006" s="1" t="s">
        <v>5217</v>
      </c>
      <c r="E1006" s="1" t="s">
        <v>5218</v>
      </c>
      <c r="F1006" s="1" t="s">
        <v>112</v>
      </c>
      <c r="G1006" s="1">
        <v>1481042</v>
      </c>
    </row>
    <row r="1007" spans="1:10" x14ac:dyDescent="0.25">
      <c r="A1007" s="1" t="str">
        <f t="shared" si="15"/>
        <v>5</v>
      </c>
      <c r="B10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07" s="1" t="s">
        <v>5219</v>
      </c>
      <c r="D1007" s="1" t="s">
        <v>5220</v>
      </c>
      <c r="E1007" s="1" t="s">
        <v>5221</v>
      </c>
      <c r="F1007" s="1" t="s">
        <v>112</v>
      </c>
      <c r="G1007" s="1">
        <v>1135721</v>
      </c>
    </row>
    <row r="1008" spans="1:10" x14ac:dyDescent="0.25">
      <c r="A1008" s="1" t="str">
        <f t="shared" si="15"/>
        <v>5</v>
      </c>
      <c r="B10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08" s="1" t="s">
        <v>5222</v>
      </c>
      <c r="D1008" s="1" t="s">
        <v>5223</v>
      </c>
      <c r="E1008" s="1" t="s">
        <v>5224</v>
      </c>
      <c r="F1008" s="1" t="s">
        <v>112</v>
      </c>
      <c r="G1008" s="1">
        <v>1222349</v>
      </c>
    </row>
    <row r="1009" spans="1:7" x14ac:dyDescent="0.25">
      <c r="A1009" s="1" t="str">
        <f t="shared" si="15"/>
        <v>5</v>
      </c>
      <c r="B10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09" s="1" t="s">
        <v>5225</v>
      </c>
      <c r="D1009" s="1" t="s">
        <v>5226</v>
      </c>
      <c r="E1009" s="1" t="s">
        <v>5227</v>
      </c>
      <c r="F1009" s="1" t="s">
        <v>112</v>
      </c>
      <c r="G1009" s="1">
        <v>1717392</v>
      </c>
    </row>
    <row r="1010" spans="1:7" x14ac:dyDescent="0.25">
      <c r="A1010" s="1" t="str">
        <f t="shared" si="15"/>
        <v>5</v>
      </c>
      <c r="B10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10" s="1" t="s">
        <v>5228</v>
      </c>
      <c r="D1010" s="1" t="s">
        <v>5229</v>
      </c>
      <c r="E1010" s="1" t="s">
        <v>5230</v>
      </c>
      <c r="F1010" s="1" t="s">
        <v>112</v>
      </c>
      <c r="G1010" s="1">
        <v>942393</v>
      </c>
    </row>
    <row r="1011" spans="1:7" x14ac:dyDescent="0.25">
      <c r="A1011" s="1" t="str">
        <f t="shared" si="15"/>
        <v>5</v>
      </c>
      <c r="B101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11" s="1" t="s">
        <v>5231</v>
      </c>
      <c r="D1011" s="1" t="s">
        <v>4420</v>
      </c>
      <c r="E1011" s="1" t="s">
        <v>5232</v>
      </c>
      <c r="F1011" s="1" t="s">
        <v>112</v>
      </c>
      <c r="G1011" s="1">
        <v>867337</v>
      </c>
    </row>
    <row r="1012" spans="1:7" x14ac:dyDescent="0.25">
      <c r="A1012" s="1" t="str">
        <f t="shared" si="15"/>
        <v>5</v>
      </c>
      <c r="B101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12" s="1" t="s">
        <v>5233</v>
      </c>
      <c r="D1012" s="1" t="s">
        <v>5234</v>
      </c>
      <c r="E1012" s="1" t="s">
        <v>5235</v>
      </c>
      <c r="F1012" s="1" t="s">
        <v>112</v>
      </c>
      <c r="G1012" s="1">
        <v>1098712</v>
      </c>
    </row>
    <row r="1013" spans="1:7" x14ac:dyDescent="0.25">
      <c r="A1013" s="1" t="str">
        <f t="shared" si="15"/>
        <v>5</v>
      </c>
      <c r="B101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13" s="1" t="s">
        <v>5236</v>
      </c>
      <c r="D1013" s="1" t="s">
        <v>5237</v>
      </c>
      <c r="E1013" s="1" t="s">
        <v>5238</v>
      </c>
      <c r="F1013" s="1" t="s">
        <v>112</v>
      </c>
      <c r="G1013" s="1">
        <v>1138143</v>
      </c>
    </row>
    <row r="1014" spans="1:7" x14ac:dyDescent="0.25">
      <c r="A1014" s="1" t="str">
        <f t="shared" si="15"/>
        <v>5</v>
      </c>
      <c r="B101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014" s="1" t="s">
        <v>5239</v>
      </c>
      <c r="D1014" s="1" t="s">
        <v>5240</v>
      </c>
      <c r="E1014" s="1" t="s">
        <v>5241</v>
      </c>
      <c r="F1014" s="1" t="s">
        <v>112</v>
      </c>
      <c r="G1014" s="1">
        <v>1749664</v>
      </c>
    </row>
    <row r="1015" spans="1:7" x14ac:dyDescent="0.25">
      <c r="A1015" s="1" t="str">
        <f t="shared" si="15"/>
        <v>5</v>
      </c>
      <c r="B101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015" s="1" t="s">
        <v>5242</v>
      </c>
    </row>
    <row r="1016" spans="1:7" x14ac:dyDescent="0.25">
      <c r="A1016" s="1" t="str">
        <f t="shared" si="15"/>
        <v>5</v>
      </c>
      <c r="B101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016" s="1" t="s">
        <v>5243</v>
      </c>
      <c r="D1016" s="1" t="s">
        <v>777</v>
      </c>
      <c r="E1016" s="1" t="s">
        <v>5244</v>
      </c>
      <c r="F1016" s="1" t="s">
        <v>112</v>
      </c>
      <c r="G1016" s="1">
        <v>2032453</v>
      </c>
    </row>
    <row r="1017" spans="1:7" x14ac:dyDescent="0.25">
      <c r="A1017" s="1" t="str">
        <f t="shared" si="15"/>
        <v>5</v>
      </c>
      <c r="B101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017" s="1" t="s">
        <v>5245</v>
      </c>
      <c r="D1017" s="1" t="s">
        <v>5246</v>
      </c>
      <c r="E1017" s="1" t="s">
        <v>5247</v>
      </c>
      <c r="F1017" s="1" t="s">
        <v>112</v>
      </c>
      <c r="G1017" s="1">
        <v>2182045</v>
      </c>
    </row>
    <row r="1018" spans="1:7" x14ac:dyDescent="0.25">
      <c r="A1018" s="1" t="str">
        <f t="shared" si="15"/>
        <v>5</v>
      </c>
      <c r="B101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018" s="1" t="s">
        <v>5248</v>
      </c>
      <c r="D1018" s="1" t="s">
        <v>5249</v>
      </c>
      <c r="E1018" s="1" t="s">
        <v>5250</v>
      </c>
      <c r="F1018" s="1" t="s">
        <v>112</v>
      </c>
      <c r="G1018" s="1">
        <v>2782751</v>
      </c>
    </row>
    <row r="1019" spans="1:7" x14ac:dyDescent="0.25">
      <c r="A1019" s="1" t="str">
        <f t="shared" si="15"/>
        <v>5</v>
      </c>
      <c r="B101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019" s="1" t="s">
        <v>5251</v>
      </c>
      <c r="D1019" s="1" t="s">
        <v>750</v>
      </c>
      <c r="E1019" s="1" t="s">
        <v>5252</v>
      </c>
      <c r="F1019" s="1" t="s">
        <v>112</v>
      </c>
      <c r="G1019" s="1">
        <v>3072894</v>
      </c>
    </row>
    <row r="1020" spans="1:7" x14ac:dyDescent="0.25">
      <c r="A1020" s="1" t="str">
        <f t="shared" si="15"/>
        <v>5</v>
      </c>
      <c r="B102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020" s="1" t="s">
        <v>5253</v>
      </c>
      <c r="D1020" s="1" t="s">
        <v>1344</v>
      </c>
      <c r="E1020" s="1" t="s">
        <v>5254</v>
      </c>
      <c r="F1020" s="1" t="s">
        <v>112</v>
      </c>
      <c r="G1020" s="1">
        <v>2934787</v>
      </c>
    </row>
    <row r="1021" spans="1:7" x14ac:dyDescent="0.25">
      <c r="A1021" s="1" t="str">
        <f t="shared" si="15"/>
        <v>5</v>
      </c>
      <c r="B102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021" s="1" t="s">
        <v>5255</v>
      </c>
      <c r="D1021" s="1" t="s">
        <v>5256</v>
      </c>
      <c r="E1021" s="1" t="s">
        <v>5257</v>
      </c>
      <c r="F1021" s="1" t="s">
        <v>112</v>
      </c>
      <c r="G1021" s="1">
        <v>2580079</v>
      </c>
    </row>
    <row r="1022" spans="1:7" x14ac:dyDescent="0.25">
      <c r="A1022" s="1" t="str">
        <f t="shared" si="15"/>
        <v>5</v>
      </c>
      <c r="B102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022" s="1" t="s">
        <v>5258</v>
      </c>
      <c r="D1022" s="1" t="s">
        <v>5259</v>
      </c>
      <c r="E1022" s="1" t="s">
        <v>5260</v>
      </c>
      <c r="F1022" s="1" t="s">
        <v>112</v>
      </c>
      <c r="G1022" s="1">
        <v>3045619</v>
      </c>
    </row>
    <row r="1023" spans="1:7" x14ac:dyDescent="0.25">
      <c r="A1023" s="1" t="str">
        <f t="shared" si="15"/>
        <v>5</v>
      </c>
      <c r="B102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023" s="1" t="s">
        <v>5261</v>
      </c>
    </row>
    <row r="1024" spans="1:7" x14ac:dyDescent="0.25">
      <c r="A1024" s="1" t="str">
        <f t="shared" si="15"/>
        <v>5</v>
      </c>
      <c r="B102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024" s="1" t="s">
        <v>5262</v>
      </c>
      <c r="D1024" s="1" t="s">
        <v>5263</v>
      </c>
      <c r="E1024" s="1" t="s">
        <v>5264</v>
      </c>
      <c r="F1024" s="1" t="s">
        <v>112</v>
      </c>
      <c r="G1024" s="1">
        <v>3313505</v>
      </c>
    </row>
    <row r="1025" spans="1:10" x14ac:dyDescent="0.25">
      <c r="A1025" s="1" t="str">
        <f t="shared" si="15"/>
        <v>5</v>
      </c>
      <c r="B102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025" s="1" t="s">
        <v>5265</v>
      </c>
      <c r="D1025" s="1" t="s">
        <v>5266</v>
      </c>
      <c r="E1025" s="1" t="s">
        <v>5267</v>
      </c>
      <c r="F1025" s="1" t="s">
        <v>112</v>
      </c>
      <c r="G1025" s="1">
        <v>3202241</v>
      </c>
    </row>
    <row r="1026" spans="1:10" x14ac:dyDescent="0.25">
      <c r="A1026" s="1" t="str">
        <f t="shared" ref="A1026:A1089" si="16">IFERROR(LEFT(RIGHT(C1026,LEN(C1026)-SEARCH("@",C1026)),SEARCH("/",RIGHT(C1026,LEN(C1026)-SEARCH("@",C1026)-1))),"")</f>
        <v>5</v>
      </c>
      <c r="B102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026" s="1" t="s">
        <v>5268</v>
      </c>
      <c r="D1026" s="1" t="s">
        <v>5269</v>
      </c>
      <c r="E1026" s="1" t="s">
        <v>5270</v>
      </c>
      <c r="F1026" s="1" t="s">
        <v>112</v>
      </c>
      <c r="G1026" s="1">
        <v>1124928</v>
      </c>
    </row>
    <row r="1027" spans="1:10" x14ac:dyDescent="0.25">
      <c r="A1027" s="1" t="str">
        <f t="shared" si="16"/>
        <v>5</v>
      </c>
      <c r="B102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027" s="1" t="s">
        <v>5271</v>
      </c>
      <c r="D1027" s="1" t="s">
        <v>5272</v>
      </c>
      <c r="E1027" s="1" t="s">
        <v>5273</v>
      </c>
      <c r="F1027" s="1" t="s">
        <v>112</v>
      </c>
      <c r="G1027" s="1">
        <v>1802981</v>
      </c>
    </row>
    <row r="1028" spans="1:10" x14ac:dyDescent="0.25">
      <c r="A1028" s="1" t="str">
        <f t="shared" si="16"/>
        <v>5</v>
      </c>
      <c r="B102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028" s="1" t="s">
        <v>5274</v>
      </c>
      <c r="D1028" s="1" t="s">
        <v>5275</v>
      </c>
      <c r="E1028" s="1" t="s">
        <v>5276</v>
      </c>
      <c r="F1028" s="1" t="s">
        <v>112</v>
      </c>
      <c r="G1028" s="1">
        <v>1039338</v>
      </c>
    </row>
    <row r="1029" spans="1:10" x14ac:dyDescent="0.25">
      <c r="A1029" s="1" t="str">
        <f t="shared" si="16"/>
        <v>5</v>
      </c>
      <c r="B102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029" s="1" t="s">
        <v>5277</v>
      </c>
      <c r="D1029" s="1" t="s">
        <v>5278</v>
      </c>
      <c r="E1029" s="1" t="s">
        <v>5279</v>
      </c>
      <c r="F1029" s="1" t="s">
        <v>112</v>
      </c>
      <c r="G1029" s="1">
        <v>961860</v>
      </c>
    </row>
    <row r="1030" spans="1:10" x14ac:dyDescent="0.25">
      <c r="A1030" s="1" t="str">
        <f t="shared" si="16"/>
        <v>5</v>
      </c>
      <c r="B103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030" s="1" t="s">
        <v>5280</v>
      </c>
      <c r="D1030" s="1" t="s">
        <v>5281</v>
      </c>
      <c r="E1030" s="1" t="s">
        <v>5282</v>
      </c>
      <c r="F1030" s="1" t="s">
        <v>112</v>
      </c>
      <c r="G1030" s="1">
        <v>1159103</v>
      </c>
    </row>
    <row r="1031" spans="1:10" x14ac:dyDescent="0.25">
      <c r="A1031" s="1" t="str">
        <f t="shared" si="16"/>
        <v>5</v>
      </c>
      <c r="B103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031" s="1" t="s">
        <v>5283</v>
      </c>
      <c r="D1031" s="1" t="s">
        <v>5284</v>
      </c>
      <c r="E1031" s="1" t="s">
        <v>5285</v>
      </c>
      <c r="F1031" s="1" t="s">
        <v>112</v>
      </c>
      <c r="G1031" s="1">
        <v>1326237</v>
      </c>
    </row>
    <row r="1032" spans="1:10" x14ac:dyDescent="0.25">
      <c r="A1032" s="1" t="str">
        <f t="shared" si="16"/>
        <v>5</v>
      </c>
      <c r="B103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032" s="1" t="s">
        <v>5286</v>
      </c>
      <c r="D1032" s="1" t="s">
        <v>5287</v>
      </c>
      <c r="E1032" s="1" t="s">
        <v>5288</v>
      </c>
      <c r="F1032" s="1" t="s">
        <v>112</v>
      </c>
      <c r="G1032" s="1">
        <v>1271319</v>
      </c>
    </row>
    <row r="1033" spans="1:10" x14ac:dyDescent="0.25">
      <c r="A1033" s="1" t="str">
        <f t="shared" si="16"/>
        <v>5</v>
      </c>
      <c r="B103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033" s="1" t="s">
        <v>5289</v>
      </c>
      <c r="D1033" s="1" t="s">
        <v>5290</v>
      </c>
      <c r="E1033" s="1" t="s">
        <v>5291</v>
      </c>
      <c r="F1033" s="1" t="s">
        <v>112</v>
      </c>
      <c r="G1033" s="1">
        <v>1567973</v>
      </c>
    </row>
    <row r="1034" spans="1:10" x14ac:dyDescent="0.2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34" s="1" t="s">
        <v>112</v>
      </c>
    </row>
    <row r="1035" spans="1:10" x14ac:dyDescent="0.2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35" s="1" t="s">
        <v>237</v>
      </c>
      <c r="D1035" s="1" t="s">
        <v>112</v>
      </c>
      <c r="E1035" s="1" t="s">
        <v>238</v>
      </c>
      <c r="F1035" s="1" t="s">
        <v>239</v>
      </c>
      <c r="G1035" s="1" t="s">
        <v>240</v>
      </c>
      <c r="H1035" s="1" t="s">
        <v>241</v>
      </c>
      <c r="I1035" s="1" t="s">
        <v>242</v>
      </c>
      <c r="J1035" s="1" t="s">
        <v>243</v>
      </c>
    </row>
    <row r="1036" spans="1:10" x14ac:dyDescent="0.25">
      <c r="A1036" s="1" t="str">
        <f t="shared" si="16"/>
        <v>5</v>
      </c>
      <c r="B103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036" s="1" t="s">
        <v>5292</v>
      </c>
      <c r="D1036" s="1" t="s">
        <v>112</v>
      </c>
      <c r="E1036" s="1" t="s">
        <v>5293</v>
      </c>
      <c r="F1036" s="1" t="s">
        <v>5294</v>
      </c>
      <c r="G1036" s="1" t="s">
        <v>5295</v>
      </c>
      <c r="H1036" s="1" t="s">
        <v>5296</v>
      </c>
      <c r="I1036" s="1">
        <v>32</v>
      </c>
      <c r="J1036" s="1">
        <v>32</v>
      </c>
    </row>
    <row r="1037" spans="1:10" x14ac:dyDescent="0.2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37" s="1" t="s">
        <v>112</v>
      </c>
    </row>
    <row r="1038" spans="1:10" x14ac:dyDescent="0.2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38" s="1" t="s">
        <v>112</v>
      </c>
    </row>
    <row r="1039" spans="1:10" x14ac:dyDescent="0.2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39" s="1" t="s">
        <v>112</v>
      </c>
    </row>
    <row r="1040" spans="1:10" x14ac:dyDescent="0.2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40" s="1" t="s">
        <v>112</v>
      </c>
    </row>
    <row r="1041" spans="1:7" x14ac:dyDescent="0.2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41" s="1" t="s">
        <v>112</v>
      </c>
    </row>
    <row r="1042" spans="1:7" x14ac:dyDescent="0.2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42" s="1" t="s">
        <v>249</v>
      </c>
      <c r="D1042" s="1" t="s">
        <v>110</v>
      </c>
      <c r="E1042" s="1" t="s">
        <v>111</v>
      </c>
      <c r="F1042" s="1" t="s">
        <v>112</v>
      </c>
      <c r="G1042" s="1" t="s">
        <v>113</v>
      </c>
    </row>
    <row r="1043" spans="1:7" x14ac:dyDescent="0.25">
      <c r="A1043" s="1" t="str">
        <f t="shared" si="16"/>
        <v>6</v>
      </c>
      <c r="B104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43" s="1" t="s">
        <v>5297</v>
      </c>
      <c r="D1043" s="1" t="s">
        <v>5298</v>
      </c>
      <c r="E1043" s="1" t="s">
        <v>5299</v>
      </c>
      <c r="F1043" s="1" t="s">
        <v>112</v>
      </c>
      <c r="G1043" s="1">
        <v>3450228</v>
      </c>
    </row>
    <row r="1044" spans="1:7" x14ac:dyDescent="0.25">
      <c r="A1044" s="1" t="str">
        <f t="shared" si="16"/>
        <v>6</v>
      </c>
      <c r="B104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44" s="1" t="s">
        <v>5300</v>
      </c>
      <c r="D1044" s="1" t="s">
        <v>5301</v>
      </c>
      <c r="E1044" s="1" t="s">
        <v>5302</v>
      </c>
      <c r="F1044" s="1" t="s">
        <v>112</v>
      </c>
      <c r="G1044" s="1">
        <v>3015856</v>
      </c>
    </row>
    <row r="1045" spans="1:7" x14ac:dyDescent="0.25">
      <c r="A1045" s="1" t="str">
        <f t="shared" si="16"/>
        <v>6</v>
      </c>
      <c r="B104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45" s="1" t="s">
        <v>5303</v>
      </c>
      <c r="D1045" s="1" t="s">
        <v>5304</v>
      </c>
      <c r="E1045" s="1" t="s">
        <v>5305</v>
      </c>
      <c r="F1045" s="1" t="s">
        <v>112</v>
      </c>
      <c r="G1045" s="1">
        <v>3074711</v>
      </c>
    </row>
    <row r="1046" spans="1:7" x14ac:dyDescent="0.25">
      <c r="A1046" s="1" t="str">
        <f t="shared" si="16"/>
        <v>6</v>
      </c>
      <c r="B104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46" s="1" t="s">
        <v>5306</v>
      </c>
      <c r="D1046" s="1" t="s">
        <v>5307</v>
      </c>
      <c r="E1046" s="1" t="s">
        <v>5308</v>
      </c>
      <c r="F1046" s="1" t="s">
        <v>112</v>
      </c>
      <c r="G1046" s="1">
        <v>3310326</v>
      </c>
    </row>
    <row r="1047" spans="1:7" x14ac:dyDescent="0.25">
      <c r="A1047" s="1" t="str">
        <f t="shared" si="16"/>
        <v>6</v>
      </c>
      <c r="B104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7" s="1" t="s">
        <v>5309</v>
      </c>
      <c r="D1047" s="1" t="s">
        <v>5310</v>
      </c>
      <c r="E1047" s="1" t="s">
        <v>5311</v>
      </c>
      <c r="F1047" s="1" t="s">
        <v>112</v>
      </c>
      <c r="G1047" s="1">
        <v>3578450</v>
      </c>
    </row>
    <row r="1048" spans="1:7" x14ac:dyDescent="0.25">
      <c r="A1048" s="1" t="str">
        <f t="shared" si="16"/>
        <v>6</v>
      </c>
      <c r="B104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8" s="1" t="s">
        <v>5312</v>
      </c>
    </row>
    <row r="1049" spans="1:7" x14ac:dyDescent="0.25">
      <c r="A1049" s="1" t="str">
        <f t="shared" si="16"/>
        <v>6</v>
      </c>
      <c r="B104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9" s="1" t="s">
        <v>5313</v>
      </c>
      <c r="D1049" s="1" t="s">
        <v>5314</v>
      </c>
      <c r="E1049" s="1" t="s">
        <v>5315</v>
      </c>
      <c r="F1049" s="1" t="s">
        <v>112</v>
      </c>
      <c r="G1049" s="1">
        <v>3013282</v>
      </c>
    </row>
    <row r="1050" spans="1:7" x14ac:dyDescent="0.25">
      <c r="A1050" s="1" t="str">
        <f t="shared" si="16"/>
        <v>6</v>
      </c>
      <c r="B105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0" s="1" t="s">
        <v>5316</v>
      </c>
      <c r="D1050" s="1" t="s">
        <v>5317</v>
      </c>
      <c r="E1050" s="1" t="s">
        <v>5318</v>
      </c>
      <c r="F1050" s="1" t="s">
        <v>112</v>
      </c>
      <c r="G1050" s="1">
        <v>3892732</v>
      </c>
    </row>
    <row r="1051" spans="1:7" x14ac:dyDescent="0.25">
      <c r="A1051" s="1" t="str">
        <f t="shared" si="16"/>
        <v>6</v>
      </c>
      <c r="B105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51" s="1" t="s">
        <v>5319</v>
      </c>
      <c r="D1051" s="1" t="s">
        <v>5320</v>
      </c>
      <c r="E1051" s="1" t="s">
        <v>5321</v>
      </c>
      <c r="F1051" s="1" t="s">
        <v>112</v>
      </c>
      <c r="G1051" s="1">
        <v>3648509</v>
      </c>
    </row>
    <row r="1052" spans="1:7" x14ac:dyDescent="0.25">
      <c r="A1052" s="1" t="str">
        <f t="shared" si="16"/>
        <v>6</v>
      </c>
      <c r="B105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52" s="1" t="s">
        <v>5322</v>
      </c>
      <c r="D1052" s="1" t="s">
        <v>5323</v>
      </c>
      <c r="E1052" s="1" t="s">
        <v>5324</v>
      </c>
      <c r="F1052" s="1" t="s">
        <v>112</v>
      </c>
      <c r="G1052" s="1">
        <v>2975906</v>
      </c>
    </row>
    <row r="1053" spans="1:7" x14ac:dyDescent="0.25">
      <c r="A1053" s="1" t="str">
        <f t="shared" si="16"/>
        <v>6</v>
      </c>
      <c r="B105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53" s="1" t="s">
        <v>5325</v>
      </c>
      <c r="D1053" s="1" t="s">
        <v>892</v>
      </c>
      <c r="E1053" s="1" t="s">
        <v>5326</v>
      </c>
      <c r="F1053" s="1" t="s">
        <v>112</v>
      </c>
      <c r="G1053" s="1">
        <v>3622942</v>
      </c>
    </row>
    <row r="1054" spans="1:7" x14ac:dyDescent="0.25">
      <c r="A1054" s="1" t="str">
        <f t="shared" si="16"/>
        <v>6</v>
      </c>
      <c r="B105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54" s="1" t="s">
        <v>5327</v>
      </c>
      <c r="D1054" s="1" t="s">
        <v>5328</v>
      </c>
      <c r="E1054" s="1" t="s">
        <v>5329</v>
      </c>
      <c r="F1054" s="1" t="s">
        <v>112</v>
      </c>
      <c r="G1054" s="1">
        <v>3664623</v>
      </c>
    </row>
    <row r="1055" spans="1:7" x14ac:dyDescent="0.25">
      <c r="A1055" s="1" t="str">
        <f t="shared" si="16"/>
        <v>6</v>
      </c>
      <c r="B105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055" s="1" t="s">
        <v>5330</v>
      </c>
      <c r="D1055" s="1" t="s">
        <v>5331</v>
      </c>
      <c r="E1055" s="1" t="s">
        <v>5332</v>
      </c>
      <c r="F1055" s="1" t="s">
        <v>112</v>
      </c>
      <c r="G1055" s="1">
        <v>3536877</v>
      </c>
    </row>
    <row r="1056" spans="1:7" x14ac:dyDescent="0.25">
      <c r="A1056" s="1" t="str">
        <f t="shared" si="16"/>
        <v>6</v>
      </c>
      <c r="B105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056" s="1" t="s">
        <v>5333</v>
      </c>
      <c r="D1056" s="1" t="s">
        <v>5334</v>
      </c>
      <c r="E1056" s="1" t="s">
        <v>5335</v>
      </c>
      <c r="F1056" s="1" t="s">
        <v>112</v>
      </c>
      <c r="G1056" s="1">
        <v>3891153</v>
      </c>
    </row>
    <row r="1057" spans="1:7" x14ac:dyDescent="0.25">
      <c r="A1057" s="1" t="str">
        <f t="shared" si="16"/>
        <v>6</v>
      </c>
      <c r="B105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057" s="1" t="s">
        <v>5336</v>
      </c>
      <c r="D1057" s="1" t="s">
        <v>5337</v>
      </c>
      <c r="E1057" s="1" t="s">
        <v>5338</v>
      </c>
      <c r="F1057" s="1" t="s">
        <v>112</v>
      </c>
      <c r="G1057" s="1">
        <v>3244679</v>
      </c>
    </row>
    <row r="1058" spans="1:7" x14ac:dyDescent="0.25">
      <c r="A1058" s="1" t="str">
        <f t="shared" si="16"/>
        <v>6</v>
      </c>
      <c r="B105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058" s="1" t="s">
        <v>5339</v>
      </c>
      <c r="D1058" s="1" t="s">
        <v>5340</v>
      </c>
      <c r="E1058" s="1" t="s">
        <v>5341</v>
      </c>
      <c r="F1058" s="1" t="s">
        <v>112</v>
      </c>
      <c r="G1058" s="1">
        <v>3746298</v>
      </c>
    </row>
    <row r="1059" spans="1:7" x14ac:dyDescent="0.25">
      <c r="A1059" s="1" t="str">
        <f t="shared" si="16"/>
        <v>6</v>
      </c>
      <c r="B105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059" s="1" t="s">
        <v>5342</v>
      </c>
      <c r="D1059" s="1" t="s">
        <v>5343</v>
      </c>
      <c r="E1059" s="1" t="s">
        <v>5344</v>
      </c>
      <c r="F1059" s="1" t="s">
        <v>112</v>
      </c>
      <c r="G1059" s="1">
        <v>3015835</v>
      </c>
    </row>
    <row r="1060" spans="1:7" x14ac:dyDescent="0.25">
      <c r="A1060" s="1" t="str">
        <f t="shared" si="16"/>
        <v>6</v>
      </c>
      <c r="B106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060" s="1" t="s">
        <v>5345</v>
      </c>
      <c r="D1060" s="1" t="s">
        <v>5346</v>
      </c>
      <c r="E1060" s="1" t="s">
        <v>5347</v>
      </c>
      <c r="F1060" s="1" t="s">
        <v>112</v>
      </c>
      <c r="G1060" s="1">
        <v>3082260</v>
      </c>
    </row>
    <row r="1061" spans="1:7" x14ac:dyDescent="0.25">
      <c r="A1061" s="1" t="str">
        <f t="shared" si="16"/>
        <v>6</v>
      </c>
      <c r="B106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061" s="1" t="s">
        <v>5348</v>
      </c>
      <c r="D1061" s="1" t="s">
        <v>5349</v>
      </c>
      <c r="E1061" s="1" t="s">
        <v>5350</v>
      </c>
      <c r="F1061" s="1" t="s">
        <v>112</v>
      </c>
      <c r="G1061" s="1">
        <v>2615508</v>
      </c>
    </row>
    <row r="1062" spans="1:7" x14ac:dyDescent="0.25">
      <c r="A1062" s="1" t="str">
        <f t="shared" si="16"/>
        <v>6</v>
      </c>
      <c r="B106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062" s="1" t="s">
        <v>5351</v>
      </c>
      <c r="D1062" s="1" t="s">
        <v>5352</v>
      </c>
      <c r="E1062" s="1" t="s">
        <v>5353</v>
      </c>
      <c r="F1062" s="1" t="s">
        <v>112</v>
      </c>
      <c r="G1062" s="1">
        <v>2790494</v>
      </c>
    </row>
    <row r="1063" spans="1:7" x14ac:dyDescent="0.25">
      <c r="A1063" s="1" t="str">
        <f t="shared" si="16"/>
        <v>6</v>
      </c>
      <c r="B106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063" s="1" t="s">
        <v>5354</v>
      </c>
      <c r="D1063" s="1" t="s">
        <v>5355</v>
      </c>
      <c r="E1063" s="1" t="s">
        <v>5356</v>
      </c>
      <c r="F1063" s="1" t="s">
        <v>112</v>
      </c>
      <c r="G1063" s="1">
        <v>2449110</v>
      </c>
    </row>
    <row r="1064" spans="1:7" x14ac:dyDescent="0.25">
      <c r="A1064" s="1" t="str">
        <f t="shared" si="16"/>
        <v>6</v>
      </c>
      <c r="B106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064" s="1" t="s">
        <v>5357</v>
      </c>
      <c r="D1064" s="1" t="s">
        <v>5358</v>
      </c>
      <c r="E1064" s="1" t="s">
        <v>5359</v>
      </c>
      <c r="F1064" s="1" t="s">
        <v>112</v>
      </c>
      <c r="G1064" s="1">
        <v>2629806</v>
      </c>
    </row>
    <row r="1065" spans="1:7" x14ac:dyDescent="0.25">
      <c r="A1065" s="1" t="str">
        <f t="shared" si="16"/>
        <v>6</v>
      </c>
      <c r="B106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065" s="1" t="s">
        <v>5360</v>
      </c>
      <c r="D1065" s="1" t="s">
        <v>5361</v>
      </c>
      <c r="E1065" s="1" t="s">
        <v>5362</v>
      </c>
      <c r="F1065" s="1" t="s">
        <v>112</v>
      </c>
      <c r="G1065" s="1">
        <v>3095195</v>
      </c>
    </row>
    <row r="1066" spans="1:7" x14ac:dyDescent="0.25">
      <c r="A1066" s="1" t="str">
        <f t="shared" si="16"/>
        <v>6</v>
      </c>
      <c r="B106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066" s="1" t="s">
        <v>5363</v>
      </c>
      <c r="D1066" s="1" t="s">
        <v>3075</v>
      </c>
      <c r="E1066" s="1" t="s">
        <v>5364</v>
      </c>
      <c r="F1066" s="1" t="s">
        <v>112</v>
      </c>
      <c r="G1066" s="1">
        <v>2893712</v>
      </c>
    </row>
    <row r="1067" spans="1:7" x14ac:dyDescent="0.25">
      <c r="A1067" s="1" t="str">
        <f t="shared" si="16"/>
        <v>6</v>
      </c>
      <c r="B106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067" s="1" t="s">
        <v>5365</v>
      </c>
      <c r="D1067" s="1" t="s">
        <v>5366</v>
      </c>
      <c r="E1067" s="1" t="s">
        <v>5367</v>
      </c>
      <c r="F1067" s="1" t="s">
        <v>112</v>
      </c>
      <c r="G1067" s="1">
        <v>2196083</v>
      </c>
    </row>
    <row r="1068" spans="1:7" x14ac:dyDescent="0.25">
      <c r="A1068" s="1" t="str">
        <f t="shared" si="16"/>
        <v>6</v>
      </c>
      <c r="B106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068" s="1" t="s">
        <v>5368</v>
      </c>
      <c r="D1068" s="1" t="s">
        <v>5369</v>
      </c>
      <c r="E1068" s="1" t="s">
        <v>5370</v>
      </c>
      <c r="F1068" s="1" t="s">
        <v>112</v>
      </c>
      <c r="G1068" s="1">
        <v>2397479</v>
      </c>
    </row>
    <row r="1069" spans="1:7" x14ac:dyDescent="0.25">
      <c r="A1069" s="1" t="str">
        <f t="shared" si="16"/>
        <v>6</v>
      </c>
      <c r="B106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069" s="1" t="s">
        <v>5371</v>
      </c>
      <c r="D1069" s="1" t="s">
        <v>5372</v>
      </c>
      <c r="E1069" s="1" t="s">
        <v>5373</v>
      </c>
      <c r="F1069" s="1" t="s">
        <v>112</v>
      </c>
      <c r="G1069" s="1">
        <v>2852680</v>
      </c>
    </row>
    <row r="1070" spans="1:7" x14ac:dyDescent="0.25">
      <c r="A1070" s="1" t="str">
        <f t="shared" si="16"/>
        <v>6</v>
      </c>
      <c r="B107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070" s="1" t="s">
        <v>5374</v>
      </c>
      <c r="D1070" s="1" t="s">
        <v>5375</v>
      </c>
      <c r="E1070" s="1" t="s">
        <v>5376</v>
      </c>
      <c r="F1070" s="1" t="s">
        <v>112</v>
      </c>
      <c r="G1070" s="1">
        <v>2695712</v>
      </c>
    </row>
    <row r="1071" spans="1:7" x14ac:dyDescent="0.25">
      <c r="A1071" s="1" t="str">
        <f t="shared" si="16"/>
        <v>6</v>
      </c>
      <c r="B107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071" s="1" t="s">
        <v>5377</v>
      </c>
      <c r="D1071" s="1" t="s">
        <v>5378</v>
      </c>
      <c r="E1071" s="1" t="s">
        <v>5379</v>
      </c>
      <c r="F1071" s="1" t="s">
        <v>112</v>
      </c>
      <c r="G1071" s="1">
        <v>967029</v>
      </c>
    </row>
    <row r="1072" spans="1:7" x14ac:dyDescent="0.25">
      <c r="A1072" s="1" t="str">
        <f t="shared" si="16"/>
        <v>6</v>
      </c>
      <c r="B107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072" s="1" t="s">
        <v>5380</v>
      </c>
      <c r="D1072" s="1" t="s">
        <v>5381</v>
      </c>
      <c r="E1072" s="1" t="s">
        <v>5382</v>
      </c>
      <c r="F1072" s="1" t="s">
        <v>112</v>
      </c>
      <c r="G1072" s="1">
        <v>1080110</v>
      </c>
    </row>
    <row r="1073" spans="1:10" x14ac:dyDescent="0.25">
      <c r="A1073" s="1" t="str">
        <f t="shared" si="16"/>
        <v>6</v>
      </c>
      <c r="B107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073" s="1" t="s">
        <v>5383</v>
      </c>
      <c r="D1073" s="1" t="s">
        <v>5384</v>
      </c>
      <c r="E1073" s="1" t="s">
        <v>5385</v>
      </c>
      <c r="F1073" s="1" t="s">
        <v>112</v>
      </c>
      <c r="G1073" s="1">
        <v>1092872</v>
      </c>
    </row>
    <row r="1074" spans="1:10" x14ac:dyDescent="0.25">
      <c r="A1074" s="1" t="str">
        <f t="shared" si="16"/>
        <v>6</v>
      </c>
      <c r="B107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074" s="1" t="s">
        <v>5386</v>
      </c>
      <c r="D1074" s="1" t="s">
        <v>5387</v>
      </c>
      <c r="E1074" s="1" t="s">
        <v>5388</v>
      </c>
      <c r="F1074" s="1" t="s">
        <v>112</v>
      </c>
      <c r="G1074" s="1">
        <v>1709735</v>
      </c>
    </row>
    <row r="1075" spans="1:10" x14ac:dyDescent="0.2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75" s="1" t="s">
        <v>112</v>
      </c>
    </row>
    <row r="1076" spans="1:10" x14ac:dyDescent="0.2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76" s="1" t="s">
        <v>237</v>
      </c>
      <c r="D1076" s="1" t="s">
        <v>112</v>
      </c>
      <c r="E1076" s="1" t="s">
        <v>238</v>
      </c>
      <c r="F1076" s="1" t="s">
        <v>239</v>
      </c>
      <c r="G1076" s="1" t="s">
        <v>240</v>
      </c>
      <c r="H1076" s="1" t="s">
        <v>241</v>
      </c>
      <c r="I1076" s="1" t="s">
        <v>242</v>
      </c>
      <c r="J1076" s="1" t="s">
        <v>243</v>
      </c>
    </row>
    <row r="1077" spans="1:10" x14ac:dyDescent="0.25">
      <c r="A1077" s="1" t="str">
        <f t="shared" si="16"/>
        <v>6</v>
      </c>
      <c r="B107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077" s="1" t="s">
        <v>5389</v>
      </c>
      <c r="D1077" s="1" t="s">
        <v>112</v>
      </c>
      <c r="E1077" s="1" t="s">
        <v>5390</v>
      </c>
      <c r="F1077" s="1" t="s">
        <v>5391</v>
      </c>
      <c r="G1077" s="1" t="s">
        <v>5392</v>
      </c>
      <c r="H1077" s="1" t="s">
        <v>5393</v>
      </c>
      <c r="I1077" s="1">
        <v>32</v>
      </c>
      <c r="J1077" s="1">
        <v>32</v>
      </c>
    </row>
    <row r="1078" spans="1:10" x14ac:dyDescent="0.2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78" s="1" t="s">
        <v>112</v>
      </c>
    </row>
    <row r="1079" spans="1:10" x14ac:dyDescent="0.2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79" s="1" t="s">
        <v>112</v>
      </c>
    </row>
    <row r="1080" spans="1:10" x14ac:dyDescent="0.2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80" s="1" t="s">
        <v>112</v>
      </c>
    </row>
    <row r="1081" spans="1:10" x14ac:dyDescent="0.2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81" s="1" t="s">
        <v>112</v>
      </c>
    </row>
    <row r="1082" spans="1:10" x14ac:dyDescent="0.2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82" s="1" t="s">
        <v>112</v>
      </c>
    </row>
    <row r="1083" spans="1:10" x14ac:dyDescent="0.2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83" s="1" t="s">
        <v>249</v>
      </c>
      <c r="D1083" s="1" t="s">
        <v>110</v>
      </c>
      <c r="E1083" s="1" t="s">
        <v>111</v>
      </c>
      <c r="F1083" s="1" t="s">
        <v>112</v>
      </c>
      <c r="G1083" s="1" t="s">
        <v>113</v>
      </c>
    </row>
    <row r="1084" spans="1:10" x14ac:dyDescent="0.25">
      <c r="A1084" s="1" t="str">
        <f t="shared" si="16"/>
        <v>7</v>
      </c>
      <c r="B108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84" s="1" t="s">
        <v>5394</v>
      </c>
    </row>
    <row r="1085" spans="1:10" x14ac:dyDescent="0.25">
      <c r="A1085" s="1" t="str">
        <f t="shared" si="16"/>
        <v>7</v>
      </c>
      <c r="B108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85" s="1" t="s">
        <v>5395</v>
      </c>
    </row>
    <row r="1086" spans="1:10" x14ac:dyDescent="0.25">
      <c r="A1086" s="1" t="str">
        <f t="shared" si="16"/>
        <v>7</v>
      </c>
      <c r="B108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86" s="1" t="s">
        <v>5396</v>
      </c>
      <c r="D1086" s="1" t="s">
        <v>1920</v>
      </c>
      <c r="E1086" s="1" t="s">
        <v>5397</v>
      </c>
      <c r="F1086" s="1" t="s">
        <v>112</v>
      </c>
      <c r="G1086" s="1">
        <v>4556424</v>
      </c>
    </row>
    <row r="1087" spans="1:10" x14ac:dyDescent="0.25">
      <c r="A1087" s="1" t="str">
        <f t="shared" si="16"/>
        <v>7</v>
      </c>
      <c r="B108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87" s="1" t="s">
        <v>5398</v>
      </c>
    </row>
    <row r="1088" spans="1:10" x14ac:dyDescent="0.25">
      <c r="A1088" s="1" t="str">
        <f t="shared" si="16"/>
        <v>7</v>
      </c>
      <c r="B108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88" s="1" t="s">
        <v>5399</v>
      </c>
      <c r="D1088" s="1" t="s">
        <v>5400</v>
      </c>
      <c r="E1088" s="1" t="s">
        <v>5401</v>
      </c>
      <c r="F1088" s="1" t="s">
        <v>112</v>
      </c>
      <c r="G1088" s="1">
        <v>3553402</v>
      </c>
    </row>
    <row r="1089" spans="1:7" x14ac:dyDescent="0.25">
      <c r="A1089" s="1" t="str">
        <f t="shared" si="16"/>
        <v>7</v>
      </c>
      <c r="B108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89" s="1" t="s">
        <v>5402</v>
      </c>
    </row>
    <row r="1090" spans="1:7" x14ac:dyDescent="0.25">
      <c r="A1090" s="1" t="str">
        <f t="shared" ref="A1090:A1153" si="17">IFERROR(LEFT(RIGHT(C1090,LEN(C1090)-SEARCH("@",C1090)),SEARCH("/",RIGHT(C1090,LEN(C1090)-SEARCH("@",C1090)-1))),"")</f>
        <v>7</v>
      </c>
      <c r="B109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90" s="1" t="s">
        <v>5403</v>
      </c>
    </row>
    <row r="1091" spans="1:7" x14ac:dyDescent="0.25">
      <c r="A1091" s="1" t="str">
        <f t="shared" si="17"/>
        <v>7</v>
      </c>
      <c r="B109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91" s="1" t="s">
        <v>5404</v>
      </c>
    </row>
    <row r="1092" spans="1:7" x14ac:dyDescent="0.25">
      <c r="A1092" s="1" t="str">
        <f t="shared" si="17"/>
        <v>7</v>
      </c>
      <c r="B109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2" s="1" t="s">
        <v>5405</v>
      </c>
      <c r="D1092" s="1" t="s">
        <v>5406</v>
      </c>
      <c r="E1092" s="1" t="s">
        <v>5407</v>
      </c>
      <c r="F1092" s="1" t="s">
        <v>112</v>
      </c>
      <c r="G1092" s="1">
        <v>3819169</v>
      </c>
    </row>
    <row r="1093" spans="1:7" x14ac:dyDescent="0.25">
      <c r="A1093" s="1" t="str">
        <f t="shared" si="17"/>
        <v>7</v>
      </c>
      <c r="B109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3" s="1" t="s">
        <v>5408</v>
      </c>
      <c r="D1093" s="1" t="s">
        <v>5409</v>
      </c>
      <c r="E1093" s="1" t="s">
        <v>5410</v>
      </c>
      <c r="F1093" s="1" t="s">
        <v>112</v>
      </c>
      <c r="G1093" s="1">
        <v>3613187</v>
      </c>
    </row>
    <row r="1094" spans="1:7" x14ac:dyDescent="0.25">
      <c r="A1094" s="1" t="str">
        <f t="shared" si="17"/>
        <v>7</v>
      </c>
      <c r="B109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4" s="1" t="s">
        <v>5411</v>
      </c>
      <c r="D1094" s="1" t="s">
        <v>5412</v>
      </c>
      <c r="E1094" s="1" t="s">
        <v>5413</v>
      </c>
      <c r="F1094" s="1" t="s">
        <v>112</v>
      </c>
      <c r="G1094" s="1">
        <v>4002807</v>
      </c>
    </row>
    <row r="1095" spans="1:7" x14ac:dyDescent="0.25">
      <c r="A1095" s="1" t="str">
        <f t="shared" si="17"/>
        <v>7</v>
      </c>
      <c r="B109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5" s="1" t="s">
        <v>5414</v>
      </c>
      <c r="D1095" s="1" t="s">
        <v>5415</v>
      </c>
      <c r="E1095" s="1" t="s">
        <v>5416</v>
      </c>
      <c r="F1095" s="1" t="s">
        <v>112</v>
      </c>
      <c r="G1095" s="1">
        <v>3330593</v>
      </c>
    </row>
    <row r="1096" spans="1:7" x14ac:dyDescent="0.25">
      <c r="A1096" s="1" t="str">
        <f t="shared" si="17"/>
        <v>7</v>
      </c>
      <c r="B109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096" s="1" t="s">
        <v>5417</v>
      </c>
      <c r="D1096" s="1" t="s">
        <v>5418</v>
      </c>
      <c r="E1096" s="1" t="s">
        <v>5419</v>
      </c>
      <c r="F1096" s="1" t="s">
        <v>112</v>
      </c>
      <c r="G1096" s="1">
        <v>5105996</v>
      </c>
    </row>
    <row r="1097" spans="1:7" x14ac:dyDescent="0.25">
      <c r="A1097" s="1" t="str">
        <f t="shared" si="17"/>
        <v>7</v>
      </c>
      <c r="B109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097" s="1" t="s">
        <v>5420</v>
      </c>
      <c r="D1097" s="1" t="s">
        <v>5421</v>
      </c>
      <c r="E1097" s="1" t="s">
        <v>5422</v>
      </c>
      <c r="F1097" s="1" t="s">
        <v>112</v>
      </c>
      <c r="G1097" s="1">
        <v>5117114</v>
      </c>
    </row>
    <row r="1098" spans="1:7" x14ac:dyDescent="0.25">
      <c r="A1098" s="1" t="str">
        <f t="shared" si="17"/>
        <v>7</v>
      </c>
      <c r="B109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098" s="1" t="s">
        <v>5423</v>
      </c>
      <c r="D1098" s="1" t="s">
        <v>5424</v>
      </c>
      <c r="E1098" s="1" t="s">
        <v>5425</v>
      </c>
      <c r="F1098" s="1" t="s">
        <v>112</v>
      </c>
      <c r="G1098" s="1">
        <v>4206820</v>
      </c>
    </row>
    <row r="1099" spans="1:7" x14ac:dyDescent="0.25">
      <c r="A1099" s="1" t="str">
        <f t="shared" si="17"/>
        <v>7</v>
      </c>
      <c r="B109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099" s="1" t="s">
        <v>5426</v>
      </c>
      <c r="D1099" s="1" t="s">
        <v>5427</v>
      </c>
      <c r="E1099" s="1" t="s">
        <v>5428</v>
      </c>
      <c r="F1099" s="1" t="s">
        <v>112</v>
      </c>
      <c r="G1099" s="1">
        <v>5122500</v>
      </c>
    </row>
    <row r="1100" spans="1:7" x14ac:dyDescent="0.25">
      <c r="A1100" s="1" t="str">
        <f t="shared" si="17"/>
        <v>7</v>
      </c>
      <c r="B110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00" s="1" t="s">
        <v>5429</v>
      </c>
      <c r="D1100" s="1" t="s">
        <v>5430</v>
      </c>
      <c r="E1100" s="1" t="s">
        <v>5431</v>
      </c>
      <c r="F1100" s="1" t="s">
        <v>112</v>
      </c>
      <c r="G1100" s="1">
        <v>3857129</v>
      </c>
    </row>
    <row r="1101" spans="1:7" x14ac:dyDescent="0.25">
      <c r="A1101" s="1" t="str">
        <f t="shared" si="17"/>
        <v>7</v>
      </c>
      <c r="B110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01" s="1" t="s">
        <v>5432</v>
      </c>
      <c r="D1101" s="1" t="s">
        <v>5433</v>
      </c>
      <c r="E1101" s="1" t="s">
        <v>5434</v>
      </c>
      <c r="F1101" s="1" t="s">
        <v>112</v>
      </c>
      <c r="G1101" s="1">
        <v>3623029</v>
      </c>
    </row>
    <row r="1102" spans="1:7" x14ac:dyDescent="0.25">
      <c r="A1102" s="1" t="str">
        <f t="shared" si="17"/>
        <v>7</v>
      </c>
      <c r="B110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02" s="1" t="s">
        <v>5435</v>
      </c>
      <c r="D1102" s="1" t="s">
        <v>5436</v>
      </c>
      <c r="E1102" s="1" t="s">
        <v>5437</v>
      </c>
      <c r="F1102" s="1" t="s">
        <v>112</v>
      </c>
      <c r="G1102" s="1">
        <v>3639100</v>
      </c>
    </row>
    <row r="1103" spans="1:7" x14ac:dyDescent="0.25">
      <c r="A1103" s="1" t="str">
        <f t="shared" si="17"/>
        <v>7</v>
      </c>
      <c r="B110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03" s="1" t="s">
        <v>5438</v>
      </c>
      <c r="D1103" s="1" t="s">
        <v>5439</v>
      </c>
      <c r="E1103" s="1" t="s">
        <v>5440</v>
      </c>
      <c r="F1103" s="1" t="s">
        <v>112</v>
      </c>
      <c r="G1103" s="1">
        <v>4373500</v>
      </c>
    </row>
    <row r="1104" spans="1:7" x14ac:dyDescent="0.25">
      <c r="A1104" s="1" t="str">
        <f t="shared" si="17"/>
        <v>7</v>
      </c>
      <c r="B110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04" s="1" t="s">
        <v>5441</v>
      </c>
      <c r="D1104" s="1" t="s">
        <v>4888</v>
      </c>
      <c r="E1104" s="1" t="s">
        <v>5442</v>
      </c>
      <c r="F1104" s="1" t="s">
        <v>112</v>
      </c>
      <c r="G1104" s="1">
        <v>2889646</v>
      </c>
    </row>
    <row r="1105" spans="1:10" x14ac:dyDescent="0.25">
      <c r="A1105" s="1" t="str">
        <f t="shared" si="17"/>
        <v>7</v>
      </c>
      <c r="B110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05" s="1" t="s">
        <v>5443</v>
      </c>
      <c r="D1105" s="1" t="s">
        <v>5444</v>
      </c>
      <c r="E1105" s="1" t="s">
        <v>5445</v>
      </c>
      <c r="F1105" s="1" t="s">
        <v>112</v>
      </c>
      <c r="G1105" s="1">
        <v>3112542</v>
      </c>
    </row>
    <row r="1106" spans="1:10" x14ac:dyDescent="0.25">
      <c r="A1106" s="1" t="str">
        <f t="shared" si="17"/>
        <v>7</v>
      </c>
      <c r="B110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06" s="1" t="s">
        <v>5446</v>
      </c>
      <c r="D1106" s="1" t="s">
        <v>5447</v>
      </c>
      <c r="E1106" s="1" t="s">
        <v>5448</v>
      </c>
      <c r="F1106" s="1" t="s">
        <v>112</v>
      </c>
      <c r="G1106" s="1">
        <v>3690666</v>
      </c>
    </row>
    <row r="1107" spans="1:10" x14ac:dyDescent="0.25">
      <c r="A1107" s="1" t="str">
        <f t="shared" si="17"/>
        <v>7</v>
      </c>
      <c r="B110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07" s="1" t="s">
        <v>5449</v>
      </c>
      <c r="D1107" s="1" t="s">
        <v>5450</v>
      </c>
      <c r="E1107" s="1" t="s">
        <v>5451</v>
      </c>
      <c r="F1107" s="1" t="s">
        <v>112</v>
      </c>
      <c r="G1107" s="1">
        <v>3374069</v>
      </c>
    </row>
    <row r="1108" spans="1:10" x14ac:dyDescent="0.25">
      <c r="A1108" s="1" t="str">
        <f t="shared" si="17"/>
        <v>7</v>
      </c>
      <c r="B110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08" s="1" t="s">
        <v>5452</v>
      </c>
      <c r="D1108" s="1" t="s">
        <v>5453</v>
      </c>
      <c r="E1108" s="1" t="s">
        <v>5454</v>
      </c>
      <c r="F1108" s="1" t="s">
        <v>112</v>
      </c>
      <c r="G1108" s="1">
        <v>2724761</v>
      </c>
    </row>
    <row r="1109" spans="1:10" x14ac:dyDescent="0.25">
      <c r="A1109" s="1" t="str">
        <f t="shared" si="17"/>
        <v>7</v>
      </c>
      <c r="B110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09" s="1" t="s">
        <v>5455</v>
      </c>
      <c r="D1109" s="1" t="s">
        <v>5456</v>
      </c>
      <c r="E1109" s="1" t="s">
        <v>5457</v>
      </c>
      <c r="F1109" s="1" t="s">
        <v>112</v>
      </c>
      <c r="G1109" s="1">
        <v>3300744</v>
      </c>
    </row>
    <row r="1110" spans="1:10" x14ac:dyDescent="0.25">
      <c r="A1110" s="1" t="str">
        <f t="shared" si="17"/>
        <v>7</v>
      </c>
      <c r="B111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10" s="1" t="s">
        <v>5458</v>
      </c>
      <c r="D1110" s="1" t="s">
        <v>3618</v>
      </c>
      <c r="E1110" s="1" t="s">
        <v>5459</v>
      </c>
      <c r="F1110" s="1" t="s">
        <v>112</v>
      </c>
      <c r="G1110" s="1">
        <v>2769535</v>
      </c>
    </row>
    <row r="1111" spans="1:10" x14ac:dyDescent="0.25">
      <c r="A1111" s="1" t="str">
        <f t="shared" si="17"/>
        <v>7</v>
      </c>
      <c r="B111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11" s="1" t="s">
        <v>5460</v>
      </c>
      <c r="D1111" s="1" t="s">
        <v>5461</v>
      </c>
      <c r="E1111" s="1" t="s">
        <v>5462</v>
      </c>
      <c r="F1111" s="1" t="s">
        <v>112</v>
      </c>
      <c r="G1111" s="1">
        <v>2775699</v>
      </c>
    </row>
    <row r="1112" spans="1:10" x14ac:dyDescent="0.25">
      <c r="A1112" s="1" t="str">
        <f t="shared" si="17"/>
        <v>7</v>
      </c>
      <c r="B111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112" s="1" t="s">
        <v>5463</v>
      </c>
      <c r="D1112" s="1" t="s">
        <v>5464</v>
      </c>
      <c r="E1112" s="1" t="s">
        <v>5465</v>
      </c>
      <c r="F1112" s="1" t="s">
        <v>112</v>
      </c>
      <c r="G1112" s="1">
        <v>4433069</v>
      </c>
    </row>
    <row r="1113" spans="1:10" x14ac:dyDescent="0.25">
      <c r="A1113" s="1" t="str">
        <f t="shared" si="17"/>
        <v>7</v>
      </c>
      <c r="B111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113" s="1" t="s">
        <v>5466</v>
      </c>
      <c r="D1113" s="1" t="s">
        <v>5467</v>
      </c>
      <c r="E1113" s="1" t="s">
        <v>5468</v>
      </c>
      <c r="F1113" s="1" t="s">
        <v>112</v>
      </c>
      <c r="G1113" s="1">
        <v>4617853</v>
      </c>
    </row>
    <row r="1114" spans="1:10" x14ac:dyDescent="0.25">
      <c r="A1114" s="1" t="str">
        <f t="shared" si="17"/>
        <v>7</v>
      </c>
      <c r="B111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114" s="1" t="s">
        <v>5469</v>
      </c>
      <c r="D1114" s="1" t="s">
        <v>5470</v>
      </c>
      <c r="E1114" s="1" t="s">
        <v>5471</v>
      </c>
      <c r="F1114" s="1" t="s">
        <v>112</v>
      </c>
      <c r="G1114" s="1">
        <v>4471656</v>
      </c>
    </row>
    <row r="1115" spans="1:10" x14ac:dyDescent="0.25">
      <c r="A1115" s="1" t="str">
        <f t="shared" si="17"/>
        <v>7</v>
      </c>
      <c r="B111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115" s="1" t="s">
        <v>5472</v>
      </c>
      <c r="D1115" s="1" t="s">
        <v>5473</v>
      </c>
      <c r="E1115" s="1" t="s">
        <v>5474</v>
      </c>
      <c r="F1115" s="1" t="s">
        <v>112</v>
      </c>
      <c r="G1115" s="1">
        <v>5270492</v>
      </c>
    </row>
    <row r="1116" spans="1:10" x14ac:dyDescent="0.2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16" s="1" t="s">
        <v>112</v>
      </c>
    </row>
    <row r="1117" spans="1:10" x14ac:dyDescent="0.2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17" s="1" t="s">
        <v>237</v>
      </c>
      <c r="D1117" s="1" t="s">
        <v>112</v>
      </c>
      <c r="E1117" s="1" t="s">
        <v>238</v>
      </c>
      <c r="F1117" s="1" t="s">
        <v>239</v>
      </c>
      <c r="G1117" s="1" t="s">
        <v>240</v>
      </c>
      <c r="H1117" s="1" t="s">
        <v>241</v>
      </c>
      <c r="I1117" s="1" t="s">
        <v>242</v>
      </c>
      <c r="J1117" s="1" t="s">
        <v>243</v>
      </c>
    </row>
    <row r="1118" spans="1:10" x14ac:dyDescent="0.25">
      <c r="A1118" s="1" t="str">
        <f t="shared" si="17"/>
        <v>7</v>
      </c>
      <c r="B111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118" s="1" t="s">
        <v>5475</v>
      </c>
      <c r="D1118" s="1" t="s">
        <v>112</v>
      </c>
      <c r="E1118" s="1" t="s">
        <v>5476</v>
      </c>
      <c r="F1118" s="1" t="s">
        <v>5477</v>
      </c>
      <c r="G1118" s="1" t="s">
        <v>5478</v>
      </c>
      <c r="H1118" s="1" t="s">
        <v>5479</v>
      </c>
      <c r="I1118" s="1">
        <v>32</v>
      </c>
      <c r="J1118" s="1">
        <v>32</v>
      </c>
    </row>
    <row r="1119" spans="1:10" x14ac:dyDescent="0.2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19" s="1" t="s">
        <v>112</v>
      </c>
    </row>
    <row r="1120" spans="1:10" x14ac:dyDescent="0.2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20" s="1" t="s">
        <v>112</v>
      </c>
    </row>
    <row r="1121" spans="1:7" x14ac:dyDescent="0.2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21" s="1" t="s">
        <v>112</v>
      </c>
    </row>
    <row r="1122" spans="1:7" x14ac:dyDescent="0.2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22" s="1" t="s">
        <v>112</v>
      </c>
    </row>
    <row r="1123" spans="1:7" x14ac:dyDescent="0.2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23" s="1" t="s">
        <v>112</v>
      </c>
    </row>
    <row r="1124" spans="1:7" x14ac:dyDescent="0.2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24" s="1" t="s">
        <v>249</v>
      </c>
      <c r="D1124" s="1" t="s">
        <v>110</v>
      </c>
      <c r="E1124" s="1" t="s">
        <v>111</v>
      </c>
      <c r="F1124" s="1" t="s">
        <v>112</v>
      </c>
      <c r="G1124" s="1" t="s">
        <v>113</v>
      </c>
    </row>
    <row r="1125" spans="1:7" x14ac:dyDescent="0.25">
      <c r="A1125" s="1" t="str">
        <f t="shared" si="17"/>
        <v>10</v>
      </c>
      <c r="B112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125" s="1" t="s">
        <v>5480</v>
      </c>
      <c r="D1125" s="1" t="s">
        <v>2085</v>
      </c>
      <c r="E1125" s="1" t="s">
        <v>5481</v>
      </c>
      <c r="F1125" s="1" t="s">
        <v>112</v>
      </c>
      <c r="G1125" s="1">
        <v>226746</v>
      </c>
    </row>
    <row r="1126" spans="1:7" x14ac:dyDescent="0.25">
      <c r="A1126" s="1" t="str">
        <f t="shared" si="17"/>
        <v>10</v>
      </c>
      <c r="B112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126" s="1" t="s">
        <v>5482</v>
      </c>
      <c r="D1126" s="1" t="s">
        <v>369</v>
      </c>
      <c r="E1126" s="1" t="s">
        <v>5483</v>
      </c>
      <c r="F1126" s="1" t="s">
        <v>112</v>
      </c>
      <c r="G1126" s="1">
        <v>251015</v>
      </c>
    </row>
    <row r="1127" spans="1:7" x14ac:dyDescent="0.25">
      <c r="A1127" s="1" t="str">
        <f t="shared" si="17"/>
        <v>10</v>
      </c>
      <c r="B112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127" s="1" t="s">
        <v>5484</v>
      </c>
      <c r="D1127" s="1" t="s">
        <v>5485</v>
      </c>
      <c r="E1127" s="1">
        <v>38</v>
      </c>
      <c r="F1127" s="1" t="s">
        <v>112</v>
      </c>
      <c r="G1127" s="1">
        <v>216991</v>
      </c>
    </row>
    <row r="1128" spans="1:7" x14ac:dyDescent="0.25">
      <c r="A1128" s="1" t="str">
        <f t="shared" si="17"/>
        <v>10</v>
      </c>
      <c r="B112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128" s="1" t="s">
        <v>5486</v>
      </c>
      <c r="D1128" s="1" t="s">
        <v>5015</v>
      </c>
      <c r="E1128" s="1" t="s">
        <v>5487</v>
      </c>
      <c r="F1128" s="1" t="s">
        <v>112</v>
      </c>
      <c r="G1128" s="1">
        <v>328320</v>
      </c>
    </row>
    <row r="1129" spans="1:7" x14ac:dyDescent="0.25">
      <c r="A1129" s="1" t="str">
        <f t="shared" si="17"/>
        <v>10</v>
      </c>
      <c r="B112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129" s="1" t="s">
        <v>5488</v>
      </c>
      <c r="D1129" s="1" t="s">
        <v>1780</v>
      </c>
      <c r="E1129" s="1" t="s">
        <v>5489</v>
      </c>
      <c r="F1129" s="1" t="s">
        <v>112</v>
      </c>
      <c r="G1129" s="1">
        <v>296892</v>
      </c>
    </row>
    <row r="1130" spans="1:7" x14ac:dyDescent="0.25">
      <c r="A1130" s="1" t="str">
        <f t="shared" si="17"/>
        <v>10</v>
      </c>
      <c r="B113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130" s="1" t="s">
        <v>5490</v>
      </c>
      <c r="D1130" s="1" t="s">
        <v>2478</v>
      </c>
      <c r="E1130" s="1" t="s">
        <v>5491</v>
      </c>
      <c r="F1130" s="1" t="s">
        <v>112</v>
      </c>
      <c r="G1130" s="1">
        <v>365156</v>
      </c>
    </row>
    <row r="1131" spans="1:7" x14ac:dyDescent="0.25">
      <c r="A1131" s="1" t="str">
        <f t="shared" si="17"/>
        <v>10</v>
      </c>
      <c r="B113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131" s="1" t="s">
        <v>5492</v>
      </c>
      <c r="D1131" s="1" t="s">
        <v>3972</v>
      </c>
      <c r="E1131" s="1" t="s">
        <v>5493</v>
      </c>
      <c r="F1131" s="1" t="s">
        <v>112</v>
      </c>
      <c r="G1131" s="1">
        <v>469498</v>
      </c>
    </row>
    <row r="1132" spans="1:7" x14ac:dyDescent="0.25">
      <c r="A1132" s="1" t="str">
        <f t="shared" si="17"/>
        <v>10</v>
      </c>
      <c r="B113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132" s="1" t="s">
        <v>5494</v>
      </c>
      <c r="D1132" s="1" t="s">
        <v>991</v>
      </c>
      <c r="E1132" s="1" t="s">
        <v>5495</v>
      </c>
      <c r="F1132" s="1" t="s">
        <v>112</v>
      </c>
      <c r="G1132" s="1">
        <v>240892</v>
      </c>
    </row>
    <row r="1133" spans="1:7" x14ac:dyDescent="0.25">
      <c r="A1133" s="1" t="str">
        <f t="shared" si="17"/>
        <v>10</v>
      </c>
      <c r="B113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33" s="1" t="s">
        <v>5496</v>
      </c>
      <c r="D1133" s="1" t="s">
        <v>549</v>
      </c>
      <c r="E1133" s="1">
        <v>30</v>
      </c>
      <c r="F1133" s="1" t="s">
        <v>112</v>
      </c>
      <c r="G1133" s="1">
        <v>649</v>
      </c>
    </row>
    <row r="1134" spans="1:7" x14ac:dyDescent="0.25">
      <c r="A1134" s="1" t="str">
        <f t="shared" si="17"/>
        <v>10</v>
      </c>
      <c r="B113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34" s="1" t="s">
        <v>5497</v>
      </c>
      <c r="D1134" s="1" t="s">
        <v>5498</v>
      </c>
      <c r="E1134" s="1" t="s">
        <v>5499</v>
      </c>
      <c r="F1134" s="1" t="s">
        <v>112</v>
      </c>
      <c r="G1134" s="1">
        <v>406231</v>
      </c>
    </row>
    <row r="1135" spans="1:7" x14ac:dyDescent="0.25">
      <c r="A1135" s="1" t="str">
        <f t="shared" si="17"/>
        <v>10</v>
      </c>
      <c r="B113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35" s="1" t="s">
        <v>5500</v>
      </c>
      <c r="D1135" s="1" t="s">
        <v>1105</v>
      </c>
      <c r="E1135" s="1" t="s">
        <v>5501</v>
      </c>
      <c r="F1135" s="1" t="s">
        <v>112</v>
      </c>
      <c r="G1135" s="1">
        <v>362193</v>
      </c>
    </row>
    <row r="1136" spans="1:7" x14ac:dyDescent="0.25">
      <c r="A1136" s="1" t="str">
        <f t="shared" si="17"/>
        <v>10</v>
      </c>
      <c r="B113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36" s="1" t="s">
        <v>5502</v>
      </c>
      <c r="D1136" s="1" t="s">
        <v>5030</v>
      </c>
      <c r="E1136" s="1" t="s">
        <v>5503</v>
      </c>
      <c r="F1136" s="1" t="s">
        <v>112</v>
      </c>
      <c r="G1136" s="1">
        <v>167718</v>
      </c>
    </row>
    <row r="1137" spans="1:7" x14ac:dyDescent="0.25">
      <c r="A1137" s="1" t="str">
        <f t="shared" si="17"/>
        <v>10</v>
      </c>
      <c r="B113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37" s="1" t="s">
        <v>5504</v>
      </c>
      <c r="D1137" s="1" t="s">
        <v>5505</v>
      </c>
      <c r="E1137" s="1" t="s">
        <v>5506</v>
      </c>
      <c r="F1137" s="1" t="s">
        <v>112</v>
      </c>
      <c r="G1137" s="1">
        <v>390398</v>
      </c>
    </row>
    <row r="1138" spans="1:7" x14ac:dyDescent="0.25">
      <c r="A1138" s="1" t="str">
        <f t="shared" si="17"/>
        <v>10</v>
      </c>
      <c r="B113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38" s="1" t="s">
        <v>5507</v>
      </c>
      <c r="D1138" s="1" t="s">
        <v>5035</v>
      </c>
      <c r="E1138" s="1" t="s">
        <v>5508</v>
      </c>
      <c r="F1138" s="1" t="s">
        <v>112</v>
      </c>
      <c r="G1138" s="1">
        <v>516933</v>
      </c>
    </row>
    <row r="1139" spans="1:7" x14ac:dyDescent="0.25">
      <c r="A1139" s="1" t="str">
        <f t="shared" si="17"/>
        <v>10</v>
      </c>
      <c r="B113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39" s="1" t="s">
        <v>5509</v>
      </c>
      <c r="D1139" s="1" t="s">
        <v>5505</v>
      </c>
      <c r="E1139" s="1" t="s">
        <v>5510</v>
      </c>
      <c r="F1139" s="1" t="s">
        <v>112</v>
      </c>
      <c r="G1139" s="1">
        <v>396627</v>
      </c>
    </row>
    <row r="1140" spans="1:7" x14ac:dyDescent="0.25">
      <c r="A1140" s="1" t="str">
        <f t="shared" si="17"/>
        <v>10</v>
      </c>
      <c r="B114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40" s="1" t="s">
        <v>5511</v>
      </c>
      <c r="D1140" s="1" t="s">
        <v>5512</v>
      </c>
      <c r="E1140" s="1" t="s">
        <v>5513</v>
      </c>
      <c r="F1140" s="1" t="s">
        <v>112</v>
      </c>
      <c r="G1140" s="1">
        <v>670440</v>
      </c>
    </row>
    <row r="1141" spans="1:7" x14ac:dyDescent="0.25">
      <c r="A1141" s="1" t="str">
        <f t="shared" si="17"/>
        <v>10</v>
      </c>
      <c r="B114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1" s="1" t="s">
        <v>5514</v>
      </c>
      <c r="D1141" s="1" t="s">
        <v>3356</v>
      </c>
      <c r="E1141" s="1" t="s">
        <v>5515</v>
      </c>
      <c r="F1141" s="1" t="s">
        <v>112</v>
      </c>
      <c r="G1141" s="1">
        <v>378523</v>
      </c>
    </row>
    <row r="1142" spans="1:7" x14ac:dyDescent="0.25">
      <c r="A1142" s="1" t="str">
        <f t="shared" si="17"/>
        <v>10</v>
      </c>
      <c r="B114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2" s="1" t="s">
        <v>5516</v>
      </c>
      <c r="D1142" s="1" t="s">
        <v>5517</v>
      </c>
      <c r="E1142" s="1" t="s">
        <v>5518</v>
      </c>
      <c r="F1142" s="1" t="s">
        <v>112</v>
      </c>
      <c r="G1142" s="1">
        <v>677167</v>
      </c>
    </row>
    <row r="1143" spans="1:7" x14ac:dyDescent="0.25">
      <c r="A1143" s="1" t="str">
        <f t="shared" si="17"/>
        <v>10</v>
      </c>
      <c r="B114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3" s="1" t="s">
        <v>5519</v>
      </c>
      <c r="D1143" s="1" t="s">
        <v>5520</v>
      </c>
      <c r="E1143" s="1" t="s">
        <v>5521</v>
      </c>
      <c r="F1143" s="1" t="s">
        <v>112</v>
      </c>
      <c r="G1143" s="1">
        <v>572024</v>
      </c>
    </row>
    <row r="1144" spans="1:7" x14ac:dyDescent="0.25">
      <c r="A1144" s="1" t="str">
        <f t="shared" si="17"/>
        <v>10</v>
      </c>
      <c r="B114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4" s="1" t="s">
        <v>5522</v>
      </c>
      <c r="D1144" s="1" t="s">
        <v>4093</v>
      </c>
      <c r="E1144" s="1" t="s">
        <v>5523</v>
      </c>
      <c r="F1144" s="1" t="s">
        <v>112</v>
      </c>
      <c r="G1144" s="1">
        <v>414472</v>
      </c>
    </row>
    <row r="1145" spans="1:7" x14ac:dyDescent="0.25">
      <c r="A1145" s="1" t="str">
        <f t="shared" si="17"/>
        <v>10</v>
      </c>
      <c r="B114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45" s="1" t="s">
        <v>5524</v>
      </c>
      <c r="D1145" s="1" t="s">
        <v>4576</v>
      </c>
      <c r="E1145" s="1" t="s">
        <v>5525</v>
      </c>
      <c r="F1145" s="1" t="s">
        <v>112</v>
      </c>
      <c r="G1145" s="1">
        <v>131358</v>
      </c>
    </row>
    <row r="1146" spans="1:7" x14ac:dyDescent="0.25">
      <c r="A1146" s="1" t="str">
        <f t="shared" si="17"/>
        <v>10</v>
      </c>
      <c r="B114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46" s="1" t="s">
        <v>5526</v>
      </c>
      <c r="D1146" s="1" t="s">
        <v>5527</v>
      </c>
      <c r="E1146" s="1" t="s">
        <v>5528</v>
      </c>
      <c r="F1146" s="1" t="s">
        <v>112</v>
      </c>
      <c r="G1146" s="1">
        <v>141460</v>
      </c>
    </row>
    <row r="1147" spans="1:7" x14ac:dyDescent="0.25">
      <c r="A1147" s="1" t="str">
        <f t="shared" si="17"/>
        <v>10</v>
      </c>
      <c r="B114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47" s="1" t="s">
        <v>5529</v>
      </c>
      <c r="D1147" s="1" t="s">
        <v>549</v>
      </c>
      <c r="E1147" s="1">
        <v>30</v>
      </c>
      <c r="F1147" s="1" t="s">
        <v>112</v>
      </c>
      <c r="G1147" s="1">
        <v>649</v>
      </c>
    </row>
    <row r="1148" spans="1:7" x14ac:dyDescent="0.25">
      <c r="A1148" s="1" t="str">
        <f t="shared" si="17"/>
        <v>10</v>
      </c>
      <c r="B114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48" s="1" t="s">
        <v>5530</v>
      </c>
      <c r="D1148" s="1" t="s">
        <v>1506</v>
      </c>
      <c r="E1148" s="1">
        <v>32</v>
      </c>
      <c r="F1148" s="1" t="s">
        <v>112</v>
      </c>
      <c r="G1148" s="1">
        <v>6229</v>
      </c>
    </row>
    <row r="1149" spans="1:7" x14ac:dyDescent="0.25">
      <c r="A1149" s="1" t="str">
        <f t="shared" si="17"/>
        <v>10</v>
      </c>
      <c r="B114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49" s="1" t="s">
        <v>5531</v>
      </c>
      <c r="D1149" s="1" t="s">
        <v>1283</v>
      </c>
      <c r="E1149" s="1" t="s">
        <v>5532</v>
      </c>
      <c r="F1149" s="1" t="s">
        <v>112</v>
      </c>
      <c r="G1149" s="1">
        <v>385748</v>
      </c>
    </row>
    <row r="1150" spans="1:7" x14ac:dyDescent="0.25">
      <c r="A1150" s="1" t="str">
        <f t="shared" si="17"/>
        <v>10</v>
      </c>
      <c r="B115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50" s="1" t="s">
        <v>5533</v>
      </c>
      <c r="D1150" s="1" t="s">
        <v>1978</v>
      </c>
      <c r="E1150" s="1" t="s">
        <v>5534</v>
      </c>
      <c r="F1150" s="1" t="s">
        <v>112</v>
      </c>
      <c r="G1150" s="1">
        <v>153075</v>
      </c>
    </row>
    <row r="1151" spans="1:7" x14ac:dyDescent="0.25">
      <c r="A1151" s="1" t="str">
        <f t="shared" si="17"/>
        <v>10</v>
      </c>
      <c r="B115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51" s="1" t="s">
        <v>5535</v>
      </c>
      <c r="D1151" s="1" t="s">
        <v>1735</v>
      </c>
      <c r="E1151" s="1" t="s">
        <v>5536</v>
      </c>
      <c r="F1151" s="1" t="s">
        <v>112</v>
      </c>
      <c r="G1151" s="1">
        <v>297822</v>
      </c>
    </row>
    <row r="1152" spans="1:7" x14ac:dyDescent="0.25">
      <c r="A1152" s="1" t="str">
        <f t="shared" si="17"/>
        <v>10</v>
      </c>
      <c r="B115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52" s="1" t="s">
        <v>5537</v>
      </c>
      <c r="D1152" s="1" t="s">
        <v>659</v>
      </c>
      <c r="E1152" s="1" t="s">
        <v>5538</v>
      </c>
      <c r="F1152" s="1" t="s">
        <v>112</v>
      </c>
      <c r="G1152" s="1">
        <v>49879</v>
      </c>
    </row>
    <row r="1153" spans="1:10" x14ac:dyDescent="0.25">
      <c r="A1153" s="1" t="str">
        <f t="shared" si="17"/>
        <v>10</v>
      </c>
      <c r="B115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153" s="1" t="s">
        <v>5539</v>
      </c>
      <c r="D1153" s="1" t="s">
        <v>5540</v>
      </c>
      <c r="E1153" s="1" t="s">
        <v>5541</v>
      </c>
      <c r="F1153" s="1" t="s">
        <v>112</v>
      </c>
      <c r="G1153" s="1">
        <v>417219</v>
      </c>
    </row>
    <row r="1154" spans="1:10" x14ac:dyDescent="0.25">
      <c r="A1154" s="1" t="str">
        <f t="shared" ref="A1154:A1217" si="18">IFERROR(LEFT(RIGHT(C1154,LEN(C1154)-SEARCH("@",C1154)),SEARCH("/",RIGHT(C1154,LEN(C1154)-SEARCH("@",C1154)-1))),"")</f>
        <v>10</v>
      </c>
      <c r="B115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154" s="1" t="s">
        <v>5542</v>
      </c>
      <c r="D1154" s="1" t="s">
        <v>1189</v>
      </c>
      <c r="E1154" s="1" t="s">
        <v>5543</v>
      </c>
      <c r="F1154" s="1" t="s">
        <v>112</v>
      </c>
      <c r="G1154" s="1">
        <v>334160</v>
      </c>
    </row>
    <row r="1155" spans="1:10" x14ac:dyDescent="0.25">
      <c r="A1155" s="1" t="str">
        <f t="shared" si="18"/>
        <v>10</v>
      </c>
      <c r="B115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155" s="1" t="s">
        <v>5544</v>
      </c>
    </row>
    <row r="1156" spans="1:10" x14ac:dyDescent="0.25">
      <c r="A1156" s="1" t="str">
        <f t="shared" si="18"/>
        <v>10</v>
      </c>
      <c r="B115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156" s="1" t="s">
        <v>5545</v>
      </c>
      <c r="D1156" s="1" t="s">
        <v>2478</v>
      </c>
      <c r="E1156" s="1" t="s">
        <v>5546</v>
      </c>
      <c r="F1156" s="1" t="s">
        <v>112</v>
      </c>
      <c r="G1156" s="1">
        <v>382200</v>
      </c>
    </row>
    <row r="1157" spans="1:10" x14ac:dyDescent="0.2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57" s="1" t="s">
        <v>112</v>
      </c>
    </row>
    <row r="1158" spans="1:10" x14ac:dyDescent="0.2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58" s="1" t="s">
        <v>237</v>
      </c>
      <c r="D1158" s="1" t="s">
        <v>112</v>
      </c>
      <c r="E1158" s="1" t="s">
        <v>238</v>
      </c>
      <c r="F1158" s="1" t="s">
        <v>239</v>
      </c>
      <c r="G1158" s="1" t="s">
        <v>240</v>
      </c>
      <c r="H1158" s="1" t="s">
        <v>241</v>
      </c>
      <c r="I1158" s="1" t="s">
        <v>242</v>
      </c>
      <c r="J1158" s="1" t="s">
        <v>243</v>
      </c>
    </row>
    <row r="1159" spans="1:10" x14ac:dyDescent="0.25">
      <c r="A1159" s="1" t="str">
        <f t="shared" si="18"/>
        <v>10</v>
      </c>
      <c r="B115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159" s="1" t="s">
        <v>5547</v>
      </c>
      <c r="D1159" s="1" t="s">
        <v>112</v>
      </c>
      <c r="E1159" s="1" t="s">
        <v>5548</v>
      </c>
      <c r="F1159" s="1" t="s">
        <v>5549</v>
      </c>
      <c r="G1159" s="1" t="s">
        <v>5550</v>
      </c>
      <c r="H1159" s="1" t="s">
        <v>5551</v>
      </c>
      <c r="I1159" s="1">
        <v>31</v>
      </c>
      <c r="J1159" s="1">
        <v>32</v>
      </c>
    </row>
    <row r="1160" spans="1:10" x14ac:dyDescent="0.2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60" s="1" t="s">
        <v>112</v>
      </c>
    </row>
    <row r="1161" spans="1:10" x14ac:dyDescent="0.2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61" s="1" t="s">
        <v>112</v>
      </c>
    </row>
    <row r="1162" spans="1:10" x14ac:dyDescent="0.2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62" s="1" t="s">
        <v>112</v>
      </c>
    </row>
    <row r="1163" spans="1:10" x14ac:dyDescent="0.2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63" s="1" t="s">
        <v>112</v>
      </c>
    </row>
    <row r="1164" spans="1:10" x14ac:dyDescent="0.2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64" s="1" t="s">
        <v>112</v>
      </c>
    </row>
    <row r="1165" spans="1:10" x14ac:dyDescent="0.2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65" s="1" t="s">
        <v>249</v>
      </c>
      <c r="D1165" s="1" t="s">
        <v>110</v>
      </c>
      <c r="E1165" s="1" t="s">
        <v>111</v>
      </c>
      <c r="F1165" s="1" t="s">
        <v>112</v>
      </c>
      <c r="G1165" s="1" t="s">
        <v>113</v>
      </c>
    </row>
    <row r="1166" spans="1:10" x14ac:dyDescent="0.25">
      <c r="A1166" s="1" t="str">
        <f t="shared" si="18"/>
        <v>11</v>
      </c>
      <c r="B116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166" s="1" t="s">
        <v>5552</v>
      </c>
      <c r="D1166" s="1" t="s">
        <v>4429</v>
      </c>
      <c r="E1166" s="1" t="s">
        <v>5553</v>
      </c>
      <c r="F1166" s="1" t="s">
        <v>112</v>
      </c>
      <c r="G1166" s="1">
        <v>658457</v>
      </c>
    </row>
    <row r="1167" spans="1:10" x14ac:dyDescent="0.25">
      <c r="A1167" s="1" t="str">
        <f t="shared" si="18"/>
        <v>11</v>
      </c>
      <c r="B116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167" s="1" t="s">
        <v>5554</v>
      </c>
      <c r="D1167" s="1" t="s">
        <v>5555</v>
      </c>
      <c r="E1167" s="1" t="s">
        <v>5556</v>
      </c>
      <c r="F1167" s="1" t="s">
        <v>112</v>
      </c>
      <c r="G1167" s="1">
        <v>634816</v>
      </c>
    </row>
    <row r="1168" spans="1:10" x14ac:dyDescent="0.25">
      <c r="A1168" s="1" t="str">
        <f t="shared" si="18"/>
        <v>11</v>
      </c>
      <c r="B116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168" s="1" t="s">
        <v>5557</v>
      </c>
    </row>
    <row r="1169" spans="1:7" x14ac:dyDescent="0.25">
      <c r="A1169" s="1" t="str">
        <f t="shared" si="18"/>
        <v>11</v>
      </c>
      <c r="B116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169" s="1" t="s">
        <v>5558</v>
      </c>
      <c r="D1169" s="1" t="s">
        <v>5559</v>
      </c>
      <c r="E1169" s="1" t="s">
        <v>5560</v>
      </c>
      <c r="F1169" s="1" t="s">
        <v>112</v>
      </c>
      <c r="G1169" s="1">
        <v>709439</v>
      </c>
    </row>
    <row r="1170" spans="1:7" x14ac:dyDescent="0.25">
      <c r="A1170" s="1" t="str">
        <f t="shared" si="18"/>
        <v>11</v>
      </c>
      <c r="B117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170" s="1" t="s">
        <v>5561</v>
      </c>
    </row>
    <row r="1171" spans="1:7" x14ac:dyDescent="0.25">
      <c r="A1171" s="1" t="str">
        <f t="shared" si="18"/>
        <v>11</v>
      </c>
      <c r="B117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171" s="1" t="s">
        <v>5562</v>
      </c>
    </row>
    <row r="1172" spans="1:7" x14ac:dyDescent="0.25">
      <c r="A1172" s="1" t="str">
        <f t="shared" si="18"/>
        <v>11</v>
      </c>
      <c r="B117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172" s="1" t="s">
        <v>5563</v>
      </c>
    </row>
    <row r="1173" spans="1:7" x14ac:dyDescent="0.25">
      <c r="A1173" s="1" t="str">
        <f t="shared" si="18"/>
        <v>11</v>
      </c>
      <c r="B117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173" s="1" t="s">
        <v>5564</v>
      </c>
    </row>
    <row r="1174" spans="1:7" x14ac:dyDescent="0.25">
      <c r="A1174" s="1" t="str">
        <f t="shared" si="18"/>
        <v>11</v>
      </c>
      <c r="B117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74" s="1" t="s">
        <v>5565</v>
      </c>
      <c r="D1174" s="1" t="s">
        <v>1701</v>
      </c>
      <c r="E1174" s="1" t="s">
        <v>5566</v>
      </c>
      <c r="F1174" s="1" t="s">
        <v>112</v>
      </c>
      <c r="G1174" s="1">
        <v>324232</v>
      </c>
    </row>
    <row r="1175" spans="1:7" x14ac:dyDescent="0.25">
      <c r="A1175" s="1" t="str">
        <f t="shared" si="18"/>
        <v>11</v>
      </c>
      <c r="B117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75" s="1" t="s">
        <v>5567</v>
      </c>
      <c r="D1175" s="1">
        <v>0</v>
      </c>
      <c r="E1175" s="1">
        <v>0</v>
      </c>
      <c r="F1175" s="1" t="s">
        <v>112</v>
      </c>
      <c r="G1175" s="1">
        <v>0</v>
      </c>
    </row>
    <row r="1176" spans="1:7" x14ac:dyDescent="0.25">
      <c r="A1176" s="1" t="str">
        <f t="shared" si="18"/>
        <v>11</v>
      </c>
      <c r="B117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76" s="1" t="s">
        <v>5568</v>
      </c>
      <c r="D1176" s="1" t="s">
        <v>2983</v>
      </c>
      <c r="E1176" s="1" t="s">
        <v>5569</v>
      </c>
      <c r="F1176" s="1" t="s">
        <v>112</v>
      </c>
      <c r="G1176" s="1">
        <v>427947</v>
      </c>
    </row>
    <row r="1177" spans="1:7" x14ac:dyDescent="0.25">
      <c r="A1177" s="1" t="str">
        <f t="shared" si="18"/>
        <v>11</v>
      </c>
      <c r="B117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77" s="1" t="s">
        <v>5570</v>
      </c>
      <c r="D1177" s="1" t="s">
        <v>3993</v>
      </c>
      <c r="E1177" s="1" t="s">
        <v>5571</v>
      </c>
      <c r="F1177" s="1" t="s">
        <v>112</v>
      </c>
      <c r="G1177" s="1">
        <v>492794</v>
      </c>
    </row>
    <row r="1178" spans="1:7" x14ac:dyDescent="0.25">
      <c r="A1178" s="1" t="str">
        <f t="shared" si="18"/>
        <v>11</v>
      </c>
      <c r="B117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78" s="1" t="s">
        <v>5572</v>
      </c>
      <c r="D1178" s="1" t="s">
        <v>363</v>
      </c>
      <c r="E1178" s="1" t="s">
        <v>5573</v>
      </c>
      <c r="F1178" s="1" t="s">
        <v>112</v>
      </c>
      <c r="G1178" s="1">
        <v>720859</v>
      </c>
    </row>
    <row r="1179" spans="1:7" x14ac:dyDescent="0.25">
      <c r="A1179" s="1" t="str">
        <f t="shared" si="18"/>
        <v>11</v>
      </c>
      <c r="B117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79" s="1" t="s">
        <v>5574</v>
      </c>
      <c r="D1179" s="1" t="s">
        <v>4368</v>
      </c>
      <c r="E1179" s="1" t="s">
        <v>5575</v>
      </c>
      <c r="F1179" s="1" t="s">
        <v>112</v>
      </c>
      <c r="G1179" s="1">
        <v>586170</v>
      </c>
    </row>
    <row r="1180" spans="1:7" x14ac:dyDescent="0.25">
      <c r="A1180" s="1" t="str">
        <f t="shared" si="18"/>
        <v>11</v>
      </c>
      <c r="B118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80" s="1" t="s">
        <v>5576</v>
      </c>
    </row>
    <row r="1181" spans="1:7" x14ac:dyDescent="0.25">
      <c r="A1181" s="1" t="str">
        <f t="shared" si="18"/>
        <v>11</v>
      </c>
      <c r="B118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81" s="1" t="s">
        <v>5577</v>
      </c>
      <c r="D1181" s="1" t="s">
        <v>5578</v>
      </c>
      <c r="E1181" s="1" t="s">
        <v>5579</v>
      </c>
      <c r="F1181" s="1" t="s">
        <v>112</v>
      </c>
      <c r="G1181" s="1">
        <v>444343</v>
      </c>
    </row>
    <row r="1182" spans="1:7" x14ac:dyDescent="0.25">
      <c r="A1182" s="1" t="str">
        <f t="shared" si="18"/>
        <v>11</v>
      </c>
      <c r="B118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82" s="1" t="s">
        <v>5580</v>
      </c>
      <c r="D1182" s="1" t="s">
        <v>4917</v>
      </c>
      <c r="E1182" s="1" t="s">
        <v>5581</v>
      </c>
      <c r="F1182" s="1" t="s">
        <v>112</v>
      </c>
      <c r="G1182" s="1">
        <v>526407</v>
      </c>
    </row>
    <row r="1183" spans="1:7" x14ac:dyDescent="0.25">
      <c r="A1183" s="1" t="str">
        <f t="shared" si="18"/>
        <v>11</v>
      </c>
      <c r="B118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83" s="1" t="s">
        <v>5582</v>
      </c>
      <c r="D1183" s="1" t="s">
        <v>4944</v>
      </c>
      <c r="E1183" s="1" t="s">
        <v>5583</v>
      </c>
      <c r="F1183" s="1" t="s">
        <v>112</v>
      </c>
      <c r="G1183" s="1">
        <v>522492</v>
      </c>
    </row>
    <row r="1184" spans="1:7" x14ac:dyDescent="0.25">
      <c r="A1184" s="1" t="str">
        <f t="shared" si="18"/>
        <v>11</v>
      </c>
      <c r="B118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84" s="1" t="s">
        <v>5584</v>
      </c>
      <c r="D1184" s="1" t="s">
        <v>3972</v>
      </c>
      <c r="E1184" s="1" t="s">
        <v>5585</v>
      </c>
      <c r="F1184" s="1" t="s">
        <v>112</v>
      </c>
      <c r="G1184" s="1">
        <v>481741</v>
      </c>
    </row>
    <row r="1185" spans="1:10" x14ac:dyDescent="0.25">
      <c r="A1185" s="1" t="str">
        <f t="shared" si="18"/>
        <v>11</v>
      </c>
      <c r="B118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85" s="1" t="s">
        <v>5586</v>
      </c>
      <c r="D1185" s="1" t="s">
        <v>1102</v>
      </c>
      <c r="E1185" s="1" t="s">
        <v>5587</v>
      </c>
      <c r="F1185" s="1" t="s">
        <v>112</v>
      </c>
      <c r="G1185" s="1">
        <v>384580</v>
      </c>
    </row>
    <row r="1186" spans="1:10" x14ac:dyDescent="0.25">
      <c r="A1186" s="1" t="str">
        <f t="shared" si="18"/>
        <v>11</v>
      </c>
      <c r="B118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6" s="1" t="s">
        <v>5588</v>
      </c>
      <c r="D1186" s="1" t="s">
        <v>4651</v>
      </c>
      <c r="E1186" s="1" t="s">
        <v>5589</v>
      </c>
      <c r="F1186" s="1" t="s">
        <v>112</v>
      </c>
      <c r="G1186" s="1">
        <v>525585</v>
      </c>
    </row>
    <row r="1187" spans="1:10" x14ac:dyDescent="0.25">
      <c r="A1187" s="1" t="str">
        <f t="shared" si="18"/>
        <v>11</v>
      </c>
      <c r="B118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7" s="1" t="s">
        <v>5590</v>
      </c>
    </row>
    <row r="1188" spans="1:10" x14ac:dyDescent="0.25">
      <c r="A1188" s="1" t="str">
        <f t="shared" si="18"/>
        <v>11</v>
      </c>
      <c r="B118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8" s="1" t="s">
        <v>5591</v>
      </c>
    </row>
    <row r="1189" spans="1:10" x14ac:dyDescent="0.25">
      <c r="A1189" s="1" t="str">
        <f t="shared" si="18"/>
        <v>11</v>
      </c>
      <c r="B118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9" s="1" t="s">
        <v>5592</v>
      </c>
      <c r="D1189" s="1" t="s">
        <v>3547</v>
      </c>
      <c r="E1189" s="1" t="s">
        <v>5593</v>
      </c>
      <c r="F1189" s="1" t="s">
        <v>112</v>
      </c>
      <c r="G1189" s="1">
        <v>607822</v>
      </c>
    </row>
    <row r="1190" spans="1:10" x14ac:dyDescent="0.25">
      <c r="A1190" s="1" t="str">
        <f t="shared" si="18"/>
        <v>11</v>
      </c>
      <c r="B119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0" s="1" t="s">
        <v>5594</v>
      </c>
      <c r="D1190" s="1" t="s">
        <v>643</v>
      </c>
      <c r="E1190" s="1" t="s">
        <v>5595</v>
      </c>
      <c r="F1190" s="1" t="s">
        <v>112</v>
      </c>
      <c r="G1190" s="1">
        <v>115201</v>
      </c>
    </row>
    <row r="1191" spans="1:10" x14ac:dyDescent="0.25">
      <c r="A1191" s="1" t="str">
        <f t="shared" si="18"/>
        <v>11</v>
      </c>
      <c r="B119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1" s="1" t="s">
        <v>5596</v>
      </c>
      <c r="D1191" s="1" t="s">
        <v>1094</v>
      </c>
      <c r="E1191" s="1" t="s">
        <v>5597</v>
      </c>
      <c r="F1191" s="1" t="s">
        <v>112</v>
      </c>
      <c r="G1191" s="1">
        <v>302105</v>
      </c>
    </row>
    <row r="1192" spans="1:10" x14ac:dyDescent="0.25">
      <c r="A1192" s="1" t="str">
        <f t="shared" si="18"/>
        <v>11</v>
      </c>
      <c r="B119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2" s="1" t="s">
        <v>5598</v>
      </c>
      <c r="D1192" s="1" t="s">
        <v>977</v>
      </c>
      <c r="E1192" s="1" t="s">
        <v>5599</v>
      </c>
      <c r="F1192" s="1" t="s">
        <v>112</v>
      </c>
      <c r="G1192" s="1">
        <v>469044</v>
      </c>
    </row>
    <row r="1193" spans="1:10" x14ac:dyDescent="0.25">
      <c r="A1193" s="1" t="str">
        <f t="shared" si="18"/>
        <v>11</v>
      </c>
      <c r="B119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3" s="1" t="s">
        <v>5600</v>
      </c>
      <c r="D1193" s="1" t="s">
        <v>3844</v>
      </c>
      <c r="E1193" s="1" t="s">
        <v>5601</v>
      </c>
      <c r="F1193" s="1" t="s">
        <v>112</v>
      </c>
      <c r="G1193" s="1">
        <v>451978</v>
      </c>
    </row>
    <row r="1194" spans="1:10" x14ac:dyDescent="0.25">
      <c r="A1194" s="1" t="str">
        <f t="shared" si="18"/>
        <v>11</v>
      </c>
      <c r="B119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194" s="1" t="s">
        <v>5602</v>
      </c>
      <c r="D1194" s="1" t="s">
        <v>1738</v>
      </c>
      <c r="E1194" s="1" t="s">
        <v>5603</v>
      </c>
      <c r="F1194" s="1" t="s">
        <v>112</v>
      </c>
      <c r="G1194" s="1">
        <v>568888</v>
      </c>
    </row>
    <row r="1195" spans="1:10" x14ac:dyDescent="0.25">
      <c r="A1195" s="1" t="str">
        <f t="shared" si="18"/>
        <v>11</v>
      </c>
      <c r="B119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195" s="1" t="s">
        <v>5604</v>
      </c>
      <c r="D1195" s="1" t="s">
        <v>4380</v>
      </c>
      <c r="E1195" s="1" t="s">
        <v>5605</v>
      </c>
      <c r="F1195" s="1" t="s">
        <v>112</v>
      </c>
      <c r="G1195" s="1">
        <v>884165</v>
      </c>
    </row>
    <row r="1196" spans="1:10" x14ac:dyDescent="0.25">
      <c r="A1196" s="1" t="str">
        <f t="shared" si="18"/>
        <v>11</v>
      </c>
      <c r="B119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196" s="1" t="s">
        <v>5606</v>
      </c>
    </row>
    <row r="1197" spans="1:10" x14ac:dyDescent="0.25">
      <c r="A1197" s="1" t="str">
        <f t="shared" si="18"/>
        <v>11</v>
      </c>
      <c r="B119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197" s="1" t="s">
        <v>5607</v>
      </c>
    </row>
    <row r="1198" spans="1:10" x14ac:dyDescent="0.2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98" s="1" t="s">
        <v>112</v>
      </c>
    </row>
    <row r="1199" spans="1:10" x14ac:dyDescent="0.2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99" s="1" t="s">
        <v>237</v>
      </c>
      <c r="D1199" s="1" t="s">
        <v>112</v>
      </c>
      <c r="E1199" s="1" t="s">
        <v>238</v>
      </c>
      <c r="F1199" s="1" t="s">
        <v>239</v>
      </c>
      <c r="G1199" s="1" t="s">
        <v>240</v>
      </c>
      <c r="H1199" s="1" t="s">
        <v>241</v>
      </c>
      <c r="I1199" s="1" t="s">
        <v>242</v>
      </c>
      <c r="J1199" s="1" t="s">
        <v>243</v>
      </c>
    </row>
    <row r="1200" spans="1:10" x14ac:dyDescent="0.25">
      <c r="A1200" s="1" t="str">
        <f t="shared" si="18"/>
        <v>11</v>
      </c>
      <c r="B120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00" s="1" t="s">
        <v>5608</v>
      </c>
      <c r="D1200" s="1" t="s">
        <v>112</v>
      </c>
      <c r="E1200" s="1" t="s">
        <v>5609</v>
      </c>
      <c r="F1200" s="1" t="s">
        <v>5610</v>
      </c>
      <c r="G1200" s="1" t="s">
        <v>5611</v>
      </c>
      <c r="H1200" s="1" t="s">
        <v>5612</v>
      </c>
      <c r="I1200" s="1">
        <v>30</v>
      </c>
      <c r="J1200" s="1">
        <v>32</v>
      </c>
    </row>
    <row r="1201" spans="1:7" x14ac:dyDescent="0.2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01" s="1" t="s">
        <v>112</v>
      </c>
    </row>
    <row r="1202" spans="1:7" x14ac:dyDescent="0.2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02" s="1" t="s">
        <v>112</v>
      </c>
    </row>
    <row r="1203" spans="1:7" x14ac:dyDescent="0.2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03" s="1" t="s">
        <v>112</v>
      </c>
    </row>
    <row r="1204" spans="1:7" x14ac:dyDescent="0.2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04" s="1" t="s">
        <v>112</v>
      </c>
    </row>
    <row r="1205" spans="1:7" x14ac:dyDescent="0.2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05" s="1" t="s">
        <v>112</v>
      </c>
    </row>
    <row r="1206" spans="1:7" x14ac:dyDescent="0.2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06" s="1" t="s">
        <v>249</v>
      </c>
      <c r="D1206" s="1" t="s">
        <v>110</v>
      </c>
      <c r="E1206" s="1" t="s">
        <v>111</v>
      </c>
      <c r="F1206" s="1" t="s">
        <v>112</v>
      </c>
      <c r="G1206" s="1" t="s">
        <v>113</v>
      </c>
    </row>
    <row r="1207" spans="1:7" x14ac:dyDescent="0.25">
      <c r="A1207" s="1" t="str">
        <f t="shared" si="18"/>
        <v>12</v>
      </c>
      <c r="B120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207" s="1" t="s">
        <v>5613</v>
      </c>
      <c r="D1207" s="1" t="s">
        <v>1682</v>
      </c>
      <c r="E1207" s="1" t="s">
        <v>5614</v>
      </c>
      <c r="F1207" s="1" t="s">
        <v>112</v>
      </c>
      <c r="G1207" s="1">
        <v>154719</v>
      </c>
    </row>
    <row r="1208" spans="1:7" x14ac:dyDescent="0.25">
      <c r="A1208" s="1" t="str">
        <f t="shared" si="18"/>
        <v>12</v>
      </c>
      <c r="B120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208" s="1" t="s">
        <v>5615</v>
      </c>
      <c r="D1208" s="1" t="s">
        <v>328</v>
      </c>
      <c r="E1208" s="1" t="s">
        <v>5616</v>
      </c>
      <c r="F1208" s="1" t="s">
        <v>112</v>
      </c>
      <c r="G1208" s="1">
        <v>4737</v>
      </c>
    </row>
    <row r="1209" spans="1:7" x14ac:dyDescent="0.25">
      <c r="A1209" s="1" t="str">
        <f t="shared" si="18"/>
        <v>12</v>
      </c>
      <c r="B120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209" s="1" t="s">
        <v>5617</v>
      </c>
      <c r="D1209" s="1" t="s">
        <v>5618</v>
      </c>
      <c r="E1209" s="1" t="s">
        <v>5619</v>
      </c>
      <c r="F1209" s="1" t="s">
        <v>112</v>
      </c>
      <c r="G1209" s="1">
        <v>477545</v>
      </c>
    </row>
    <row r="1210" spans="1:7" x14ac:dyDescent="0.25">
      <c r="A1210" s="1" t="str">
        <f t="shared" si="18"/>
        <v>12</v>
      </c>
      <c r="B121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210" s="1" t="s">
        <v>5620</v>
      </c>
      <c r="D1210" s="1" t="s">
        <v>648</v>
      </c>
      <c r="E1210" s="1" t="s">
        <v>5621</v>
      </c>
      <c r="F1210" s="1" t="s">
        <v>112</v>
      </c>
      <c r="G1210" s="1">
        <v>105900</v>
      </c>
    </row>
    <row r="1211" spans="1:7" x14ac:dyDescent="0.25">
      <c r="A1211" s="1" t="str">
        <f t="shared" si="18"/>
        <v>12</v>
      </c>
      <c r="B121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211" s="1" t="s">
        <v>5622</v>
      </c>
    </row>
    <row r="1212" spans="1:7" x14ac:dyDescent="0.25">
      <c r="A1212" s="1" t="str">
        <f t="shared" si="18"/>
        <v>12</v>
      </c>
      <c r="B121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212" s="1" t="s">
        <v>5623</v>
      </c>
    </row>
    <row r="1213" spans="1:7" x14ac:dyDescent="0.25">
      <c r="A1213" s="1" t="str">
        <f t="shared" si="18"/>
        <v>12</v>
      </c>
      <c r="B121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213" s="1" t="s">
        <v>5624</v>
      </c>
    </row>
    <row r="1214" spans="1:7" x14ac:dyDescent="0.25">
      <c r="A1214" s="1" t="str">
        <f t="shared" si="18"/>
        <v>12</v>
      </c>
      <c r="B121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214" s="1" t="s">
        <v>5625</v>
      </c>
    </row>
    <row r="1215" spans="1:7" x14ac:dyDescent="0.25">
      <c r="A1215" s="1" t="str">
        <f t="shared" si="18"/>
        <v>12</v>
      </c>
      <c r="B121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215" s="1" t="s">
        <v>5626</v>
      </c>
    </row>
    <row r="1216" spans="1:7" x14ac:dyDescent="0.25">
      <c r="A1216" s="1" t="str">
        <f t="shared" si="18"/>
        <v>12</v>
      </c>
      <c r="B121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216" s="1" t="s">
        <v>5627</v>
      </c>
      <c r="D1216" s="1" t="s">
        <v>5628</v>
      </c>
      <c r="E1216" s="1" t="s">
        <v>5629</v>
      </c>
      <c r="F1216" s="1" t="s">
        <v>112</v>
      </c>
      <c r="G1216" s="1">
        <v>430694</v>
      </c>
    </row>
    <row r="1217" spans="1:7" x14ac:dyDescent="0.25">
      <c r="A1217" s="1" t="str">
        <f t="shared" si="18"/>
        <v>12</v>
      </c>
      <c r="B121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217" s="1" t="s">
        <v>5630</v>
      </c>
      <c r="D1217" s="1" t="s">
        <v>4576</v>
      </c>
      <c r="E1217" s="1" t="s">
        <v>5631</v>
      </c>
      <c r="F1217" s="1" t="s">
        <v>112</v>
      </c>
      <c r="G1217" s="1">
        <v>121711</v>
      </c>
    </row>
    <row r="1218" spans="1:7" x14ac:dyDescent="0.25">
      <c r="A1218" s="1" t="str">
        <f t="shared" ref="A1218:A1281" si="19">IFERROR(LEFT(RIGHT(C1218,LEN(C1218)-SEARCH("@",C1218)),SEARCH("/",RIGHT(C1218,LEN(C1218)-SEARCH("@",C1218)-1))),"")</f>
        <v>12</v>
      </c>
      <c r="B121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218" s="1" t="s">
        <v>5632</v>
      </c>
    </row>
    <row r="1219" spans="1:7" x14ac:dyDescent="0.25">
      <c r="A1219" s="1" t="str">
        <f t="shared" si="19"/>
        <v>12</v>
      </c>
      <c r="B121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19" s="1" t="s">
        <v>5633</v>
      </c>
      <c r="D1219" s="1" t="s">
        <v>2114</v>
      </c>
      <c r="E1219" s="1">
        <v>32</v>
      </c>
      <c r="F1219" s="1" t="s">
        <v>112</v>
      </c>
      <c r="G1219" s="1">
        <v>5537</v>
      </c>
    </row>
    <row r="1220" spans="1:7" x14ac:dyDescent="0.25">
      <c r="A1220" s="1" t="str">
        <f t="shared" si="19"/>
        <v>12</v>
      </c>
      <c r="B122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20" s="1" t="s">
        <v>5634</v>
      </c>
      <c r="D1220" s="1" t="s">
        <v>1477</v>
      </c>
      <c r="E1220" s="1" t="s">
        <v>5635</v>
      </c>
      <c r="F1220" s="1" t="s">
        <v>112</v>
      </c>
      <c r="G1220" s="1">
        <v>3288</v>
      </c>
    </row>
    <row r="1221" spans="1:7" x14ac:dyDescent="0.25">
      <c r="A1221" s="1" t="str">
        <f t="shared" si="19"/>
        <v>12</v>
      </c>
      <c r="B122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21" s="1" t="s">
        <v>5636</v>
      </c>
    </row>
    <row r="1222" spans="1:7" x14ac:dyDescent="0.25">
      <c r="A1222" s="1" t="str">
        <f t="shared" si="19"/>
        <v>12</v>
      </c>
      <c r="B122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22" s="1" t="s">
        <v>5637</v>
      </c>
      <c r="D1222" s="1" t="s">
        <v>486</v>
      </c>
      <c r="E1222" s="1" t="s">
        <v>5638</v>
      </c>
      <c r="F1222" s="1" t="s">
        <v>112</v>
      </c>
      <c r="G1222" s="1">
        <v>40188</v>
      </c>
    </row>
    <row r="1223" spans="1:7" x14ac:dyDescent="0.25">
      <c r="A1223" s="1" t="str">
        <f t="shared" si="19"/>
        <v>12</v>
      </c>
      <c r="B122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223" s="1" t="s">
        <v>5639</v>
      </c>
    </row>
    <row r="1224" spans="1:7" x14ac:dyDescent="0.25">
      <c r="A1224" s="1" t="str">
        <f t="shared" si="19"/>
        <v>12</v>
      </c>
      <c r="B122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224" s="1" t="s">
        <v>5640</v>
      </c>
    </row>
    <row r="1225" spans="1:7" x14ac:dyDescent="0.25">
      <c r="A1225" s="1" t="str">
        <f t="shared" si="19"/>
        <v>12</v>
      </c>
      <c r="B122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225" s="1" t="s">
        <v>5641</v>
      </c>
      <c r="D1225" s="1" t="s">
        <v>5642</v>
      </c>
      <c r="E1225" s="1" t="s">
        <v>5643</v>
      </c>
      <c r="F1225" s="1" t="s">
        <v>112</v>
      </c>
      <c r="G1225" s="1">
        <v>218527</v>
      </c>
    </row>
    <row r="1226" spans="1:7" x14ac:dyDescent="0.25">
      <c r="A1226" s="1" t="str">
        <f t="shared" si="19"/>
        <v>12</v>
      </c>
      <c r="B122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226" s="1" t="s">
        <v>5644</v>
      </c>
      <c r="D1226" s="1" t="s">
        <v>4079</v>
      </c>
      <c r="E1226" s="1" t="s">
        <v>5645</v>
      </c>
      <c r="F1226" s="1" t="s">
        <v>112</v>
      </c>
      <c r="G1226" s="1">
        <v>311903</v>
      </c>
    </row>
    <row r="1227" spans="1:7" x14ac:dyDescent="0.25">
      <c r="A1227" s="1" t="str">
        <f t="shared" si="19"/>
        <v>12</v>
      </c>
      <c r="B122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227" s="1" t="s">
        <v>5646</v>
      </c>
      <c r="D1227" s="1" t="s">
        <v>351</v>
      </c>
      <c r="E1227" s="1" t="s">
        <v>5647</v>
      </c>
      <c r="F1227" s="1" t="s">
        <v>112</v>
      </c>
      <c r="G1227" s="1">
        <v>790421</v>
      </c>
    </row>
    <row r="1228" spans="1:7" x14ac:dyDescent="0.25">
      <c r="A1228" s="1" t="str">
        <f t="shared" si="19"/>
        <v>12</v>
      </c>
      <c r="B122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228" s="1" t="s">
        <v>5648</v>
      </c>
      <c r="D1228" s="1" t="s">
        <v>5649</v>
      </c>
      <c r="E1228" s="1" t="s">
        <v>5650</v>
      </c>
      <c r="F1228" s="1" t="s">
        <v>112</v>
      </c>
      <c r="G1228" s="1">
        <v>563740</v>
      </c>
    </row>
    <row r="1229" spans="1:7" x14ac:dyDescent="0.25">
      <c r="A1229" s="1" t="str">
        <f t="shared" si="19"/>
        <v>12</v>
      </c>
      <c r="B122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229" s="1" t="s">
        <v>5651</v>
      </c>
    </row>
    <row r="1230" spans="1:7" x14ac:dyDescent="0.25">
      <c r="A1230" s="1" t="str">
        <f t="shared" si="19"/>
        <v>12</v>
      </c>
      <c r="B123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230" s="1" t="s">
        <v>5652</v>
      </c>
    </row>
    <row r="1231" spans="1:7" x14ac:dyDescent="0.25">
      <c r="A1231" s="1" t="str">
        <f t="shared" si="19"/>
        <v>12</v>
      </c>
      <c r="B123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31" s="1" t="s">
        <v>5653</v>
      </c>
      <c r="D1231" s="1" t="s">
        <v>1945</v>
      </c>
      <c r="E1231" s="1" t="s">
        <v>5654</v>
      </c>
      <c r="F1231" s="1" t="s">
        <v>112</v>
      </c>
      <c r="G1231" s="1">
        <v>412590</v>
      </c>
    </row>
    <row r="1232" spans="1:7" x14ac:dyDescent="0.25">
      <c r="A1232" s="1" t="str">
        <f t="shared" si="19"/>
        <v>12</v>
      </c>
      <c r="B123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32" s="1" t="s">
        <v>5655</v>
      </c>
      <c r="D1232" s="1" t="s">
        <v>4548</v>
      </c>
      <c r="E1232" s="1" t="s">
        <v>5656</v>
      </c>
      <c r="F1232" s="1" t="s">
        <v>112</v>
      </c>
      <c r="G1232" s="1">
        <v>481438</v>
      </c>
    </row>
    <row r="1233" spans="1:10" x14ac:dyDescent="0.25">
      <c r="A1233" s="1" t="str">
        <f t="shared" si="19"/>
        <v>12</v>
      </c>
      <c r="B123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33" s="1" t="s">
        <v>5657</v>
      </c>
      <c r="D1233" s="1" t="s">
        <v>1503</v>
      </c>
      <c r="E1233" s="1" t="s">
        <v>5658</v>
      </c>
      <c r="F1233" s="1" t="s">
        <v>112</v>
      </c>
      <c r="G1233" s="1">
        <v>345429</v>
      </c>
    </row>
    <row r="1234" spans="1:10" x14ac:dyDescent="0.25">
      <c r="A1234" s="1" t="str">
        <f t="shared" si="19"/>
        <v>12</v>
      </c>
      <c r="B123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34" s="1" t="s">
        <v>5659</v>
      </c>
      <c r="D1234" s="1" t="s">
        <v>5660</v>
      </c>
      <c r="E1234" s="1" t="s">
        <v>5661</v>
      </c>
      <c r="F1234" s="1" t="s">
        <v>112</v>
      </c>
      <c r="G1234" s="1">
        <v>356439</v>
      </c>
    </row>
    <row r="1235" spans="1:10" x14ac:dyDescent="0.25">
      <c r="A1235" s="1" t="str">
        <f t="shared" si="19"/>
        <v>12</v>
      </c>
      <c r="B123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5" s="1" t="s">
        <v>5662</v>
      </c>
      <c r="D1235" s="1" t="s">
        <v>266</v>
      </c>
      <c r="E1235" s="1" t="s">
        <v>5663</v>
      </c>
      <c r="F1235" s="1" t="s">
        <v>112</v>
      </c>
      <c r="G1235" s="1">
        <v>154200</v>
      </c>
    </row>
    <row r="1236" spans="1:10" x14ac:dyDescent="0.25">
      <c r="A1236" s="1" t="str">
        <f t="shared" si="19"/>
        <v>12</v>
      </c>
      <c r="B123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6" s="1" t="s">
        <v>5664</v>
      </c>
      <c r="D1236" s="1" t="s">
        <v>375</v>
      </c>
      <c r="E1236" s="1" t="s">
        <v>5665</v>
      </c>
      <c r="F1236" s="1" t="s">
        <v>112</v>
      </c>
      <c r="G1236" s="1">
        <v>169665</v>
      </c>
    </row>
    <row r="1237" spans="1:10" x14ac:dyDescent="0.25">
      <c r="A1237" s="1" t="str">
        <f t="shared" si="19"/>
        <v>12</v>
      </c>
      <c r="B123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7" s="1" t="s">
        <v>5666</v>
      </c>
      <c r="D1237" s="1" t="s">
        <v>2425</v>
      </c>
      <c r="E1237" s="1" t="s">
        <v>5667</v>
      </c>
      <c r="F1237" s="1" t="s">
        <v>112</v>
      </c>
      <c r="G1237" s="1">
        <v>241628</v>
      </c>
    </row>
    <row r="1238" spans="1:10" x14ac:dyDescent="0.25">
      <c r="A1238" s="1" t="str">
        <f t="shared" si="19"/>
        <v>12</v>
      </c>
      <c r="B123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8" s="1" t="s">
        <v>5668</v>
      </c>
      <c r="D1238" s="1" t="s">
        <v>5015</v>
      </c>
      <c r="E1238" s="1" t="s">
        <v>5669</v>
      </c>
      <c r="F1238" s="1" t="s">
        <v>112</v>
      </c>
      <c r="G1238" s="1">
        <v>284736</v>
      </c>
    </row>
    <row r="1239" spans="1:10" x14ac:dyDescent="0.2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39" s="1" t="s">
        <v>112</v>
      </c>
    </row>
    <row r="1240" spans="1:10" x14ac:dyDescent="0.2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40" s="1" t="s">
        <v>237</v>
      </c>
      <c r="D1240" s="1" t="s">
        <v>112</v>
      </c>
      <c r="E1240" s="1" t="s">
        <v>238</v>
      </c>
      <c r="F1240" s="1" t="s">
        <v>239</v>
      </c>
      <c r="G1240" s="1" t="s">
        <v>240</v>
      </c>
      <c r="H1240" s="1" t="s">
        <v>241</v>
      </c>
      <c r="I1240" s="1" t="s">
        <v>242</v>
      </c>
      <c r="J1240" s="1" t="s">
        <v>243</v>
      </c>
    </row>
    <row r="1241" spans="1:10" x14ac:dyDescent="0.25">
      <c r="A1241" s="1" t="str">
        <f t="shared" si="19"/>
        <v>12</v>
      </c>
      <c r="B124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41" s="1" t="s">
        <v>5670</v>
      </c>
      <c r="D1241" s="1" t="s">
        <v>112</v>
      </c>
      <c r="E1241" s="1" t="s">
        <v>5671</v>
      </c>
      <c r="F1241" s="1" t="s">
        <v>5672</v>
      </c>
      <c r="G1241" s="1" t="s">
        <v>5673</v>
      </c>
      <c r="H1241" s="1" t="s">
        <v>5674</v>
      </c>
      <c r="I1241" s="1">
        <v>31</v>
      </c>
      <c r="J1241" s="1">
        <v>32</v>
      </c>
    </row>
    <row r="1242" spans="1:10" x14ac:dyDescent="0.2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42" s="1" t="s">
        <v>112</v>
      </c>
    </row>
    <row r="1243" spans="1:10" x14ac:dyDescent="0.2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43" s="1" t="s">
        <v>112</v>
      </c>
    </row>
    <row r="1244" spans="1:10" x14ac:dyDescent="0.2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44" s="1" t="s">
        <v>112</v>
      </c>
    </row>
    <row r="1245" spans="1:10" x14ac:dyDescent="0.2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45" s="1" t="s">
        <v>112</v>
      </c>
    </row>
    <row r="1246" spans="1:10" x14ac:dyDescent="0.2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46" s="1" t="s">
        <v>112</v>
      </c>
    </row>
    <row r="1247" spans="1:10" x14ac:dyDescent="0.2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47" s="1" t="s">
        <v>249</v>
      </c>
      <c r="D1247" s="1" t="s">
        <v>110</v>
      </c>
      <c r="E1247" s="1" t="s">
        <v>111</v>
      </c>
      <c r="F1247" s="1" t="s">
        <v>112</v>
      </c>
      <c r="G1247" s="1" t="s">
        <v>113</v>
      </c>
    </row>
    <row r="1248" spans="1:10" x14ac:dyDescent="0.25">
      <c r="A1248" s="1" t="str">
        <f t="shared" si="19"/>
        <v>17</v>
      </c>
      <c r="B124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248" s="1" t="s">
        <v>5675</v>
      </c>
      <c r="D1248" s="1" t="s">
        <v>5676</v>
      </c>
      <c r="E1248" s="1" t="s">
        <v>5677</v>
      </c>
      <c r="F1248" s="1" t="s">
        <v>112</v>
      </c>
      <c r="G1248" s="1">
        <v>1907129</v>
      </c>
    </row>
    <row r="1249" spans="1:7" x14ac:dyDescent="0.25">
      <c r="A1249" s="1" t="str">
        <f t="shared" si="19"/>
        <v>17</v>
      </c>
      <c r="B124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249" s="1" t="s">
        <v>5678</v>
      </c>
      <c r="D1249" s="1" t="s">
        <v>5679</v>
      </c>
      <c r="E1249" s="1" t="s">
        <v>5680</v>
      </c>
      <c r="F1249" s="1" t="s">
        <v>112</v>
      </c>
      <c r="G1249" s="1">
        <v>2412620</v>
      </c>
    </row>
    <row r="1250" spans="1:7" x14ac:dyDescent="0.25">
      <c r="A1250" s="1" t="str">
        <f t="shared" si="19"/>
        <v>17</v>
      </c>
      <c r="B125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250" s="1" t="s">
        <v>5681</v>
      </c>
      <c r="D1250" s="1" t="s">
        <v>5682</v>
      </c>
      <c r="E1250" s="1" t="s">
        <v>5683</v>
      </c>
      <c r="F1250" s="1" t="s">
        <v>112</v>
      </c>
      <c r="G1250" s="1">
        <v>2367781</v>
      </c>
    </row>
    <row r="1251" spans="1:7" x14ac:dyDescent="0.25">
      <c r="A1251" s="1" t="str">
        <f t="shared" si="19"/>
        <v>17</v>
      </c>
      <c r="B125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251" s="1" t="s">
        <v>5684</v>
      </c>
    </row>
    <row r="1252" spans="1:7" x14ac:dyDescent="0.25">
      <c r="A1252" s="1" t="str">
        <f t="shared" si="19"/>
        <v>17</v>
      </c>
      <c r="B125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252" s="1" t="s">
        <v>5685</v>
      </c>
      <c r="D1252" s="1" t="s">
        <v>5686</v>
      </c>
      <c r="E1252" s="1" t="s">
        <v>5687</v>
      </c>
      <c r="F1252" s="1" t="s">
        <v>112</v>
      </c>
      <c r="G1252" s="1">
        <v>1237360</v>
      </c>
    </row>
    <row r="1253" spans="1:7" x14ac:dyDescent="0.25">
      <c r="A1253" s="1" t="str">
        <f t="shared" si="19"/>
        <v>17</v>
      </c>
      <c r="B125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253" s="1" t="s">
        <v>5688</v>
      </c>
      <c r="D1253" s="1" t="s">
        <v>5689</v>
      </c>
      <c r="E1253" s="1" t="s">
        <v>5690</v>
      </c>
      <c r="F1253" s="1" t="s">
        <v>112</v>
      </c>
      <c r="G1253" s="1">
        <v>1886235</v>
      </c>
    </row>
    <row r="1254" spans="1:7" x14ac:dyDescent="0.25">
      <c r="A1254" s="1" t="str">
        <f t="shared" si="19"/>
        <v>17</v>
      </c>
      <c r="B125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254" s="1" t="s">
        <v>5691</v>
      </c>
      <c r="D1254" s="1" t="s">
        <v>5692</v>
      </c>
      <c r="E1254" s="1" t="s">
        <v>5693</v>
      </c>
      <c r="F1254" s="1" t="s">
        <v>112</v>
      </c>
      <c r="G1254" s="1">
        <v>1815029</v>
      </c>
    </row>
    <row r="1255" spans="1:7" x14ac:dyDescent="0.25">
      <c r="A1255" s="1" t="str">
        <f t="shared" si="19"/>
        <v>17</v>
      </c>
      <c r="B125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255" s="1" t="s">
        <v>5694</v>
      </c>
      <c r="D1255" s="1" t="s">
        <v>5695</v>
      </c>
      <c r="E1255" s="1" t="s">
        <v>5696</v>
      </c>
      <c r="F1255" s="1" t="s">
        <v>112</v>
      </c>
      <c r="G1255" s="1">
        <v>2111186</v>
      </c>
    </row>
    <row r="1256" spans="1:7" x14ac:dyDescent="0.25">
      <c r="A1256" s="1" t="str">
        <f t="shared" si="19"/>
        <v>17</v>
      </c>
      <c r="B125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256" s="1" t="s">
        <v>5697</v>
      </c>
      <c r="D1256" s="1" t="s">
        <v>5698</v>
      </c>
      <c r="E1256" s="1" t="s">
        <v>5699</v>
      </c>
      <c r="F1256" s="1" t="s">
        <v>112</v>
      </c>
      <c r="G1256" s="1">
        <v>3895263</v>
      </c>
    </row>
    <row r="1257" spans="1:7" x14ac:dyDescent="0.25">
      <c r="A1257" s="1" t="str">
        <f t="shared" si="19"/>
        <v>17</v>
      </c>
      <c r="B125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257" s="1" t="s">
        <v>5700</v>
      </c>
      <c r="D1257" s="1" t="s">
        <v>5701</v>
      </c>
      <c r="E1257" s="1" t="s">
        <v>5702</v>
      </c>
      <c r="F1257" s="1" t="s">
        <v>112</v>
      </c>
      <c r="G1257" s="1">
        <v>4170633</v>
      </c>
    </row>
    <row r="1258" spans="1:7" x14ac:dyDescent="0.25">
      <c r="A1258" s="1" t="str">
        <f t="shared" si="19"/>
        <v>17</v>
      </c>
      <c r="B125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258" s="1" t="s">
        <v>5703</v>
      </c>
    </row>
    <row r="1259" spans="1:7" x14ac:dyDescent="0.25">
      <c r="A1259" s="1" t="str">
        <f t="shared" si="19"/>
        <v>17</v>
      </c>
      <c r="B125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259" s="1" t="s">
        <v>5704</v>
      </c>
    </row>
    <row r="1260" spans="1:7" x14ac:dyDescent="0.25">
      <c r="A1260" s="1" t="str">
        <f t="shared" si="19"/>
        <v>17</v>
      </c>
      <c r="B126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60" s="1" t="s">
        <v>5705</v>
      </c>
      <c r="D1260" s="1" t="s">
        <v>3769</v>
      </c>
      <c r="E1260" s="1" t="s">
        <v>5706</v>
      </c>
      <c r="F1260" s="1" t="s">
        <v>112</v>
      </c>
      <c r="G1260" s="1">
        <v>2613865</v>
      </c>
    </row>
    <row r="1261" spans="1:7" x14ac:dyDescent="0.25">
      <c r="A1261" s="1" t="str">
        <f t="shared" si="19"/>
        <v>17</v>
      </c>
      <c r="B126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61" s="1" t="s">
        <v>5707</v>
      </c>
      <c r="D1261" s="1" t="s">
        <v>5708</v>
      </c>
      <c r="E1261" s="1" t="s">
        <v>5709</v>
      </c>
      <c r="F1261" s="1" t="s">
        <v>112</v>
      </c>
      <c r="G1261" s="1">
        <v>3068503</v>
      </c>
    </row>
    <row r="1262" spans="1:7" x14ac:dyDescent="0.25">
      <c r="A1262" s="1" t="str">
        <f t="shared" si="19"/>
        <v>17</v>
      </c>
      <c r="B126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62" s="1" t="s">
        <v>5710</v>
      </c>
      <c r="D1262" s="1" t="s">
        <v>734</v>
      </c>
      <c r="E1262" s="1" t="s">
        <v>5711</v>
      </c>
      <c r="F1262" s="1" t="s">
        <v>112</v>
      </c>
      <c r="G1262" s="1">
        <v>2685351</v>
      </c>
    </row>
    <row r="1263" spans="1:7" x14ac:dyDescent="0.25">
      <c r="A1263" s="1" t="str">
        <f t="shared" si="19"/>
        <v>17</v>
      </c>
      <c r="B126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63" s="1" t="s">
        <v>5712</v>
      </c>
      <c r="D1263" s="1" t="s">
        <v>5713</v>
      </c>
      <c r="E1263" s="1" t="s">
        <v>5714</v>
      </c>
      <c r="F1263" s="1" t="s">
        <v>112</v>
      </c>
      <c r="G1263" s="1">
        <v>2890295</v>
      </c>
    </row>
    <row r="1264" spans="1:7" x14ac:dyDescent="0.25">
      <c r="A1264" s="1" t="str">
        <f t="shared" si="19"/>
        <v>17</v>
      </c>
      <c r="B126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264" s="1" t="s">
        <v>5715</v>
      </c>
      <c r="D1264" s="1" t="s">
        <v>5716</v>
      </c>
      <c r="E1264" s="1" t="s">
        <v>5717</v>
      </c>
      <c r="F1264" s="1" t="s">
        <v>112</v>
      </c>
      <c r="G1264" s="1">
        <v>1957722</v>
      </c>
    </row>
    <row r="1265" spans="1:7" x14ac:dyDescent="0.25">
      <c r="A1265" s="1" t="str">
        <f t="shared" si="19"/>
        <v>17</v>
      </c>
      <c r="B126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265" s="1" t="s">
        <v>5718</v>
      </c>
      <c r="D1265" s="1" t="s">
        <v>5719</v>
      </c>
      <c r="E1265" s="1" t="s">
        <v>5720</v>
      </c>
      <c r="F1265" s="1" t="s">
        <v>112</v>
      </c>
      <c r="G1265" s="1">
        <v>1801943</v>
      </c>
    </row>
    <row r="1266" spans="1:7" x14ac:dyDescent="0.25">
      <c r="A1266" s="1" t="str">
        <f t="shared" si="19"/>
        <v>17</v>
      </c>
      <c r="B126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266" s="1" t="s">
        <v>5721</v>
      </c>
      <c r="D1266" s="1" t="s">
        <v>5722</v>
      </c>
      <c r="E1266" s="1" t="s">
        <v>5723</v>
      </c>
      <c r="F1266" s="1" t="s">
        <v>112</v>
      </c>
      <c r="G1266" s="1">
        <v>2399577</v>
      </c>
    </row>
    <row r="1267" spans="1:7" x14ac:dyDescent="0.25">
      <c r="A1267" s="1" t="str">
        <f t="shared" si="19"/>
        <v>17</v>
      </c>
      <c r="B126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267" s="1" t="s">
        <v>5724</v>
      </c>
      <c r="D1267" s="1" t="s">
        <v>5725</v>
      </c>
      <c r="E1267" s="1" t="s">
        <v>5726</v>
      </c>
      <c r="F1267" s="1" t="s">
        <v>112</v>
      </c>
      <c r="G1267" s="1">
        <v>2693744</v>
      </c>
    </row>
    <row r="1268" spans="1:7" x14ac:dyDescent="0.25">
      <c r="A1268" s="1" t="str">
        <f t="shared" si="19"/>
        <v>17</v>
      </c>
      <c r="B126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268" s="1" t="s">
        <v>5727</v>
      </c>
      <c r="D1268" s="1" t="s">
        <v>2082</v>
      </c>
      <c r="E1268" s="1" t="s">
        <v>5728</v>
      </c>
      <c r="F1268" s="1" t="s">
        <v>112</v>
      </c>
      <c r="G1268" s="1">
        <v>215693</v>
      </c>
    </row>
    <row r="1269" spans="1:7" x14ac:dyDescent="0.25">
      <c r="A1269" s="1" t="str">
        <f t="shared" si="19"/>
        <v>17</v>
      </c>
      <c r="B126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269" s="1" t="s">
        <v>5729</v>
      </c>
      <c r="D1269" s="1" t="s">
        <v>483</v>
      </c>
      <c r="E1269" s="1" t="s">
        <v>5730</v>
      </c>
      <c r="F1269" s="1" t="s">
        <v>112</v>
      </c>
      <c r="G1269" s="1">
        <v>230207</v>
      </c>
    </row>
    <row r="1270" spans="1:7" x14ac:dyDescent="0.25">
      <c r="A1270" s="1" t="str">
        <f t="shared" si="19"/>
        <v>17</v>
      </c>
      <c r="B127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270" s="1" t="s">
        <v>5731</v>
      </c>
      <c r="D1270" s="1" t="s">
        <v>4609</v>
      </c>
      <c r="E1270" s="1" t="s">
        <v>5732</v>
      </c>
      <c r="F1270" s="1" t="s">
        <v>112</v>
      </c>
      <c r="G1270" s="1">
        <v>266048</v>
      </c>
    </row>
    <row r="1271" spans="1:7" x14ac:dyDescent="0.25">
      <c r="A1271" s="1" t="str">
        <f t="shared" si="19"/>
        <v>17</v>
      </c>
      <c r="B127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271" s="1" t="s">
        <v>5733</v>
      </c>
      <c r="D1271" s="1" t="s">
        <v>2481</v>
      </c>
      <c r="E1271" s="1" t="s">
        <v>5734</v>
      </c>
      <c r="F1271" s="1" t="s">
        <v>112</v>
      </c>
      <c r="G1271" s="1">
        <v>266956</v>
      </c>
    </row>
    <row r="1272" spans="1:7" x14ac:dyDescent="0.25">
      <c r="A1272" s="1" t="str">
        <f t="shared" si="19"/>
        <v>17</v>
      </c>
      <c r="B127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72" s="1" t="s">
        <v>5735</v>
      </c>
      <c r="D1272" s="1" t="s">
        <v>5736</v>
      </c>
      <c r="E1272" s="1" t="s">
        <v>5737</v>
      </c>
      <c r="F1272" s="1" t="s">
        <v>112</v>
      </c>
      <c r="G1272" s="1">
        <v>3841210</v>
      </c>
    </row>
    <row r="1273" spans="1:7" x14ac:dyDescent="0.25">
      <c r="A1273" s="1" t="str">
        <f t="shared" si="19"/>
        <v>17</v>
      </c>
      <c r="B127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73" s="1" t="s">
        <v>5738</v>
      </c>
      <c r="D1273" s="1" t="s">
        <v>1920</v>
      </c>
      <c r="E1273" s="1" t="s">
        <v>5739</v>
      </c>
      <c r="F1273" s="1" t="s">
        <v>112</v>
      </c>
      <c r="G1273" s="1">
        <v>3660730</v>
      </c>
    </row>
    <row r="1274" spans="1:7" x14ac:dyDescent="0.25">
      <c r="A1274" s="1" t="str">
        <f t="shared" si="19"/>
        <v>17</v>
      </c>
      <c r="B127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74" s="1" t="s">
        <v>5740</v>
      </c>
      <c r="D1274" s="1" t="s">
        <v>5741</v>
      </c>
      <c r="E1274" s="1" t="s">
        <v>5742</v>
      </c>
      <c r="F1274" s="1" t="s">
        <v>112</v>
      </c>
      <c r="G1274" s="1">
        <v>3276237</v>
      </c>
    </row>
    <row r="1275" spans="1:7" x14ac:dyDescent="0.25">
      <c r="A1275" s="1" t="str">
        <f t="shared" si="19"/>
        <v>17</v>
      </c>
      <c r="B127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75" s="1" t="s">
        <v>5743</v>
      </c>
      <c r="D1275" s="1" t="s">
        <v>5744</v>
      </c>
      <c r="E1275" s="1" t="s">
        <v>5745</v>
      </c>
      <c r="F1275" s="1" t="s">
        <v>112</v>
      </c>
      <c r="G1275" s="1">
        <v>3588162</v>
      </c>
    </row>
    <row r="1276" spans="1:7" x14ac:dyDescent="0.25">
      <c r="A1276" s="1" t="str">
        <f t="shared" si="19"/>
        <v>17</v>
      </c>
      <c r="B127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76" s="1" t="s">
        <v>5746</v>
      </c>
      <c r="D1276" s="1" t="s">
        <v>3012</v>
      </c>
      <c r="E1276" s="1" t="s">
        <v>5747</v>
      </c>
      <c r="F1276" s="1" t="s">
        <v>112</v>
      </c>
      <c r="G1276" s="1">
        <v>79209</v>
      </c>
    </row>
    <row r="1277" spans="1:7" x14ac:dyDescent="0.25">
      <c r="A1277" s="1" t="str">
        <f t="shared" si="19"/>
        <v>17</v>
      </c>
      <c r="B127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77" s="1" t="s">
        <v>5748</v>
      </c>
      <c r="D1277" s="1" t="s">
        <v>2009</v>
      </c>
      <c r="E1277" s="1" t="s">
        <v>5749</v>
      </c>
      <c r="F1277" s="1" t="s">
        <v>112</v>
      </c>
      <c r="G1277" s="1">
        <v>99216</v>
      </c>
    </row>
    <row r="1278" spans="1:7" x14ac:dyDescent="0.25">
      <c r="A1278" s="1" t="str">
        <f t="shared" si="19"/>
        <v>17</v>
      </c>
      <c r="B127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78" s="1" t="s">
        <v>5750</v>
      </c>
      <c r="D1278" s="1" t="s">
        <v>5751</v>
      </c>
      <c r="E1278" s="1" t="s">
        <v>5752</v>
      </c>
      <c r="F1278" s="1" t="s">
        <v>112</v>
      </c>
      <c r="G1278" s="1">
        <v>580849</v>
      </c>
    </row>
    <row r="1279" spans="1:7" x14ac:dyDescent="0.25">
      <c r="A1279" s="1" t="str">
        <f t="shared" si="19"/>
        <v>17</v>
      </c>
      <c r="B127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79" s="1" t="s">
        <v>5753</v>
      </c>
    </row>
    <row r="1280" spans="1:7" x14ac:dyDescent="0.2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0" s="1" t="s">
        <v>112</v>
      </c>
    </row>
    <row r="1281" spans="1:10" x14ac:dyDescent="0.2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1" s="1" t="s">
        <v>237</v>
      </c>
      <c r="D1281" s="1" t="s">
        <v>112</v>
      </c>
      <c r="E1281" s="1" t="s">
        <v>238</v>
      </c>
      <c r="F1281" s="1" t="s">
        <v>239</v>
      </c>
      <c r="G1281" s="1" t="s">
        <v>240</v>
      </c>
      <c r="H1281" s="1" t="s">
        <v>241</v>
      </c>
      <c r="I1281" s="1" t="s">
        <v>242</v>
      </c>
      <c r="J1281" s="1" t="s">
        <v>243</v>
      </c>
    </row>
    <row r="1282" spans="1:10" x14ac:dyDescent="0.25">
      <c r="A1282" s="1" t="str">
        <f t="shared" ref="A1282:A1345" si="20">IFERROR(LEFT(RIGHT(C1282,LEN(C1282)-SEARCH("@",C1282)),SEARCH("/",RIGHT(C1282,LEN(C1282)-SEARCH("@",C1282)-1))),"")</f>
        <v>17</v>
      </c>
      <c r="B128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82" s="1" t="s">
        <v>5754</v>
      </c>
      <c r="D1282" s="1" t="s">
        <v>112</v>
      </c>
      <c r="E1282" s="1" t="s">
        <v>5755</v>
      </c>
      <c r="F1282" s="1" t="s">
        <v>5756</v>
      </c>
      <c r="G1282" s="1" t="s">
        <v>5757</v>
      </c>
      <c r="H1282" s="1" t="s">
        <v>5758</v>
      </c>
      <c r="I1282" s="1">
        <v>32</v>
      </c>
      <c r="J1282" s="1">
        <v>32</v>
      </c>
    </row>
    <row r="1283" spans="1:10" x14ac:dyDescent="0.2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3" s="1" t="s">
        <v>112</v>
      </c>
    </row>
    <row r="1284" spans="1:10" x14ac:dyDescent="0.2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4" s="1" t="s">
        <v>112</v>
      </c>
    </row>
    <row r="1285" spans="1:10" x14ac:dyDescent="0.2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5" s="1" t="s">
        <v>112</v>
      </c>
    </row>
    <row r="1286" spans="1:10" x14ac:dyDescent="0.2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6" s="1" t="s">
        <v>112</v>
      </c>
    </row>
    <row r="1287" spans="1:10" x14ac:dyDescent="0.2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7" s="1" t="s">
        <v>112</v>
      </c>
    </row>
    <row r="1288" spans="1:10" x14ac:dyDescent="0.2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8" s="1" t="s">
        <v>249</v>
      </c>
      <c r="D1288" s="1" t="s">
        <v>110</v>
      </c>
      <c r="E1288" s="1" t="s">
        <v>111</v>
      </c>
      <c r="F1288" s="1" t="s">
        <v>112</v>
      </c>
      <c r="G1288" s="1" t="s">
        <v>113</v>
      </c>
    </row>
    <row r="1289" spans="1:10" x14ac:dyDescent="0.25">
      <c r="A1289" s="1" t="str">
        <f t="shared" si="20"/>
        <v>18</v>
      </c>
      <c r="B128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289" s="1" t="s">
        <v>5759</v>
      </c>
      <c r="D1289" s="1" t="s">
        <v>5760</v>
      </c>
      <c r="E1289" s="1" t="s">
        <v>5761</v>
      </c>
      <c r="F1289" s="1" t="s">
        <v>112</v>
      </c>
      <c r="G1289" s="1">
        <v>1343822</v>
      </c>
    </row>
    <row r="1290" spans="1:10" x14ac:dyDescent="0.25">
      <c r="A1290" s="1" t="str">
        <f t="shared" si="20"/>
        <v>18</v>
      </c>
      <c r="B129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290" s="1" t="s">
        <v>5762</v>
      </c>
      <c r="D1290" s="1" t="s">
        <v>5763</v>
      </c>
      <c r="E1290" s="1" t="s">
        <v>5764</v>
      </c>
      <c r="F1290" s="1" t="s">
        <v>112</v>
      </c>
      <c r="G1290" s="1">
        <v>1550561</v>
      </c>
    </row>
    <row r="1291" spans="1:10" x14ac:dyDescent="0.25">
      <c r="A1291" s="1" t="str">
        <f t="shared" si="20"/>
        <v>18</v>
      </c>
      <c r="B129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291" s="1" t="s">
        <v>5765</v>
      </c>
      <c r="D1291" s="1" t="s">
        <v>3649</v>
      </c>
      <c r="E1291" s="1" t="s">
        <v>5766</v>
      </c>
      <c r="F1291" s="1" t="s">
        <v>112</v>
      </c>
      <c r="G1291" s="1">
        <v>1510805</v>
      </c>
    </row>
    <row r="1292" spans="1:10" x14ac:dyDescent="0.25">
      <c r="A1292" s="1" t="str">
        <f t="shared" si="20"/>
        <v>18</v>
      </c>
      <c r="B129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292" s="1" t="s">
        <v>5767</v>
      </c>
      <c r="D1292" s="1" t="s">
        <v>5768</v>
      </c>
      <c r="E1292" s="1" t="s">
        <v>5769</v>
      </c>
      <c r="F1292" s="1" t="s">
        <v>112</v>
      </c>
      <c r="G1292" s="1">
        <v>1600007</v>
      </c>
    </row>
    <row r="1293" spans="1:10" x14ac:dyDescent="0.25">
      <c r="A1293" s="1" t="str">
        <f t="shared" si="20"/>
        <v>18</v>
      </c>
      <c r="B129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293" s="1" t="s">
        <v>5770</v>
      </c>
      <c r="D1293" s="1" t="s">
        <v>5771</v>
      </c>
      <c r="E1293" s="1" t="s">
        <v>5772</v>
      </c>
      <c r="F1293" s="1" t="s">
        <v>112</v>
      </c>
      <c r="G1293" s="1">
        <v>380556</v>
      </c>
    </row>
    <row r="1294" spans="1:10" x14ac:dyDescent="0.25">
      <c r="A1294" s="1" t="str">
        <f t="shared" si="20"/>
        <v>18</v>
      </c>
      <c r="B129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294" s="1" t="s">
        <v>5773</v>
      </c>
      <c r="D1294" s="1" t="s">
        <v>291</v>
      </c>
      <c r="E1294" s="1" t="s">
        <v>5774</v>
      </c>
      <c r="F1294" s="1" t="s">
        <v>112</v>
      </c>
      <c r="G1294" s="1">
        <v>275002</v>
      </c>
    </row>
    <row r="1295" spans="1:10" x14ac:dyDescent="0.25">
      <c r="A1295" s="1" t="str">
        <f t="shared" si="20"/>
        <v>18</v>
      </c>
      <c r="B129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295" s="1" t="s">
        <v>5775</v>
      </c>
      <c r="D1295" s="1" t="s">
        <v>360</v>
      </c>
      <c r="E1295" s="1" t="s">
        <v>5776</v>
      </c>
      <c r="F1295" s="1" t="s">
        <v>112</v>
      </c>
      <c r="G1295" s="1">
        <v>504431</v>
      </c>
    </row>
    <row r="1296" spans="1:10" x14ac:dyDescent="0.25">
      <c r="A1296" s="1" t="str">
        <f t="shared" si="20"/>
        <v>18</v>
      </c>
      <c r="B129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296" s="1" t="s">
        <v>5777</v>
      </c>
      <c r="D1296" s="1" t="s">
        <v>2438</v>
      </c>
      <c r="E1296" s="1" t="s">
        <v>5778</v>
      </c>
      <c r="F1296" s="1" t="s">
        <v>112</v>
      </c>
      <c r="G1296" s="1">
        <v>266415</v>
      </c>
    </row>
    <row r="1297" spans="1:7" x14ac:dyDescent="0.25">
      <c r="A1297" s="1" t="str">
        <f t="shared" si="20"/>
        <v>18</v>
      </c>
      <c r="B129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297" s="1" t="s">
        <v>5779</v>
      </c>
    </row>
    <row r="1298" spans="1:7" x14ac:dyDescent="0.25">
      <c r="A1298" s="1" t="str">
        <f t="shared" si="20"/>
        <v>18</v>
      </c>
      <c r="B129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298" s="1" t="s">
        <v>5780</v>
      </c>
      <c r="D1298" s="1" t="s">
        <v>5781</v>
      </c>
      <c r="E1298" s="1" t="s">
        <v>5782</v>
      </c>
      <c r="F1298" s="1" t="s">
        <v>112</v>
      </c>
      <c r="G1298" s="1">
        <v>2338970</v>
      </c>
    </row>
    <row r="1299" spans="1:7" x14ac:dyDescent="0.25">
      <c r="A1299" s="1" t="str">
        <f t="shared" si="20"/>
        <v>18</v>
      </c>
      <c r="B129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299" s="1" t="s">
        <v>5783</v>
      </c>
      <c r="D1299" s="1" t="s">
        <v>5784</v>
      </c>
      <c r="E1299" s="1" t="s">
        <v>5785</v>
      </c>
      <c r="F1299" s="1" t="s">
        <v>112</v>
      </c>
      <c r="G1299" s="1">
        <v>2366786</v>
      </c>
    </row>
    <row r="1300" spans="1:7" x14ac:dyDescent="0.25">
      <c r="A1300" s="1" t="str">
        <f t="shared" si="20"/>
        <v>18</v>
      </c>
      <c r="B130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300" s="1" t="s">
        <v>5786</v>
      </c>
      <c r="D1300" s="1" t="s">
        <v>5787</v>
      </c>
      <c r="E1300" s="1" t="s">
        <v>5788</v>
      </c>
      <c r="F1300" s="1" t="s">
        <v>112</v>
      </c>
      <c r="G1300" s="1">
        <v>2377709</v>
      </c>
    </row>
    <row r="1301" spans="1:7" x14ac:dyDescent="0.25">
      <c r="A1301" s="1" t="str">
        <f t="shared" si="20"/>
        <v>18</v>
      </c>
      <c r="B130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01" s="1" t="s">
        <v>5789</v>
      </c>
      <c r="D1301" s="1" t="s">
        <v>5790</v>
      </c>
      <c r="E1301" s="1" t="s">
        <v>5791</v>
      </c>
      <c r="F1301" s="1" t="s">
        <v>112</v>
      </c>
      <c r="G1301" s="1">
        <v>79079</v>
      </c>
    </row>
    <row r="1302" spans="1:7" x14ac:dyDescent="0.25">
      <c r="A1302" s="1" t="str">
        <f t="shared" si="20"/>
        <v>18</v>
      </c>
      <c r="B130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02" s="1" t="s">
        <v>5792</v>
      </c>
    </row>
    <row r="1303" spans="1:7" x14ac:dyDescent="0.25">
      <c r="A1303" s="1" t="str">
        <f t="shared" si="20"/>
        <v>18</v>
      </c>
      <c r="B130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03" s="1" t="s">
        <v>5793</v>
      </c>
      <c r="D1303" s="1" t="s">
        <v>4938</v>
      </c>
      <c r="E1303" s="1" t="s">
        <v>5794</v>
      </c>
      <c r="F1303" s="1" t="s">
        <v>112</v>
      </c>
      <c r="G1303" s="1">
        <v>421913</v>
      </c>
    </row>
    <row r="1304" spans="1:7" x14ac:dyDescent="0.25">
      <c r="A1304" s="1" t="str">
        <f t="shared" si="20"/>
        <v>18</v>
      </c>
      <c r="B130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04" s="1" t="s">
        <v>5795</v>
      </c>
      <c r="D1304" s="1" t="s">
        <v>5520</v>
      </c>
      <c r="E1304" s="1" t="s">
        <v>5796</v>
      </c>
      <c r="F1304" s="1" t="s">
        <v>112</v>
      </c>
      <c r="G1304" s="1">
        <v>508735</v>
      </c>
    </row>
    <row r="1305" spans="1:7" x14ac:dyDescent="0.25">
      <c r="A1305" s="1" t="str">
        <f t="shared" si="20"/>
        <v>18</v>
      </c>
      <c r="B130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305" s="1" t="s">
        <v>5797</v>
      </c>
      <c r="D1305" s="1" t="s">
        <v>5798</v>
      </c>
      <c r="E1305" s="1" t="s">
        <v>5799</v>
      </c>
      <c r="F1305" s="1" t="s">
        <v>112</v>
      </c>
      <c r="G1305" s="1">
        <v>2048005</v>
      </c>
    </row>
    <row r="1306" spans="1:7" x14ac:dyDescent="0.25">
      <c r="A1306" s="1" t="str">
        <f t="shared" si="20"/>
        <v>18</v>
      </c>
      <c r="B130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306" s="1" t="s">
        <v>5800</v>
      </c>
      <c r="D1306" s="1" t="s">
        <v>5801</v>
      </c>
      <c r="E1306" s="1" t="s">
        <v>5802</v>
      </c>
      <c r="F1306" s="1" t="s">
        <v>112</v>
      </c>
      <c r="G1306" s="1">
        <v>2134698</v>
      </c>
    </row>
    <row r="1307" spans="1:7" x14ac:dyDescent="0.25">
      <c r="A1307" s="1" t="str">
        <f t="shared" si="20"/>
        <v>18</v>
      </c>
      <c r="B130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307" s="1" t="s">
        <v>5803</v>
      </c>
      <c r="D1307" s="1" t="s">
        <v>5804</v>
      </c>
      <c r="E1307" s="1" t="s">
        <v>5805</v>
      </c>
      <c r="F1307" s="1" t="s">
        <v>112</v>
      </c>
      <c r="G1307" s="1">
        <v>2033275</v>
      </c>
    </row>
    <row r="1308" spans="1:7" x14ac:dyDescent="0.25">
      <c r="A1308" s="1" t="str">
        <f t="shared" si="20"/>
        <v>18</v>
      </c>
      <c r="B130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308" s="1" t="s">
        <v>5806</v>
      </c>
      <c r="D1308" s="1" t="s">
        <v>5807</v>
      </c>
      <c r="E1308" s="1" t="s">
        <v>5808</v>
      </c>
      <c r="F1308" s="1" t="s">
        <v>112</v>
      </c>
      <c r="G1308" s="1">
        <v>1968450</v>
      </c>
    </row>
    <row r="1309" spans="1:7" x14ac:dyDescent="0.25">
      <c r="A1309" s="1" t="str">
        <f t="shared" si="20"/>
        <v>18</v>
      </c>
      <c r="B130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309" s="1" t="s">
        <v>5809</v>
      </c>
      <c r="D1309" s="1" t="s">
        <v>5810</v>
      </c>
      <c r="E1309" s="1" t="s">
        <v>5811</v>
      </c>
      <c r="F1309" s="1" t="s">
        <v>112</v>
      </c>
      <c r="G1309" s="1">
        <v>4732794</v>
      </c>
    </row>
    <row r="1310" spans="1:7" x14ac:dyDescent="0.25">
      <c r="A1310" s="1" t="str">
        <f t="shared" si="20"/>
        <v>18</v>
      </c>
      <c r="B131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310" s="1" t="s">
        <v>5812</v>
      </c>
      <c r="D1310" s="1" t="s">
        <v>950</v>
      </c>
      <c r="E1310" s="1" t="s">
        <v>5813</v>
      </c>
      <c r="F1310" s="1" t="s">
        <v>112</v>
      </c>
      <c r="G1310" s="1">
        <v>4579654</v>
      </c>
    </row>
    <row r="1311" spans="1:7" x14ac:dyDescent="0.25">
      <c r="A1311" s="1" t="str">
        <f t="shared" si="20"/>
        <v>18</v>
      </c>
      <c r="B131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311" s="1" t="s">
        <v>5814</v>
      </c>
      <c r="D1311" s="1" t="s">
        <v>5815</v>
      </c>
      <c r="E1311" s="1" t="s">
        <v>5816</v>
      </c>
      <c r="F1311" s="1" t="s">
        <v>112</v>
      </c>
      <c r="G1311" s="1">
        <v>4285120</v>
      </c>
    </row>
    <row r="1312" spans="1:7" x14ac:dyDescent="0.25">
      <c r="A1312" s="1" t="str">
        <f t="shared" si="20"/>
        <v>18</v>
      </c>
      <c r="B131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312" s="1" t="s">
        <v>5817</v>
      </c>
      <c r="D1312" s="1" t="s">
        <v>4294</v>
      </c>
      <c r="E1312" s="1" t="s">
        <v>5818</v>
      </c>
      <c r="F1312" s="1" t="s">
        <v>112</v>
      </c>
      <c r="G1312" s="1">
        <v>3701524</v>
      </c>
    </row>
    <row r="1313" spans="1:10" x14ac:dyDescent="0.25">
      <c r="A1313" s="1" t="str">
        <f t="shared" si="20"/>
        <v>18</v>
      </c>
      <c r="B131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313" s="1" t="s">
        <v>5819</v>
      </c>
      <c r="D1313" s="1" t="s">
        <v>5820</v>
      </c>
      <c r="E1313" s="1" t="s">
        <v>5821</v>
      </c>
      <c r="F1313" s="1" t="s">
        <v>112</v>
      </c>
      <c r="G1313" s="1">
        <v>2665452</v>
      </c>
    </row>
    <row r="1314" spans="1:10" x14ac:dyDescent="0.25">
      <c r="A1314" s="1" t="str">
        <f t="shared" si="20"/>
        <v>18</v>
      </c>
      <c r="B131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314" s="1" t="s">
        <v>5822</v>
      </c>
      <c r="D1314" s="1" t="s">
        <v>5823</v>
      </c>
      <c r="E1314" s="1" t="s">
        <v>5824</v>
      </c>
      <c r="F1314" s="1" t="s">
        <v>112</v>
      </c>
      <c r="G1314" s="1">
        <v>2405850</v>
      </c>
    </row>
    <row r="1315" spans="1:10" x14ac:dyDescent="0.25">
      <c r="A1315" s="1" t="str">
        <f t="shared" si="20"/>
        <v>18</v>
      </c>
      <c r="B131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315" s="1" t="s">
        <v>5825</v>
      </c>
      <c r="D1315" s="1" t="s">
        <v>5826</v>
      </c>
      <c r="E1315" s="1" t="s">
        <v>5827</v>
      </c>
      <c r="F1315" s="1" t="s">
        <v>112</v>
      </c>
      <c r="G1315" s="1">
        <v>2986851</v>
      </c>
    </row>
    <row r="1316" spans="1:10" x14ac:dyDescent="0.25">
      <c r="A1316" s="1" t="str">
        <f t="shared" si="20"/>
        <v>18</v>
      </c>
      <c r="B131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316" s="1" t="s">
        <v>5828</v>
      </c>
      <c r="D1316" s="1" t="s">
        <v>5829</v>
      </c>
      <c r="E1316" s="1" t="s">
        <v>5830</v>
      </c>
      <c r="F1316" s="1" t="s">
        <v>112</v>
      </c>
      <c r="G1316" s="1">
        <v>2864209</v>
      </c>
    </row>
    <row r="1317" spans="1:10" x14ac:dyDescent="0.25">
      <c r="A1317" s="1" t="str">
        <f t="shared" si="20"/>
        <v>18</v>
      </c>
      <c r="B131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317" s="1" t="s">
        <v>5831</v>
      </c>
      <c r="D1317" s="1" t="s">
        <v>5832</v>
      </c>
      <c r="E1317" s="1" t="s">
        <v>5833</v>
      </c>
      <c r="F1317" s="1" t="s">
        <v>112</v>
      </c>
      <c r="G1317" s="1">
        <v>1644348</v>
      </c>
    </row>
    <row r="1318" spans="1:10" x14ac:dyDescent="0.25">
      <c r="A1318" s="1" t="str">
        <f t="shared" si="20"/>
        <v>18</v>
      </c>
      <c r="B131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318" s="1" t="s">
        <v>5834</v>
      </c>
      <c r="D1318" s="1" t="s">
        <v>1180</v>
      </c>
      <c r="E1318" s="1" t="s">
        <v>5835</v>
      </c>
      <c r="F1318" s="1" t="s">
        <v>112</v>
      </c>
      <c r="G1318" s="1">
        <v>1793162</v>
      </c>
    </row>
    <row r="1319" spans="1:10" x14ac:dyDescent="0.25">
      <c r="A1319" s="1" t="str">
        <f t="shared" si="20"/>
        <v>18</v>
      </c>
      <c r="B131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319" s="1" t="s">
        <v>5836</v>
      </c>
      <c r="D1319" s="1" t="s">
        <v>4317</v>
      </c>
      <c r="E1319" s="1" t="s">
        <v>5837</v>
      </c>
      <c r="F1319" s="1" t="s">
        <v>112</v>
      </c>
      <c r="G1319" s="1">
        <v>2194569</v>
      </c>
    </row>
    <row r="1320" spans="1:10" x14ac:dyDescent="0.25">
      <c r="A1320" s="1" t="str">
        <f t="shared" si="20"/>
        <v>18</v>
      </c>
      <c r="B132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320" s="1" t="s">
        <v>5838</v>
      </c>
      <c r="D1320" s="1" t="s">
        <v>5839</v>
      </c>
      <c r="E1320" s="1" t="s">
        <v>5840</v>
      </c>
      <c r="F1320" s="1" t="s">
        <v>112</v>
      </c>
      <c r="G1320" s="1">
        <v>2199760</v>
      </c>
    </row>
    <row r="1321" spans="1:10" x14ac:dyDescent="0.2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1" s="1" t="s">
        <v>112</v>
      </c>
    </row>
    <row r="1322" spans="1:10" x14ac:dyDescent="0.2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2" s="1" t="s">
        <v>237</v>
      </c>
      <c r="D1322" s="1" t="s">
        <v>112</v>
      </c>
      <c r="E1322" s="1" t="s">
        <v>238</v>
      </c>
      <c r="F1322" s="1" t="s">
        <v>239</v>
      </c>
      <c r="G1322" s="1" t="s">
        <v>240</v>
      </c>
      <c r="H1322" s="1" t="s">
        <v>241</v>
      </c>
      <c r="I1322" s="1" t="s">
        <v>242</v>
      </c>
      <c r="J1322" s="1" t="s">
        <v>243</v>
      </c>
    </row>
    <row r="1323" spans="1:10" x14ac:dyDescent="0.25">
      <c r="A1323" s="1" t="str">
        <f t="shared" si="20"/>
        <v>18</v>
      </c>
      <c r="B132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323" s="1" t="s">
        <v>5841</v>
      </c>
      <c r="D1323" s="1" t="s">
        <v>112</v>
      </c>
      <c r="E1323" s="1" t="s">
        <v>5842</v>
      </c>
      <c r="F1323" s="1" t="s">
        <v>5843</v>
      </c>
      <c r="G1323" s="1" t="s">
        <v>5844</v>
      </c>
      <c r="H1323" s="1" t="s">
        <v>5845</v>
      </c>
      <c r="I1323" s="1">
        <v>32</v>
      </c>
      <c r="J1323" s="1">
        <v>32</v>
      </c>
    </row>
    <row r="1324" spans="1:10" x14ac:dyDescent="0.2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4" s="1" t="s">
        <v>112</v>
      </c>
    </row>
    <row r="1325" spans="1:10" x14ac:dyDescent="0.2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5" s="1" t="s">
        <v>112</v>
      </c>
    </row>
    <row r="1326" spans="1:10" x14ac:dyDescent="0.2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6" s="1" t="s">
        <v>112</v>
      </c>
    </row>
    <row r="1327" spans="1:10" x14ac:dyDescent="0.2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7" s="1" t="s">
        <v>112</v>
      </c>
    </row>
    <row r="1328" spans="1:10" x14ac:dyDescent="0.2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8" s="1" t="s">
        <v>112</v>
      </c>
    </row>
    <row r="1329" spans="1:7" x14ac:dyDescent="0.2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9" s="1" t="s">
        <v>249</v>
      </c>
      <c r="D1329" s="1" t="s">
        <v>110</v>
      </c>
      <c r="E1329" s="1" t="s">
        <v>111</v>
      </c>
      <c r="F1329" s="1" t="s">
        <v>112</v>
      </c>
      <c r="G1329" s="1" t="s">
        <v>113</v>
      </c>
    </row>
    <row r="1330" spans="1:7" x14ac:dyDescent="0.25">
      <c r="A1330" s="1" t="str">
        <f t="shared" si="20"/>
        <v>19</v>
      </c>
      <c r="B133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30" s="1" t="s">
        <v>5846</v>
      </c>
      <c r="D1330" s="1" t="s">
        <v>5847</v>
      </c>
      <c r="E1330" s="1" t="s">
        <v>5848</v>
      </c>
      <c r="F1330" s="1" t="s">
        <v>112</v>
      </c>
      <c r="G1330" s="1">
        <v>530906</v>
      </c>
    </row>
    <row r="1331" spans="1:7" x14ac:dyDescent="0.25">
      <c r="A1331" s="1" t="str">
        <f t="shared" si="20"/>
        <v>19</v>
      </c>
      <c r="B133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31" s="1" t="s">
        <v>5849</v>
      </c>
      <c r="D1331" s="1" t="s">
        <v>5850</v>
      </c>
      <c r="E1331" s="1" t="s">
        <v>5851</v>
      </c>
      <c r="F1331" s="1" t="s">
        <v>112</v>
      </c>
      <c r="G1331" s="1">
        <v>718286</v>
      </c>
    </row>
    <row r="1332" spans="1:7" x14ac:dyDescent="0.25">
      <c r="A1332" s="1" t="str">
        <f t="shared" si="20"/>
        <v>19</v>
      </c>
      <c r="B133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32" s="1" t="s">
        <v>5852</v>
      </c>
      <c r="D1332" s="1" t="s">
        <v>5853</v>
      </c>
      <c r="E1332" s="1" t="s">
        <v>5854</v>
      </c>
      <c r="F1332" s="1" t="s">
        <v>112</v>
      </c>
      <c r="G1332" s="1">
        <v>463615</v>
      </c>
    </row>
    <row r="1333" spans="1:7" x14ac:dyDescent="0.25">
      <c r="A1333" s="1" t="str">
        <f t="shared" si="20"/>
        <v>19</v>
      </c>
      <c r="B133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33" s="1" t="s">
        <v>5855</v>
      </c>
      <c r="D1333" s="1" t="s">
        <v>2794</v>
      </c>
      <c r="E1333" s="1" t="s">
        <v>5856</v>
      </c>
      <c r="F1333" s="1" t="s">
        <v>112</v>
      </c>
      <c r="G1333" s="1">
        <v>473738</v>
      </c>
    </row>
    <row r="1334" spans="1:7" x14ac:dyDescent="0.25">
      <c r="A1334" s="1" t="str">
        <f t="shared" si="20"/>
        <v>19</v>
      </c>
      <c r="B133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34" s="1" t="s">
        <v>5857</v>
      </c>
      <c r="D1334" s="1" t="s">
        <v>5858</v>
      </c>
      <c r="E1334" s="1" t="s">
        <v>5859</v>
      </c>
      <c r="F1334" s="1" t="s">
        <v>112</v>
      </c>
      <c r="G1334" s="1">
        <v>2338105</v>
      </c>
    </row>
    <row r="1335" spans="1:7" x14ac:dyDescent="0.25">
      <c r="A1335" s="1" t="str">
        <f t="shared" si="20"/>
        <v>19</v>
      </c>
      <c r="B133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35" s="1" t="s">
        <v>5860</v>
      </c>
      <c r="D1335" s="1" t="s">
        <v>5861</v>
      </c>
      <c r="E1335" s="1" t="s">
        <v>5862</v>
      </c>
      <c r="F1335" s="1" t="s">
        <v>112</v>
      </c>
      <c r="G1335" s="1">
        <v>1768525</v>
      </c>
    </row>
    <row r="1336" spans="1:7" x14ac:dyDescent="0.25">
      <c r="A1336" s="1" t="str">
        <f t="shared" si="20"/>
        <v>19</v>
      </c>
      <c r="B133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36" s="1" t="s">
        <v>5863</v>
      </c>
      <c r="D1336" s="1" t="s">
        <v>5864</v>
      </c>
      <c r="E1336" s="1" t="s">
        <v>5865</v>
      </c>
      <c r="F1336" s="1" t="s">
        <v>112</v>
      </c>
      <c r="G1336" s="1">
        <v>2371588</v>
      </c>
    </row>
    <row r="1337" spans="1:7" x14ac:dyDescent="0.25">
      <c r="A1337" s="1" t="str">
        <f t="shared" si="20"/>
        <v>19</v>
      </c>
      <c r="B133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37" s="1" t="s">
        <v>5866</v>
      </c>
      <c r="D1337" s="1" t="s">
        <v>5867</v>
      </c>
      <c r="E1337" s="1" t="s">
        <v>5868</v>
      </c>
      <c r="F1337" s="1" t="s">
        <v>112</v>
      </c>
      <c r="G1337" s="1">
        <v>1835253</v>
      </c>
    </row>
    <row r="1338" spans="1:7" x14ac:dyDescent="0.25">
      <c r="A1338" s="1" t="str">
        <f t="shared" si="20"/>
        <v>19</v>
      </c>
      <c r="B133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338" s="1" t="s">
        <v>5869</v>
      </c>
      <c r="D1338" s="1" t="s">
        <v>5870</v>
      </c>
      <c r="E1338" s="1" t="s">
        <v>5871</v>
      </c>
      <c r="F1338" s="1" t="s">
        <v>112</v>
      </c>
      <c r="G1338" s="1">
        <v>2450559</v>
      </c>
    </row>
    <row r="1339" spans="1:7" x14ac:dyDescent="0.25">
      <c r="A1339" s="1" t="str">
        <f t="shared" si="20"/>
        <v>19</v>
      </c>
      <c r="B133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339" s="1" t="s">
        <v>5872</v>
      </c>
      <c r="D1339" s="1" t="s">
        <v>5301</v>
      </c>
      <c r="E1339" s="1" t="s">
        <v>5873</v>
      </c>
      <c r="F1339" s="1" t="s">
        <v>112</v>
      </c>
      <c r="G1339" s="1">
        <v>3165081</v>
      </c>
    </row>
    <row r="1340" spans="1:7" x14ac:dyDescent="0.25">
      <c r="A1340" s="1" t="str">
        <f t="shared" si="20"/>
        <v>19</v>
      </c>
      <c r="B134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340" s="1" t="s">
        <v>5874</v>
      </c>
      <c r="D1340" s="1" t="s">
        <v>5875</v>
      </c>
      <c r="E1340" s="1" t="s">
        <v>5876</v>
      </c>
      <c r="F1340" s="1" t="s">
        <v>112</v>
      </c>
      <c r="G1340" s="1">
        <v>3237000</v>
      </c>
    </row>
    <row r="1341" spans="1:7" x14ac:dyDescent="0.25">
      <c r="A1341" s="1" t="str">
        <f t="shared" si="20"/>
        <v>19</v>
      </c>
      <c r="B134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341" s="1" t="s">
        <v>5877</v>
      </c>
      <c r="D1341" s="1" t="s">
        <v>1914</v>
      </c>
      <c r="E1341" s="1" t="s">
        <v>5878</v>
      </c>
      <c r="F1341" s="1" t="s">
        <v>112</v>
      </c>
      <c r="G1341" s="1">
        <v>2786752</v>
      </c>
    </row>
    <row r="1342" spans="1:7" x14ac:dyDescent="0.25">
      <c r="A1342" s="1" t="str">
        <f t="shared" si="20"/>
        <v>19</v>
      </c>
      <c r="B134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42" s="1" t="s">
        <v>5879</v>
      </c>
      <c r="D1342" s="1" t="s">
        <v>2194</v>
      </c>
      <c r="E1342" s="1" t="s">
        <v>5880</v>
      </c>
      <c r="F1342" s="1" t="s">
        <v>112</v>
      </c>
      <c r="G1342" s="1">
        <v>146305</v>
      </c>
    </row>
    <row r="1343" spans="1:7" x14ac:dyDescent="0.25">
      <c r="A1343" s="1" t="str">
        <f t="shared" si="20"/>
        <v>19</v>
      </c>
      <c r="B134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43" s="1" t="s">
        <v>5881</v>
      </c>
      <c r="D1343" s="1" t="s">
        <v>5882</v>
      </c>
      <c r="E1343" s="1" t="s">
        <v>5883</v>
      </c>
      <c r="F1343" s="1" t="s">
        <v>112</v>
      </c>
      <c r="G1343" s="1">
        <v>294664</v>
      </c>
    </row>
    <row r="1344" spans="1:7" x14ac:dyDescent="0.25">
      <c r="A1344" s="1" t="str">
        <f t="shared" si="20"/>
        <v>19</v>
      </c>
      <c r="B134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44" s="1" t="s">
        <v>5884</v>
      </c>
      <c r="D1344" s="1" t="s">
        <v>665</v>
      </c>
      <c r="E1344" s="1" t="s">
        <v>5885</v>
      </c>
      <c r="F1344" s="1" t="s">
        <v>112</v>
      </c>
      <c r="G1344" s="1">
        <v>129044</v>
      </c>
    </row>
    <row r="1345" spans="1:7" x14ac:dyDescent="0.25">
      <c r="A1345" s="1" t="str">
        <f t="shared" si="20"/>
        <v>19</v>
      </c>
      <c r="B134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45" s="1" t="s">
        <v>5886</v>
      </c>
    </row>
    <row r="1346" spans="1:7" x14ac:dyDescent="0.25">
      <c r="A1346" s="1" t="str">
        <f t="shared" ref="A1346:A1409" si="21">IFERROR(LEFT(RIGHT(C1346,LEN(C1346)-SEARCH("@",C1346)),SEARCH("/",RIGHT(C1346,LEN(C1346)-SEARCH("@",C1346)-1))),"")</f>
        <v>19</v>
      </c>
      <c r="B134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346" s="1" t="s">
        <v>5887</v>
      </c>
      <c r="D1346" s="1" t="s">
        <v>5888</v>
      </c>
      <c r="E1346" s="1" t="s">
        <v>5889</v>
      </c>
      <c r="F1346" s="1" t="s">
        <v>112</v>
      </c>
      <c r="G1346" s="1">
        <v>1109289</v>
      </c>
    </row>
    <row r="1347" spans="1:7" x14ac:dyDescent="0.25">
      <c r="A1347" s="1" t="str">
        <f t="shared" si="21"/>
        <v>19</v>
      </c>
      <c r="B134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347" s="1" t="s">
        <v>5890</v>
      </c>
      <c r="D1347" s="1" t="s">
        <v>5891</v>
      </c>
      <c r="E1347" s="1" t="s">
        <v>5892</v>
      </c>
      <c r="F1347" s="1" t="s">
        <v>112</v>
      </c>
      <c r="G1347" s="1">
        <v>1099166</v>
      </c>
    </row>
    <row r="1348" spans="1:7" x14ac:dyDescent="0.25">
      <c r="A1348" s="1" t="str">
        <f t="shared" si="21"/>
        <v>19</v>
      </c>
      <c r="B134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348" s="1" t="s">
        <v>5893</v>
      </c>
      <c r="D1348" s="1" t="s">
        <v>5894</v>
      </c>
      <c r="E1348" s="1" t="s">
        <v>5895</v>
      </c>
      <c r="F1348" s="1" t="s">
        <v>112</v>
      </c>
      <c r="G1348" s="1">
        <v>1279452</v>
      </c>
    </row>
    <row r="1349" spans="1:7" x14ac:dyDescent="0.25">
      <c r="A1349" s="1" t="str">
        <f t="shared" si="21"/>
        <v>19</v>
      </c>
      <c r="B134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349" s="1" t="s">
        <v>5896</v>
      </c>
      <c r="D1349" s="1" t="s">
        <v>5897</v>
      </c>
      <c r="E1349" s="1" t="s">
        <v>5898</v>
      </c>
      <c r="F1349" s="1" t="s">
        <v>112</v>
      </c>
      <c r="G1349" s="1">
        <v>1512384</v>
      </c>
    </row>
    <row r="1350" spans="1:7" x14ac:dyDescent="0.25">
      <c r="A1350" s="1" t="str">
        <f t="shared" si="21"/>
        <v>19</v>
      </c>
      <c r="B135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350" s="1" t="s">
        <v>5899</v>
      </c>
      <c r="D1350" s="1" t="s">
        <v>5900</v>
      </c>
      <c r="E1350" s="1" t="s">
        <v>5901</v>
      </c>
      <c r="F1350" s="1" t="s">
        <v>112</v>
      </c>
      <c r="G1350" s="1">
        <v>1017492</v>
      </c>
    </row>
    <row r="1351" spans="1:7" x14ac:dyDescent="0.25">
      <c r="A1351" s="1" t="str">
        <f t="shared" si="21"/>
        <v>19</v>
      </c>
      <c r="B135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351" s="1" t="s">
        <v>5902</v>
      </c>
      <c r="D1351" s="1" t="s">
        <v>5903</v>
      </c>
      <c r="E1351" s="1" t="s">
        <v>5904</v>
      </c>
      <c r="F1351" s="1" t="s">
        <v>112</v>
      </c>
      <c r="G1351" s="1">
        <v>896191</v>
      </c>
    </row>
    <row r="1352" spans="1:7" x14ac:dyDescent="0.25">
      <c r="A1352" s="1" t="str">
        <f t="shared" si="21"/>
        <v>19</v>
      </c>
      <c r="B135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352" s="1" t="s">
        <v>5905</v>
      </c>
      <c r="D1352" s="1" t="s">
        <v>5906</v>
      </c>
      <c r="E1352" s="1" t="s">
        <v>5907</v>
      </c>
      <c r="F1352" s="1" t="s">
        <v>112</v>
      </c>
      <c r="G1352" s="1">
        <v>770998</v>
      </c>
    </row>
    <row r="1353" spans="1:7" x14ac:dyDescent="0.25">
      <c r="A1353" s="1" t="str">
        <f t="shared" si="21"/>
        <v>19</v>
      </c>
      <c r="B135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353" s="1" t="s">
        <v>5908</v>
      </c>
      <c r="D1353" s="1" t="s">
        <v>3610</v>
      </c>
      <c r="E1353" s="1" t="s">
        <v>5909</v>
      </c>
      <c r="F1353" s="1" t="s">
        <v>112</v>
      </c>
      <c r="G1353" s="1">
        <v>910705</v>
      </c>
    </row>
    <row r="1354" spans="1:7" x14ac:dyDescent="0.25">
      <c r="A1354" s="1" t="str">
        <f t="shared" si="21"/>
        <v>19</v>
      </c>
      <c r="B135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354" s="1" t="s">
        <v>5910</v>
      </c>
    </row>
    <row r="1355" spans="1:7" x14ac:dyDescent="0.25">
      <c r="A1355" s="1" t="str">
        <f t="shared" si="21"/>
        <v>19</v>
      </c>
      <c r="B135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355" s="1" t="s">
        <v>5911</v>
      </c>
      <c r="D1355" s="1" t="s">
        <v>3197</v>
      </c>
      <c r="E1355" s="1" t="s">
        <v>5912</v>
      </c>
      <c r="F1355" s="1" t="s">
        <v>112</v>
      </c>
      <c r="G1355" s="1">
        <v>143623</v>
      </c>
    </row>
    <row r="1356" spans="1:7" x14ac:dyDescent="0.25">
      <c r="A1356" s="1" t="str">
        <f t="shared" si="21"/>
        <v>19</v>
      </c>
      <c r="B135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356" s="1" t="s">
        <v>5913</v>
      </c>
      <c r="D1356" s="1" t="s">
        <v>224</v>
      </c>
      <c r="E1356" s="1" t="s">
        <v>5914</v>
      </c>
      <c r="F1356" s="1" t="s">
        <v>112</v>
      </c>
      <c r="G1356" s="1">
        <v>127141</v>
      </c>
    </row>
    <row r="1357" spans="1:7" x14ac:dyDescent="0.25">
      <c r="A1357" s="1" t="str">
        <f t="shared" si="21"/>
        <v>19</v>
      </c>
      <c r="B135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357" s="1" t="s">
        <v>5915</v>
      </c>
      <c r="D1357" s="1" t="s">
        <v>5916</v>
      </c>
      <c r="E1357" s="1" t="s">
        <v>5917</v>
      </c>
      <c r="F1357" s="1" t="s">
        <v>112</v>
      </c>
      <c r="G1357" s="1">
        <v>105554</v>
      </c>
    </row>
    <row r="1358" spans="1:7" x14ac:dyDescent="0.25">
      <c r="A1358" s="1" t="str">
        <f t="shared" si="21"/>
        <v>19</v>
      </c>
      <c r="B135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358" s="1" t="s">
        <v>5918</v>
      </c>
      <c r="D1358" s="1" t="s">
        <v>4202</v>
      </c>
      <c r="E1358" s="1" t="s">
        <v>5919</v>
      </c>
      <c r="F1358" s="1" t="s">
        <v>112</v>
      </c>
      <c r="G1358" s="1">
        <v>793839</v>
      </c>
    </row>
    <row r="1359" spans="1:7" x14ac:dyDescent="0.25">
      <c r="A1359" s="1" t="str">
        <f t="shared" si="21"/>
        <v>19</v>
      </c>
      <c r="B135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359" s="1" t="s">
        <v>5920</v>
      </c>
      <c r="D1359" s="1" t="s">
        <v>2594</v>
      </c>
      <c r="E1359" s="1" t="s">
        <v>5921</v>
      </c>
      <c r="F1359" s="1" t="s">
        <v>112</v>
      </c>
      <c r="G1359" s="1">
        <v>304744</v>
      </c>
    </row>
    <row r="1360" spans="1:7" x14ac:dyDescent="0.25">
      <c r="A1360" s="1" t="str">
        <f t="shared" si="21"/>
        <v>19</v>
      </c>
      <c r="B136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360" s="1" t="s">
        <v>5922</v>
      </c>
    </row>
    <row r="1361" spans="1:10" x14ac:dyDescent="0.25">
      <c r="A1361" s="1" t="str">
        <f t="shared" si="21"/>
        <v>19</v>
      </c>
      <c r="B136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361" s="1" t="s">
        <v>5923</v>
      </c>
      <c r="D1361" s="1" t="s">
        <v>5924</v>
      </c>
      <c r="E1361" s="1" t="s">
        <v>5925</v>
      </c>
      <c r="F1361" s="1" t="s">
        <v>112</v>
      </c>
      <c r="G1361" s="1">
        <v>1308306</v>
      </c>
    </row>
    <row r="1362" spans="1:10" x14ac:dyDescent="0.2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62" s="1" t="s">
        <v>112</v>
      </c>
    </row>
    <row r="1363" spans="1:10" x14ac:dyDescent="0.2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63" s="1" t="s">
        <v>237</v>
      </c>
      <c r="D1363" s="1" t="s">
        <v>112</v>
      </c>
      <c r="E1363" s="1" t="s">
        <v>238</v>
      </c>
      <c r="F1363" s="1" t="s">
        <v>239</v>
      </c>
      <c r="G1363" s="1" t="s">
        <v>240</v>
      </c>
      <c r="H1363" s="1" t="s">
        <v>241</v>
      </c>
      <c r="I1363" s="1" t="s">
        <v>242</v>
      </c>
      <c r="J1363" s="1" t="s">
        <v>243</v>
      </c>
    </row>
    <row r="1364" spans="1:10" x14ac:dyDescent="0.25">
      <c r="A1364" s="1" t="str">
        <f t="shared" si="21"/>
        <v>19</v>
      </c>
      <c r="B136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364" s="1" t="s">
        <v>5926</v>
      </c>
      <c r="D1364" s="1" t="s">
        <v>112</v>
      </c>
      <c r="E1364" s="1" t="s">
        <v>5927</v>
      </c>
      <c r="F1364" s="1" t="s">
        <v>5928</v>
      </c>
      <c r="G1364" s="1" t="s">
        <v>5929</v>
      </c>
      <c r="H1364" s="1" t="s">
        <v>5930</v>
      </c>
      <c r="I1364" s="1">
        <v>32</v>
      </c>
      <c r="J1364" s="1">
        <v>32</v>
      </c>
    </row>
    <row r="1365" spans="1:10" x14ac:dyDescent="0.2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65" s="1" t="s">
        <v>112</v>
      </c>
    </row>
    <row r="1366" spans="1:10" x14ac:dyDescent="0.2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66" s="1" t="s">
        <v>112</v>
      </c>
    </row>
    <row r="1367" spans="1:10" x14ac:dyDescent="0.2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67" s="1" t="s">
        <v>112</v>
      </c>
    </row>
    <row r="1368" spans="1:10" x14ac:dyDescent="0.2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68" s="1" t="s">
        <v>112</v>
      </c>
    </row>
    <row r="1369" spans="1:10" x14ac:dyDescent="0.2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69" s="1" t="s">
        <v>112</v>
      </c>
    </row>
    <row r="1370" spans="1:10" x14ac:dyDescent="0.2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70" s="1" t="s">
        <v>249</v>
      </c>
      <c r="D1370" s="1" t="s">
        <v>110</v>
      </c>
      <c r="E1370" s="1" t="s">
        <v>111</v>
      </c>
      <c r="F1370" s="1" t="s">
        <v>112</v>
      </c>
      <c r="G1370" s="1" t="s">
        <v>113</v>
      </c>
    </row>
    <row r="1371" spans="1:10" x14ac:dyDescent="0.25">
      <c r="A1371" s="1" t="str">
        <f t="shared" si="21"/>
        <v>20</v>
      </c>
      <c r="B137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71" s="1" t="s">
        <v>5931</v>
      </c>
      <c r="D1371" s="1" t="s">
        <v>5932</v>
      </c>
      <c r="E1371" s="1" t="s">
        <v>5933</v>
      </c>
      <c r="F1371" s="1" t="s">
        <v>112</v>
      </c>
      <c r="G1371" s="1">
        <v>1939250</v>
      </c>
    </row>
    <row r="1372" spans="1:10" x14ac:dyDescent="0.25">
      <c r="A1372" s="1" t="str">
        <f t="shared" si="21"/>
        <v>20</v>
      </c>
      <c r="B137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72" s="1" t="s">
        <v>5934</v>
      </c>
      <c r="D1372" s="1" t="s">
        <v>345</v>
      </c>
      <c r="E1372" s="1" t="s">
        <v>5935</v>
      </c>
      <c r="F1372" s="1" t="s">
        <v>112</v>
      </c>
      <c r="G1372" s="1">
        <v>1720226</v>
      </c>
    </row>
    <row r="1373" spans="1:10" x14ac:dyDescent="0.25">
      <c r="A1373" s="1" t="str">
        <f t="shared" si="21"/>
        <v>20</v>
      </c>
      <c r="B137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73" s="1" t="s">
        <v>5936</v>
      </c>
      <c r="D1373" s="1" t="s">
        <v>5937</v>
      </c>
      <c r="E1373" s="1" t="s">
        <v>5938</v>
      </c>
      <c r="F1373" s="1" t="s">
        <v>112</v>
      </c>
      <c r="G1373" s="1">
        <v>1875528</v>
      </c>
    </row>
    <row r="1374" spans="1:10" x14ac:dyDescent="0.25">
      <c r="A1374" s="1" t="str">
        <f t="shared" si="21"/>
        <v>20</v>
      </c>
      <c r="B137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74" s="1" t="s">
        <v>5939</v>
      </c>
      <c r="D1374" s="1" t="s">
        <v>5940</v>
      </c>
      <c r="E1374" s="1" t="s">
        <v>5941</v>
      </c>
      <c r="F1374" s="1" t="s">
        <v>112</v>
      </c>
      <c r="G1374" s="1">
        <v>2638674</v>
      </c>
    </row>
    <row r="1375" spans="1:10" x14ac:dyDescent="0.25">
      <c r="A1375" s="1" t="str">
        <f t="shared" si="21"/>
        <v>20</v>
      </c>
      <c r="B137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5" s="1" t="s">
        <v>5942</v>
      </c>
      <c r="D1375" s="1" t="s">
        <v>5943</v>
      </c>
      <c r="E1375" s="1" t="s">
        <v>5944</v>
      </c>
      <c r="F1375" s="1" t="s">
        <v>112</v>
      </c>
      <c r="G1375" s="1">
        <v>1805793</v>
      </c>
    </row>
    <row r="1376" spans="1:10" x14ac:dyDescent="0.25">
      <c r="A1376" s="1" t="str">
        <f t="shared" si="21"/>
        <v>20</v>
      </c>
      <c r="B137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6" s="1" t="s">
        <v>5945</v>
      </c>
      <c r="D1376" s="1" t="s">
        <v>5946</v>
      </c>
      <c r="E1376" s="1" t="s">
        <v>5947</v>
      </c>
      <c r="F1376" s="1" t="s">
        <v>112</v>
      </c>
      <c r="G1376" s="1">
        <v>1638940</v>
      </c>
    </row>
    <row r="1377" spans="1:7" x14ac:dyDescent="0.25">
      <c r="A1377" s="1" t="str">
        <f t="shared" si="21"/>
        <v>20</v>
      </c>
      <c r="B137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7" s="1" t="s">
        <v>5948</v>
      </c>
      <c r="D1377" s="1" t="s">
        <v>5949</v>
      </c>
      <c r="E1377" s="1" t="s">
        <v>5950</v>
      </c>
      <c r="F1377" s="1" t="s">
        <v>112</v>
      </c>
      <c r="G1377" s="1">
        <v>1201195</v>
      </c>
    </row>
    <row r="1378" spans="1:7" x14ac:dyDescent="0.25">
      <c r="A1378" s="1" t="str">
        <f t="shared" si="21"/>
        <v>20</v>
      </c>
      <c r="B137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8" s="1" t="s">
        <v>5951</v>
      </c>
    </row>
    <row r="1379" spans="1:7" x14ac:dyDescent="0.25">
      <c r="A1379" s="1" t="str">
        <f t="shared" si="21"/>
        <v>20</v>
      </c>
      <c r="B137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379" s="1" t="s">
        <v>5952</v>
      </c>
    </row>
    <row r="1380" spans="1:7" x14ac:dyDescent="0.25">
      <c r="A1380" s="1" t="str">
        <f t="shared" si="21"/>
        <v>20</v>
      </c>
      <c r="B138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380" s="1" t="s">
        <v>5953</v>
      </c>
      <c r="D1380" s="1" t="s">
        <v>5954</v>
      </c>
      <c r="E1380" s="1" t="s">
        <v>5955</v>
      </c>
      <c r="F1380" s="1" t="s">
        <v>112</v>
      </c>
      <c r="G1380" s="1">
        <v>2290930</v>
      </c>
    </row>
    <row r="1381" spans="1:7" x14ac:dyDescent="0.25">
      <c r="A1381" s="1" t="str">
        <f t="shared" si="21"/>
        <v>20</v>
      </c>
      <c r="B138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381" s="1" t="s">
        <v>5956</v>
      </c>
      <c r="D1381" s="1" t="s">
        <v>5957</v>
      </c>
      <c r="E1381" s="1" t="s">
        <v>5958</v>
      </c>
      <c r="F1381" s="1" t="s">
        <v>112</v>
      </c>
      <c r="G1381" s="1">
        <v>2010261</v>
      </c>
    </row>
    <row r="1382" spans="1:7" x14ac:dyDescent="0.25">
      <c r="A1382" s="1" t="str">
        <f t="shared" si="21"/>
        <v>20</v>
      </c>
      <c r="B138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382" s="1" t="s">
        <v>5959</v>
      </c>
      <c r="D1382" s="1" t="s">
        <v>5960</v>
      </c>
      <c r="E1382" s="1" t="s">
        <v>5961</v>
      </c>
      <c r="F1382" s="1" t="s">
        <v>112</v>
      </c>
      <c r="G1382" s="1">
        <v>2004248</v>
      </c>
    </row>
    <row r="1383" spans="1:7" x14ac:dyDescent="0.25">
      <c r="A1383" s="1" t="str">
        <f t="shared" si="21"/>
        <v>20</v>
      </c>
      <c r="B138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83" s="1" t="s">
        <v>5962</v>
      </c>
      <c r="D1383" s="1" t="s">
        <v>5963</v>
      </c>
      <c r="E1383" s="1" t="s">
        <v>5964</v>
      </c>
      <c r="F1383" s="1" t="s">
        <v>112</v>
      </c>
      <c r="G1383" s="1">
        <v>1547057</v>
      </c>
    </row>
    <row r="1384" spans="1:7" x14ac:dyDescent="0.25">
      <c r="A1384" s="1" t="str">
        <f t="shared" si="21"/>
        <v>20</v>
      </c>
      <c r="B138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84" s="1" t="s">
        <v>5965</v>
      </c>
    </row>
    <row r="1385" spans="1:7" x14ac:dyDescent="0.25">
      <c r="A1385" s="1" t="str">
        <f t="shared" si="21"/>
        <v>20</v>
      </c>
      <c r="B138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85" s="1" t="s">
        <v>5966</v>
      </c>
      <c r="D1385" s="1" t="s">
        <v>5967</v>
      </c>
      <c r="E1385" s="1" t="s">
        <v>5968</v>
      </c>
      <c r="F1385" s="1" t="s">
        <v>112</v>
      </c>
      <c r="G1385" s="1">
        <v>2815088</v>
      </c>
    </row>
    <row r="1386" spans="1:7" x14ac:dyDescent="0.25">
      <c r="A1386" s="1" t="str">
        <f t="shared" si="21"/>
        <v>20</v>
      </c>
      <c r="B138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86" s="1" t="s">
        <v>5969</v>
      </c>
      <c r="D1386" s="1" t="s">
        <v>3028</v>
      </c>
      <c r="E1386" s="1" t="s">
        <v>5970</v>
      </c>
      <c r="F1386" s="1" t="s">
        <v>112</v>
      </c>
      <c r="G1386" s="1">
        <v>2239646</v>
      </c>
    </row>
    <row r="1387" spans="1:7" x14ac:dyDescent="0.25">
      <c r="A1387" s="1" t="str">
        <f t="shared" si="21"/>
        <v>20</v>
      </c>
      <c r="B138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387" s="1" t="s">
        <v>5971</v>
      </c>
      <c r="D1387" s="1" t="s">
        <v>5972</v>
      </c>
      <c r="E1387" s="1" t="s">
        <v>5973</v>
      </c>
      <c r="F1387" s="1" t="s">
        <v>112</v>
      </c>
      <c r="G1387" s="1">
        <v>2924081</v>
      </c>
    </row>
    <row r="1388" spans="1:7" x14ac:dyDescent="0.25">
      <c r="A1388" s="1" t="str">
        <f t="shared" si="21"/>
        <v>20</v>
      </c>
      <c r="B138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388" s="1" t="s">
        <v>5974</v>
      </c>
      <c r="D1388" s="1" t="s">
        <v>5975</v>
      </c>
      <c r="E1388" s="1" t="s">
        <v>5976</v>
      </c>
      <c r="F1388" s="1" t="s">
        <v>112</v>
      </c>
      <c r="G1388" s="1">
        <v>2360925</v>
      </c>
    </row>
    <row r="1389" spans="1:7" x14ac:dyDescent="0.25">
      <c r="A1389" s="1" t="str">
        <f t="shared" si="21"/>
        <v>20</v>
      </c>
      <c r="B138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389" s="1" t="s">
        <v>5977</v>
      </c>
      <c r="D1389" s="1" t="s">
        <v>5978</v>
      </c>
      <c r="E1389" s="1" t="s">
        <v>5979</v>
      </c>
      <c r="F1389" s="1" t="s">
        <v>112</v>
      </c>
      <c r="G1389" s="1">
        <v>2796616</v>
      </c>
    </row>
    <row r="1390" spans="1:7" x14ac:dyDescent="0.25">
      <c r="A1390" s="1" t="str">
        <f t="shared" si="21"/>
        <v>20</v>
      </c>
      <c r="B139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390" s="1" t="s">
        <v>5980</v>
      </c>
      <c r="D1390" s="1" t="s">
        <v>5981</v>
      </c>
      <c r="E1390" s="1" t="s">
        <v>5982</v>
      </c>
      <c r="F1390" s="1" t="s">
        <v>112</v>
      </c>
      <c r="G1390" s="1">
        <v>3499977</v>
      </c>
    </row>
    <row r="1391" spans="1:7" x14ac:dyDescent="0.25">
      <c r="A1391" s="1" t="str">
        <f t="shared" si="21"/>
        <v>20</v>
      </c>
      <c r="B139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391" s="1" t="s">
        <v>5983</v>
      </c>
    </row>
    <row r="1392" spans="1:7" x14ac:dyDescent="0.25">
      <c r="A1392" s="1" t="str">
        <f t="shared" si="21"/>
        <v>20</v>
      </c>
      <c r="B139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392" s="1" t="s">
        <v>5984</v>
      </c>
      <c r="D1392" s="1" t="s">
        <v>5985</v>
      </c>
      <c r="E1392" s="1" t="s">
        <v>5986</v>
      </c>
      <c r="F1392" s="1" t="s">
        <v>112</v>
      </c>
      <c r="G1392" s="1">
        <v>2994637</v>
      </c>
    </row>
    <row r="1393" spans="1:10" x14ac:dyDescent="0.25">
      <c r="A1393" s="1" t="str">
        <f t="shared" si="21"/>
        <v>20</v>
      </c>
      <c r="B139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393" s="1" t="s">
        <v>5987</v>
      </c>
    </row>
    <row r="1394" spans="1:10" x14ac:dyDescent="0.25">
      <c r="A1394" s="1" t="str">
        <f t="shared" si="21"/>
        <v>20</v>
      </c>
      <c r="B139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394" s="1" t="s">
        <v>5988</v>
      </c>
      <c r="D1394" s="1" t="s">
        <v>5301</v>
      </c>
      <c r="E1394" s="1" t="s">
        <v>5989</v>
      </c>
      <c r="F1394" s="1" t="s">
        <v>112</v>
      </c>
      <c r="G1394" s="1">
        <v>2943310</v>
      </c>
    </row>
    <row r="1395" spans="1:10" x14ac:dyDescent="0.25">
      <c r="A1395" s="1" t="str">
        <f t="shared" si="21"/>
        <v>20</v>
      </c>
      <c r="B139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395" s="1" t="s">
        <v>5990</v>
      </c>
      <c r="D1395" s="1" t="s">
        <v>3256</v>
      </c>
      <c r="E1395" s="1" t="s">
        <v>5991</v>
      </c>
      <c r="F1395" s="1" t="s">
        <v>112</v>
      </c>
      <c r="G1395" s="1">
        <v>2033513</v>
      </c>
    </row>
    <row r="1396" spans="1:10" x14ac:dyDescent="0.25">
      <c r="A1396" s="1" t="str">
        <f t="shared" si="21"/>
        <v>20</v>
      </c>
      <c r="B139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396" s="1" t="s">
        <v>5992</v>
      </c>
      <c r="D1396" s="1" t="s">
        <v>5993</v>
      </c>
      <c r="E1396" s="1" t="s">
        <v>5994</v>
      </c>
      <c r="F1396" s="1" t="s">
        <v>112</v>
      </c>
      <c r="G1396" s="1">
        <v>1917793</v>
      </c>
    </row>
    <row r="1397" spans="1:10" x14ac:dyDescent="0.25">
      <c r="A1397" s="1" t="str">
        <f t="shared" si="21"/>
        <v>20</v>
      </c>
      <c r="B139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397" s="1" t="s">
        <v>5995</v>
      </c>
      <c r="D1397" s="1" t="s">
        <v>5996</v>
      </c>
      <c r="E1397" s="1" t="s">
        <v>5997</v>
      </c>
      <c r="F1397" s="1" t="s">
        <v>112</v>
      </c>
      <c r="G1397" s="1">
        <v>1194554</v>
      </c>
    </row>
    <row r="1398" spans="1:10" x14ac:dyDescent="0.25">
      <c r="A1398" s="1" t="str">
        <f t="shared" si="21"/>
        <v>20</v>
      </c>
      <c r="B139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398" s="1" t="s">
        <v>5998</v>
      </c>
      <c r="D1398" s="1" t="s">
        <v>5999</v>
      </c>
      <c r="E1398" s="1" t="s">
        <v>6000</v>
      </c>
      <c r="F1398" s="1" t="s">
        <v>112</v>
      </c>
      <c r="G1398" s="1">
        <v>1875290</v>
      </c>
    </row>
    <row r="1399" spans="1:10" x14ac:dyDescent="0.25">
      <c r="A1399" s="1" t="str">
        <f t="shared" si="21"/>
        <v>20</v>
      </c>
      <c r="B139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399" s="1" t="s">
        <v>6001</v>
      </c>
      <c r="D1399" s="1" t="s">
        <v>1043</v>
      </c>
      <c r="E1399" s="1" t="s">
        <v>6002</v>
      </c>
      <c r="F1399" s="1" t="s">
        <v>112</v>
      </c>
      <c r="G1399" s="1">
        <v>56714</v>
      </c>
    </row>
    <row r="1400" spans="1:10" x14ac:dyDescent="0.25">
      <c r="A1400" s="1" t="str">
        <f t="shared" si="21"/>
        <v>20</v>
      </c>
      <c r="B140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400" s="1" t="s">
        <v>6003</v>
      </c>
      <c r="D1400" s="1">
        <v>0</v>
      </c>
      <c r="E1400" s="1">
        <v>0</v>
      </c>
      <c r="F1400" s="1" t="s">
        <v>112</v>
      </c>
      <c r="G1400" s="1">
        <v>0</v>
      </c>
    </row>
    <row r="1401" spans="1:10" x14ac:dyDescent="0.25">
      <c r="A1401" s="1" t="str">
        <f t="shared" si="21"/>
        <v>20</v>
      </c>
      <c r="B140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401" s="1" t="s">
        <v>6004</v>
      </c>
      <c r="D1401" s="1" t="s">
        <v>227</v>
      </c>
      <c r="E1401" s="1">
        <v>30</v>
      </c>
      <c r="F1401" s="1" t="s">
        <v>112</v>
      </c>
      <c r="G1401" s="1">
        <v>1298</v>
      </c>
    </row>
    <row r="1402" spans="1:10" x14ac:dyDescent="0.25">
      <c r="A1402" s="1" t="str">
        <f t="shared" si="21"/>
        <v>20</v>
      </c>
      <c r="B140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402" s="1" t="s">
        <v>6005</v>
      </c>
      <c r="D1402" s="1">
        <v>0</v>
      </c>
      <c r="E1402" s="1">
        <v>0</v>
      </c>
      <c r="F1402" s="1" t="s">
        <v>112</v>
      </c>
      <c r="G1402" s="1">
        <v>0</v>
      </c>
    </row>
    <row r="1403" spans="1:10" x14ac:dyDescent="0.2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03" s="1" t="s">
        <v>112</v>
      </c>
    </row>
    <row r="1404" spans="1:10" x14ac:dyDescent="0.2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04" s="1" t="s">
        <v>237</v>
      </c>
      <c r="D1404" s="1" t="s">
        <v>112</v>
      </c>
      <c r="E1404" s="1" t="s">
        <v>238</v>
      </c>
      <c r="F1404" s="1" t="s">
        <v>239</v>
      </c>
      <c r="G1404" s="1" t="s">
        <v>240</v>
      </c>
      <c r="H1404" s="1" t="s">
        <v>241</v>
      </c>
      <c r="I1404" s="1" t="s">
        <v>242</v>
      </c>
      <c r="J1404" s="1" t="s">
        <v>243</v>
      </c>
    </row>
    <row r="1405" spans="1:10" x14ac:dyDescent="0.25">
      <c r="A1405" s="1" t="str">
        <f t="shared" si="21"/>
        <v>20</v>
      </c>
      <c r="B140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405" s="1" t="s">
        <v>6006</v>
      </c>
      <c r="D1405" s="1" t="s">
        <v>112</v>
      </c>
      <c r="E1405" s="1" t="s">
        <v>6007</v>
      </c>
      <c r="F1405" s="1" t="s">
        <v>6008</v>
      </c>
      <c r="G1405" s="1" t="s">
        <v>6009</v>
      </c>
      <c r="H1405" s="1" t="s">
        <v>6010</v>
      </c>
      <c r="I1405" s="1">
        <v>30</v>
      </c>
      <c r="J1405" s="1">
        <v>32</v>
      </c>
    </row>
    <row r="1406" spans="1:10" x14ac:dyDescent="0.2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06" s="1" t="s">
        <v>112</v>
      </c>
    </row>
    <row r="1407" spans="1:10" x14ac:dyDescent="0.2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07" s="1" t="s">
        <v>112</v>
      </c>
    </row>
    <row r="1408" spans="1:10" x14ac:dyDescent="0.2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08" s="1" t="s">
        <v>112</v>
      </c>
    </row>
    <row r="1409" spans="1:7" x14ac:dyDescent="0.2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09" s="1" t="s">
        <v>112</v>
      </c>
    </row>
    <row r="1410" spans="1:7" x14ac:dyDescent="0.2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10" s="1" t="s">
        <v>112</v>
      </c>
    </row>
    <row r="1411" spans="1:7" x14ac:dyDescent="0.2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11" s="1" t="s">
        <v>249</v>
      </c>
      <c r="D1411" s="1" t="s">
        <v>110</v>
      </c>
      <c r="E1411" s="1" t="s">
        <v>111</v>
      </c>
      <c r="F1411" s="1" t="s">
        <v>112</v>
      </c>
      <c r="G1411" s="1" t="s">
        <v>113</v>
      </c>
    </row>
    <row r="1412" spans="1:7" x14ac:dyDescent="0.25">
      <c r="A1412" s="1" t="str">
        <f t="shared" si="22"/>
        <v>21</v>
      </c>
      <c r="B141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412" s="1" t="s">
        <v>6011</v>
      </c>
      <c r="D1412" s="1" t="s">
        <v>6012</v>
      </c>
      <c r="E1412" s="1" t="s">
        <v>6013</v>
      </c>
      <c r="F1412" s="1" t="s">
        <v>112</v>
      </c>
      <c r="G1412" s="1">
        <v>1401682</v>
      </c>
    </row>
    <row r="1413" spans="1:7" x14ac:dyDescent="0.25">
      <c r="A1413" s="1" t="str">
        <f t="shared" si="22"/>
        <v>21</v>
      </c>
      <c r="B141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413" s="1" t="s">
        <v>6014</v>
      </c>
      <c r="D1413" s="1" t="s">
        <v>3703</v>
      </c>
      <c r="E1413" s="1" t="s">
        <v>6015</v>
      </c>
      <c r="F1413" s="1" t="s">
        <v>112</v>
      </c>
      <c r="G1413" s="1">
        <v>1076087</v>
      </c>
    </row>
    <row r="1414" spans="1:7" x14ac:dyDescent="0.25">
      <c r="A1414" s="1" t="str">
        <f t="shared" si="22"/>
        <v>21</v>
      </c>
      <c r="B141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414" s="1" t="s">
        <v>6016</v>
      </c>
      <c r="D1414" s="1" t="s">
        <v>6017</v>
      </c>
      <c r="E1414" s="1" t="s">
        <v>6018</v>
      </c>
      <c r="F1414" s="1" t="s">
        <v>112</v>
      </c>
      <c r="G1414" s="1">
        <v>1413643</v>
      </c>
    </row>
    <row r="1415" spans="1:7" x14ac:dyDescent="0.25">
      <c r="A1415" s="1" t="str">
        <f t="shared" si="22"/>
        <v>21</v>
      </c>
      <c r="B141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415" s="1" t="s">
        <v>6019</v>
      </c>
      <c r="D1415" s="1" t="s">
        <v>2551</v>
      </c>
      <c r="E1415" s="1" t="s">
        <v>6020</v>
      </c>
      <c r="F1415" s="1" t="s">
        <v>112</v>
      </c>
      <c r="G1415" s="1">
        <v>1317217</v>
      </c>
    </row>
    <row r="1416" spans="1:7" x14ac:dyDescent="0.25">
      <c r="A1416" s="1" t="str">
        <f t="shared" si="22"/>
        <v>21</v>
      </c>
      <c r="B141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416" s="1" t="s">
        <v>6021</v>
      </c>
      <c r="D1416" s="1" t="s">
        <v>6022</v>
      </c>
      <c r="E1416" s="1" t="s">
        <v>6023</v>
      </c>
      <c r="F1416" s="1" t="s">
        <v>112</v>
      </c>
      <c r="G1416" s="1">
        <v>2708560</v>
      </c>
    </row>
    <row r="1417" spans="1:7" x14ac:dyDescent="0.25">
      <c r="A1417" s="1" t="str">
        <f t="shared" si="22"/>
        <v>21</v>
      </c>
      <c r="B141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417" s="1" t="s">
        <v>6024</v>
      </c>
      <c r="D1417" s="1" t="s">
        <v>6025</v>
      </c>
      <c r="E1417" s="1" t="s">
        <v>6026</v>
      </c>
      <c r="F1417" s="1" t="s">
        <v>112</v>
      </c>
      <c r="G1417" s="1">
        <v>2893712</v>
      </c>
    </row>
    <row r="1418" spans="1:7" x14ac:dyDescent="0.25">
      <c r="A1418" s="1" t="str">
        <f t="shared" si="22"/>
        <v>21</v>
      </c>
      <c r="B141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418" s="1" t="s">
        <v>6027</v>
      </c>
      <c r="D1418" s="1" t="s">
        <v>6028</v>
      </c>
      <c r="E1418" s="1" t="s">
        <v>6029</v>
      </c>
      <c r="F1418" s="1" t="s">
        <v>112</v>
      </c>
      <c r="G1418" s="1">
        <v>3329749</v>
      </c>
    </row>
    <row r="1419" spans="1:7" x14ac:dyDescent="0.25">
      <c r="A1419" s="1" t="str">
        <f t="shared" si="22"/>
        <v>21</v>
      </c>
      <c r="B141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419" s="1" t="s">
        <v>6030</v>
      </c>
      <c r="D1419" s="1" t="s">
        <v>6031</v>
      </c>
      <c r="E1419" s="1" t="s">
        <v>6032</v>
      </c>
      <c r="F1419" s="1" t="s">
        <v>112</v>
      </c>
      <c r="G1419" s="1">
        <v>3006966</v>
      </c>
    </row>
    <row r="1420" spans="1:7" x14ac:dyDescent="0.25">
      <c r="A1420" s="1" t="str">
        <f t="shared" si="22"/>
        <v>21</v>
      </c>
      <c r="B142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0" s="1" t="s">
        <v>6033</v>
      </c>
      <c r="D1420" s="1" t="s">
        <v>6034</v>
      </c>
      <c r="E1420" s="1" t="s">
        <v>6035</v>
      </c>
      <c r="F1420" s="1" t="s">
        <v>112</v>
      </c>
      <c r="G1420" s="1">
        <v>1470422</v>
      </c>
    </row>
    <row r="1421" spans="1:7" x14ac:dyDescent="0.25">
      <c r="A1421" s="1" t="str">
        <f t="shared" si="22"/>
        <v>21</v>
      </c>
      <c r="B142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1" s="1" t="s">
        <v>6036</v>
      </c>
      <c r="D1421" s="1" t="s">
        <v>6037</v>
      </c>
      <c r="E1421" s="1" t="s">
        <v>6038</v>
      </c>
      <c r="F1421" s="1" t="s">
        <v>112</v>
      </c>
      <c r="G1421" s="1">
        <v>1726563</v>
      </c>
    </row>
    <row r="1422" spans="1:7" x14ac:dyDescent="0.25">
      <c r="A1422" s="1" t="str">
        <f t="shared" si="22"/>
        <v>21</v>
      </c>
      <c r="B142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2" s="1" t="s">
        <v>6039</v>
      </c>
      <c r="D1422" s="1" t="s">
        <v>6040</v>
      </c>
      <c r="E1422" s="1" t="s">
        <v>6041</v>
      </c>
      <c r="F1422" s="1" t="s">
        <v>112</v>
      </c>
      <c r="G1422" s="1">
        <v>2078806</v>
      </c>
    </row>
    <row r="1423" spans="1:7" x14ac:dyDescent="0.25">
      <c r="A1423" s="1" t="str">
        <f t="shared" si="22"/>
        <v>21</v>
      </c>
      <c r="B142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3" s="1" t="s">
        <v>6042</v>
      </c>
    </row>
    <row r="1424" spans="1:7" x14ac:dyDescent="0.25">
      <c r="A1424" s="1" t="str">
        <f t="shared" si="22"/>
        <v>21</v>
      </c>
      <c r="B142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24" s="1" t="s">
        <v>6043</v>
      </c>
    </row>
    <row r="1425" spans="1:7" x14ac:dyDescent="0.25">
      <c r="A1425" s="1" t="str">
        <f t="shared" si="22"/>
        <v>21</v>
      </c>
      <c r="B142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25" s="1" t="s">
        <v>6044</v>
      </c>
      <c r="D1425" s="1" t="s">
        <v>6045</v>
      </c>
      <c r="E1425" s="1" t="s">
        <v>6046</v>
      </c>
      <c r="F1425" s="1" t="s">
        <v>112</v>
      </c>
      <c r="G1425" s="1">
        <v>661377</v>
      </c>
    </row>
    <row r="1426" spans="1:7" x14ac:dyDescent="0.25">
      <c r="A1426" s="1" t="str">
        <f t="shared" si="22"/>
        <v>21</v>
      </c>
      <c r="B142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26" s="1" t="s">
        <v>6047</v>
      </c>
    </row>
    <row r="1427" spans="1:7" x14ac:dyDescent="0.25">
      <c r="A1427" s="1" t="str">
        <f t="shared" si="22"/>
        <v>21</v>
      </c>
      <c r="B142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27" s="1" t="s">
        <v>6048</v>
      </c>
      <c r="D1427" s="1" t="s">
        <v>6049</v>
      </c>
      <c r="E1427" s="1" t="s">
        <v>6050</v>
      </c>
      <c r="F1427" s="1" t="s">
        <v>112</v>
      </c>
      <c r="G1427" s="1">
        <v>1228254</v>
      </c>
    </row>
    <row r="1428" spans="1:7" x14ac:dyDescent="0.25">
      <c r="A1428" s="1" t="str">
        <f t="shared" si="22"/>
        <v>21</v>
      </c>
      <c r="B142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28" s="1" t="s">
        <v>6051</v>
      </c>
      <c r="D1428" s="1" t="s">
        <v>5716</v>
      </c>
      <c r="E1428" s="1" t="s">
        <v>6052</v>
      </c>
      <c r="F1428" s="1" t="s">
        <v>112</v>
      </c>
      <c r="G1428" s="1">
        <v>1936827</v>
      </c>
    </row>
    <row r="1429" spans="1:7" x14ac:dyDescent="0.25">
      <c r="A1429" s="1" t="str">
        <f t="shared" si="22"/>
        <v>21</v>
      </c>
      <c r="B142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29" s="1" t="s">
        <v>6053</v>
      </c>
      <c r="D1429" s="1" t="s">
        <v>6054</v>
      </c>
      <c r="E1429" s="1" t="s">
        <v>6055</v>
      </c>
      <c r="F1429" s="1" t="s">
        <v>112</v>
      </c>
      <c r="G1429" s="1">
        <v>1793962</v>
      </c>
    </row>
    <row r="1430" spans="1:7" x14ac:dyDescent="0.25">
      <c r="A1430" s="1" t="str">
        <f t="shared" si="22"/>
        <v>21</v>
      </c>
      <c r="B143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30" s="1" t="s">
        <v>6056</v>
      </c>
      <c r="D1430" s="1" t="s">
        <v>1174</v>
      </c>
      <c r="E1430" s="1" t="s">
        <v>6057</v>
      </c>
      <c r="F1430" s="1" t="s">
        <v>112</v>
      </c>
      <c r="G1430" s="1">
        <v>2473595</v>
      </c>
    </row>
    <row r="1431" spans="1:7" x14ac:dyDescent="0.25">
      <c r="A1431" s="1" t="str">
        <f t="shared" si="22"/>
        <v>21</v>
      </c>
      <c r="B143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31" s="1" t="s">
        <v>6058</v>
      </c>
      <c r="D1431" s="1" t="s">
        <v>6059</v>
      </c>
      <c r="E1431" s="1" t="s">
        <v>6060</v>
      </c>
      <c r="F1431" s="1" t="s">
        <v>112</v>
      </c>
      <c r="G1431" s="1">
        <v>2049930</v>
      </c>
    </row>
    <row r="1432" spans="1:7" x14ac:dyDescent="0.25">
      <c r="A1432" s="1" t="str">
        <f t="shared" si="22"/>
        <v>21</v>
      </c>
      <c r="B143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32" s="1" t="s">
        <v>6061</v>
      </c>
      <c r="D1432" s="1" t="s">
        <v>6062</v>
      </c>
      <c r="E1432" s="1" t="s">
        <v>6063</v>
      </c>
      <c r="F1432" s="1" t="s">
        <v>112</v>
      </c>
      <c r="G1432" s="1">
        <v>2071452</v>
      </c>
    </row>
    <row r="1433" spans="1:7" x14ac:dyDescent="0.25">
      <c r="A1433" s="1" t="str">
        <f t="shared" si="22"/>
        <v>21</v>
      </c>
      <c r="B143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33" s="1" t="s">
        <v>6064</v>
      </c>
      <c r="D1433" s="1" t="s">
        <v>6065</v>
      </c>
      <c r="E1433" s="1" t="s">
        <v>6066</v>
      </c>
      <c r="F1433" s="1" t="s">
        <v>112</v>
      </c>
      <c r="G1433" s="1">
        <v>1059497</v>
      </c>
    </row>
    <row r="1434" spans="1:7" x14ac:dyDescent="0.25">
      <c r="A1434" s="1" t="str">
        <f t="shared" si="22"/>
        <v>21</v>
      </c>
      <c r="B143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34" s="1" t="s">
        <v>6067</v>
      </c>
      <c r="D1434" s="1" t="s">
        <v>6068</v>
      </c>
      <c r="E1434" s="1" t="s">
        <v>6069</v>
      </c>
      <c r="F1434" s="1" t="s">
        <v>112</v>
      </c>
      <c r="G1434" s="1">
        <v>1540048</v>
      </c>
    </row>
    <row r="1435" spans="1:7" x14ac:dyDescent="0.25">
      <c r="A1435" s="1" t="str">
        <f t="shared" si="22"/>
        <v>21</v>
      </c>
      <c r="B143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35" s="1" t="s">
        <v>6070</v>
      </c>
      <c r="D1435" s="1" t="s">
        <v>3734</v>
      </c>
      <c r="E1435" s="1" t="s">
        <v>6071</v>
      </c>
      <c r="F1435" s="1" t="s">
        <v>112</v>
      </c>
      <c r="G1435" s="1">
        <v>2026829</v>
      </c>
    </row>
    <row r="1436" spans="1:7" x14ac:dyDescent="0.25">
      <c r="A1436" s="1" t="str">
        <f t="shared" si="22"/>
        <v>21</v>
      </c>
      <c r="B143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436" s="1" t="s">
        <v>6072</v>
      </c>
    </row>
    <row r="1437" spans="1:7" x14ac:dyDescent="0.25">
      <c r="A1437" s="1" t="str">
        <f t="shared" si="22"/>
        <v>21</v>
      </c>
      <c r="B143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437" s="1" t="s">
        <v>6073</v>
      </c>
    </row>
    <row r="1438" spans="1:7" x14ac:dyDescent="0.25">
      <c r="A1438" s="1" t="str">
        <f t="shared" si="22"/>
        <v>21</v>
      </c>
      <c r="B143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438" s="1" t="s">
        <v>6074</v>
      </c>
      <c r="D1438" s="1" t="s">
        <v>6075</v>
      </c>
      <c r="E1438" s="1" t="s">
        <v>6076</v>
      </c>
      <c r="F1438" s="1" t="s">
        <v>112</v>
      </c>
      <c r="G1438" s="1">
        <v>2361552</v>
      </c>
    </row>
    <row r="1439" spans="1:7" x14ac:dyDescent="0.25">
      <c r="A1439" s="1" t="str">
        <f t="shared" si="22"/>
        <v>21</v>
      </c>
      <c r="B143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439" s="1" t="s">
        <v>6077</v>
      </c>
      <c r="D1439" s="1" t="s">
        <v>6078</v>
      </c>
      <c r="E1439" s="1" t="s">
        <v>6079</v>
      </c>
      <c r="F1439" s="1" t="s">
        <v>112</v>
      </c>
      <c r="G1439" s="1">
        <v>2256755</v>
      </c>
    </row>
    <row r="1440" spans="1:7" x14ac:dyDescent="0.25">
      <c r="A1440" s="1" t="str">
        <f t="shared" si="22"/>
        <v>21</v>
      </c>
      <c r="B144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440" s="1" t="s">
        <v>6080</v>
      </c>
      <c r="D1440" s="1" t="s">
        <v>6081</v>
      </c>
      <c r="E1440" s="1" t="s">
        <v>6082</v>
      </c>
      <c r="F1440" s="1" t="s">
        <v>112</v>
      </c>
      <c r="G1440" s="1">
        <v>1043102</v>
      </c>
    </row>
    <row r="1441" spans="1:10" x14ac:dyDescent="0.25">
      <c r="A1441" s="1" t="str">
        <f t="shared" si="22"/>
        <v>21</v>
      </c>
      <c r="B144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441" s="1" t="s">
        <v>6083</v>
      </c>
      <c r="D1441" s="1" t="s">
        <v>4117</v>
      </c>
      <c r="E1441" s="1" t="s">
        <v>6084</v>
      </c>
      <c r="F1441" s="1" t="s">
        <v>112</v>
      </c>
      <c r="G1441" s="1">
        <v>539103</v>
      </c>
    </row>
    <row r="1442" spans="1:10" x14ac:dyDescent="0.25">
      <c r="A1442" s="1" t="str">
        <f t="shared" si="22"/>
        <v>21</v>
      </c>
      <c r="B144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442" s="1" t="s">
        <v>6085</v>
      </c>
      <c r="D1442" s="1" t="s">
        <v>6086</v>
      </c>
      <c r="E1442" s="1" t="s">
        <v>6087</v>
      </c>
      <c r="F1442" s="1" t="s">
        <v>112</v>
      </c>
      <c r="G1442" s="1">
        <v>982646</v>
      </c>
    </row>
    <row r="1443" spans="1:10" x14ac:dyDescent="0.25">
      <c r="A1443" s="1" t="str">
        <f t="shared" si="22"/>
        <v>21</v>
      </c>
      <c r="B144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443" s="1" t="s">
        <v>6088</v>
      </c>
      <c r="D1443" s="1" t="s">
        <v>6089</v>
      </c>
      <c r="E1443" s="1" t="s">
        <v>6090</v>
      </c>
      <c r="F1443" s="1" t="s">
        <v>112</v>
      </c>
      <c r="G1443" s="1">
        <v>650519</v>
      </c>
    </row>
    <row r="1444" spans="1:10" x14ac:dyDescent="0.2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44" s="1" t="s">
        <v>112</v>
      </c>
    </row>
    <row r="1445" spans="1:10" x14ac:dyDescent="0.2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45" s="1" t="s">
        <v>237</v>
      </c>
      <c r="D1445" s="1" t="s">
        <v>112</v>
      </c>
      <c r="E1445" s="1" t="s">
        <v>238</v>
      </c>
      <c r="F1445" s="1" t="s">
        <v>239</v>
      </c>
      <c r="G1445" s="1" t="s">
        <v>240</v>
      </c>
      <c r="H1445" s="1" t="s">
        <v>241</v>
      </c>
      <c r="I1445" s="1" t="s">
        <v>242</v>
      </c>
      <c r="J1445" s="1" t="s">
        <v>243</v>
      </c>
    </row>
    <row r="1446" spans="1:10" x14ac:dyDescent="0.25">
      <c r="A1446" s="1" t="str">
        <f t="shared" si="22"/>
        <v>21</v>
      </c>
      <c r="B144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446" s="1" t="s">
        <v>6091</v>
      </c>
      <c r="D1446" s="1" t="s">
        <v>112</v>
      </c>
      <c r="E1446" s="1" t="s">
        <v>6092</v>
      </c>
      <c r="F1446" s="1" t="s">
        <v>6093</v>
      </c>
      <c r="G1446" s="1" t="s">
        <v>6094</v>
      </c>
      <c r="H1446" s="1" t="s">
        <v>6095</v>
      </c>
      <c r="I1446" s="1">
        <v>32</v>
      </c>
      <c r="J1446" s="1">
        <v>32</v>
      </c>
    </row>
    <row r="1447" spans="1:10" x14ac:dyDescent="0.2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47" s="1" t="s">
        <v>112</v>
      </c>
    </row>
    <row r="1448" spans="1:10" x14ac:dyDescent="0.2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48" s="1" t="s">
        <v>112</v>
      </c>
    </row>
    <row r="1449" spans="1:10" x14ac:dyDescent="0.2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49" s="1" t="s">
        <v>112</v>
      </c>
    </row>
    <row r="1450" spans="1:10" x14ac:dyDescent="0.2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50" s="1" t="s">
        <v>112</v>
      </c>
    </row>
    <row r="1451" spans="1:10" x14ac:dyDescent="0.2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51" s="1" t="s">
        <v>112</v>
      </c>
    </row>
    <row r="1452" spans="1:10" x14ac:dyDescent="0.2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52" s="1" t="s">
        <v>249</v>
      </c>
      <c r="D1452" s="1" t="s">
        <v>110</v>
      </c>
      <c r="E1452" s="1" t="s">
        <v>111</v>
      </c>
      <c r="F1452" s="1" t="s">
        <v>112</v>
      </c>
      <c r="G1452" s="1" t="s">
        <v>113</v>
      </c>
    </row>
    <row r="1453" spans="1:10" x14ac:dyDescent="0.25">
      <c r="A1453" s="1" t="str">
        <f t="shared" si="22"/>
        <v>8</v>
      </c>
      <c r="B145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453" s="1" t="s">
        <v>6096</v>
      </c>
      <c r="D1453" s="1" t="s">
        <v>1519</v>
      </c>
      <c r="E1453" s="1" t="s">
        <v>6097</v>
      </c>
      <c r="F1453" s="1" t="s">
        <v>112</v>
      </c>
      <c r="G1453" s="1">
        <v>182297</v>
      </c>
    </row>
    <row r="1454" spans="1:10" x14ac:dyDescent="0.25">
      <c r="A1454" s="1" t="str">
        <f t="shared" si="22"/>
        <v>8</v>
      </c>
      <c r="B145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454" s="1" t="s">
        <v>6098</v>
      </c>
      <c r="D1454" s="1" t="s">
        <v>6099</v>
      </c>
      <c r="E1454" s="1" t="s">
        <v>6100</v>
      </c>
      <c r="F1454" s="1" t="s">
        <v>112</v>
      </c>
      <c r="G1454" s="1">
        <v>339871</v>
      </c>
    </row>
    <row r="1455" spans="1:10" x14ac:dyDescent="0.25">
      <c r="A1455" s="1" t="str">
        <f t="shared" si="22"/>
        <v>8</v>
      </c>
      <c r="B145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455" s="1" t="s">
        <v>6101</v>
      </c>
      <c r="D1455" s="1" t="s">
        <v>5015</v>
      </c>
      <c r="E1455" s="1" t="s">
        <v>6102</v>
      </c>
      <c r="F1455" s="1" t="s">
        <v>112</v>
      </c>
      <c r="G1455" s="1">
        <v>300158</v>
      </c>
    </row>
    <row r="1456" spans="1:10" x14ac:dyDescent="0.25">
      <c r="A1456" s="1" t="str">
        <f t="shared" si="22"/>
        <v>8</v>
      </c>
      <c r="B145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456" s="1" t="s">
        <v>6103</v>
      </c>
      <c r="D1456" s="1" t="s">
        <v>5030</v>
      </c>
      <c r="E1456" s="1" t="s">
        <v>6104</v>
      </c>
      <c r="F1456" s="1" t="s">
        <v>112</v>
      </c>
      <c r="G1456" s="1">
        <v>162462</v>
      </c>
    </row>
    <row r="1457" spans="1:7" x14ac:dyDescent="0.25">
      <c r="A1457" s="1" t="str">
        <f t="shared" si="22"/>
        <v>8</v>
      </c>
      <c r="B145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457" s="1" t="s">
        <v>6105</v>
      </c>
      <c r="D1457" s="1" t="s">
        <v>4037</v>
      </c>
      <c r="E1457" s="1" t="s">
        <v>6106</v>
      </c>
      <c r="F1457" s="1" t="s">
        <v>112</v>
      </c>
      <c r="G1457" s="1">
        <v>470147</v>
      </c>
    </row>
    <row r="1458" spans="1:7" x14ac:dyDescent="0.25">
      <c r="A1458" s="1" t="str">
        <f t="shared" si="22"/>
        <v>8</v>
      </c>
      <c r="B145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458" s="1" t="s">
        <v>6107</v>
      </c>
      <c r="D1458" s="1" t="s">
        <v>696</v>
      </c>
      <c r="E1458" s="1" t="s">
        <v>6108</v>
      </c>
      <c r="F1458" s="1" t="s">
        <v>112</v>
      </c>
      <c r="G1458" s="1">
        <v>520221</v>
      </c>
    </row>
    <row r="1459" spans="1:7" x14ac:dyDescent="0.25">
      <c r="A1459" s="1" t="str">
        <f t="shared" si="22"/>
        <v>8</v>
      </c>
      <c r="B145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459" s="1" t="s">
        <v>6109</v>
      </c>
      <c r="D1459" s="1" t="s">
        <v>2416</v>
      </c>
      <c r="E1459" s="1" t="s">
        <v>6110</v>
      </c>
      <c r="F1459" s="1" t="s">
        <v>112</v>
      </c>
      <c r="G1459" s="1">
        <v>227114</v>
      </c>
    </row>
    <row r="1460" spans="1:7" x14ac:dyDescent="0.25">
      <c r="A1460" s="1" t="str">
        <f t="shared" si="22"/>
        <v>8</v>
      </c>
      <c r="B146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460" s="1" t="s">
        <v>6111</v>
      </c>
      <c r="D1460" s="1" t="s">
        <v>6112</v>
      </c>
      <c r="E1460" s="1" t="s">
        <v>6113</v>
      </c>
      <c r="F1460" s="1" t="s">
        <v>112</v>
      </c>
      <c r="G1460" s="1">
        <v>522297</v>
      </c>
    </row>
    <row r="1461" spans="1:7" x14ac:dyDescent="0.25">
      <c r="A1461" s="1" t="str">
        <f t="shared" si="22"/>
        <v>8</v>
      </c>
      <c r="B146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61" s="1" t="s">
        <v>6114</v>
      </c>
    </row>
    <row r="1462" spans="1:7" x14ac:dyDescent="0.25">
      <c r="A1462" s="1" t="str">
        <f t="shared" si="22"/>
        <v>8</v>
      </c>
      <c r="B146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62" s="1" t="s">
        <v>6115</v>
      </c>
      <c r="D1462" s="1" t="s">
        <v>6116</v>
      </c>
      <c r="E1462" s="1" t="s">
        <v>6117</v>
      </c>
      <c r="F1462" s="1" t="s">
        <v>112</v>
      </c>
      <c r="G1462" s="1">
        <v>477545</v>
      </c>
    </row>
    <row r="1463" spans="1:7" x14ac:dyDescent="0.25">
      <c r="A1463" s="1" t="str">
        <f t="shared" si="22"/>
        <v>8</v>
      </c>
      <c r="B146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63" s="1" t="s">
        <v>6118</v>
      </c>
      <c r="D1463" s="1" t="s">
        <v>2015</v>
      </c>
      <c r="E1463" s="1" t="s">
        <v>6119</v>
      </c>
      <c r="F1463" s="1" t="s">
        <v>112</v>
      </c>
      <c r="G1463" s="1">
        <v>286358</v>
      </c>
    </row>
    <row r="1464" spans="1:7" x14ac:dyDescent="0.25">
      <c r="A1464" s="1" t="str">
        <f t="shared" si="22"/>
        <v>8</v>
      </c>
      <c r="B146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64" s="1" t="s">
        <v>6120</v>
      </c>
      <c r="D1464" s="1" t="s">
        <v>991</v>
      </c>
      <c r="E1464" s="1" t="s">
        <v>6121</v>
      </c>
      <c r="F1464" s="1" t="s">
        <v>112</v>
      </c>
      <c r="G1464" s="1">
        <v>239962</v>
      </c>
    </row>
    <row r="1465" spans="1:7" x14ac:dyDescent="0.25">
      <c r="A1465" s="1" t="str">
        <f t="shared" si="22"/>
        <v>8</v>
      </c>
      <c r="B146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65" s="1" t="s">
        <v>6122</v>
      </c>
      <c r="D1465" s="1" t="s">
        <v>2876</v>
      </c>
      <c r="E1465" s="1" t="s">
        <v>6123</v>
      </c>
      <c r="F1465" s="1" t="s">
        <v>112</v>
      </c>
      <c r="G1465" s="1">
        <v>461084</v>
      </c>
    </row>
    <row r="1466" spans="1:7" x14ac:dyDescent="0.25">
      <c r="A1466" s="1" t="str">
        <f t="shared" si="22"/>
        <v>8</v>
      </c>
      <c r="B146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66" s="1" t="s">
        <v>6124</v>
      </c>
      <c r="D1466" s="1" t="s">
        <v>4941</v>
      </c>
      <c r="E1466" s="1" t="s">
        <v>6125</v>
      </c>
      <c r="F1466" s="1" t="s">
        <v>112</v>
      </c>
      <c r="G1466" s="1">
        <v>484964</v>
      </c>
    </row>
    <row r="1467" spans="1:7" x14ac:dyDescent="0.25">
      <c r="A1467" s="1" t="str">
        <f t="shared" si="22"/>
        <v>8</v>
      </c>
      <c r="B146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67" s="1" t="s">
        <v>6126</v>
      </c>
      <c r="D1467" s="1" t="s">
        <v>6127</v>
      </c>
      <c r="E1467" s="1" t="s">
        <v>6128</v>
      </c>
      <c r="F1467" s="1" t="s">
        <v>112</v>
      </c>
      <c r="G1467" s="1">
        <v>453579</v>
      </c>
    </row>
    <row r="1468" spans="1:7" x14ac:dyDescent="0.25">
      <c r="A1468" s="1" t="str">
        <f t="shared" si="22"/>
        <v>8</v>
      </c>
      <c r="B146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68" s="1" t="s">
        <v>6129</v>
      </c>
      <c r="D1468" s="1" t="s">
        <v>2138</v>
      </c>
      <c r="E1468" s="1" t="s">
        <v>3093</v>
      </c>
      <c r="F1468" s="1" t="s">
        <v>112</v>
      </c>
      <c r="G1468" s="1">
        <v>496082</v>
      </c>
    </row>
    <row r="1469" spans="1:7" x14ac:dyDescent="0.25">
      <c r="A1469" s="1" t="str">
        <f t="shared" si="22"/>
        <v>8</v>
      </c>
      <c r="B146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9" s="1" t="s">
        <v>6130</v>
      </c>
      <c r="D1469" s="1" t="s">
        <v>6131</v>
      </c>
      <c r="E1469" s="1" t="s">
        <v>6132</v>
      </c>
      <c r="F1469" s="1" t="s">
        <v>112</v>
      </c>
      <c r="G1469" s="1">
        <v>289603</v>
      </c>
    </row>
    <row r="1470" spans="1:7" x14ac:dyDescent="0.25">
      <c r="A1470" s="1" t="str">
        <f t="shared" si="22"/>
        <v>8</v>
      </c>
      <c r="B147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0" s="1" t="s">
        <v>6133</v>
      </c>
      <c r="D1470" s="1" t="s">
        <v>1965</v>
      </c>
      <c r="E1470" s="1" t="s">
        <v>2142</v>
      </c>
      <c r="F1470" s="1" t="s">
        <v>112</v>
      </c>
      <c r="G1470" s="1">
        <v>122166</v>
      </c>
    </row>
    <row r="1471" spans="1:7" x14ac:dyDescent="0.25">
      <c r="A1471" s="1" t="str">
        <f t="shared" si="22"/>
        <v>8</v>
      </c>
      <c r="B147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1" s="1" t="s">
        <v>6134</v>
      </c>
      <c r="D1471" s="1" t="s">
        <v>3509</v>
      </c>
      <c r="E1471" s="1" t="s">
        <v>6135</v>
      </c>
      <c r="F1471" s="1" t="s">
        <v>112</v>
      </c>
      <c r="G1471" s="1">
        <v>228693</v>
      </c>
    </row>
    <row r="1472" spans="1:7" x14ac:dyDescent="0.25">
      <c r="A1472" s="1" t="str">
        <f t="shared" si="22"/>
        <v>8</v>
      </c>
      <c r="B147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2" s="1" t="s">
        <v>6136</v>
      </c>
    </row>
    <row r="1473" spans="1:10" x14ac:dyDescent="0.25">
      <c r="A1473" s="1" t="str">
        <f t="shared" si="22"/>
        <v>8</v>
      </c>
      <c r="B147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73" s="1" t="s">
        <v>6137</v>
      </c>
      <c r="D1473" s="1" t="s">
        <v>2842</v>
      </c>
      <c r="E1473" s="1" t="s">
        <v>6138</v>
      </c>
      <c r="F1473" s="1" t="s">
        <v>112</v>
      </c>
      <c r="G1473" s="1">
        <v>249933</v>
      </c>
    </row>
    <row r="1474" spans="1:10" x14ac:dyDescent="0.25">
      <c r="A1474" s="1" t="str">
        <f t="shared" ref="A1474:A1531" si="23">IFERROR(LEFT(RIGHT(C1474,LEN(C1474)-SEARCH("@",C1474)),SEARCH("/",RIGHT(C1474,LEN(C1474)-SEARCH("@",C1474)-1))),"")</f>
        <v>8</v>
      </c>
      <c r="B147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74" s="1" t="s">
        <v>6139</v>
      </c>
      <c r="D1474" s="1" t="s">
        <v>1083</v>
      </c>
      <c r="E1474" s="1" t="s">
        <v>6140</v>
      </c>
      <c r="F1474" s="1" t="s">
        <v>112</v>
      </c>
      <c r="G1474" s="1">
        <v>255817</v>
      </c>
    </row>
    <row r="1475" spans="1:10" x14ac:dyDescent="0.25">
      <c r="A1475" s="1" t="str">
        <f t="shared" si="23"/>
        <v>8</v>
      </c>
      <c r="B147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75" s="1" t="s">
        <v>6141</v>
      </c>
      <c r="D1475" s="1" t="s">
        <v>3634</v>
      </c>
      <c r="E1475" s="1" t="s">
        <v>6142</v>
      </c>
      <c r="F1475" s="1" t="s">
        <v>112</v>
      </c>
      <c r="G1475" s="1">
        <v>242969</v>
      </c>
    </row>
    <row r="1476" spans="1:10" x14ac:dyDescent="0.25">
      <c r="A1476" s="1" t="str">
        <f t="shared" si="23"/>
        <v>8</v>
      </c>
      <c r="B147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76" s="1" t="s">
        <v>6143</v>
      </c>
      <c r="D1476" s="1" t="s">
        <v>551</v>
      </c>
      <c r="E1476" s="1" t="s">
        <v>337</v>
      </c>
      <c r="F1476" s="1" t="s">
        <v>112</v>
      </c>
      <c r="G1476" s="1">
        <v>2790</v>
      </c>
    </row>
    <row r="1477" spans="1:10" x14ac:dyDescent="0.25">
      <c r="A1477" s="1" t="str">
        <f t="shared" si="23"/>
        <v>8</v>
      </c>
      <c r="B147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477" s="1" t="s">
        <v>6144</v>
      </c>
      <c r="D1477" s="1" t="s">
        <v>6145</v>
      </c>
      <c r="E1477" s="1" t="s">
        <v>6146</v>
      </c>
      <c r="F1477" s="1" t="s">
        <v>112</v>
      </c>
      <c r="G1477" s="1">
        <v>512953</v>
      </c>
    </row>
    <row r="1478" spans="1:10" x14ac:dyDescent="0.25">
      <c r="A1478" s="1" t="str">
        <f t="shared" si="23"/>
        <v>8</v>
      </c>
      <c r="B147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478" s="1" t="s">
        <v>6147</v>
      </c>
      <c r="D1478" s="1" t="s">
        <v>6148</v>
      </c>
      <c r="E1478" s="1" t="s">
        <v>6149</v>
      </c>
      <c r="F1478" s="1" t="s">
        <v>112</v>
      </c>
      <c r="G1478" s="1">
        <v>561772</v>
      </c>
    </row>
    <row r="1479" spans="1:10" x14ac:dyDescent="0.25">
      <c r="A1479" s="1" t="str">
        <f t="shared" si="23"/>
        <v>8</v>
      </c>
      <c r="B147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479" s="1" t="s">
        <v>6150</v>
      </c>
      <c r="D1479" s="1" t="s">
        <v>5578</v>
      </c>
      <c r="E1479" s="1" t="s">
        <v>6151</v>
      </c>
      <c r="F1479" s="1" t="s">
        <v>112</v>
      </c>
      <c r="G1479" s="1">
        <v>317116</v>
      </c>
    </row>
    <row r="1480" spans="1:10" x14ac:dyDescent="0.25">
      <c r="A1480" s="1" t="str">
        <f t="shared" si="23"/>
        <v>8</v>
      </c>
      <c r="B148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480" s="1" t="s">
        <v>6152</v>
      </c>
      <c r="D1480" s="1" t="s">
        <v>4041</v>
      </c>
      <c r="E1480" s="1" t="s">
        <v>6153</v>
      </c>
      <c r="F1480" s="1" t="s">
        <v>112</v>
      </c>
      <c r="G1480" s="1">
        <v>607800</v>
      </c>
    </row>
    <row r="1481" spans="1:10" x14ac:dyDescent="0.25">
      <c r="A1481" s="1" t="str">
        <f t="shared" si="23"/>
        <v>8</v>
      </c>
      <c r="B148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481" s="1" t="s">
        <v>6154</v>
      </c>
      <c r="D1481" s="1" t="s">
        <v>6155</v>
      </c>
      <c r="E1481" s="1" t="s">
        <v>6156</v>
      </c>
      <c r="F1481" s="1" t="s">
        <v>112</v>
      </c>
      <c r="G1481" s="1">
        <v>354190</v>
      </c>
    </row>
    <row r="1482" spans="1:10" x14ac:dyDescent="0.25">
      <c r="A1482" s="1" t="str">
        <f t="shared" si="23"/>
        <v>8</v>
      </c>
      <c r="B148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482" s="1" t="s">
        <v>6157</v>
      </c>
      <c r="D1482" s="1" t="s">
        <v>4944</v>
      </c>
      <c r="E1482" s="1" t="s">
        <v>6158</v>
      </c>
      <c r="F1482" s="1" t="s">
        <v>112</v>
      </c>
      <c r="G1482" s="1">
        <v>476117</v>
      </c>
    </row>
    <row r="1483" spans="1:10" x14ac:dyDescent="0.25">
      <c r="A1483" s="1" t="str">
        <f t="shared" si="23"/>
        <v>8</v>
      </c>
      <c r="B148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483" s="1" t="s">
        <v>6159</v>
      </c>
      <c r="D1483" s="1" t="s">
        <v>3049</v>
      </c>
      <c r="E1483" s="1" t="s">
        <v>6160</v>
      </c>
      <c r="F1483" s="1" t="s">
        <v>112</v>
      </c>
      <c r="G1483" s="1">
        <v>517733</v>
      </c>
    </row>
    <row r="1484" spans="1:10" x14ac:dyDescent="0.25">
      <c r="A1484" s="1" t="str">
        <f t="shared" si="23"/>
        <v>8</v>
      </c>
      <c r="B148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484" s="1" t="s">
        <v>6161</v>
      </c>
    </row>
    <row r="1485" spans="1:10" x14ac:dyDescent="0.2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85" s="1" t="s">
        <v>112</v>
      </c>
    </row>
    <row r="1486" spans="1:10" x14ac:dyDescent="0.2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86" s="1" t="s">
        <v>237</v>
      </c>
      <c r="D1486" s="1" t="s">
        <v>112</v>
      </c>
      <c r="E1486" s="1" t="s">
        <v>238</v>
      </c>
      <c r="F1486" s="1" t="s">
        <v>239</v>
      </c>
      <c r="G1486" s="1" t="s">
        <v>240</v>
      </c>
      <c r="H1486" s="1" t="s">
        <v>241</v>
      </c>
      <c r="I1486" s="1" t="s">
        <v>242</v>
      </c>
      <c r="J1486" s="1" t="s">
        <v>243</v>
      </c>
    </row>
    <row r="1487" spans="1:10" x14ac:dyDescent="0.25">
      <c r="A1487" s="1" t="str">
        <f t="shared" si="23"/>
        <v>8</v>
      </c>
      <c r="B148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487" s="1" t="s">
        <v>6162</v>
      </c>
      <c r="D1487" s="1" t="s">
        <v>112</v>
      </c>
      <c r="E1487" s="1" t="s">
        <v>6163</v>
      </c>
      <c r="F1487" s="1" t="s">
        <v>6164</v>
      </c>
      <c r="G1487" s="1" t="s">
        <v>6165</v>
      </c>
      <c r="H1487" s="1" t="s">
        <v>6166</v>
      </c>
      <c r="I1487" s="1">
        <v>31</v>
      </c>
      <c r="J1487" s="1">
        <v>32</v>
      </c>
    </row>
    <row r="1488" spans="1:10" x14ac:dyDescent="0.2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88" s="1" t="s">
        <v>112</v>
      </c>
    </row>
    <row r="1489" spans="1:7" x14ac:dyDescent="0.2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89" s="1" t="s">
        <v>112</v>
      </c>
    </row>
    <row r="1490" spans="1:7" x14ac:dyDescent="0.2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90" s="1" t="s">
        <v>112</v>
      </c>
    </row>
    <row r="1491" spans="1:7" x14ac:dyDescent="0.2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91" s="1" t="s">
        <v>112</v>
      </c>
    </row>
    <row r="1492" spans="1:7" x14ac:dyDescent="0.2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92" s="1" t="s">
        <v>112</v>
      </c>
    </row>
    <row r="1493" spans="1:7" x14ac:dyDescent="0.2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93" s="1" t="s">
        <v>249</v>
      </c>
      <c r="D1493" s="1" t="s">
        <v>110</v>
      </c>
      <c r="E1493" s="1" t="s">
        <v>111</v>
      </c>
      <c r="F1493" s="1" t="s">
        <v>112</v>
      </c>
      <c r="G1493" s="1" t="s">
        <v>113</v>
      </c>
    </row>
    <row r="1494" spans="1:7" x14ac:dyDescent="0.25">
      <c r="A1494" s="1" t="str">
        <f t="shared" si="23"/>
        <v>9</v>
      </c>
      <c r="B149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494" s="1" t="s">
        <v>6167</v>
      </c>
      <c r="D1494" s="1" t="s">
        <v>6168</v>
      </c>
      <c r="E1494" s="1" t="s">
        <v>6169</v>
      </c>
      <c r="F1494" s="1" t="s">
        <v>112</v>
      </c>
      <c r="G1494" s="1">
        <v>49251</v>
      </c>
    </row>
    <row r="1495" spans="1:7" x14ac:dyDescent="0.25">
      <c r="A1495" s="1" t="str">
        <f t="shared" si="23"/>
        <v>9</v>
      </c>
      <c r="B149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495" s="1" t="s">
        <v>6170</v>
      </c>
      <c r="D1495" s="1" t="s">
        <v>4576</v>
      </c>
      <c r="E1495" s="1" t="s">
        <v>6171</v>
      </c>
      <c r="F1495" s="1" t="s">
        <v>112</v>
      </c>
      <c r="G1495" s="1">
        <v>121430</v>
      </c>
    </row>
    <row r="1496" spans="1:7" x14ac:dyDescent="0.25">
      <c r="A1496" s="1" t="str">
        <f t="shared" si="23"/>
        <v>9</v>
      </c>
      <c r="B149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496" s="1" t="s">
        <v>6172</v>
      </c>
      <c r="D1496" s="1" t="s">
        <v>221</v>
      </c>
      <c r="E1496" s="1" t="s">
        <v>6173</v>
      </c>
      <c r="F1496" s="1" t="s">
        <v>112</v>
      </c>
      <c r="G1496" s="1">
        <v>153096</v>
      </c>
    </row>
    <row r="1497" spans="1:7" x14ac:dyDescent="0.25">
      <c r="A1497" s="1" t="str">
        <f t="shared" si="23"/>
        <v>9</v>
      </c>
      <c r="B149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497" s="1" t="s">
        <v>6174</v>
      </c>
      <c r="D1497" s="1" t="s">
        <v>176</v>
      </c>
      <c r="E1497" s="1" t="s">
        <v>6175</v>
      </c>
      <c r="F1497" s="1" t="s">
        <v>112</v>
      </c>
      <c r="G1497" s="1">
        <v>131466</v>
      </c>
    </row>
    <row r="1498" spans="1:7" x14ac:dyDescent="0.25">
      <c r="A1498" s="1" t="str">
        <f t="shared" si="23"/>
        <v>9</v>
      </c>
      <c r="B149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498" s="1" t="s">
        <v>6176</v>
      </c>
      <c r="D1498" s="1" t="s">
        <v>1973</v>
      </c>
      <c r="E1498" s="1" t="s">
        <v>6177</v>
      </c>
      <c r="F1498" s="1" t="s">
        <v>112</v>
      </c>
      <c r="G1498" s="1">
        <v>301240</v>
      </c>
    </row>
    <row r="1499" spans="1:7" x14ac:dyDescent="0.25">
      <c r="A1499" s="1" t="str">
        <f t="shared" si="23"/>
        <v>9</v>
      </c>
      <c r="B149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499" s="1" t="s">
        <v>6178</v>
      </c>
      <c r="D1499" s="1" t="s">
        <v>147</v>
      </c>
      <c r="E1499" s="1" t="s">
        <v>6179</v>
      </c>
      <c r="F1499" s="1" t="s">
        <v>112</v>
      </c>
      <c r="G1499" s="1">
        <v>173904</v>
      </c>
    </row>
    <row r="1500" spans="1:7" x14ac:dyDescent="0.25">
      <c r="A1500" s="1" t="str">
        <f t="shared" si="23"/>
        <v>9</v>
      </c>
      <c r="B150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500" s="1" t="s">
        <v>6180</v>
      </c>
      <c r="D1500" s="1" t="s">
        <v>5527</v>
      </c>
      <c r="E1500" s="1" t="s">
        <v>6181</v>
      </c>
      <c r="F1500" s="1" t="s">
        <v>112</v>
      </c>
      <c r="G1500" s="1">
        <v>137242</v>
      </c>
    </row>
    <row r="1501" spans="1:7" x14ac:dyDescent="0.25">
      <c r="A1501" s="1" t="str">
        <f t="shared" si="23"/>
        <v>9</v>
      </c>
      <c r="B150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501" s="1" t="s">
        <v>6182</v>
      </c>
    </row>
    <row r="1502" spans="1:7" x14ac:dyDescent="0.25">
      <c r="A1502" s="1" t="str">
        <f t="shared" si="23"/>
        <v>9</v>
      </c>
      <c r="B150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502" s="1" t="s">
        <v>6183</v>
      </c>
      <c r="D1502" s="1" t="s">
        <v>1108</v>
      </c>
      <c r="E1502" s="1" t="s">
        <v>6184</v>
      </c>
      <c r="F1502" s="1" t="s">
        <v>112</v>
      </c>
      <c r="G1502" s="1">
        <v>229255</v>
      </c>
    </row>
    <row r="1503" spans="1:7" x14ac:dyDescent="0.25">
      <c r="A1503" s="1" t="str">
        <f t="shared" si="23"/>
        <v>9</v>
      </c>
      <c r="B150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503" s="1" t="s">
        <v>6185</v>
      </c>
      <c r="D1503" s="1" t="s">
        <v>6186</v>
      </c>
      <c r="E1503" s="1" t="s">
        <v>6187</v>
      </c>
      <c r="F1503" s="1" t="s">
        <v>112</v>
      </c>
      <c r="G1503" s="1">
        <v>469780</v>
      </c>
    </row>
    <row r="1504" spans="1:7" x14ac:dyDescent="0.25">
      <c r="A1504" s="1" t="str">
        <f t="shared" si="23"/>
        <v>9</v>
      </c>
      <c r="B150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504" s="1" t="s">
        <v>6188</v>
      </c>
      <c r="D1504" s="1" t="s">
        <v>1028</v>
      </c>
      <c r="E1504" s="1" t="s">
        <v>6189</v>
      </c>
      <c r="F1504" s="1" t="s">
        <v>112</v>
      </c>
      <c r="G1504" s="1">
        <v>362431</v>
      </c>
    </row>
    <row r="1505" spans="1:7" x14ac:dyDescent="0.25">
      <c r="A1505" s="1" t="str">
        <f t="shared" si="23"/>
        <v>9</v>
      </c>
      <c r="B150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505" s="1" t="s">
        <v>6190</v>
      </c>
      <c r="D1505" s="1" t="s">
        <v>167</v>
      </c>
      <c r="E1505" s="1" t="s">
        <v>6191</v>
      </c>
      <c r="F1505" s="1" t="s">
        <v>112</v>
      </c>
      <c r="G1505" s="1">
        <v>383498</v>
      </c>
    </row>
    <row r="1506" spans="1:7" x14ac:dyDescent="0.25">
      <c r="A1506" s="1" t="str">
        <f t="shared" si="23"/>
        <v>9</v>
      </c>
      <c r="B150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506" s="1" t="s">
        <v>6192</v>
      </c>
      <c r="D1506" s="1" t="s">
        <v>5124</v>
      </c>
      <c r="E1506" s="1" t="s">
        <v>6193</v>
      </c>
      <c r="F1506" s="1" t="s">
        <v>112</v>
      </c>
      <c r="G1506" s="1">
        <v>240914</v>
      </c>
    </row>
    <row r="1507" spans="1:7" x14ac:dyDescent="0.25">
      <c r="A1507" s="1" t="str">
        <f t="shared" si="23"/>
        <v>9</v>
      </c>
      <c r="B150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507" s="1" t="s">
        <v>6194</v>
      </c>
      <c r="D1507" s="1" t="s">
        <v>179</v>
      </c>
      <c r="E1507" s="1" t="s">
        <v>6195</v>
      </c>
      <c r="F1507" s="1" t="s">
        <v>112</v>
      </c>
      <c r="G1507" s="1">
        <v>208577</v>
      </c>
    </row>
    <row r="1508" spans="1:7" x14ac:dyDescent="0.25">
      <c r="A1508" s="1" t="str">
        <f t="shared" si="23"/>
        <v>9</v>
      </c>
      <c r="B150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508" s="1" t="s">
        <v>6196</v>
      </c>
      <c r="D1508" s="1" t="s">
        <v>6197</v>
      </c>
      <c r="E1508" s="1" t="s">
        <v>6198</v>
      </c>
      <c r="F1508" s="1" t="s">
        <v>112</v>
      </c>
      <c r="G1508" s="1">
        <v>28227</v>
      </c>
    </row>
    <row r="1509" spans="1:7" x14ac:dyDescent="0.25">
      <c r="A1509" s="1" t="str">
        <f t="shared" si="23"/>
        <v>9</v>
      </c>
      <c r="B150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509" s="1" t="s">
        <v>6199</v>
      </c>
      <c r="D1509" s="1" t="s">
        <v>5771</v>
      </c>
      <c r="E1509" s="1" t="s">
        <v>6200</v>
      </c>
      <c r="F1509" s="1" t="s">
        <v>112</v>
      </c>
      <c r="G1509" s="1">
        <v>377853</v>
      </c>
    </row>
    <row r="1510" spans="1:7" x14ac:dyDescent="0.25">
      <c r="A1510" s="1" t="str">
        <f t="shared" si="23"/>
        <v>9</v>
      </c>
      <c r="B151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10" s="1" t="s">
        <v>6201</v>
      </c>
      <c r="D1510" s="1" t="s">
        <v>6202</v>
      </c>
      <c r="E1510" s="1" t="s">
        <v>6203</v>
      </c>
      <c r="F1510" s="1" t="s">
        <v>112</v>
      </c>
      <c r="G1510" s="1">
        <v>480703</v>
      </c>
    </row>
    <row r="1511" spans="1:7" x14ac:dyDescent="0.25">
      <c r="A1511" s="1" t="str">
        <f t="shared" si="23"/>
        <v>9</v>
      </c>
      <c r="B151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11" s="1" t="s">
        <v>6204</v>
      </c>
      <c r="D1511" s="1" t="s">
        <v>4573</v>
      </c>
      <c r="E1511" s="1" t="s">
        <v>6205</v>
      </c>
      <c r="F1511" s="1" t="s">
        <v>112</v>
      </c>
      <c r="G1511" s="1">
        <v>347722</v>
      </c>
    </row>
    <row r="1512" spans="1:7" x14ac:dyDescent="0.25">
      <c r="A1512" s="1" t="str">
        <f t="shared" si="23"/>
        <v>9</v>
      </c>
      <c r="B151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12" s="1" t="s">
        <v>6206</v>
      </c>
      <c r="D1512" s="1" t="s">
        <v>288</v>
      </c>
      <c r="E1512" s="1" t="s">
        <v>6207</v>
      </c>
      <c r="F1512" s="1" t="s">
        <v>112</v>
      </c>
      <c r="G1512" s="1">
        <v>368271</v>
      </c>
    </row>
    <row r="1513" spans="1:7" x14ac:dyDescent="0.25">
      <c r="A1513" s="1" t="str">
        <f t="shared" si="23"/>
        <v>9</v>
      </c>
      <c r="B151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13" s="1" t="s">
        <v>6208</v>
      </c>
      <c r="D1513" s="1" t="s">
        <v>3984</v>
      </c>
      <c r="E1513" s="1" t="s">
        <v>6209</v>
      </c>
      <c r="F1513" s="1" t="s">
        <v>112</v>
      </c>
      <c r="G1513" s="1">
        <v>374305</v>
      </c>
    </row>
    <row r="1514" spans="1:7" x14ac:dyDescent="0.25">
      <c r="A1514" s="1" t="str">
        <f t="shared" si="23"/>
        <v>9</v>
      </c>
      <c r="B151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4" s="1" t="s">
        <v>6210</v>
      </c>
      <c r="D1514" s="1" t="s">
        <v>551</v>
      </c>
      <c r="E1514" s="1" t="s">
        <v>6211</v>
      </c>
      <c r="F1514" s="1" t="s">
        <v>112</v>
      </c>
      <c r="G1514" s="1">
        <v>2617</v>
      </c>
    </row>
    <row r="1515" spans="1:7" x14ac:dyDescent="0.25">
      <c r="A1515" s="1" t="str">
        <f t="shared" si="23"/>
        <v>9</v>
      </c>
      <c r="B151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5" s="1" t="s">
        <v>6212</v>
      </c>
      <c r="D1515" s="1" t="s">
        <v>1672</v>
      </c>
      <c r="E1515" s="1" t="s">
        <v>6213</v>
      </c>
      <c r="F1515" s="1" t="s">
        <v>112</v>
      </c>
      <c r="G1515" s="1">
        <v>381400</v>
      </c>
    </row>
    <row r="1516" spans="1:7" x14ac:dyDescent="0.25">
      <c r="A1516" s="1" t="str">
        <f t="shared" si="23"/>
        <v>9</v>
      </c>
      <c r="B1516"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6" s="1" t="s">
        <v>6214</v>
      </c>
      <c r="D1516" s="1" t="s">
        <v>2006</v>
      </c>
      <c r="E1516" s="1" t="s">
        <v>6215</v>
      </c>
      <c r="F1516" s="1" t="s">
        <v>112</v>
      </c>
      <c r="G1516" s="1">
        <v>326893</v>
      </c>
    </row>
    <row r="1517" spans="1:7" x14ac:dyDescent="0.25">
      <c r="A1517" s="1" t="str">
        <f t="shared" si="23"/>
        <v>9</v>
      </c>
      <c r="B1517"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7" s="1" t="s">
        <v>6216</v>
      </c>
      <c r="D1517" s="1" t="s">
        <v>6217</v>
      </c>
      <c r="E1517" s="1" t="s">
        <v>6218</v>
      </c>
      <c r="F1517" s="1" t="s">
        <v>112</v>
      </c>
      <c r="G1517" s="1">
        <v>542521</v>
      </c>
    </row>
    <row r="1518" spans="1:7" x14ac:dyDescent="0.25">
      <c r="A1518" s="1" t="str">
        <f t="shared" si="23"/>
        <v>9</v>
      </c>
      <c r="B151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18" s="1" t="s">
        <v>6219</v>
      </c>
      <c r="D1518" s="1" t="s">
        <v>3899</v>
      </c>
      <c r="E1518" s="1" t="s">
        <v>6220</v>
      </c>
      <c r="F1518" s="1" t="s">
        <v>112</v>
      </c>
      <c r="G1518" s="1">
        <v>662480</v>
      </c>
    </row>
    <row r="1519" spans="1:7" x14ac:dyDescent="0.25">
      <c r="A1519" s="1" t="str">
        <f t="shared" si="23"/>
        <v>9</v>
      </c>
      <c r="B1519"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19" s="1" t="s">
        <v>6221</v>
      </c>
      <c r="D1519" s="1" t="s">
        <v>6222</v>
      </c>
      <c r="E1519" s="1" t="s">
        <v>6223</v>
      </c>
      <c r="F1519" s="1" t="s">
        <v>112</v>
      </c>
      <c r="G1519" s="1">
        <v>606264</v>
      </c>
    </row>
    <row r="1520" spans="1:7" x14ac:dyDescent="0.25">
      <c r="A1520" s="1" t="str">
        <f t="shared" si="23"/>
        <v>9</v>
      </c>
      <c r="B1520"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0" s="1" t="s">
        <v>6224</v>
      </c>
      <c r="D1520" s="1" t="s">
        <v>4037</v>
      </c>
      <c r="E1520" s="1" t="s">
        <v>6225</v>
      </c>
      <c r="F1520" s="1" t="s">
        <v>112</v>
      </c>
      <c r="G1520" s="1">
        <v>539947</v>
      </c>
    </row>
    <row r="1521" spans="1:10" x14ac:dyDescent="0.25">
      <c r="A1521" s="1" t="str">
        <f t="shared" si="23"/>
        <v>9</v>
      </c>
      <c r="B1521"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1" s="1" t="s">
        <v>6226</v>
      </c>
      <c r="D1521" s="1" t="s">
        <v>3955</v>
      </c>
      <c r="E1521" s="1" t="s">
        <v>6227</v>
      </c>
      <c r="F1521" s="1" t="s">
        <v>112</v>
      </c>
      <c r="G1521" s="1">
        <v>406772</v>
      </c>
    </row>
    <row r="1522" spans="1:10" x14ac:dyDescent="0.25">
      <c r="A1522" s="1" t="str">
        <f t="shared" si="23"/>
        <v>9</v>
      </c>
      <c r="B1522"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22" s="1" t="s">
        <v>6228</v>
      </c>
      <c r="D1522" s="1" t="s">
        <v>1367</v>
      </c>
      <c r="E1522" s="1" t="s">
        <v>6229</v>
      </c>
      <c r="F1522" s="1" t="s">
        <v>112</v>
      </c>
      <c r="G1522" s="1">
        <v>73087</v>
      </c>
    </row>
    <row r="1523" spans="1:10" x14ac:dyDescent="0.25">
      <c r="A1523" s="1" t="str">
        <f t="shared" si="23"/>
        <v>9</v>
      </c>
      <c r="B1523"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23" s="1" t="s">
        <v>6230</v>
      </c>
      <c r="D1523" s="1" t="s">
        <v>5578</v>
      </c>
      <c r="E1523" s="1" t="s">
        <v>6231</v>
      </c>
      <c r="F1523" s="1" t="s">
        <v>112</v>
      </c>
      <c r="G1523" s="1">
        <v>385964</v>
      </c>
    </row>
    <row r="1524" spans="1:10" x14ac:dyDescent="0.25">
      <c r="A1524" s="1" t="str">
        <f t="shared" si="23"/>
        <v>9</v>
      </c>
      <c r="B1524"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24" s="1" t="s">
        <v>6232</v>
      </c>
      <c r="D1524" s="1" t="s">
        <v>505</v>
      </c>
      <c r="E1524" s="1" t="s">
        <v>6233</v>
      </c>
      <c r="F1524" s="1" t="s">
        <v>112</v>
      </c>
      <c r="G1524" s="1">
        <v>375257</v>
      </c>
    </row>
    <row r="1525" spans="1:10" x14ac:dyDescent="0.25">
      <c r="A1525" s="1" t="str">
        <f t="shared" si="23"/>
        <v>9</v>
      </c>
      <c r="B1525"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25" s="1" t="s">
        <v>6234</v>
      </c>
    </row>
    <row r="1526" spans="1:10" x14ac:dyDescent="0.2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26" s="1" t="s">
        <v>112</v>
      </c>
    </row>
    <row r="1527" spans="1:10" x14ac:dyDescent="0.2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27" s="1" t="s">
        <v>237</v>
      </c>
      <c r="D1527" s="1" t="s">
        <v>112</v>
      </c>
      <c r="E1527" s="1" t="s">
        <v>238</v>
      </c>
      <c r="F1527" s="1" t="s">
        <v>239</v>
      </c>
      <c r="G1527" s="1" t="s">
        <v>240</v>
      </c>
      <c r="H1527" s="1" t="s">
        <v>241</v>
      </c>
      <c r="I1527" s="1" t="s">
        <v>242</v>
      </c>
      <c r="J1527" s="1" t="s">
        <v>243</v>
      </c>
    </row>
    <row r="1528" spans="1:10" x14ac:dyDescent="0.25">
      <c r="A1528" s="1" t="str">
        <f t="shared" si="23"/>
        <v>9</v>
      </c>
      <c r="B1528" s="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528" s="1" t="s">
        <v>6235</v>
      </c>
      <c r="D1528" s="1" t="s">
        <v>112</v>
      </c>
      <c r="E1528" s="1" t="s">
        <v>6236</v>
      </c>
      <c r="F1528" s="1" t="s">
        <v>6237</v>
      </c>
      <c r="G1528" s="1" t="s">
        <v>6238</v>
      </c>
      <c r="H1528" s="1" t="s">
        <v>6239</v>
      </c>
      <c r="I1528" s="1">
        <v>32</v>
      </c>
      <c r="J1528" s="1">
        <v>32</v>
      </c>
    </row>
    <row r="1529" spans="1:10" x14ac:dyDescent="0.2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10" x14ac:dyDescent="0.2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10" x14ac:dyDescent="0.2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3" priority="1" operator="containsText" text="ERREUR">
      <formula>NOT(ISERROR(SEARCH("ERREUR",A1)))</formula>
    </cfRule>
    <cfRule type="containsText" dxfId="2"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74"/>
  <sheetViews>
    <sheetView showGridLines="0" topLeftCell="H16" zoomScale="70" zoomScaleNormal="70" zoomScaleSheetLayoutView="40" zoomScalePageLayoutView="30" workbookViewId="0">
      <selection activeCell="M35" sqref="M35"/>
    </sheetView>
  </sheetViews>
  <sheetFormatPr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36" width="25.85546875" style="1" customWidth="1"/>
    <col min="37" max="37" width="25.85546875" style="1" bestFit="1" customWidth="1"/>
    <col min="38" max="16384" width="9.140625" style="1"/>
  </cols>
  <sheetData>
    <row r="1" spans="1:37" ht="27" thickBot="1" x14ac:dyDescent="0.45">
      <c r="A1" s="221" t="s">
        <v>43</v>
      </c>
      <c r="B1" s="222"/>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3"/>
    </row>
    <row r="2" spans="1:37" customFormat="1" ht="15.75" thickBot="1" x14ac:dyDescent="0.3">
      <c r="AE2" s="1"/>
      <c r="AF2" s="1"/>
      <c r="AG2" s="1"/>
      <c r="AH2" s="1"/>
      <c r="AI2" s="1"/>
      <c r="AJ2" s="1"/>
    </row>
    <row r="3" spans="1:37" ht="15.75" thickBot="1" x14ac:dyDescent="0.3">
      <c r="A3" s="53" t="s">
        <v>18</v>
      </c>
      <c r="B3" s="231" t="s">
        <v>6</v>
      </c>
      <c r="C3" s="232"/>
      <c r="D3" s="232"/>
      <c r="E3" s="232"/>
      <c r="F3" s="232"/>
      <c r="G3" s="232"/>
      <c r="H3" s="232"/>
      <c r="I3" s="232"/>
      <c r="J3" s="232"/>
      <c r="K3" s="232"/>
      <c r="L3" s="232"/>
      <c r="M3" s="232"/>
      <c r="O3" s="231" t="s">
        <v>3</v>
      </c>
      <c r="P3" s="232"/>
      <c r="Q3" s="232"/>
      <c r="R3" s="232"/>
      <c r="S3" s="232"/>
      <c r="T3" s="232"/>
      <c r="U3" s="232"/>
      <c r="V3" s="232"/>
      <c r="W3" s="232"/>
      <c r="X3" s="232"/>
      <c r="Y3" s="232"/>
      <c r="Z3" s="232"/>
      <c r="AA3" s="232"/>
      <c r="AB3" s="232"/>
      <c r="AC3" s="232"/>
      <c r="AD3" s="232"/>
      <c r="AE3" s="232"/>
      <c r="AF3" s="232"/>
      <c r="AG3" s="232"/>
      <c r="AH3" s="232"/>
      <c r="AI3" s="232"/>
      <c r="AJ3" s="232"/>
      <c r="AK3" s="233"/>
    </row>
    <row r="4" spans="1:37"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Prochloraz-0,063mg/L</v>
      </c>
      <c r="J4" s="35" t="str">
        <f>'Page de garde'!A16</f>
        <v>Prochloraz-0,13mg/L</v>
      </c>
      <c r="K4" s="35" t="str">
        <f>'Page de garde'!A17</f>
        <v>Prochloraz-0,25mg/L</v>
      </c>
      <c r="L4" s="35" t="str">
        <f>'Page de garde'!A18</f>
        <v>Prochloraz-0,5mg/L</v>
      </c>
      <c r="M4" s="35" t="str">
        <f>'Page de garde'!A19</f>
        <v>Prochloraz-1mg/L</v>
      </c>
      <c r="N4" s="3"/>
      <c r="O4" s="36" t="str">
        <f>'Page de garde'!A36</f>
        <v>Testo -30µg/L</v>
      </c>
      <c r="P4" s="36" t="str">
        <f>'Page de garde'!A37</f>
        <v>Testo 30µg/L + EE2 -64ng/L</v>
      </c>
      <c r="Q4" s="36" t="str">
        <f>'Page de garde'!A38</f>
        <v>Testo 30µg/L + FAD-10mg/L</v>
      </c>
      <c r="R4" s="36" t="str">
        <f>'Page de garde'!A39</f>
        <v>Prochloraz-0.063mg/L + Testostérone</v>
      </c>
      <c r="S4" s="36" t="str">
        <f>'Page de garde'!A40</f>
        <v>Prochloraz-0.13mg/L + Testostérone</v>
      </c>
      <c r="T4" s="36" t="str">
        <f>'Page de garde'!A41</f>
        <v>Prochloraz-0.25mg/L + Testostérone</v>
      </c>
      <c r="U4" s="36" t="str">
        <f>'Page de garde'!A42</f>
        <v>Prochloraz-0.5mg/L + Testostérone</v>
      </c>
      <c r="V4" s="36" t="str">
        <f>'Page de garde'!A43</f>
        <v>Prochloraz-1mg/L + Testostérone</v>
      </c>
      <c r="W4" s="36" t="str">
        <f>'Page de garde'!A44</f>
        <v>0-00 + Testostérone</v>
      </c>
      <c r="X4" s="36" t="str">
        <f>'Page de garde'!A45</f>
        <v>0-00 + Testostérone</v>
      </c>
      <c r="Y4" s="36" t="str">
        <f>'Page de garde'!A46</f>
        <v>0-00 + Testostérone</v>
      </c>
      <c r="Z4" s="36" t="str">
        <f>'Page de garde'!A47</f>
        <v>0-00 + Testostérone</v>
      </c>
      <c r="AA4" s="36" t="str">
        <f>'Page de garde'!A48</f>
        <v>0-00 + Testostérone</v>
      </c>
      <c r="AB4" s="36" t="str">
        <f>'Page de garde'!A49</f>
        <v>0-00 + Testostérone</v>
      </c>
      <c r="AC4" s="36" t="str">
        <f>'Page de garde'!A50</f>
        <v>0-00 + Testostérone</v>
      </c>
      <c r="AD4" s="36" t="str">
        <f>'Page de garde'!A51</f>
        <v>0-00 + Testostérone</v>
      </c>
      <c r="AE4" s="36" t="str">
        <f>'Page de garde'!A52</f>
        <v>0-00 + Testostérone</v>
      </c>
      <c r="AF4" s="36" t="str">
        <f>'Page de garde'!A53</f>
        <v>0-00 + Testostérone</v>
      </c>
      <c r="AG4" s="36" t="str">
        <f>'Page de garde'!A54</f>
        <v>0-00 + Testostérone</v>
      </c>
      <c r="AH4" s="36" t="str">
        <f>'Page de garde'!A55</f>
        <v>0-00 + Testostérone</v>
      </c>
      <c r="AI4" s="36" t="str">
        <f>'Page de garde'!A56</f>
        <v>0-00 + Testostérone</v>
      </c>
      <c r="AJ4" s="36" t="str">
        <f>'Page de garde'!A57</f>
        <v>0-00 + Testostérone</v>
      </c>
      <c r="AK4" s="36" t="str">
        <f>'Page de garde'!A58</f>
        <v>0-00 + Testostérone</v>
      </c>
    </row>
    <row r="5" spans="1:37" x14ac:dyDescent="0.25">
      <c r="A5" s="234" t="s">
        <v>33</v>
      </c>
      <c r="B5" s="201">
        <v>198432.71428571429</v>
      </c>
      <c r="C5" s="201">
        <v>460940</v>
      </c>
      <c r="D5" s="201">
        <v>215674.85714285713</v>
      </c>
      <c r="E5" s="201">
        <v>206497</v>
      </c>
      <c r="F5" s="201">
        <v>1353633.4</v>
      </c>
      <c r="G5" s="201">
        <v>2852090</v>
      </c>
      <c r="H5" s="201">
        <v>4818453.75</v>
      </c>
      <c r="I5" s="201">
        <v>241779.14285714287</v>
      </c>
      <c r="J5" s="201">
        <v>154690.71428571429</v>
      </c>
      <c r="K5" s="201">
        <v>267788.83333333331</v>
      </c>
      <c r="L5" s="201">
        <v>667570.66666666663</v>
      </c>
      <c r="M5" s="201">
        <v>185725.25</v>
      </c>
      <c r="N5" s="3"/>
      <c r="O5" s="201">
        <v>1021746.8571428572</v>
      </c>
      <c r="P5" s="201">
        <v>4244700</v>
      </c>
      <c r="Q5" s="201">
        <v>339904.57142857142</v>
      </c>
      <c r="R5" s="201">
        <v>2028790.3333333333</v>
      </c>
      <c r="S5" s="201">
        <v>1120569.3333333333</v>
      </c>
      <c r="T5" s="201">
        <v>373706</v>
      </c>
      <c r="U5" s="201">
        <v>1351417.2857142857</v>
      </c>
      <c r="V5" s="201">
        <v>1234885</v>
      </c>
      <c r="W5" s="32"/>
      <c r="X5" s="32"/>
      <c r="Y5" s="32"/>
      <c r="Z5" s="32"/>
      <c r="AA5" s="32"/>
      <c r="AB5" s="32"/>
      <c r="AC5" s="32"/>
      <c r="AD5" s="32"/>
      <c r="AE5" s="32"/>
      <c r="AF5" s="32"/>
      <c r="AG5" s="32"/>
      <c r="AH5" s="32"/>
      <c r="AI5" s="32"/>
      <c r="AJ5" s="32"/>
      <c r="AK5" s="32"/>
    </row>
    <row r="6" spans="1:37" x14ac:dyDescent="0.25">
      <c r="A6" s="234"/>
      <c r="B6" s="201">
        <v>218690.71428571429</v>
      </c>
      <c r="C6" s="201">
        <v>272162.71428571426</v>
      </c>
      <c r="D6" s="201">
        <v>133253.20000000001</v>
      </c>
      <c r="E6" s="201">
        <v>196164.57142857142</v>
      </c>
      <c r="F6" s="201">
        <v>1284333.7142857143</v>
      </c>
      <c r="G6" s="201">
        <v>2874422</v>
      </c>
      <c r="H6" s="201">
        <v>3622623.5</v>
      </c>
      <c r="I6" s="201">
        <v>341532.85714285716</v>
      </c>
      <c r="J6" s="201">
        <v>201129.16666666666</v>
      </c>
      <c r="K6" s="201">
        <v>262648.57142857142</v>
      </c>
      <c r="L6" s="201">
        <v>316986</v>
      </c>
      <c r="M6" s="201">
        <v>132656</v>
      </c>
      <c r="N6" s="3"/>
      <c r="O6" s="201">
        <v>2646427</v>
      </c>
      <c r="P6" s="201">
        <v>2360152.2857142859</v>
      </c>
      <c r="Q6" s="201">
        <v>149410</v>
      </c>
      <c r="R6" s="201">
        <v>1622368.3333333333</v>
      </c>
      <c r="S6" s="201">
        <v>615288.19999999995</v>
      </c>
      <c r="T6" s="201">
        <v>1465171.857142857</v>
      </c>
      <c r="U6" s="201">
        <v>1178304.75</v>
      </c>
      <c r="V6" s="201">
        <v>2240093.5714285714</v>
      </c>
      <c r="W6" s="32"/>
      <c r="X6" s="32"/>
      <c r="Y6" s="32"/>
      <c r="Z6" s="32"/>
      <c r="AA6" s="32"/>
      <c r="AB6" s="32"/>
      <c r="AC6" s="32"/>
      <c r="AD6" s="32"/>
      <c r="AE6" s="32"/>
      <c r="AF6" s="32"/>
      <c r="AG6" s="32"/>
      <c r="AH6" s="32"/>
      <c r="AI6" s="32"/>
      <c r="AJ6" s="32"/>
      <c r="AK6" s="32"/>
    </row>
    <row r="7" spans="1:37" x14ac:dyDescent="0.25">
      <c r="A7" s="234"/>
      <c r="B7" s="201">
        <v>223872.42857142858</v>
      </c>
      <c r="C7" s="201">
        <v>184301</v>
      </c>
      <c r="D7" s="201">
        <v>488532.8</v>
      </c>
      <c r="E7" s="201">
        <v>745366</v>
      </c>
      <c r="F7" s="201">
        <v>591002.71428571432</v>
      </c>
      <c r="G7" s="201">
        <v>3231827.5714285714</v>
      </c>
      <c r="H7" s="201">
        <v>4082741.5714285714</v>
      </c>
      <c r="I7" s="201">
        <v>224514.66666666666</v>
      </c>
      <c r="J7" s="201">
        <v>253885.57142857142</v>
      </c>
      <c r="K7" s="201">
        <v>279656</v>
      </c>
      <c r="L7" s="201">
        <v>307125.85714285716</v>
      </c>
      <c r="M7" s="201">
        <v>297480.2</v>
      </c>
      <c r="N7" s="3"/>
      <c r="O7" s="201">
        <v>1362600</v>
      </c>
      <c r="P7" s="201">
        <v>3462954.6</v>
      </c>
      <c r="Q7" s="201">
        <v>251150.85714285713</v>
      </c>
      <c r="R7" s="201">
        <v>2297428</v>
      </c>
      <c r="S7" s="201">
        <v>1663829</v>
      </c>
      <c r="T7" s="201">
        <v>2069425.6666666667</v>
      </c>
      <c r="U7" s="201">
        <v>2101813</v>
      </c>
      <c r="V7" s="201">
        <v>1142018.8333333333</v>
      </c>
      <c r="W7" s="32"/>
      <c r="X7" s="32"/>
      <c r="Y7" s="32"/>
      <c r="Z7" s="32"/>
      <c r="AA7" s="32"/>
      <c r="AB7" s="32"/>
      <c r="AC7" s="32"/>
      <c r="AD7" s="32"/>
      <c r="AE7" s="32"/>
      <c r="AF7" s="32"/>
      <c r="AG7" s="32"/>
      <c r="AH7" s="32"/>
      <c r="AI7" s="32"/>
      <c r="AJ7" s="32"/>
      <c r="AK7" s="32"/>
    </row>
    <row r="8" spans="1:37" x14ac:dyDescent="0.25">
      <c r="A8" s="234"/>
      <c r="B8" s="201">
        <v>292310</v>
      </c>
      <c r="C8" s="201">
        <v>287430.57142857142</v>
      </c>
      <c r="D8" s="201">
        <v>69544.399999999994</v>
      </c>
      <c r="E8" s="201">
        <v>139500.57142857142</v>
      </c>
      <c r="F8" s="201">
        <v>1192832.3999999999</v>
      </c>
      <c r="G8" s="201">
        <v>3604751.75</v>
      </c>
      <c r="H8" s="201">
        <v>4679507.2857142854</v>
      </c>
      <c r="I8" s="201">
        <v>427709.57142857142</v>
      </c>
      <c r="J8" s="201">
        <v>203892.57142857142</v>
      </c>
      <c r="K8" s="201">
        <v>351884.28571428574</v>
      </c>
      <c r="L8" s="201">
        <v>583790.66666666663</v>
      </c>
      <c r="M8" s="201">
        <v>176860.33333333334</v>
      </c>
      <c r="N8" s="3"/>
      <c r="O8" s="201">
        <v>2310196.2857142859</v>
      </c>
      <c r="P8" s="201">
        <v>2860235.2857142859</v>
      </c>
      <c r="Q8" s="201">
        <v>255436.71428571429</v>
      </c>
      <c r="R8" s="201">
        <v>2077718.142857143</v>
      </c>
      <c r="S8" s="201">
        <v>292440.59999999998</v>
      </c>
      <c r="T8" s="201">
        <v>190004.33333333334</v>
      </c>
      <c r="U8" s="201">
        <v>1741221</v>
      </c>
      <c r="V8" s="201">
        <v>1118647.6666666667</v>
      </c>
      <c r="W8" s="32"/>
      <c r="X8" s="32"/>
      <c r="Y8" s="32"/>
      <c r="Z8" s="32"/>
      <c r="AA8" s="32"/>
      <c r="AB8" s="32"/>
      <c r="AC8" s="32"/>
      <c r="AD8" s="32"/>
      <c r="AE8" s="32"/>
      <c r="AF8" s="32"/>
      <c r="AG8" s="32"/>
      <c r="AH8" s="32"/>
      <c r="AI8" s="32"/>
      <c r="AJ8" s="32"/>
      <c r="AK8" s="32"/>
    </row>
    <row r="9" spans="1:37" x14ac:dyDescent="0.25">
      <c r="A9" s="234"/>
      <c r="B9" s="201">
        <v>229316.85714285713</v>
      </c>
      <c r="C9" s="201">
        <v>268120.66666666669</v>
      </c>
      <c r="D9" s="201">
        <v>334197.42857142858</v>
      </c>
      <c r="E9" s="201">
        <v>92288.571428571435</v>
      </c>
      <c r="F9" s="201">
        <v>1843834.142857143</v>
      </c>
      <c r="G9" s="201">
        <v>3628838.1428571427</v>
      </c>
      <c r="H9" s="201">
        <v>3877664.8</v>
      </c>
      <c r="I9" s="201">
        <v>109108.5</v>
      </c>
      <c r="J9" s="201">
        <v>303384.5</v>
      </c>
      <c r="K9" s="201">
        <v>347119.57142857142</v>
      </c>
      <c r="L9" s="201">
        <v>338980.71428571426</v>
      </c>
      <c r="M9" s="201">
        <v>355848</v>
      </c>
      <c r="N9" s="3"/>
      <c r="O9" s="201">
        <v>1562036.857142857</v>
      </c>
      <c r="P9" s="201">
        <v>4807045.833333333</v>
      </c>
      <c r="Q9" s="201">
        <v>216606</v>
      </c>
      <c r="R9" s="201">
        <v>1610086.142857143</v>
      </c>
      <c r="S9" s="201">
        <v>1654523.2857142857</v>
      </c>
      <c r="T9" s="201">
        <v>1438069.7142857143</v>
      </c>
      <c r="U9" s="201">
        <v>1979280.857142857</v>
      </c>
      <c r="V9" s="201">
        <v>2064653.7142857143</v>
      </c>
      <c r="W9" s="32"/>
      <c r="X9" s="32"/>
      <c r="Y9" s="32"/>
      <c r="Z9" s="32"/>
      <c r="AA9" s="32"/>
      <c r="AB9" s="32"/>
      <c r="AC9" s="32"/>
      <c r="AD9" s="32"/>
      <c r="AE9" s="32"/>
      <c r="AF9" s="32"/>
      <c r="AG9" s="32"/>
      <c r="AH9" s="32"/>
      <c r="AI9" s="32"/>
      <c r="AJ9" s="32"/>
      <c r="AK9" s="32"/>
    </row>
    <row r="10" spans="1:37" x14ac:dyDescent="0.25">
      <c r="A10" s="234"/>
      <c r="B10" s="201">
        <v>254274.85714285713</v>
      </c>
      <c r="C10" s="201">
        <v>80182</v>
      </c>
      <c r="D10" s="201">
        <v>264743.71428571426</v>
      </c>
      <c r="E10" s="201">
        <v>713786.42857142852</v>
      </c>
      <c r="F10" s="201">
        <v>1597266.8333333333</v>
      </c>
      <c r="G10" s="201">
        <v>2542016.2857142859</v>
      </c>
      <c r="H10" s="201">
        <v>3535740.1428571427</v>
      </c>
      <c r="I10" s="201">
        <v>156020</v>
      </c>
      <c r="J10" s="201">
        <v>224753.14285714287</v>
      </c>
      <c r="K10" s="201">
        <v>146589.33333333334</v>
      </c>
      <c r="L10" s="201">
        <v>366008.2</v>
      </c>
      <c r="M10" s="201">
        <v>575372.4</v>
      </c>
      <c r="N10" s="3"/>
      <c r="O10" s="201">
        <v>2763871.1428571427</v>
      </c>
      <c r="P10" s="201">
        <v>4218336.1428571427</v>
      </c>
      <c r="Q10" s="201">
        <v>343068.71428571426</v>
      </c>
      <c r="R10" s="201">
        <v>501402.57142857142</v>
      </c>
      <c r="S10" s="201">
        <v>3351660.1666666665</v>
      </c>
      <c r="T10" s="201">
        <v>1153120.5714285714</v>
      </c>
      <c r="U10" s="201">
        <v>2222502</v>
      </c>
      <c r="V10" s="201">
        <v>1325285.142857143</v>
      </c>
      <c r="W10" s="32"/>
      <c r="X10" s="32"/>
      <c r="Y10" s="32"/>
      <c r="Z10" s="32"/>
      <c r="AA10" s="32"/>
      <c r="AB10" s="32"/>
      <c r="AC10" s="32"/>
      <c r="AD10" s="32"/>
      <c r="AE10" s="32"/>
      <c r="AF10" s="32"/>
      <c r="AG10" s="32"/>
      <c r="AH10" s="32"/>
      <c r="AI10" s="32"/>
      <c r="AJ10" s="32"/>
      <c r="AK10" s="32"/>
    </row>
    <row r="11" spans="1:37" x14ac:dyDescent="0.25">
      <c r="A11" s="234"/>
      <c r="B11" s="201">
        <v>387243.14285714284</v>
      </c>
      <c r="C11" s="201">
        <v>221681.16666666666</v>
      </c>
      <c r="D11" s="201">
        <v>242492.85714285713</v>
      </c>
      <c r="E11" s="201">
        <v>297611</v>
      </c>
      <c r="F11" s="201">
        <v>780768.14285714284</v>
      </c>
      <c r="G11" s="201">
        <v>2584636.2857142859</v>
      </c>
      <c r="H11" s="201">
        <v>3595852.5714285714</v>
      </c>
      <c r="I11" s="201">
        <v>463293.85714285716</v>
      </c>
      <c r="J11" s="201">
        <v>527441.85714285716</v>
      </c>
      <c r="K11" s="201">
        <v>266100.28571428574</v>
      </c>
      <c r="L11" s="201">
        <v>246487</v>
      </c>
      <c r="M11" s="201">
        <v>399627.71428571426</v>
      </c>
      <c r="N11" s="3"/>
      <c r="O11" s="201">
        <v>1911409.142857143</v>
      </c>
      <c r="P11" s="201">
        <v>3251671.5714285714</v>
      </c>
      <c r="Q11" s="201">
        <v>222315.66666666666</v>
      </c>
      <c r="R11" s="201">
        <v>2116321.5714285714</v>
      </c>
      <c r="S11" s="201">
        <v>2189062.8571428573</v>
      </c>
      <c r="T11" s="201">
        <v>735135.33333333337</v>
      </c>
      <c r="U11" s="201">
        <v>1755287.5</v>
      </c>
      <c r="V11" s="201">
        <v>2093008.2</v>
      </c>
      <c r="W11" s="32"/>
      <c r="X11" s="32"/>
      <c r="Y11" s="32"/>
      <c r="Z11" s="32"/>
      <c r="AA11" s="32"/>
      <c r="AB11" s="32"/>
      <c r="AC11" s="32"/>
      <c r="AD11" s="32"/>
      <c r="AE11" s="32"/>
      <c r="AF11" s="32"/>
      <c r="AG11" s="32"/>
      <c r="AH11" s="32"/>
      <c r="AI11" s="32"/>
      <c r="AJ11" s="32"/>
      <c r="AK11" s="32"/>
    </row>
    <row r="12" spans="1:37" x14ac:dyDescent="0.25">
      <c r="A12" s="234"/>
      <c r="B12" s="201">
        <v>200222.5</v>
      </c>
      <c r="C12" s="201">
        <v>147374</v>
      </c>
      <c r="D12" s="201">
        <v>118675.83333333333</v>
      </c>
      <c r="E12" s="201">
        <v>354207.66666666669</v>
      </c>
      <c r="F12" s="201">
        <v>816905.71428571432</v>
      </c>
      <c r="G12" s="201">
        <v>1827673.4285714286</v>
      </c>
      <c r="H12" s="201">
        <v>4852982.1428571427</v>
      </c>
      <c r="I12" s="201">
        <v>454238.5</v>
      </c>
      <c r="J12" s="201">
        <v>277567.8</v>
      </c>
      <c r="K12" s="201">
        <v>276819.33333333331</v>
      </c>
      <c r="L12" s="201">
        <v>492352.6</v>
      </c>
      <c r="M12" s="201">
        <v>283027.28571428574</v>
      </c>
      <c r="N12" s="3"/>
      <c r="O12" s="201">
        <v>1472155.4285714286</v>
      </c>
      <c r="P12" s="201">
        <v>3096100</v>
      </c>
      <c r="Q12" s="201">
        <v>175458.57142857142</v>
      </c>
      <c r="R12" s="201">
        <v>173489.66666666666</v>
      </c>
      <c r="S12" s="201">
        <v>1457947.7142857143</v>
      </c>
      <c r="T12" s="201">
        <v>898354.5</v>
      </c>
      <c r="U12" s="201">
        <v>393098.71428571426</v>
      </c>
      <c r="V12" s="201">
        <v>574313.33333333337</v>
      </c>
      <c r="W12" s="32"/>
      <c r="X12" s="32"/>
      <c r="Y12" s="32"/>
      <c r="Z12" s="32"/>
      <c r="AA12" s="32"/>
      <c r="AB12" s="32"/>
      <c r="AC12" s="32"/>
      <c r="AD12" s="32"/>
      <c r="AE12" s="32"/>
      <c r="AF12" s="32"/>
      <c r="AG12" s="32"/>
      <c r="AH12" s="32"/>
      <c r="AI12" s="32"/>
      <c r="AJ12" s="32"/>
      <c r="AK12" s="32"/>
    </row>
    <row r="13" spans="1:37" ht="16.5" x14ac:dyDescent="0.25">
      <c r="A13" s="234"/>
      <c r="B13" s="14"/>
      <c r="C13" s="13"/>
      <c r="D13" s="32"/>
      <c r="E13" s="32"/>
      <c r="F13" s="32"/>
      <c r="G13" s="32"/>
      <c r="H13" s="32"/>
      <c r="I13" s="32"/>
      <c r="J13" s="32"/>
      <c r="K13" s="13"/>
      <c r="L13" s="13"/>
      <c r="M13" s="13"/>
      <c r="N13" s="3"/>
      <c r="O13" s="201"/>
      <c r="P13" s="13"/>
      <c r="Q13" s="13"/>
      <c r="R13" s="32"/>
      <c r="S13" s="32"/>
      <c r="T13" s="32"/>
      <c r="U13" s="32"/>
      <c r="V13" s="32"/>
      <c r="W13" s="32"/>
      <c r="X13" s="32"/>
      <c r="Y13" s="32"/>
      <c r="Z13" s="32"/>
      <c r="AA13" s="32"/>
      <c r="AB13" s="32"/>
      <c r="AC13" s="32"/>
      <c r="AD13" s="32"/>
      <c r="AE13" s="32"/>
      <c r="AF13" s="32"/>
      <c r="AG13" s="32"/>
      <c r="AH13" s="32"/>
      <c r="AI13" s="32"/>
      <c r="AJ13" s="32"/>
      <c r="AK13" s="32"/>
    </row>
    <row r="14" spans="1:37" ht="16.5" x14ac:dyDescent="0.25">
      <c r="A14" s="234"/>
      <c r="B14" s="14"/>
      <c r="C14" s="32"/>
      <c r="D14" s="32"/>
      <c r="E14" s="32"/>
      <c r="F14" s="32"/>
      <c r="G14" s="32"/>
      <c r="H14" s="32"/>
      <c r="I14" s="32"/>
      <c r="J14" s="32"/>
      <c r="K14" s="13"/>
      <c r="L14" s="13"/>
      <c r="M14" s="13"/>
      <c r="N14" s="3"/>
      <c r="O14" s="201">
        <v>2816868.3333333335</v>
      </c>
      <c r="P14" s="13"/>
      <c r="Q14" s="13"/>
      <c r="R14" s="32"/>
      <c r="S14" s="32"/>
      <c r="T14" s="32"/>
      <c r="U14" s="32"/>
      <c r="V14" s="32"/>
      <c r="W14" s="32"/>
      <c r="X14" s="32"/>
      <c r="Y14" s="32"/>
      <c r="Z14" s="32"/>
      <c r="AA14" s="32"/>
      <c r="AB14" s="32"/>
      <c r="AC14" s="32"/>
      <c r="AD14" s="32"/>
      <c r="AE14" s="32"/>
      <c r="AF14" s="32"/>
      <c r="AG14" s="32"/>
      <c r="AH14" s="32"/>
      <c r="AI14" s="32"/>
      <c r="AJ14" s="32"/>
      <c r="AK14" s="32"/>
    </row>
    <row r="15" spans="1:37" ht="16.5" x14ac:dyDescent="0.25">
      <c r="A15" s="234"/>
      <c r="B15" s="14"/>
      <c r="C15" s="32"/>
      <c r="D15" s="32"/>
      <c r="E15" s="32"/>
      <c r="F15" s="32"/>
      <c r="G15" s="32"/>
      <c r="H15" s="32"/>
      <c r="I15" s="32"/>
      <c r="J15" s="32"/>
      <c r="K15" s="13"/>
      <c r="L15" s="13"/>
      <c r="M15" s="13"/>
      <c r="N15" s="3"/>
      <c r="O15" s="201">
        <v>1682056</v>
      </c>
      <c r="P15" s="13"/>
      <c r="Q15" s="13"/>
      <c r="R15" s="32"/>
      <c r="S15" s="32"/>
      <c r="T15" s="32"/>
      <c r="U15" s="32"/>
      <c r="V15" s="32"/>
      <c r="W15" s="32"/>
      <c r="X15" s="32"/>
      <c r="Y15" s="32"/>
      <c r="Z15" s="32"/>
      <c r="AA15" s="32"/>
      <c r="AB15" s="32"/>
      <c r="AC15" s="32"/>
      <c r="AD15" s="32"/>
      <c r="AE15" s="32"/>
      <c r="AF15" s="32"/>
      <c r="AG15" s="32"/>
      <c r="AH15" s="32"/>
      <c r="AI15" s="32"/>
      <c r="AJ15" s="32"/>
      <c r="AK15" s="32"/>
    </row>
    <row r="16" spans="1:37" ht="16.5" x14ac:dyDescent="0.25">
      <c r="A16" s="234"/>
      <c r="B16" s="14"/>
      <c r="C16" s="32"/>
      <c r="D16" s="32"/>
      <c r="E16" s="32"/>
      <c r="F16" s="32"/>
      <c r="G16" s="32"/>
      <c r="H16" s="32"/>
      <c r="I16" s="32"/>
      <c r="J16" s="32"/>
      <c r="K16" s="13"/>
      <c r="L16" s="13"/>
      <c r="M16" s="13"/>
      <c r="N16" s="3"/>
      <c r="O16" s="201">
        <v>3321443.3333333335</v>
      </c>
      <c r="P16" s="13"/>
      <c r="Q16" s="13"/>
      <c r="R16" s="32"/>
      <c r="S16" s="32"/>
      <c r="T16" s="32"/>
      <c r="U16" s="32"/>
      <c r="V16" s="32"/>
      <c r="W16" s="32"/>
      <c r="X16" s="32"/>
      <c r="Y16" s="32"/>
      <c r="Z16" s="32"/>
      <c r="AA16" s="32"/>
      <c r="AB16" s="32"/>
      <c r="AC16" s="32"/>
      <c r="AD16" s="32"/>
      <c r="AE16" s="32"/>
      <c r="AF16" s="32"/>
      <c r="AG16" s="32"/>
      <c r="AH16" s="32"/>
      <c r="AI16" s="32"/>
      <c r="AJ16" s="32"/>
      <c r="AK16" s="32"/>
    </row>
    <row r="17" spans="1:37" ht="16.5" x14ac:dyDescent="0.25">
      <c r="A17" s="234"/>
      <c r="B17" s="14"/>
      <c r="C17" s="32"/>
      <c r="D17" s="32"/>
      <c r="E17" s="32"/>
      <c r="F17" s="32"/>
      <c r="G17" s="32"/>
      <c r="H17" s="32"/>
      <c r="I17" s="32"/>
      <c r="J17" s="32"/>
      <c r="K17" s="13"/>
      <c r="L17" s="13"/>
      <c r="M17" s="13"/>
      <c r="N17" s="3"/>
      <c r="O17" s="201">
        <v>774328.57142857148</v>
      </c>
      <c r="P17" s="13"/>
      <c r="Q17" s="13"/>
      <c r="R17" s="32"/>
      <c r="S17" s="32"/>
      <c r="T17" s="32"/>
      <c r="U17" s="32"/>
      <c r="V17" s="32"/>
      <c r="W17" s="32"/>
      <c r="X17" s="32"/>
      <c r="Y17" s="32"/>
      <c r="Z17" s="32"/>
      <c r="AA17" s="32"/>
      <c r="AB17" s="32"/>
      <c r="AC17" s="32"/>
      <c r="AD17" s="32"/>
      <c r="AE17" s="32"/>
      <c r="AF17" s="32"/>
      <c r="AG17" s="32"/>
      <c r="AH17" s="32"/>
      <c r="AI17" s="32"/>
      <c r="AJ17" s="32"/>
      <c r="AK17" s="32"/>
    </row>
    <row r="18" spans="1:37" ht="16.5" x14ac:dyDescent="0.25">
      <c r="A18" s="234"/>
      <c r="B18" s="14"/>
      <c r="C18" s="32"/>
      <c r="D18" s="32"/>
      <c r="E18" s="32"/>
      <c r="F18" s="32"/>
      <c r="G18" s="32"/>
      <c r="H18" s="32"/>
      <c r="I18" s="32"/>
      <c r="J18" s="32"/>
      <c r="K18" s="13"/>
      <c r="L18" s="13"/>
      <c r="M18" s="13"/>
      <c r="N18" s="3"/>
      <c r="O18" s="201">
        <v>1986331.857142857</v>
      </c>
      <c r="P18" s="13"/>
      <c r="Q18" s="13"/>
      <c r="R18" s="32"/>
      <c r="S18" s="32"/>
      <c r="T18" s="32"/>
      <c r="U18" s="32"/>
      <c r="V18" s="32"/>
      <c r="W18" s="32"/>
      <c r="X18" s="32"/>
      <c r="Y18" s="32"/>
      <c r="Z18" s="32"/>
      <c r="AA18" s="32"/>
      <c r="AB18" s="32"/>
      <c r="AC18" s="32"/>
      <c r="AD18" s="32"/>
      <c r="AE18" s="32"/>
      <c r="AF18" s="32"/>
      <c r="AG18" s="32"/>
      <c r="AH18" s="32"/>
      <c r="AI18" s="32"/>
      <c r="AJ18" s="32"/>
      <c r="AK18" s="32"/>
    </row>
    <row r="19" spans="1:37" ht="16.5" x14ac:dyDescent="0.25">
      <c r="A19" s="234"/>
      <c r="B19" s="14"/>
      <c r="C19" s="32"/>
      <c r="D19" s="32"/>
      <c r="E19" s="32"/>
      <c r="F19" s="32"/>
      <c r="G19" s="32"/>
      <c r="H19" s="32"/>
      <c r="I19" s="32"/>
      <c r="J19" s="32"/>
      <c r="K19" s="13"/>
      <c r="L19" s="13"/>
      <c r="M19" s="13"/>
      <c r="N19" s="3"/>
      <c r="O19" s="201">
        <v>1859704.4285714286</v>
      </c>
      <c r="P19" s="13"/>
      <c r="Q19" s="13"/>
      <c r="R19" s="32"/>
      <c r="S19" s="32"/>
      <c r="T19" s="32"/>
      <c r="U19" s="32"/>
      <c r="V19" s="32"/>
      <c r="W19" s="32"/>
      <c r="X19" s="32"/>
      <c r="Y19" s="32"/>
      <c r="Z19" s="32"/>
      <c r="AA19" s="32"/>
      <c r="AB19" s="32"/>
      <c r="AC19" s="32"/>
      <c r="AD19" s="32"/>
      <c r="AE19" s="32"/>
      <c r="AF19" s="32"/>
      <c r="AG19" s="32"/>
      <c r="AH19" s="32"/>
      <c r="AI19" s="32"/>
      <c r="AJ19" s="32"/>
      <c r="AK19" s="32"/>
    </row>
    <row r="20" spans="1:37" ht="16.5" x14ac:dyDescent="0.25">
      <c r="A20" s="234"/>
      <c r="B20" s="14"/>
      <c r="C20" s="32"/>
      <c r="D20" s="32"/>
      <c r="E20" s="32"/>
      <c r="F20" s="32"/>
      <c r="G20" s="32"/>
      <c r="H20" s="32"/>
      <c r="I20" s="32"/>
      <c r="J20" s="32"/>
      <c r="K20" s="13"/>
      <c r="L20" s="13"/>
      <c r="M20" s="13"/>
      <c r="N20" s="3"/>
      <c r="O20" s="201">
        <v>1899621</v>
      </c>
      <c r="P20" s="13"/>
      <c r="Q20" s="13"/>
      <c r="R20" s="32"/>
      <c r="S20" s="32"/>
      <c r="T20" s="32"/>
      <c r="U20" s="32"/>
      <c r="V20" s="32"/>
      <c r="W20" s="32"/>
      <c r="X20" s="32"/>
      <c r="Y20" s="32"/>
      <c r="Z20" s="32"/>
      <c r="AA20" s="32"/>
      <c r="AB20" s="32"/>
      <c r="AC20" s="32"/>
      <c r="AD20" s="32"/>
      <c r="AE20" s="32"/>
      <c r="AF20" s="32"/>
      <c r="AG20" s="32"/>
      <c r="AH20" s="32"/>
      <c r="AI20" s="32"/>
      <c r="AJ20" s="32"/>
      <c r="AK20" s="32"/>
    </row>
    <row r="21" spans="1:37" x14ac:dyDescent="0.25">
      <c r="A21" s="3"/>
      <c r="B21" s="7"/>
      <c r="C21" s="7"/>
      <c r="D21" s="7"/>
      <c r="E21" s="7"/>
      <c r="F21" s="7"/>
      <c r="G21" s="7"/>
      <c r="H21" s="7"/>
      <c r="I21" s="7"/>
      <c r="J21" s="7"/>
      <c r="N21" s="3"/>
      <c r="O21" s="7"/>
      <c r="R21" s="7"/>
      <c r="S21" s="7"/>
      <c r="T21" s="7"/>
      <c r="U21" s="7"/>
      <c r="V21" s="7"/>
      <c r="W21" s="7"/>
      <c r="X21" s="7"/>
      <c r="Y21" s="7"/>
      <c r="Z21" s="7"/>
      <c r="AA21" s="7"/>
      <c r="AB21" s="7"/>
      <c r="AC21" s="7"/>
      <c r="AD21" s="7"/>
      <c r="AE21" s="7"/>
      <c r="AF21" s="7"/>
      <c r="AG21" s="7"/>
      <c r="AH21" s="7"/>
      <c r="AI21" s="7"/>
      <c r="AJ21" s="7"/>
      <c r="AK21" s="7"/>
    </row>
    <row r="22" spans="1:37" x14ac:dyDescent="0.25">
      <c r="A22" s="3" t="str">
        <f>A4</f>
        <v>Noms des groupes</v>
      </c>
      <c r="B22" s="3" t="str">
        <f t="shared" ref="B22:AD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Prochloraz-0,063mg/L</v>
      </c>
      <c r="J22" s="3" t="str">
        <f t="shared" si="0"/>
        <v>Prochloraz-0,13mg/L</v>
      </c>
      <c r="K22" s="3" t="str">
        <f t="shared" si="0"/>
        <v>Prochloraz-0,25mg/L</v>
      </c>
      <c r="L22" s="3" t="str">
        <f t="shared" si="0"/>
        <v>Prochloraz-0,5mg/L</v>
      </c>
      <c r="M22" s="3" t="str">
        <f t="shared" si="0"/>
        <v>Prochloraz-1mg/L</v>
      </c>
      <c r="N22" s="3" t="s">
        <v>41</v>
      </c>
      <c r="O22" s="3" t="str">
        <f t="shared" si="0"/>
        <v>Testo -30µg/L</v>
      </c>
      <c r="P22" s="3" t="str">
        <f t="shared" si="0"/>
        <v>Testo 30µg/L + EE2 -64ng/L</v>
      </c>
      <c r="Q22" s="3" t="str">
        <f t="shared" si="0"/>
        <v>Testo 30µg/L + FAD-10mg/L</v>
      </c>
      <c r="R22" s="3" t="str">
        <f t="shared" si="0"/>
        <v>Prochloraz-0.063mg/L + Testostérone</v>
      </c>
      <c r="S22" s="3" t="str">
        <f t="shared" si="0"/>
        <v>Prochloraz-0.13mg/L + Testostérone</v>
      </c>
      <c r="T22" s="3" t="str">
        <f t="shared" si="0"/>
        <v>Prochloraz-0.25mg/L + Testostérone</v>
      </c>
      <c r="U22" s="3" t="str">
        <f t="shared" si="0"/>
        <v>Prochloraz-0.5mg/L + Testostérone</v>
      </c>
      <c r="V22" s="3" t="str">
        <f t="shared" si="0"/>
        <v>Prochloraz-1mg/L + Testostérone</v>
      </c>
      <c r="W22" s="3" t="str">
        <f t="shared" si="0"/>
        <v>0-00 + Testostérone</v>
      </c>
      <c r="X22" s="3" t="str">
        <f t="shared" si="0"/>
        <v>0-00 + Testostérone</v>
      </c>
      <c r="Y22" s="3" t="str">
        <f t="shared" si="0"/>
        <v>0-00 + Testostérone</v>
      </c>
      <c r="Z22" s="3" t="str">
        <f t="shared" si="0"/>
        <v>0-00 + Testostérone</v>
      </c>
      <c r="AA22" s="3" t="str">
        <f t="shared" si="0"/>
        <v>0-00 + Testostérone</v>
      </c>
      <c r="AB22" s="3" t="str">
        <f t="shared" si="0"/>
        <v>0-00 + Testostérone</v>
      </c>
      <c r="AC22" s="3" t="str">
        <f t="shared" si="0"/>
        <v>0-00 + Testostérone</v>
      </c>
      <c r="AD22" s="3" t="str">
        <f t="shared" si="0"/>
        <v>0-00 + Testostérone</v>
      </c>
      <c r="AE22" s="3" t="str">
        <f t="shared" ref="AE22:AK22" si="1">AE4</f>
        <v>0-00 + Testostérone</v>
      </c>
      <c r="AF22" s="3" t="str">
        <f t="shared" si="1"/>
        <v>0-00 + Testostérone</v>
      </c>
      <c r="AG22" s="3" t="str">
        <f t="shared" si="1"/>
        <v>0-00 + Testostérone</v>
      </c>
      <c r="AH22" s="3" t="str">
        <f t="shared" si="1"/>
        <v>0-00 + Testostérone</v>
      </c>
      <c r="AI22" s="3" t="str">
        <f t="shared" si="1"/>
        <v>0-00 + Testostérone</v>
      </c>
      <c r="AJ22" s="3" t="str">
        <f t="shared" si="1"/>
        <v>0-00 + Testostérone</v>
      </c>
      <c r="AK22" s="3" t="str">
        <f t="shared" si="1"/>
        <v>0-00 + Testostérone</v>
      </c>
    </row>
    <row r="23" spans="1:37" x14ac:dyDescent="0.25">
      <c r="A23" s="5" t="s">
        <v>0</v>
      </c>
      <c r="B23" s="5">
        <f t="shared" ref="B23:J23" si="2">AVERAGE(B5:B20)</f>
        <v>250545.40178571426</v>
      </c>
      <c r="C23" s="5">
        <f t="shared" si="2"/>
        <v>240274.0148809524</v>
      </c>
      <c r="D23" s="5">
        <f t="shared" si="2"/>
        <v>233389.38630952378</v>
      </c>
      <c r="E23" s="5">
        <f t="shared" si="2"/>
        <v>343177.72619047615</v>
      </c>
      <c r="F23" s="5">
        <f t="shared" si="2"/>
        <v>1182572.1327380952</v>
      </c>
      <c r="G23" s="5">
        <f t="shared" si="2"/>
        <v>2893281.9330357146</v>
      </c>
      <c r="H23" s="5">
        <f t="shared" si="2"/>
        <v>4133195.7205357142</v>
      </c>
      <c r="I23" s="5">
        <f t="shared" si="2"/>
        <v>302274.63690476189</v>
      </c>
      <c r="J23" s="5">
        <f t="shared" si="2"/>
        <v>268343.16547619045</v>
      </c>
      <c r="K23" s="5"/>
      <c r="L23" s="5">
        <f>AVERAGE(L5:L20)</f>
        <v>414912.71309523808</v>
      </c>
      <c r="M23" s="5"/>
      <c r="N23" s="5" t="s">
        <v>0</v>
      </c>
      <c r="O23" s="5">
        <f>AVERAGE(O5:O20)</f>
        <v>1959386.415873016</v>
      </c>
      <c r="P23" s="5">
        <f>AVERAGE(P5:P20)</f>
        <v>3537649.4648809521</v>
      </c>
      <c r="Q23" s="5">
        <f>AVERAGE(Q5:Q20)</f>
        <v>244168.88690476189</v>
      </c>
      <c r="R23" s="5">
        <f>AVERAGE(R5:R20)</f>
        <v>1553450.5952380949</v>
      </c>
      <c r="S23" s="5">
        <f>AVERAGE(S5:S20)</f>
        <v>1543165.1446428571</v>
      </c>
      <c r="T23" s="5">
        <f t="shared" ref="T23:AD23" si="3">AVERAGE(T5:T20)</f>
        <v>1040373.4970238096</v>
      </c>
      <c r="U23" s="5">
        <f t="shared" si="3"/>
        <v>1590365.638392857</v>
      </c>
      <c r="V23" s="5">
        <f t="shared" si="3"/>
        <v>1474113.1827380953</v>
      </c>
      <c r="W23" s="5" t="e">
        <f t="shared" si="3"/>
        <v>#DIV/0!</v>
      </c>
      <c r="X23" s="5" t="e">
        <f t="shared" si="3"/>
        <v>#DIV/0!</v>
      </c>
      <c r="Y23" s="5" t="e">
        <f t="shared" si="3"/>
        <v>#DIV/0!</v>
      </c>
      <c r="Z23" s="5" t="e">
        <f t="shared" si="3"/>
        <v>#DIV/0!</v>
      </c>
      <c r="AA23" s="5" t="e">
        <f t="shared" si="3"/>
        <v>#DIV/0!</v>
      </c>
      <c r="AB23" s="5" t="e">
        <f t="shared" si="3"/>
        <v>#DIV/0!</v>
      </c>
      <c r="AC23" s="5" t="e">
        <f t="shared" si="3"/>
        <v>#DIV/0!</v>
      </c>
      <c r="AD23" s="5" t="e">
        <f t="shared" si="3"/>
        <v>#DIV/0!</v>
      </c>
      <c r="AE23" s="5" t="e">
        <f t="shared" ref="AE23:AK23" si="4">AVERAGE(AE5:AE20)</f>
        <v>#DIV/0!</v>
      </c>
      <c r="AF23" s="5" t="e">
        <f t="shared" si="4"/>
        <v>#DIV/0!</v>
      </c>
      <c r="AG23" s="5" t="e">
        <f t="shared" si="4"/>
        <v>#DIV/0!</v>
      </c>
      <c r="AH23" s="5" t="e">
        <f t="shared" si="4"/>
        <v>#DIV/0!</v>
      </c>
      <c r="AI23" s="5" t="e">
        <f t="shared" si="4"/>
        <v>#DIV/0!</v>
      </c>
      <c r="AJ23" s="5" t="e">
        <f t="shared" si="4"/>
        <v>#DIV/0!</v>
      </c>
      <c r="AK23" s="5" t="e">
        <f t="shared" si="4"/>
        <v>#DIV/0!</v>
      </c>
    </row>
    <row r="24" spans="1:37" x14ac:dyDescent="0.25">
      <c r="A24" s="3" t="s">
        <v>1</v>
      </c>
      <c r="B24" s="3">
        <f t="shared" ref="B24:J24" si="5">STDEV(B5:B20)</f>
        <v>63097.893649886559</v>
      </c>
      <c r="C24" s="3">
        <f t="shared" si="5"/>
        <v>113671.25618108292</v>
      </c>
      <c r="D24" s="3">
        <f t="shared" si="5"/>
        <v>134521.28303504403</v>
      </c>
      <c r="E24" s="3">
        <f t="shared" si="5"/>
        <v>252424.93761995176</v>
      </c>
      <c r="F24" s="3">
        <f t="shared" si="5"/>
        <v>429962.54706746549</v>
      </c>
      <c r="G24" s="3">
        <f t="shared" si="5"/>
        <v>599770.07920171518</v>
      </c>
      <c r="H24" s="3">
        <f t="shared" si="5"/>
        <v>568248.4214091266</v>
      </c>
      <c r="I24" s="3">
        <f t="shared" si="5"/>
        <v>138721.31809727402</v>
      </c>
      <c r="J24" s="3">
        <f t="shared" si="5"/>
        <v>114731.18488693589</v>
      </c>
      <c r="K24" s="3"/>
      <c r="L24" s="3">
        <f>STDEV(L5:L20)</f>
        <v>149324.63624067325</v>
      </c>
      <c r="M24" s="3"/>
      <c r="N24" s="3" t="s">
        <v>1</v>
      </c>
      <c r="O24" s="3">
        <f>STDEV(O5:O20)</f>
        <v>705143.12116260582</v>
      </c>
      <c r="P24" s="3">
        <f>STDEV(P5:P20)</f>
        <v>819611.41824540449</v>
      </c>
      <c r="Q24" s="3">
        <f>STDEV(Q5:Q20)</f>
        <v>69754.507339345539</v>
      </c>
      <c r="R24" s="3">
        <f>STDEV(R5:R20)</f>
        <v>791940.19357491739</v>
      </c>
      <c r="S24" s="3">
        <f>STDEV(S5:S20)</f>
        <v>950632.51442808472</v>
      </c>
      <c r="T24" s="3">
        <f t="shared" ref="T24:AD24" si="6">STDEV(T5:T20)</f>
        <v>620044.8367255592</v>
      </c>
      <c r="U24" s="3">
        <f t="shared" si="6"/>
        <v>600324.3135231951</v>
      </c>
      <c r="V24" s="3">
        <f t="shared" si="6"/>
        <v>590902.11729099683</v>
      </c>
      <c r="W24" s="3" t="e">
        <f t="shared" si="6"/>
        <v>#DIV/0!</v>
      </c>
      <c r="X24" s="3" t="e">
        <f t="shared" si="6"/>
        <v>#DIV/0!</v>
      </c>
      <c r="Y24" s="3" t="e">
        <f t="shared" si="6"/>
        <v>#DIV/0!</v>
      </c>
      <c r="Z24" s="3" t="e">
        <f t="shared" si="6"/>
        <v>#DIV/0!</v>
      </c>
      <c r="AA24" s="3" t="e">
        <f t="shared" si="6"/>
        <v>#DIV/0!</v>
      </c>
      <c r="AB24" s="3" t="e">
        <f t="shared" si="6"/>
        <v>#DIV/0!</v>
      </c>
      <c r="AC24" s="3" t="e">
        <f t="shared" si="6"/>
        <v>#DIV/0!</v>
      </c>
      <c r="AD24" s="3" t="e">
        <f t="shared" si="6"/>
        <v>#DIV/0!</v>
      </c>
      <c r="AE24" s="3" t="e">
        <f t="shared" ref="AE24:AK24" si="7">STDEV(AE5:AE20)</f>
        <v>#DIV/0!</v>
      </c>
      <c r="AF24" s="3" t="e">
        <f t="shared" si="7"/>
        <v>#DIV/0!</v>
      </c>
      <c r="AG24" s="3" t="e">
        <f t="shared" si="7"/>
        <v>#DIV/0!</v>
      </c>
      <c r="AH24" s="3" t="e">
        <f t="shared" si="7"/>
        <v>#DIV/0!</v>
      </c>
      <c r="AI24" s="3" t="e">
        <f t="shared" si="7"/>
        <v>#DIV/0!</v>
      </c>
      <c r="AJ24" s="3" t="e">
        <f t="shared" si="7"/>
        <v>#DIV/0!</v>
      </c>
      <c r="AK24" s="3" t="e">
        <f t="shared" si="7"/>
        <v>#DIV/0!</v>
      </c>
    </row>
    <row r="25" spans="1:37" ht="15.75" thickBot="1" x14ac:dyDescent="0.3"/>
    <row r="26" spans="1:37" ht="15.75" thickBot="1" x14ac:dyDescent="0.3">
      <c r="B26" s="231" t="s">
        <v>6</v>
      </c>
      <c r="C26" s="232"/>
      <c r="D26" s="232"/>
      <c r="E26" s="232"/>
      <c r="F26" s="232"/>
      <c r="G26" s="232"/>
      <c r="H26" s="232"/>
      <c r="I26" s="232"/>
      <c r="J26" s="232"/>
      <c r="K26" s="232"/>
      <c r="L26" s="232"/>
      <c r="M26" s="232"/>
      <c r="O26" s="231" t="s">
        <v>3</v>
      </c>
      <c r="P26" s="232"/>
      <c r="Q26" s="232"/>
      <c r="R26" s="232"/>
      <c r="S26" s="232"/>
      <c r="T26" s="232"/>
      <c r="U26" s="232"/>
      <c r="V26" s="232"/>
      <c r="W26" s="232"/>
      <c r="X26" s="232"/>
      <c r="Y26" s="232"/>
      <c r="Z26" s="232"/>
      <c r="AA26" s="232"/>
      <c r="AB26" s="232"/>
      <c r="AC26" s="232"/>
      <c r="AD26" s="232"/>
      <c r="AE26" s="232"/>
      <c r="AF26" s="232"/>
      <c r="AG26" s="232"/>
      <c r="AH26" s="232"/>
      <c r="AI26" s="232"/>
      <c r="AJ26" s="232"/>
      <c r="AK26" s="233"/>
    </row>
    <row r="27" spans="1:37" x14ac:dyDescent="0.25">
      <c r="A27" s="34" t="s">
        <v>41</v>
      </c>
      <c r="B27" s="35" t="str">
        <f>B4</f>
        <v>Témoin solvant</v>
      </c>
      <c r="C27" s="35" t="str">
        <f t="shared" ref="C27:M27" si="8">C4</f>
        <v>EE2-33.8ng/L</v>
      </c>
      <c r="D27" s="35" t="str">
        <f t="shared" si="8"/>
        <v>EE2-50.6ng/L</v>
      </c>
      <c r="E27" s="35" t="str">
        <f t="shared" si="8"/>
        <v>EE2-76ng/L</v>
      </c>
      <c r="F27" s="35" t="str">
        <f t="shared" si="8"/>
        <v>EE2-114ng/L</v>
      </c>
      <c r="G27" s="35" t="str">
        <f t="shared" si="8"/>
        <v>EE2-170.9ng/L</v>
      </c>
      <c r="H27" s="35" t="str">
        <f t="shared" si="8"/>
        <v>EE2-488ng/L</v>
      </c>
      <c r="I27" s="35" t="str">
        <f t="shared" si="8"/>
        <v>Prochloraz-0,063mg/L</v>
      </c>
      <c r="J27" s="35" t="str">
        <f t="shared" si="8"/>
        <v>Prochloraz-0,13mg/L</v>
      </c>
      <c r="K27" s="35" t="str">
        <f t="shared" si="8"/>
        <v>Prochloraz-0,25mg/L</v>
      </c>
      <c r="L27" s="35" t="str">
        <f t="shared" si="8"/>
        <v>Prochloraz-0,5mg/L</v>
      </c>
      <c r="M27" s="35" t="str">
        <f t="shared" si="8"/>
        <v>Prochloraz-1mg/L</v>
      </c>
      <c r="N27" s="3"/>
      <c r="O27" s="36" t="str">
        <f>O4</f>
        <v>Testo -30µg/L</v>
      </c>
      <c r="P27" s="36" t="str">
        <f t="shared" ref="P27:R27" si="9">P4</f>
        <v>Testo 30µg/L + EE2 -64ng/L</v>
      </c>
      <c r="Q27" s="36" t="str">
        <f t="shared" si="9"/>
        <v>Testo 30µg/L + FAD-10mg/L</v>
      </c>
      <c r="R27" s="36" t="str">
        <f t="shared" si="9"/>
        <v>Prochloraz-0.063mg/L + Testostérone</v>
      </c>
      <c r="S27" s="36" t="str">
        <f t="shared" ref="S27:AK27" si="10">S4</f>
        <v>Prochloraz-0.13mg/L + Testostérone</v>
      </c>
      <c r="T27" s="36" t="str">
        <f t="shared" si="10"/>
        <v>Prochloraz-0.25mg/L + Testostérone</v>
      </c>
      <c r="U27" s="36" t="str">
        <f t="shared" si="10"/>
        <v>Prochloraz-0.5mg/L + Testostérone</v>
      </c>
      <c r="V27" s="36" t="str">
        <f t="shared" si="10"/>
        <v>Prochloraz-1mg/L + Testostérone</v>
      </c>
      <c r="W27" s="36" t="str">
        <f t="shared" si="10"/>
        <v>0-00 + Testostérone</v>
      </c>
      <c r="X27" s="36" t="str">
        <f t="shared" si="10"/>
        <v>0-00 + Testostérone</v>
      </c>
      <c r="Y27" s="36" t="str">
        <f t="shared" si="10"/>
        <v>0-00 + Testostérone</v>
      </c>
      <c r="Z27" s="36" t="str">
        <f t="shared" si="10"/>
        <v>0-00 + Testostérone</v>
      </c>
      <c r="AA27" s="36" t="str">
        <f t="shared" si="10"/>
        <v>0-00 + Testostérone</v>
      </c>
      <c r="AB27" s="36" t="str">
        <f t="shared" si="10"/>
        <v>0-00 + Testostérone</v>
      </c>
      <c r="AC27" s="36" t="str">
        <f t="shared" si="10"/>
        <v>0-00 + Testostérone</v>
      </c>
      <c r="AD27" s="36" t="str">
        <f t="shared" si="10"/>
        <v>0-00 + Testostérone</v>
      </c>
      <c r="AE27" s="36" t="str">
        <f t="shared" si="10"/>
        <v>0-00 + Testostérone</v>
      </c>
      <c r="AF27" s="36" t="str">
        <f t="shared" si="10"/>
        <v>0-00 + Testostérone</v>
      </c>
      <c r="AG27" s="36" t="str">
        <f t="shared" si="10"/>
        <v>0-00 + Testostérone</v>
      </c>
      <c r="AH27" s="36" t="str">
        <f t="shared" si="10"/>
        <v>0-00 + Testostérone</v>
      </c>
      <c r="AI27" s="36" t="str">
        <f t="shared" si="10"/>
        <v>0-00 + Testostérone</v>
      </c>
      <c r="AJ27" s="36" t="str">
        <f t="shared" si="10"/>
        <v>0-00 + Testostérone</v>
      </c>
      <c r="AK27" s="36" t="str">
        <f t="shared" si="10"/>
        <v>0-00 + Testostérone</v>
      </c>
    </row>
    <row r="28" spans="1:37" x14ac:dyDescent="0.25">
      <c r="A28" s="235" t="s">
        <v>34</v>
      </c>
      <c r="B28" s="11">
        <f>IF(B5="","",(B5/$O$23))</f>
        <v>0.1012728845511065</v>
      </c>
      <c r="C28" s="11">
        <f>IF(C5="","",(C5/$O$23))</f>
        <v>0.23524711423225086</v>
      </c>
      <c r="D28" s="11">
        <f>IF(D5="","",(D5/$O$23))</f>
        <v>0.11007265100731135</v>
      </c>
      <c r="E28" s="11">
        <f>IF(E5="","",(E5/$O$23))</f>
        <v>0.10538860447697554</v>
      </c>
      <c r="F28" s="11">
        <f>IF(F5="","",(F5/$O$23))</f>
        <v>0.69084555707551987</v>
      </c>
      <c r="G28" s="11">
        <f>IF(G5="","",(G5/$O$23))</f>
        <v>1.4556036404535522</v>
      </c>
      <c r="H28" s="11">
        <f>IF(H5="","",(H5/$O$23))</f>
        <v>2.4591646195797012</v>
      </c>
      <c r="I28" s="11">
        <f>IF(I5="","",(I5/$O$23))</f>
        <v>0.12339533483466393</v>
      </c>
      <c r="J28" s="11">
        <f>IF(J5="","",(J5/$O$23))</f>
        <v>7.8948548909272165E-2</v>
      </c>
      <c r="K28" s="11">
        <f>IF(K5="","",(K5/$O$23))</f>
        <v>0.13666974067186152</v>
      </c>
      <c r="L28" s="11">
        <f>IF(L5="","",(L5/$O$23))</f>
        <v>0.34070393734419491</v>
      </c>
      <c r="M28" s="11">
        <f>IF(M5="","",(M5/$O$23))</f>
        <v>9.4787454121064235E-2</v>
      </c>
      <c r="N28" s="6"/>
      <c r="O28" s="11">
        <f t="shared" ref="O28:S37" si="11">IF(O5="","",(O5/$O$23))</f>
        <v>0.52146266242619221</v>
      </c>
      <c r="P28" s="11">
        <f t="shared" si="11"/>
        <v>2.1663414452675736</v>
      </c>
      <c r="Q28" s="11">
        <f t="shared" si="11"/>
        <v>0.17347500660155643</v>
      </c>
      <c r="R28" s="11">
        <f t="shared" si="11"/>
        <v>1.0354212507028093</v>
      </c>
      <c r="S28" s="11">
        <f t="shared" si="11"/>
        <v>0.5718980821014098</v>
      </c>
      <c r="T28" s="11">
        <f t="shared" ref="T28:AK28" si="12">IF(T5="","",(T5/$O$23))</f>
        <v>0.19072603391174023</v>
      </c>
      <c r="U28" s="11">
        <f t="shared" si="12"/>
        <v>0.68971453245078962</v>
      </c>
      <c r="V28" s="11">
        <f t="shared" si="12"/>
        <v>0.63024066615761942</v>
      </c>
      <c r="W28" s="11" t="str">
        <f t="shared" si="12"/>
        <v/>
      </c>
      <c r="X28" s="11" t="str">
        <f t="shared" si="12"/>
        <v/>
      </c>
      <c r="Y28" s="11" t="str">
        <f t="shared" si="12"/>
        <v/>
      </c>
      <c r="Z28" s="11" t="str">
        <f t="shared" si="12"/>
        <v/>
      </c>
      <c r="AA28" s="11" t="str">
        <f t="shared" si="12"/>
        <v/>
      </c>
      <c r="AB28" s="11" t="str">
        <f t="shared" si="12"/>
        <v/>
      </c>
      <c r="AC28" s="11" t="str">
        <f t="shared" si="12"/>
        <v/>
      </c>
      <c r="AD28" s="11" t="str">
        <f t="shared" si="12"/>
        <v/>
      </c>
      <c r="AE28" s="11" t="str">
        <f t="shared" si="12"/>
        <v/>
      </c>
      <c r="AF28" s="11" t="str">
        <f t="shared" si="12"/>
        <v/>
      </c>
      <c r="AG28" s="11" t="str">
        <f t="shared" si="12"/>
        <v/>
      </c>
      <c r="AH28" s="11" t="str">
        <f t="shared" si="12"/>
        <v/>
      </c>
      <c r="AI28" s="11" t="str">
        <f t="shared" si="12"/>
        <v/>
      </c>
      <c r="AJ28" s="11" t="str">
        <f t="shared" si="12"/>
        <v/>
      </c>
      <c r="AK28" s="11" t="str">
        <f t="shared" si="12"/>
        <v/>
      </c>
    </row>
    <row r="29" spans="1:37" x14ac:dyDescent="0.25">
      <c r="A29" s="235"/>
      <c r="B29" s="11">
        <f>IF(B6="","",(B6/$O$23))</f>
        <v>0.11161183547772804</v>
      </c>
      <c r="C29" s="11">
        <f>IF(C6="","",(C6/$O$23))</f>
        <v>0.13890201140567293</v>
      </c>
      <c r="D29" s="11">
        <f>IF(D6="","",(D6/$O$23))</f>
        <v>6.8007616527558851E-2</v>
      </c>
      <c r="E29" s="11">
        <f>IF(E6="","",(E6/$O$23))</f>
        <v>0.10011530642421503</v>
      </c>
      <c r="F29" s="11">
        <f>IF(F6="","",(F6/$O$23))</f>
        <v>0.65547750248818171</v>
      </c>
      <c r="G29" s="11">
        <f>IF(G6="","",(G6/$O$23))</f>
        <v>1.4670010860105329</v>
      </c>
      <c r="H29" s="11">
        <f>IF(H6="","",(H6/$O$23))</f>
        <v>1.8488560860956664</v>
      </c>
      <c r="I29" s="11">
        <f>IF(I6="","",(I6/$O$23))</f>
        <v>0.17430602477188514</v>
      </c>
      <c r="J29" s="11">
        <f>IF(J6="","",(J6/$O$23))</f>
        <v>0.10264905637668841</v>
      </c>
      <c r="K29" s="11">
        <f>IF(K6="","",(K6/$O$23))</f>
        <v>0.13404633680260911</v>
      </c>
      <c r="L29" s="11">
        <f>IF(L6="","",(L6/$O$23))</f>
        <v>0.1617781961904462</v>
      </c>
      <c r="M29" s="11">
        <f>IF(M6="","",(M6/$O$23))</f>
        <v>6.7702827234766935E-2</v>
      </c>
      <c r="N29" s="6"/>
      <c r="O29" s="11">
        <f t="shared" si="11"/>
        <v>1.3506406794296719</v>
      </c>
      <c r="P29" s="11">
        <f t="shared" si="11"/>
        <v>1.2045364133356546</v>
      </c>
      <c r="Q29" s="11">
        <f t="shared" si="11"/>
        <v>7.625346322176553E-2</v>
      </c>
      <c r="R29" s="11">
        <f t="shared" si="11"/>
        <v>0.82799815298835666</v>
      </c>
      <c r="S29" s="11">
        <f t="shared" si="11"/>
        <v>0.31402085623108433</v>
      </c>
      <c r="T29" s="11">
        <f t="shared" ref="T29:AK29" si="13">IF(T6="","",(T6/$O$23))</f>
        <v>0.74777075377959135</v>
      </c>
      <c r="U29" s="11">
        <f t="shared" si="13"/>
        <v>0.60136415178473079</v>
      </c>
      <c r="V29" s="11">
        <f t="shared" si="13"/>
        <v>1.143262785370738</v>
      </c>
      <c r="W29" s="11" t="str">
        <f t="shared" si="13"/>
        <v/>
      </c>
      <c r="X29" s="11" t="str">
        <f t="shared" si="13"/>
        <v/>
      </c>
      <c r="Y29" s="11" t="str">
        <f t="shared" si="13"/>
        <v/>
      </c>
      <c r="Z29" s="11" t="str">
        <f t="shared" si="13"/>
        <v/>
      </c>
      <c r="AA29" s="11" t="str">
        <f t="shared" si="13"/>
        <v/>
      </c>
      <c r="AB29" s="11" t="str">
        <f t="shared" si="13"/>
        <v/>
      </c>
      <c r="AC29" s="11" t="str">
        <f t="shared" si="13"/>
        <v/>
      </c>
      <c r="AD29" s="11" t="str">
        <f t="shared" si="13"/>
        <v/>
      </c>
      <c r="AE29" s="11" t="str">
        <f t="shared" si="13"/>
        <v/>
      </c>
      <c r="AF29" s="11" t="str">
        <f t="shared" si="13"/>
        <v/>
      </c>
      <c r="AG29" s="11" t="str">
        <f t="shared" si="13"/>
        <v/>
      </c>
      <c r="AH29" s="11" t="str">
        <f t="shared" si="13"/>
        <v/>
      </c>
      <c r="AI29" s="11" t="str">
        <f t="shared" si="13"/>
        <v/>
      </c>
      <c r="AJ29" s="11" t="str">
        <f t="shared" si="13"/>
        <v/>
      </c>
      <c r="AK29" s="11" t="str">
        <f t="shared" si="13"/>
        <v/>
      </c>
    </row>
    <row r="30" spans="1:37" x14ac:dyDescent="0.25">
      <c r="A30" s="235"/>
      <c r="B30" s="11">
        <f>IF(B7="","",(B7/$O$23))</f>
        <v>0.1142563951438241</v>
      </c>
      <c r="C30" s="11">
        <f>IF(C7="","",(C7/$O$23))</f>
        <v>9.4060568403952938E-2</v>
      </c>
      <c r="D30" s="11">
        <f>IF(D7="","",(D7/$O$23))</f>
        <v>0.2493294819451585</v>
      </c>
      <c r="E30" s="11">
        <f>IF(E7="","",(E7/$O$23))</f>
        <v>0.38040786338099514</v>
      </c>
      <c r="F30" s="11">
        <f>IF(F7="","",(F7/$O$23))</f>
        <v>0.30162642217889912</v>
      </c>
      <c r="G30" s="11">
        <f>IF(G7="","",(G7/$O$23))</f>
        <v>1.6494079703970039</v>
      </c>
      <c r="H30" s="11">
        <f>IF(H7="","",(H7/$O$23))</f>
        <v>2.0836837176956147</v>
      </c>
      <c r="I30" s="11">
        <f>IF(I7="","",(I7/$O$23))</f>
        <v>0.11458417025241692</v>
      </c>
      <c r="J30" s="11">
        <f>IF(J7="","",(J7/$O$23))</f>
        <v>0.12957401836199381</v>
      </c>
      <c r="K30" s="11">
        <f>IF(K7="","",(K7/$O$23))</f>
        <v>0.14272631357168905</v>
      </c>
      <c r="L30" s="11">
        <f>IF(L7="","",(L7/$O$23))</f>
        <v>0.15674593569437167</v>
      </c>
      <c r="M30" s="11">
        <f>IF(M7="","",(M7/$O$23))</f>
        <v>0.15182314095377455</v>
      </c>
      <c r="N30" s="6"/>
      <c r="O30" s="11">
        <f t="shared" si="11"/>
        <v>0.69542178559653112</v>
      </c>
      <c r="P30" s="11">
        <f t="shared" si="11"/>
        <v>1.7673668511461331</v>
      </c>
      <c r="Q30" s="11">
        <f t="shared" si="11"/>
        <v>0.12817831904328855</v>
      </c>
      <c r="R30" s="11">
        <f t="shared" si="11"/>
        <v>1.1725242052249136</v>
      </c>
      <c r="S30" s="11">
        <f t="shared" si="11"/>
        <v>0.84915817856105291</v>
      </c>
      <c r="T30" s="11">
        <f t="shared" ref="T30:AK30" si="14">IF(T7="","",(T7/$O$23))</f>
        <v>1.0561600559758</v>
      </c>
      <c r="U30" s="11">
        <f t="shared" si="14"/>
        <v>1.0726893801922808</v>
      </c>
      <c r="V30" s="11">
        <f t="shared" si="14"/>
        <v>0.58284513155844253</v>
      </c>
      <c r="W30" s="11" t="str">
        <f t="shared" si="14"/>
        <v/>
      </c>
      <c r="X30" s="11" t="str">
        <f t="shared" si="14"/>
        <v/>
      </c>
      <c r="Y30" s="11" t="str">
        <f t="shared" si="14"/>
        <v/>
      </c>
      <c r="Z30" s="11" t="str">
        <f t="shared" si="14"/>
        <v/>
      </c>
      <c r="AA30" s="11" t="str">
        <f t="shared" si="14"/>
        <v/>
      </c>
      <c r="AB30" s="11" t="str">
        <f t="shared" si="14"/>
        <v/>
      </c>
      <c r="AC30" s="11" t="str">
        <f t="shared" si="14"/>
        <v/>
      </c>
      <c r="AD30" s="11" t="str">
        <f t="shared" si="14"/>
        <v/>
      </c>
      <c r="AE30" s="11" t="str">
        <f t="shared" si="14"/>
        <v/>
      </c>
      <c r="AF30" s="11" t="str">
        <f t="shared" si="14"/>
        <v/>
      </c>
      <c r="AG30" s="11" t="str">
        <f t="shared" si="14"/>
        <v/>
      </c>
      <c r="AH30" s="11" t="str">
        <f t="shared" si="14"/>
        <v/>
      </c>
      <c r="AI30" s="11" t="str">
        <f t="shared" si="14"/>
        <v/>
      </c>
      <c r="AJ30" s="11" t="str">
        <f t="shared" si="14"/>
        <v/>
      </c>
      <c r="AK30" s="11" t="str">
        <f t="shared" si="14"/>
        <v/>
      </c>
    </row>
    <row r="31" spans="1:37" x14ac:dyDescent="0.25">
      <c r="A31" s="235"/>
      <c r="B31" s="11">
        <f>IF(B8="","",(B8/$O$23))</f>
        <v>0.14918445776289593</v>
      </c>
      <c r="C31" s="11">
        <f>IF(C8="","",(C8/$O$23))</f>
        <v>0.14669417379853839</v>
      </c>
      <c r="D31" s="11">
        <f>IF(D8="","",(D8/$O$23))</f>
        <v>3.5492947912989424E-2</v>
      </c>
      <c r="E31" s="11">
        <f>IF(E8="","",(E8/$O$23))</f>
        <v>7.1196049078668402E-2</v>
      </c>
      <c r="F31" s="11">
        <f>IF(F8="","",(F8/$O$23))</f>
        <v>0.60877853920842173</v>
      </c>
      <c r="G31" s="11">
        <f>IF(G8="","",(G8/$O$23))</f>
        <v>1.8397349909123881</v>
      </c>
      <c r="H31" s="11">
        <f>IF(H8="","",(H8/$O$23))</f>
        <v>2.3882513667572325</v>
      </c>
      <c r="I31" s="11">
        <f>IF(I8="","",(I8/$O$23))</f>
        <v>0.21828750468191999</v>
      </c>
      <c r="J31" s="11">
        <f>IF(J8="","",(J8/$O$23))</f>
        <v>0.10405939827735608</v>
      </c>
      <c r="K31" s="11">
        <f>IF(K8="","",(K8/$O$23))</f>
        <v>0.17958901973784566</v>
      </c>
      <c r="L31" s="11">
        <f>IF(L8="","",(L8/$O$23))</f>
        <v>0.29794565377067561</v>
      </c>
      <c r="M31" s="11">
        <f>IF(M8="","",(M8/$O$23))</f>
        <v>9.0263121097801519E-2</v>
      </c>
      <c r="N31" s="6"/>
      <c r="O31" s="11">
        <f t="shared" si="11"/>
        <v>1.1790406767135642</v>
      </c>
      <c r="P31" s="11">
        <f t="shared" si="11"/>
        <v>1.4597606998514847</v>
      </c>
      <c r="Q31" s="11">
        <f t="shared" si="11"/>
        <v>0.13036566560654805</v>
      </c>
      <c r="R31" s="11">
        <f t="shared" si="11"/>
        <v>1.0603922360722315</v>
      </c>
      <c r="S31" s="11">
        <f t="shared" si="11"/>
        <v>0.14925111128204968</v>
      </c>
      <c r="T31" s="11">
        <f t="shared" ref="T31:AK31" si="15">IF(T8="","",(T8/$O$23))</f>
        <v>9.6971343576798152E-2</v>
      </c>
      <c r="U31" s="11">
        <f t="shared" si="15"/>
        <v>0.88865625784395819</v>
      </c>
      <c r="V31" s="11">
        <f t="shared" si="15"/>
        <v>0.57091733289793523</v>
      </c>
      <c r="W31" s="11" t="str">
        <f t="shared" si="15"/>
        <v/>
      </c>
      <c r="X31" s="11" t="str">
        <f t="shared" si="15"/>
        <v/>
      </c>
      <c r="Y31" s="11" t="str">
        <f t="shared" si="15"/>
        <v/>
      </c>
      <c r="Z31" s="11" t="str">
        <f t="shared" si="15"/>
        <v/>
      </c>
      <c r="AA31" s="11" t="str">
        <f t="shared" si="15"/>
        <v/>
      </c>
      <c r="AB31" s="11" t="str">
        <f t="shared" si="15"/>
        <v/>
      </c>
      <c r="AC31" s="11" t="str">
        <f t="shared" si="15"/>
        <v/>
      </c>
      <c r="AD31" s="11" t="str">
        <f t="shared" si="15"/>
        <v/>
      </c>
      <c r="AE31" s="11" t="str">
        <f t="shared" si="15"/>
        <v/>
      </c>
      <c r="AF31" s="11" t="str">
        <f t="shared" si="15"/>
        <v/>
      </c>
      <c r="AG31" s="11" t="str">
        <f t="shared" si="15"/>
        <v/>
      </c>
      <c r="AH31" s="11" t="str">
        <f t="shared" si="15"/>
        <v/>
      </c>
      <c r="AI31" s="11" t="str">
        <f t="shared" si="15"/>
        <v/>
      </c>
      <c r="AJ31" s="11" t="str">
        <f t="shared" si="15"/>
        <v/>
      </c>
      <c r="AK31" s="11" t="str">
        <f t="shared" si="15"/>
        <v/>
      </c>
    </row>
    <row r="32" spans="1:37" x14ac:dyDescent="0.25">
      <c r="A32" s="235"/>
      <c r="B32" s="11">
        <f>IF(B9="","",(B9/$O$23))</f>
        <v>0.11703503468491878</v>
      </c>
      <c r="C32" s="11">
        <f>IF(C9="","",(C9/$O$23))</f>
        <v>0.13683909641029329</v>
      </c>
      <c r="D32" s="11">
        <f>IF(D9="","",(D9/$O$23))</f>
        <v>0.1705622871854631</v>
      </c>
      <c r="E32" s="11">
        <f>IF(E9="","",(E9/$O$23))</f>
        <v>4.7100750868200605E-2</v>
      </c>
      <c r="F32" s="11">
        <f>IF(F9="","",(F9/$O$23))</f>
        <v>0.94102629676322014</v>
      </c>
      <c r="G32" s="11">
        <f>IF(G9="","",(G9/$O$23))</f>
        <v>1.8520278151669705</v>
      </c>
      <c r="H32" s="11">
        <f>IF(H9="","",(H9/$O$23))</f>
        <v>1.9790199465439713</v>
      </c>
      <c r="I32" s="11">
        <f>IF(I9="","",(I9/$O$23))</f>
        <v>5.5685034414912016E-2</v>
      </c>
      <c r="J32" s="11">
        <f>IF(J9="","",(J9/$O$23))</f>
        <v>0.15483648224887039</v>
      </c>
      <c r="K32" s="11">
        <f>IF(K9="","",(K9/$O$23))</f>
        <v>0.17715728179829718</v>
      </c>
      <c r="L32" s="11">
        <f>IF(L9="","",(L9/$O$23))</f>
        <v>0.17300350331084613</v>
      </c>
      <c r="M32" s="11">
        <f>IF(M9="","",(M9/$O$23))</f>
        <v>0.18161195623143578</v>
      </c>
      <c r="N32" s="6"/>
      <c r="O32" s="11">
        <f t="shared" si="11"/>
        <v>0.797207148364802</v>
      </c>
      <c r="P32" s="11">
        <f t="shared" si="11"/>
        <v>2.4533424312791952</v>
      </c>
      <c r="Q32" s="11">
        <f t="shared" si="11"/>
        <v>0.11054787266323368</v>
      </c>
      <c r="R32" s="11">
        <f t="shared" si="11"/>
        <v>0.82172976693816657</v>
      </c>
      <c r="S32" s="11">
        <f t="shared" si="11"/>
        <v>0.84440887836670198</v>
      </c>
      <c r="T32" s="11">
        <f t="shared" ref="T32:AK32" si="16">IF(T9="","",(T9/$O$23))</f>
        <v>0.73393879973643383</v>
      </c>
      <c r="U32" s="11">
        <f t="shared" si="16"/>
        <v>1.0101534036924396</v>
      </c>
      <c r="V32" s="11">
        <f t="shared" si="16"/>
        <v>1.0537246239740801</v>
      </c>
      <c r="W32" s="11" t="str">
        <f t="shared" si="16"/>
        <v/>
      </c>
      <c r="X32" s="11" t="str">
        <f t="shared" si="16"/>
        <v/>
      </c>
      <c r="Y32" s="11" t="str">
        <f t="shared" si="16"/>
        <v/>
      </c>
      <c r="Z32" s="11" t="str">
        <f t="shared" si="16"/>
        <v/>
      </c>
      <c r="AA32" s="11" t="str">
        <f t="shared" si="16"/>
        <v/>
      </c>
      <c r="AB32" s="11" t="str">
        <f t="shared" si="16"/>
        <v/>
      </c>
      <c r="AC32" s="11" t="str">
        <f t="shared" si="16"/>
        <v/>
      </c>
      <c r="AD32" s="11" t="str">
        <f t="shared" si="16"/>
        <v/>
      </c>
      <c r="AE32" s="11" t="str">
        <f t="shared" si="16"/>
        <v/>
      </c>
      <c r="AF32" s="11" t="str">
        <f t="shared" si="16"/>
        <v/>
      </c>
      <c r="AG32" s="11" t="str">
        <f t="shared" si="16"/>
        <v/>
      </c>
      <c r="AH32" s="11" t="str">
        <f t="shared" si="16"/>
        <v/>
      </c>
      <c r="AI32" s="11" t="str">
        <f t="shared" si="16"/>
        <v/>
      </c>
      <c r="AJ32" s="11" t="str">
        <f t="shared" si="16"/>
        <v/>
      </c>
      <c r="AK32" s="11" t="str">
        <f t="shared" si="16"/>
        <v/>
      </c>
    </row>
    <row r="33" spans="1:37" x14ac:dyDescent="0.25">
      <c r="A33" s="235"/>
      <c r="B33" s="11">
        <f>IF(B10="","",(B10/$O$23))</f>
        <v>0.12977269571891131</v>
      </c>
      <c r="C33" s="11">
        <f>IF(C10="","",(C10/$O$23))</f>
        <v>4.0921994431748904E-2</v>
      </c>
      <c r="D33" s="11">
        <f>IF(D10="","",(D10/$O$23))</f>
        <v>0.1351156219829952</v>
      </c>
      <c r="E33" s="11">
        <f>IF(E10="","",(E10/$O$23))</f>
        <v>0.3642907916422381</v>
      </c>
      <c r="F33" s="11">
        <f>IF(F10="","",(F10/$O$23))</f>
        <v>0.81518725474151144</v>
      </c>
      <c r="G33" s="11">
        <f>IF(G10="","",(G10/$O$23))</f>
        <v>1.2973532250307429</v>
      </c>
      <c r="H33" s="11">
        <f>IF(H10="","",(H10/$O$23))</f>
        <v>1.804513961214625</v>
      </c>
      <c r="I33" s="11">
        <f>IF(I10="","",(I10/$O$23))</f>
        <v>7.9626968287663857E-2</v>
      </c>
      <c r="J33" s="11">
        <f>IF(J10="","",(J10/$O$23))</f>
        <v>0.1147058798797494</v>
      </c>
      <c r="K33" s="11">
        <f>IF(K10="","",(K10/$O$23))</f>
        <v>7.4813896914774525E-2</v>
      </c>
      <c r="L33" s="11">
        <f>IF(L10="","",(L10/$O$23))</f>
        <v>0.18679735504694869</v>
      </c>
      <c r="M33" s="11">
        <f>IF(M10="","",(M10/$O$23))</f>
        <v>0.29364927476219105</v>
      </c>
      <c r="N33" s="6"/>
      <c r="O33" s="11">
        <f t="shared" si="11"/>
        <v>1.4105799246473207</v>
      </c>
      <c r="P33" s="11">
        <f t="shared" si="11"/>
        <v>2.1528862855659017</v>
      </c>
      <c r="Q33" s="11">
        <f t="shared" si="11"/>
        <v>0.17508987074040624</v>
      </c>
      <c r="R33" s="11">
        <f t="shared" si="11"/>
        <v>0.25589774807393906</v>
      </c>
      <c r="S33" s="11">
        <f t="shared" si="11"/>
        <v>1.710566195373624</v>
      </c>
      <c r="T33" s="11">
        <f t="shared" ref="T33:AK33" si="17">IF(T10="","",(T10/$O$23))</f>
        <v>0.58851105738364107</v>
      </c>
      <c r="U33" s="11">
        <f t="shared" si="17"/>
        <v>1.134284683202599</v>
      </c>
      <c r="V33" s="11">
        <f t="shared" si="17"/>
        <v>0.6763776313446852</v>
      </c>
      <c r="W33" s="11" t="str">
        <f t="shared" si="17"/>
        <v/>
      </c>
      <c r="X33" s="11" t="str">
        <f t="shared" si="17"/>
        <v/>
      </c>
      <c r="Y33" s="11" t="str">
        <f t="shared" si="17"/>
        <v/>
      </c>
      <c r="Z33" s="11" t="str">
        <f t="shared" si="17"/>
        <v/>
      </c>
      <c r="AA33" s="11" t="str">
        <f t="shared" si="17"/>
        <v/>
      </c>
      <c r="AB33" s="11" t="str">
        <f t="shared" si="17"/>
        <v/>
      </c>
      <c r="AC33" s="11" t="str">
        <f t="shared" si="17"/>
        <v/>
      </c>
      <c r="AD33" s="11" t="str">
        <f t="shared" si="17"/>
        <v/>
      </c>
      <c r="AE33" s="11" t="str">
        <f t="shared" si="17"/>
        <v/>
      </c>
      <c r="AF33" s="11" t="str">
        <f t="shared" si="17"/>
        <v/>
      </c>
      <c r="AG33" s="11" t="str">
        <f t="shared" si="17"/>
        <v/>
      </c>
      <c r="AH33" s="11" t="str">
        <f t="shared" si="17"/>
        <v/>
      </c>
      <c r="AI33" s="11" t="str">
        <f t="shared" si="17"/>
        <v/>
      </c>
      <c r="AJ33" s="11" t="str">
        <f t="shared" si="17"/>
        <v/>
      </c>
      <c r="AK33" s="11" t="str">
        <f t="shared" si="17"/>
        <v/>
      </c>
    </row>
    <row r="34" spans="1:37" x14ac:dyDescent="0.25">
      <c r="A34" s="235"/>
      <c r="B34" s="11">
        <f>IF(B11="","",(B11/$O$23))</f>
        <v>0.19763490229394309</v>
      </c>
      <c r="C34" s="11">
        <f>IF(C11="","",(C11/$O$23))</f>
        <v>0.11313805427598381</v>
      </c>
      <c r="D34" s="11">
        <f>IF(D11="","",(D11/$O$23))</f>
        <v>0.12375958880719964</v>
      </c>
      <c r="E34" s="11">
        <f>IF(E11="","",(E11/$O$23))</f>
        <v>0.15188989654569882</v>
      </c>
      <c r="F34" s="11">
        <f>IF(F11="","",(F11/$O$23))</f>
        <v>0.39847583740099934</v>
      </c>
      <c r="G34" s="11">
        <f>IF(G11="","",(G11/$O$23))</f>
        <v>1.319104932429924</v>
      </c>
      <c r="H34" s="11">
        <f>IF(H11="","",(H11/$O$23))</f>
        <v>1.8351931718514127</v>
      </c>
      <c r="I34" s="11">
        <f>IF(I11="","",(I11/$O$23))</f>
        <v>0.23644843783222508</v>
      </c>
      <c r="J34" s="11">
        <f>IF(J11="","",(J11/$O$23))</f>
        <v>0.26918725825087053</v>
      </c>
      <c r="K34" s="11">
        <f>IF(K11="","",(K11/$O$23))</f>
        <v>0.13580796700365161</v>
      </c>
      <c r="L34" s="11">
        <f>IF(L11="","",(L11/$O$23))</f>
        <v>0.12579805494373414</v>
      </c>
      <c r="M34" s="11">
        <f>IF(M11="","",(M11/$O$23))</f>
        <v>0.20395553988142651</v>
      </c>
      <c r="N34" s="6"/>
      <c r="O34" s="11">
        <f t="shared" si="11"/>
        <v>0.97551413410483578</v>
      </c>
      <c r="P34" s="11">
        <f t="shared" si="11"/>
        <v>1.659535630688636</v>
      </c>
      <c r="Q34" s="11">
        <f t="shared" si="11"/>
        <v>0.11346188014047888</v>
      </c>
      <c r="R34" s="11">
        <f t="shared" si="11"/>
        <v>1.0800940306027549</v>
      </c>
      <c r="S34" s="11">
        <f t="shared" si="11"/>
        <v>1.1172185534253118</v>
      </c>
      <c r="T34" s="11">
        <f t="shared" ref="T34:AK34" si="18">IF(T11="","",(T11/$O$23))</f>
        <v>0.37518650092600014</v>
      </c>
      <c r="U34" s="11">
        <f t="shared" si="18"/>
        <v>0.89583529097700798</v>
      </c>
      <c r="V34" s="11">
        <f t="shared" si="18"/>
        <v>1.0681957285426253</v>
      </c>
      <c r="W34" s="11" t="str">
        <f t="shared" si="18"/>
        <v/>
      </c>
      <c r="X34" s="11" t="str">
        <f t="shared" si="18"/>
        <v/>
      </c>
      <c r="Y34" s="11" t="str">
        <f t="shared" si="18"/>
        <v/>
      </c>
      <c r="Z34" s="11" t="str">
        <f t="shared" si="18"/>
        <v/>
      </c>
      <c r="AA34" s="11" t="str">
        <f t="shared" si="18"/>
        <v/>
      </c>
      <c r="AB34" s="11" t="str">
        <f t="shared" si="18"/>
        <v/>
      </c>
      <c r="AC34" s="11" t="str">
        <f t="shared" si="18"/>
        <v/>
      </c>
      <c r="AD34" s="11" t="str">
        <f t="shared" si="18"/>
        <v/>
      </c>
      <c r="AE34" s="11" t="str">
        <f t="shared" si="18"/>
        <v/>
      </c>
      <c r="AF34" s="11" t="str">
        <f t="shared" si="18"/>
        <v/>
      </c>
      <c r="AG34" s="11" t="str">
        <f t="shared" si="18"/>
        <v/>
      </c>
      <c r="AH34" s="11" t="str">
        <f t="shared" si="18"/>
        <v/>
      </c>
      <c r="AI34" s="11" t="str">
        <f t="shared" si="18"/>
        <v/>
      </c>
      <c r="AJ34" s="11" t="str">
        <f t="shared" si="18"/>
        <v/>
      </c>
      <c r="AK34" s="11" t="str">
        <f t="shared" si="18"/>
        <v/>
      </c>
    </row>
    <row r="35" spans="1:37" x14ac:dyDescent="0.25">
      <c r="A35" s="235"/>
      <c r="B35" s="11">
        <f>IF(B12="","",(B12/$O$23))</f>
        <v>0.10218632648363529</v>
      </c>
      <c r="C35" s="11">
        <f>IF(C12="","",(C12/$O$23))</f>
        <v>7.5214362417806518E-2</v>
      </c>
      <c r="D35" s="11">
        <f>IF(D12="","",(D12/$O$23))</f>
        <v>6.0567855514327744E-2</v>
      </c>
      <c r="E35" s="11">
        <f>IF(E12="","",(E12/$O$23))</f>
        <v>0.18077478939183489</v>
      </c>
      <c r="F35" s="11">
        <f>IF(F12="","",(F12/$O$23))</f>
        <v>0.41691914758005366</v>
      </c>
      <c r="G35" s="11">
        <f>IF(G12="","",(G12/$O$23))</f>
        <v>0.93277845235907597</v>
      </c>
      <c r="H35" s="11">
        <f>IF(H12="","",(H12/$O$23))</f>
        <v>2.4767866631834683</v>
      </c>
      <c r="I35" s="11">
        <f>IF(I12="","",(I12/$O$23))</f>
        <v>0.23182691087383669</v>
      </c>
      <c r="J35" s="11">
        <f>IF(J12="","",(J12/$O$23))</f>
        <v>0.14166057177462263</v>
      </c>
      <c r="K35" s="11">
        <f>IF(K12="","",(K12/$O$23))</f>
        <v>0.14127858144305591</v>
      </c>
      <c r="L35" s="11">
        <f>IF(L12="","",(L12/$O$23))</f>
        <v>0.2512789697894427</v>
      </c>
      <c r="M35" s="11">
        <f>IF(M12="","",(M12/$O$23))</f>
        <v>0.14444689593715557</v>
      </c>
      <c r="N35" s="6"/>
      <c r="O35" s="11">
        <f t="shared" si="11"/>
        <v>0.75133491619900883</v>
      </c>
      <c r="P35" s="11">
        <f t="shared" si="11"/>
        <v>1.5801375241343167</v>
      </c>
      <c r="Q35" s="11">
        <f t="shared" si="11"/>
        <v>8.9547712491614292E-2</v>
      </c>
      <c r="R35" s="11">
        <f t="shared" si="11"/>
        <v>8.8542854671862833E-2</v>
      </c>
      <c r="S35" s="11">
        <f t="shared" si="11"/>
        <v>0.74408381239905519</v>
      </c>
      <c r="T35" s="11">
        <f t="shared" ref="T35:AK35" si="19">IF(T12="","",(T12/$O$23))</f>
        <v>0.45848766364940474</v>
      </c>
      <c r="U35" s="11">
        <f t="shared" si="19"/>
        <v>0.20062337428759139</v>
      </c>
      <c r="V35" s="11">
        <f t="shared" si="19"/>
        <v>0.2931087654179968</v>
      </c>
      <c r="W35" s="11" t="str">
        <f t="shared" si="19"/>
        <v/>
      </c>
      <c r="X35" s="11" t="str">
        <f t="shared" si="19"/>
        <v/>
      </c>
      <c r="Y35" s="11" t="str">
        <f t="shared" si="19"/>
        <v/>
      </c>
      <c r="Z35" s="11" t="str">
        <f t="shared" si="19"/>
        <v/>
      </c>
      <c r="AA35" s="11" t="str">
        <f t="shared" si="19"/>
        <v/>
      </c>
      <c r="AB35" s="11" t="str">
        <f t="shared" si="19"/>
        <v/>
      </c>
      <c r="AC35" s="11" t="str">
        <f t="shared" si="19"/>
        <v/>
      </c>
      <c r="AD35" s="11" t="str">
        <f t="shared" si="19"/>
        <v/>
      </c>
      <c r="AE35" s="11" t="str">
        <f t="shared" si="19"/>
        <v/>
      </c>
      <c r="AF35" s="11" t="str">
        <f t="shared" si="19"/>
        <v/>
      </c>
      <c r="AG35" s="11" t="str">
        <f t="shared" si="19"/>
        <v/>
      </c>
      <c r="AH35" s="11" t="str">
        <f t="shared" si="19"/>
        <v/>
      </c>
      <c r="AI35" s="11" t="str">
        <f t="shared" si="19"/>
        <v/>
      </c>
      <c r="AJ35" s="11" t="str">
        <f t="shared" si="19"/>
        <v/>
      </c>
      <c r="AK35" s="11" t="str">
        <f t="shared" si="19"/>
        <v/>
      </c>
    </row>
    <row r="36" spans="1:37" x14ac:dyDescent="0.25">
      <c r="A36" s="235"/>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t="str">
        <f t="shared" si="11"/>
        <v/>
      </c>
      <c r="P36" s="11" t="str">
        <f t="shared" si="11"/>
        <v/>
      </c>
      <c r="Q36" s="11" t="str">
        <f t="shared" si="11"/>
        <v/>
      </c>
      <c r="R36" s="11" t="str">
        <f t="shared" si="11"/>
        <v/>
      </c>
      <c r="S36" s="11" t="str">
        <f t="shared" si="11"/>
        <v/>
      </c>
      <c r="T36" s="11" t="str">
        <f t="shared" ref="T36:AK36" si="20">IF(T13="","",(T13/$O$23))</f>
        <v/>
      </c>
      <c r="U36" s="11" t="str">
        <f t="shared" si="20"/>
        <v/>
      </c>
      <c r="V36" s="11" t="str">
        <f t="shared" si="20"/>
        <v/>
      </c>
      <c r="W36" s="11" t="str">
        <f t="shared" si="20"/>
        <v/>
      </c>
      <c r="X36" s="11" t="str">
        <f t="shared" si="20"/>
        <v/>
      </c>
      <c r="Y36" s="11" t="str">
        <f t="shared" si="20"/>
        <v/>
      </c>
      <c r="Z36" s="11" t="str">
        <f t="shared" si="20"/>
        <v/>
      </c>
      <c r="AA36" s="11" t="str">
        <f t="shared" si="20"/>
        <v/>
      </c>
      <c r="AB36" s="11" t="str">
        <f t="shared" si="20"/>
        <v/>
      </c>
      <c r="AC36" s="11" t="str">
        <f t="shared" si="20"/>
        <v/>
      </c>
      <c r="AD36" s="11" t="str">
        <f t="shared" si="20"/>
        <v/>
      </c>
      <c r="AE36" s="11" t="str">
        <f t="shared" si="20"/>
        <v/>
      </c>
      <c r="AF36" s="11" t="str">
        <f t="shared" si="20"/>
        <v/>
      </c>
      <c r="AG36" s="11" t="str">
        <f t="shared" si="20"/>
        <v/>
      </c>
      <c r="AH36" s="11" t="str">
        <f t="shared" si="20"/>
        <v/>
      </c>
      <c r="AI36" s="11" t="str">
        <f t="shared" si="20"/>
        <v/>
      </c>
      <c r="AJ36" s="11" t="str">
        <f t="shared" si="20"/>
        <v/>
      </c>
      <c r="AK36" s="11" t="str">
        <f t="shared" si="20"/>
        <v/>
      </c>
    </row>
    <row r="37" spans="1:37" x14ac:dyDescent="0.25">
      <c r="A37" s="235"/>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11"/>
        <v>1.437627774957428</v>
      </c>
      <c r="P37" s="11" t="str">
        <f t="shared" si="11"/>
        <v/>
      </c>
      <c r="Q37" s="11" t="str">
        <f t="shared" si="11"/>
        <v/>
      </c>
      <c r="R37" s="11" t="str">
        <f t="shared" si="11"/>
        <v/>
      </c>
      <c r="S37" s="11" t="str">
        <f t="shared" si="11"/>
        <v/>
      </c>
      <c r="T37" s="11" t="str">
        <f t="shared" ref="T37:AK37" si="21">IF(T14="","",(T14/$O$23))</f>
        <v/>
      </c>
      <c r="U37" s="11" t="str">
        <f t="shared" si="21"/>
        <v/>
      </c>
      <c r="V37" s="11" t="str">
        <f t="shared" si="21"/>
        <v/>
      </c>
      <c r="W37" s="11" t="str">
        <f t="shared" si="21"/>
        <v/>
      </c>
      <c r="X37" s="11" t="str">
        <f t="shared" si="21"/>
        <v/>
      </c>
      <c r="Y37" s="11" t="str">
        <f t="shared" si="21"/>
        <v/>
      </c>
      <c r="Z37" s="11" t="str">
        <f t="shared" si="21"/>
        <v/>
      </c>
      <c r="AA37" s="11" t="str">
        <f t="shared" si="21"/>
        <v/>
      </c>
      <c r="AB37" s="11" t="str">
        <f t="shared" si="21"/>
        <v/>
      </c>
      <c r="AC37" s="11" t="str">
        <f t="shared" si="21"/>
        <v/>
      </c>
      <c r="AD37" s="11" t="str">
        <f t="shared" si="21"/>
        <v/>
      </c>
      <c r="AE37" s="11" t="str">
        <f t="shared" si="21"/>
        <v/>
      </c>
      <c r="AF37" s="11" t="str">
        <f t="shared" si="21"/>
        <v/>
      </c>
      <c r="AG37" s="11" t="str">
        <f t="shared" si="21"/>
        <v/>
      </c>
      <c r="AH37" s="11" t="str">
        <f t="shared" si="21"/>
        <v/>
      </c>
      <c r="AI37" s="11" t="str">
        <f t="shared" si="21"/>
        <v/>
      </c>
      <c r="AJ37" s="11" t="str">
        <f t="shared" si="21"/>
        <v/>
      </c>
      <c r="AK37" s="11" t="str">
        <f t="shared" si="21"/>
        <v/>
      </c>
    </row>
    <row r="38" spans="1:37" x14ac:dyDescent="0.25">
      <c r="A38" s="235"/>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ref="O38:AK38" si="22">IF(O15="","",(O15/$O$23))</f>
        <v>0.85846058050297858</v>
      </c>
      <c r="P38" s="11" t="str">
        <f t="shared" si="22"/>
        <v/>
      </c>
      <c r="Q38" s="11" t="str">
        <f t="shared" si="22"/>
        <v/>
      </c>
      <c r="R38" s="11" t="str">
        <f t="shared" si="22"/>
        <v/>
      </c>
      <c r="S38" s="11" t="str">
        <f t="shared" si="22"/>
        <v/>
      </c>
      <c r="T38" s="11" t="str">
        <f t="shared" si="22"/>
        <v/>
      </c>
      <c r="U38" s="11" t="str">
        <f t="shared" si="22"/>
        <v/>
      </c>
      <c r="V38" s="11" t="str">
        <f t="shared" si="22"/>
        <v/>
      </c>
      <c r="W38" s="11" t="str">
        <f t="shared" si="22"/>
        <v/>
      </c>
      <c r="X38" s="11" t="str">
        <f t="shared" si="22"/>
        <v/>
      </c>
      <c r="Y38" s="11" t="str">
        <f t="shared" si="22"/>
        <v/>
      </c>
      <c r="Z38" s="11" t="str">
        <f t="shared" si="22"/>
        <v/>
      </c>
      <c r="AA38" s="11" t="str">
        <f t="shared" si="22"/>
        <v/>
      </c>
      <c r="AB38" s="11" t="str">
        <f t="shared" si="22"/>
        <v/>
      </c>
      <c r="AC38" s="11" t="str">
        <f t="shared" si="22"/>
        <v/>
      </c>
      <c r="AD38" s="11" t="str">
        <f t="shared" si="22"/>
        <v/>
      </c>
      <c r="AE38" s="11" t="str">
        <f t="shared" si="22"/>
        <v/>
      </c>
      <c r="AF38" s="11" t="str">
        <f t="shared" si="22"/>
        <v/>
      </c>
      <c r="AG38" s="11" t="str">
        <f t="shared" si="22"/>
        <v/>
      </c>
      <c r="AH38" s="11" t="str">
        <f t="shared" si="22"/>
        <v/>
      </c>
      <c r="AI38" s="11" t="str">
        <f t="shared" si="22"/>
        <v/>
      </c>
      <c r="AJ38" s="11" t="str">
        <f t="shared" si="22"/>
        <v/>
      </c>
      <c r="AK38" s="11" t="str">
        <f t="shared" si="22"/>
        <v/>
      </c>
    </row>
    <row r="39" spans="1:37" x14ac:dyDescent="0.25">
      <c r="A39" s="235"/>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ref="O39:AK39" si="23">IF(O16="","",(O16/$O$23))</f>
        <v>1.6951446158992816</v>
      </c>
      <c r="P39" s="11" t="str">
        <f t="shared" si="23"/>
        <v/>
      </c>
      <c r="Q39" s="11" t="str">
        <f t="shared" si="23"/>
        <v/>
      </c>
      <c r="R39" s="11" t="str">
        <f t="shared" si="23"/>
        <v/>
      </c>
      <c r="S39" s="11" t="str">
        <f t="shared" si="23"/>
        <v/>
      </c>
      <c r="T39" s="11" t="str">
        <f t="shared" si="23"/>
        <v/>
      </c>
      <c r="U39" s="11" t="str">
        <f t="shared" si="23"/>
        <v/>
      </c>
      <c r="V39" s="11" t="str">
        <f t="shared" si="23"/>
        <v/>
      </c>
      <c r="W39" s="11" t="str">
        <f t="shared" si="23"/>
        <v/>
      </c>
      <c r="X39" s="11" t="str">
        <f t="shared" si="23"/>
        <v/>
      </c>
      <c r="Y39" s="11" t="str">
        <f t="shared" si="23"/>
        <v/>
      </c>
      <c r="Z39" s="11" t="str">
        <f t="shared" si="23"/>
        <v/>
      </c>
      <c r="AA39" s="11" t="str">
        <f t="shared" si="23"/>
        <v/>
      </c>
      <c r="AB39" s="11" t="str">
        <f t="shared" si="23"/>
        <v/>
      </c>
      <c r="AC39" s="11" t="str">
        <f t="shared" si="23"/>
        <v/>
      </c>
      <c r="AD39" s="11" t="str">
        <f t="shared" si="23"/>
        <v/>
      </c>
      <c r="AE39" s="11" t="str">
        <f t="shared" si="23"/>
        <v/>
      </c>
      <c r="AF39" s="11" t="str">
        <f t="shared" si="23"/>
        <v/>
      </c>
      <c r="AG39" s="11" t="str">
        <f t="shared" si="23"/>
        <v/>
      </c>
      <c r="AH39" s="11" t="str">
        <f t="shared" si="23"/>
        <v/>
      </c>
      <c r="AI39" s="11" t="str">
        <f t="shared" si="23"/>
        <v/>
      </c>
      <c r="AJ39" s="11" t="str">
        <f t="shared" si="23"/>
        <v/>
      </c>
      <c r="AK39" s="11" t="str">
        <f t="shared" si="23"/>
        <v/>
      </c>
    </row>
    <row r="40" spans="1:37" x14ac:dyDescent="0.25">
      <c r="A40" s="235"/>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AK40" si="24">IF(O17="","",(O17/$O$23))</f>
        <v>0.39518931291741394</v>
      </c>
      <c r="P40" s="11" t="str">
        <f t="shared" si="24"/>
        <v/>
      </c>
      <c r="Q40" s="11" t="str">
        <f t="shared" si="24"/>
        <v/>
      </c>
      <c r="R40" s="11" t="str">
        <f t="shared" si="24"/>
        <v/>
      </c>
      <c r="S40" s="11" t="str">
        <f t="shared" si="24"/>
        <v/>
      </c>
      <c r="T40" s="11" t="str">
        <f t="shared" si="24"/>
        <v/>
      </c>
      <c r="U40" s="11" t="str">
        <f t="shared" si="24"/>
        <v/>
      </c>
      <c r="V40" s="11" t="str">
        <f t="shared" si="24"/>
        <v/>
      </c>
      <c r="W40" s="11" t="str">
        <f t="shared" si="24"/>
        <v/>
      </c>
      <c r="X40" s="11" t="str">
        <f t="shared" si="24"/>
        <v/>
      </c>
      <c r="Y40" s="11" t="str">
        <f t="shared" si="24"/>
        <v/>
      </c>
      <c r="Z40" s="11" t="str">
        <f t="shared" si="24"/>
        <v/>
      </c>
      <c r="AA40" s="11" t="str">
        <f t="shared" si="24"/>
        <v/>
      </c>
      <c r="AB40" s="11" t="str">
        <f t="shared" si="24"/>
        <v/>
      </c>
      <c r="AC40" s="11" t="str">
        <f t="shared" si="24"/>
        <v/>
      </c>
      <c r="AD40" s="11" t="str">
        <f t="shared" si="24"/>
        <v/>
      </c>
      <c r="AE40" s="11" t="str">
        <f t="shared" si="24"/>
        <v/>
      </c>
      <c r="AF40" s="11" t="str">
        <f t="shared" si="24"/>
        <v/>
      </c>
      <c r="AG40" s="11" t="str">
        <f t="shared" si="24"/>
        <v/>
      </c>
      <c r="AH40" s="11" t="str">
        <f t="shared" si="24"/>
        <v/>
      </c>
      <c r="AI40" s="11" t="str">
        <f t="shared" si="24"/>
        <v/>
      </c>
      <c r="AJ40" s="11" t="str">
        <f t="shared" si="24"/>
        <v/>
      </c>
      <c r="AK40" s="11" t="str">
        <f t="shared" si="24"/>
        <v/>
      </c>
    </row>
    <row r="41" spans="1:37" x14ac:dyDescent="0.25">
      <c r="A41" s="235"/>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ref="O41:AK41" si="25">IF(O18="","",(O18/$O$23))</f>
        <v>1.0137519792173486</v>
      </c>
      <c r="P41" s="11" t="str">
        <f t="shared" si="25"/>
        <v/>
      </c>
      <c r="Q41" s="11" t="str">
        <f t="shared" si="25"/>
        <v/>
      </c>
      <c r="R41" s="11" t="str">
        <f t="shared" si="25"/>
        <v/>
      </c>
      <c r="S41" s="11" t="str">
        <f t="shared" si="25"/>
        <v/>
      </c>
      <c r="T41" s="11" t="str">
        <f t="shared" si="25"/>
        <v/>
      </c>
      <c r="U41" s="11" t="str">
        <f t="shared" si="25"/>
        <v/>
      </c>
      <c r="V41" s="11" t="str">
        <f t="shared" si="25"/>
        <v/>
      </c>
      <c r="W41" s="11" t="str">
        <f t="shared" si="25"/>
        <v/>
      </c>
      <c r="X41" s="11" t="str">
        <f t="shared" si="25"/>
        <v/>
      </c>
      <c r="Y41" s="11" t="str">
        <f t="shared" si="25"/>
        <v/>
      </c>
      <c r="Z41" s="11" t="str">
        <f t="shared" si="25"/>
        <v/>
      </c>
      <c r="AA41" s="11" t="str">
        <f t="shared" si="25"/>
        <v/>
      </c>
      <c r="AB41" s="11" t="str">
        <f t="shared" si="25"/>
        <v/>
      </c>
      <c r="AC41" s="11" t="str">
        <f t="shared" si="25"/>
        <v/>
      </c>
      <c r="AD41" s="11" t="str">
        <f t="shared" si="25"/>
        <v/>
      </c>
      <c r="AE41" s="11" t="str">
        <f t="shared" si="25"/>
        <v/>
      </c>
      <c r="AF41" s="11" t="str">
        <f t="shared" si="25"/>
        <v/>
      </c>
      <c r="AG41" s="11" t="str">
        <f t="shared" si="25"/>
        <v/>
      </c>
      <c r="AH41" s="11" t="str">
        <f t="shared" si="25"/>
        <v/>
      </c>
      <c r="AI41" s="11" t="str">
        <f t="shared" si="25"/>
        <v/>
      </c>
      <c r="AJ41" s="11" t="str">
        <f t="shared" si="25"/>
        <v/>
      </c>
      <c r="AK41" s="11" t="str">
        <f t="shared" si="25"/>
        <v/>
      </c>
    </row>
    <row r="42" spans="1:37" x14ac:dyDescent="0.25">
      <c r="A42" s="235"/>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ref="O42:AK42" si="26">IF(O19="","",(O19/$O$23))</f>
        <v>0.94912591692273551</v>
      </c>
      <c r="P42" s="11" t="str">
        <f t="shared" si="26"/>
        <v/>
      </c>
      <c r="Q42" s="11" t="str">
        <f t="shared" si="26"/>
        <v/>
      </c>
      <c r="R42" s="11" t="str">
        <f t="shared" si="26"/>
        <v/>
      </c>
      <c r="S42" s="11" t="str">
        <f t="shared" si="26"/>
        <v/>
      </c>
      <c r="T42" s="11" t="str">
        <f t="shared" si="26"/>
        <v/>
      </c>
      <c r="U42" s="11" t="str">
        <f t="shared" si="26"/>
        <v/>
      </c>
      <c r="V42" s="11" t="str">
        <f t="shared" si="26"/>
        <v/>
      </c>
      <c r="W42" s="11" t="str">
        <f t="shared" si="26"/>
        <v/>
      </c>
      <c r="X42" s="11" t="str">
        <f t="shared" si="26"/>
        <v/>
      </c>
      <c r="Y42" s="11" t="str">
        <f t="shared" si="26"/>
        <v/>
      </c>
      <c r="Z42" s="11" t="str">
        <f t="shared" si="26"/>
        <v/>
      </c>
      <c r="AA42" s="11" t="str">
        <f t="shared" si="26"/>
        <v/>
      </c>
      <c r="AB42" s="11" t="str">
        <f t="shared" si="26"/>
        <v/>
      </c>
      <c r="AC42" s="11" t="str">
        <f t="shared" si="26"/>
        <v/>
      </c>
      <c r="AD42" s="11" t="str">
        <f t="shared" si="26"/>
        <v/>
      </c>
      <c r="AE42" s="11" t="str">
        <f t="shared" si="26"/>
        <v/>
      </c>
      <c r="AF42" s="11" t="str">
        <f t="shared" si="26"/>
        <v/>
      </c>
      <c r="AG42" s="11" t="str">
        <f t="shared" si="26"/>
        <v/>
      </c>
      <c r="AH42" s="11" t="str">
        <f t="shared" si="26"/>
        <v/>
      </c>
      <c r="AI42" s="11" t="str">
        <f t="shared" si="26"/>
        <v/>
      </c>
      <c r="AJ42" s="11" t="str">
        <f t="shared" si="26"/>
        <v/>
      </c>
      <c r="AK42" s="11" t="str">
        <f t="shared" si="26"/>
        <v/>
      </c>
    </row>
    <row r="43" spans="1:37" x14ac:dyDescent="0.25">
      <c r="A43" s="235"/>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ref="O43:AK43" si="27">IF(O20="","",(O20/$O$23))</f>
        <v>0.96949789210088655</v>
      </c>
      <c r="P43" s="11" t="str">
        <f t="shared" si="27"/>
        <v/>
      </c>
      <c r="Q43" s="11" t="str">
        <f t="shared" si="27"/>
        <v/>
      </c>
      <c r="R43" s="11" t="str">
        <f t="shared" si="27"/>
        <v/>
      </c>
      <c r="S43" s="11" t="str">
        <f t="shared" si="27"/>
        <v/>
      </c>
      <c r="T43" s="11" t="str">
        <f t="shared" si="27"/>
        <v/>
      </c>
      <c r="U43" s="11" t="str">
        <f t="shared" si="27"/>
        <v/>
      </c>
      <c r="V43" s="11" t="str">
        <f t="shared" si="27"/>
        <v/>
      </c>
      <c r="W43" s="11" t="str">
        <f t="shared" si="27"/>
        <v/>
      </c>
      <c r="X43" s="11" t="str">
        <f t="shared" si="27"/>
        <v/>
      </c>
      <c r="Y43" s="11" t="str">
        <f t="shared" si="27"/>
        <v/>
      </c>
      <c r="Z43" s="11" t="str">
        <f t="shared" si="27"/>
        <v/>
      </c>
      <c r="AA43" s="11" t="str">
        <f t="shared" si="27"/>
        <v/>
      </c>
      <c r="AB43" s="11" t="str">
        <f t="shared" si="27"/>
        <v/>
      </c>
      <c r="AC43" s="11" t="str">
        <f t="shared" si="27"/>
        <v/>
      </c>
      <c r="AD43" s="11" t="str">
        <f t="shared" si="27"/>
        <v/>
      </c>
      <c r="AE43" s="11" t="str">
        <f t="shared" si="27"/>
        <v/>
      </c>
      <c r="AF43" s="11" t="str">
        <f t="shared" si="27"/>
        <v/>
      </c>
      <c r="AG43" s="11" t="str">
        <f t="shared" si="27"/>
        <v/>
      </c>
      <c r="AH43" s="11" t="str">
        <f t="shared" si="27"/>
        <v/>
      </c>
      <c r="AI43" s="11" t="str">
        <f t="shared" si="27"/>
        <v/>
      </c>
      <c r="AJ43" s="11" t="str">
        <f t="shared" si="27"/>
        <v/>
      </c>
      <c r="AK43" s="11" t="str">
        <f t="shared" si="27"/>
        <v/>
      </c>
    </row>
    <row r="44" spans="1:37" x14ac:dyDescent="0.25">
      <c r="A44" s="7"/>
      <c r="B44" s="3"/>
      <c r="C44" s="3"/>
      <c r="D44" s="3"/>
      <c r="E44" s="3"/>
      <c r="F44" s="3"/>
      <c r="G44" s="3"/>
      <c r="H44" s="3"/>
      <c r="I44" s="3"/>
      <c r="J44" s="3"/>
      <c r="K44" s="3"/>
      <c r="L44" s="3"/>
      <c r="M44" s="3"/>
      <c r="N44" s="7"/>
      <c r="O44" s="3"/>
      <c r="P44" s="3"/>
      <c r="Q44" s="3"/>
      <c r="R44" s="3"/>
      <c r="S44" s="3"/>
      <c r="T44" s="3"/>
      <c r="U44" s="3"/>
      <c r="V44" s="3"/>
      <c r="W44" s="3"/>
      <c r="X44" s="3"/>
      <c r="Y44" s="3"/>
      <c r="Z44" s="3"/>
      <c r="AA44" s="3"/>
      <c r="AB44" s="3"/>
      <c r="AC44" s="3"/>
      <c r="AD44" s="3"/>
      <c r="AE44" s="3"/>
      <c r="AF44" s="3"/>
      <c r="AG44" s="3"/>
      <c r="AH44" s="3"/>
      <c r="AI44" s="3"/>
      <c r="AJ44" s="3"/>
      <c r="AK44" s="3"/>
    </row>
    <row r="45" spans="1:37" x14ac:dyDescent="0.25">
      <c r="A45" s="7" t="str">
        <f>A4</f>
        <v>Noms des groupes</v>
      </c>
      <c r="B45" s="7" t="str">
        <f t="shared" ref="B45:R45" si="28">B4</f>
        <v>Témoin solvant</v>
      </c>
      <c r="C45" s="7" t="str">
        <f t="shared" si="28"/>
        <v>EE2-33.8ng/L</v>
      </c>
      <c r="D45" s="7" t="str">
        <f t="shared" si="28"/>
        <v>EE2-50.6ng/L</v>
      </c>
      <c r="E45" s="7" t="str">
        <f t="shared" si="28"/>
        <v>EE2-76ng/L</v>
      </c>
      <c r="F45" s="7" t="str">
        <f t="shared" si="28"/>
        <v>EE2-114ng/L</v>
      </c>
      <c r="G45" s="7" t="str">
        <f t="shared" si="28"/>
        <v>EE2-170.9ng/L</v>
      </c>
      <c r="H45" s="7" t="str">
        <f t="shared" si="28"/>
        <v>EE2-488ng/L</v>
      </c>
      <c r="I45" s="7" t="str">
        <f t="shared" si="28"/>
        <v>Prochloraz-0,063mg/L</v>
      </c>
      <c r="J45" s="7" t="str">
        <f t="shared" si="28"/>
        <v>Prochloraz-0,13mg/L</v>
      </c>
      <c r="K45" s="7" t="str">
        <f t="shared" ref="K45:M45" si="29">K4</f>
        <v>Prochloraz-0,25mg/L</v>
      </c>
      <c r="L45" s="7" t="str">
        <f t="shared" si="29"/>
        <v>Prochloraz-0,5mg/L</v>
      </c>
      <c r="M45" s="7" t="str">
        <f t="shared" si="29"/>
        <v>Prochloraz-1mg/L</v>
      </c>
      <c r="N45" s="7"/>
      <c r="O45" s="7" t="str">
        <f t="shared" si="28"/>
        <v>Testo -30µg/L</v>
      </c>
      <c r="P45" s="7" t="str">
        <f t="shared" si="28"/>
        <v>Testo 30µg/L + EE2 -64ng/L</v>
      </c>
      <c r="Q45" s="7" t="str">
        <f t="shared" si="28"/>
        <v>Testo 30µg/L + FAD-10mg/L</v>
      </c>
      <c r="R45" s="7" t="str">
        <f t="shared" si="28"/>
        <v>Prochloraz-0.063mg/L + Testostérone</v>
      </c>
      <c r="S45" s="7" t="str">
        <f t="shared" ref="S45:AK45" si="30">S4</f>
        <v>Prochloraz-0.13mg/L + Testostérone</v>
      </c>
      <c r="T45" s="7" t="str">
        <f t="shared" si="30"/>
        <v>Prochloraz-0.25mg/L + Testostérone</v>
      </c>
      <c r="U45" s="7" t="str">
        <f t="shared" si="30"/>
        <v>Prochloraz-0.5mg/L + Testostérone</v>
      </c>
      <c r="V45" s="7" t="str">
        <f t="shared" si="30"/>
        <v>Prochloraz-1mg/L + Testostérone</v>
      </c>
      <c r="W45" s="7" t="str">
        <f t="shared" si="30"/>
        <v>0-00 + Testostérone</v>
      </c>
      <c r="X45" s="7" t="str">
        <f t="shared" si="30"/>
        <v>0-00 + Testostérone</v>
      </c>
      <c r="Y45" s="7" t="str">
        <f t="shared" si="30"/>
        <v>0-00 + Testostérone</v>
      </c>
      <c r="Z45" s="7" t="str">
        <f t="shared" si="30"/>
        <v>0-00 + Testostérone</v>
      </c>
      <c r="AA45" s="7" t="str">
        <f t="shared" si="30"/>
        <v>0-00 + Testostérone</v>
      </c>
      <c r="AB45" s="7" t="str">
        <f t="shared" si="30"/>
        <v>0-00 + Testostérone</v>
      </c>
      <c r="AC45" s="7" t="str">
        <f t="shared" si="30"/>
        <v>0-00 + Testostérone</v>
      </c>
      <c r="AD45" s="7" t="str">
        <f t="shared" si="30"/>
        <v>0-00 + Testostérone</v>
      </c>
      <c r="AE45" s="7" t="str">
        <f t="shared" si="30"/>
        <v>0-00 + Testostérone</v>
      </c>
      <c r="AF45" s="7" t="str">
        <f t="shared" si="30"/>
        <v>0-00 + Testostérone</v>
      </c>
      <c r="AG45" s="7" t="str">
        <f t="shared" si="30"/>
        <v>0-00 + Testostérone</v>
      </c>
      <c r="AH45" s="7" t="str">
        <f t="shared" si="30"/>
        <v>0-00 + Testostérone</v>
      </c>
      <c r="AI45" s="7" t="str">
        <f t="shared" si="30"/>
        <v>0-00 + Testostérone</v>
      </c>
      <c r="AJ45" s="7" t="str">
        <f t="shared" si="30"/>
        <v>0-00 + Testostérone</v>
      </c>
      <c r="AK45" s="7" t="str">
        <f t="shared" si="30"/>
        <v>0-00 + Testostérone</v>
      </c>
    </row>
    <row r="46" spans="1:37" x14ac:dyDescent="0.25">
      <c r="A46" s="8" t="s">
        <v>0</v>
      </c>
      <c r="B46" s="10">
        <f t="shared" ref="B46:H46" si="31">AVERAGE(B28:B43)</f>
        <v>0.12786931651462038</v>
      </c>
      <c r="C46" s="10">
        <f t="shared" si="31"/>
        <v>0.12262717192203094</v>
      </c>
      <c r="D46" s="10">
        <f t="shared" si="31"/>
        <v>0.11911350636037547</v>
      </c>
      <c r="E46" s="10">
        <f t="shared" si="31"/>
        <v>0.17514550647610333</v>
      </c>
      <c r="F46" s="10">
        <f t="shared" si="31"/>
        <v>0.60354206967960089</v>
      </c>
      <c r="G46" s="10">
        <f t="shared" si="31"/>
        <v>1.4766265140950239</v>
      </c>
      <c r="H46" s="10">
        <f t="shared" si="31"/>
        <v>2.1094336916152114</v>
      </c>
      <c r="I46" s="10">
        <f>AVERAGE(I28:I43)</f>
        <v>0.15427004824369045</v>
      </c>
      <c r="J46" s="9">
        <f>AVERAGE(J28:J43)</f>
        <v>0.13695265175992793</v>
      </c>
      <c r="K46" s="9">
        <f t="shared" ref="K46:M46" si="32">AVERAGE(K28:K43)</f>
        <v>0.14026114224297306</v>
      </c>
      <c r="L46" s="9">
        <f t="shared" si="32"/>
        <v>0.21175645076133248</v>
      </c>
      <c r="M46" s="9">
        <f t="shared" si="32"/>
        <v>0.15353002627745202</v>
      </c>
      <c r="N46" s="8" t="s">
        <v>0</v>
      </c>
      <c r="O46" s="10">
        <f t="shared" ref="O46:R46" si="33">AVERAGE(O28:O43)</f>
        <v>0.99999999999999978</v>
      </c>
      <c r="P46" s="10">
        <f t="shared" si="33"/>
        <v>1.8054884101586119</v>
      </c>
      <c r="Q46" s="10">
        <f t="shared" si="33"/>
        <v>0.12461497381361147</v>
      </c>
      <c r="R46" s="10">
        <f t="shared" si="33"/>
        <v>0.79282503065937926</v>
      </c>
      <c r="S46" s="10">
        <f t="shared" ref="S46:AK46" si="34">AVERAGE(S28:S43)</f>
        <v>0.78757570846753622</v>
      </c>
      <c r="T46" s="10">
        <f t="shared" si="34"/>
        <v>0.53096902611742613</v>
      </c>
      <c r="U46" s="10">
        <f t="shared" si="34"/>
        <v>0.81166513430392473</v>
      </c>
      <c r="V46" s="10">
        <f t="shared" si="34"/>
        <v>0.75233408315801531</v>
      </c>
      <c r="W46" s="10" t="e">
        <f t="shared" si="34"/>
        <v>#DIV/0!</v>
      </c>
      <c r="X46" s="10" t="e">
        <f t="shared" si="34"/>
        <v>#DIV/0!</v>
      </c>
      <c r="Y46" s="10" t="e">
        <f t="shared" si="34"/>
        <v>#DIV/0!</v>
      </c>
      <c r="Z46" s="10" t="e">
        <f t="shared" si="34"/>
        <v>#DIV/0!</v>
      </c>
      <c r="AA46" s="10" t="e">
        <f t="shared" si="34"/>
        <v>#DIV/0!</v>
      </c>
      <c r="AB46" s="10" t="e">
        <f t="shared" si="34"/>
        <v>#DIV/0!</v>
      </c>
      <c r="AC46" s="10" t="e">
        <f t="shared" si="34"/>
        <v>#DIV/0!</v>
      </c>
      <c r="AD46" s="10" t="e">
        <f t="shared" si="34"/>
        <v>#DIV/0!</v>
      </c>
      <c r="AE46" s="10" t="e">
        <f t="shared" si="34"/>
        <v>#DIV/0!</v>
      </c>
      <c r="AF46" s="10" t="e">
        <f t="shared" si="34"/>
        <v>#DIV/0!</v>
      </c>
      <c r="AG46" s="10" t="e">
        <f t="shared" si="34"/>
        <v>#DIV/0!</v>
      </c>
      <c r="AH46" s="10" t="e">
        <f t="shared" si="34"/>
        <v>#DIV/0!</v>
      </c>
      <c r="AI46" s="10" t="e">
        <f t="shared" si="34"/>
        <v>#DIV/0!</v>
      </c>
      <c r="AJ46" s="10" t="e">
        <f t="shared" si="34"/>
        <v>#DIV/0!</v>
      </c>
      <c r="AK46" s="10" t="e">
        <f t="shared" si="34"/>
        <v>#DIV/0!</v>
      </c>
    </row>
    <row r="47" spans="1:37" x14ac:dyDescent="0.25">
      <c r="A47" s="8" t="s">
        <v>1</v>
      </c>
      <c r="B47" s="8">
        <f t="shared" ref="B47:J47" si="35">STDEV(B28:B43)</f>
        <v>3.2202884096128044E-2</v>
      </c>
      <c r="C47" s="8">
        <f t="shared" si="35"/>
        <v>5.8013700238110519E-2</v>
      </c>
      <c r="D47" s="8">
        <f t="shared" si="35"/>
        <v>6.8654800270781371E-2</v>
      </c>
      <c r="E47" s="8">
        <f t="shared" si="35"/>
        <v>0.12882856366414189</v>
      </c>
      <c r="F47" s="8">
        <f t="shared" si="35"/>
        <v>0.21943734200887233</v>
      </c>
      <c r="G47" s="8">
        <f t="shared" si="35"/>
        <v>0.30610096831486205</v>
      </c>
      <c r="H47" s="8">
        <f t="shared" si="35"/>
        <v>0.29001345360248659</v>
      </c>
      <c r="I47" s="8">
        <f t="shared" si="35"/>
        <v>7.0798346346331031E-2</v>
      </c>
      <c r="J47" s="8">
        <f t="shared" si="35"/>
        <v>5.8554649535944983E-2</v>
      </c>
      <c r="K47" s="8">
        <f t="shared" ref="K47:M47" si="36">STDEV(K28:K43)</f>
        <v>3.2226462013186616E-2</v>
      </c>
      <c r="L47" s="8">
        <f t="shared" si="36"/>
        <v>7.6209896644680378E-2</v>
      </c>
      <c r="M47" s="8">
        <f t="shared" si="36"/>
        <v>7.3552553507632595E-2</v>
      </c>
      <c r="N47" s="8" t="s">
        <v>1</v>
      </c>
      <c r="O47" s="8">
        <f t="shared" ref="O47:R47" si="37">STDEV(O28:O43)</f>
        <v>0.35987955997358823</v>
      </c>
      <c r="P47" s="8">
        <f t="shared" si="37"/>
        <v>0.41830004107700341</v>
      </c>
      <c r="Q47" s="8">
        <f t="shared" si="37"/>
        <v>3.5600179104163958E-2</v>
      </c>
      <c r="R47" s="8">
        <f t="shared" si="37"/>
        <v>0.40417764824712393</v>
      </c>
      <c r="S47" s="8">
        <f t="shared" ref="S47:AK47" si="38">STDEV(S28:S43)</f>
        <v>0.48516847250087974</v>
      </c>
      <c r="T47" s="8">
        <f t="shared" si="38"/>
        <v>0.31644847167591228</v>
      </c>
      <c r="U47" s="8">
        <f t="shared" si="38"/>
        <v>0.30638382947843201</v>
      </c>
      <c r="V47" s="8">
        <f t="shared" si="38"/>
        <v>0.30157508110911174</v>
      </c>
      <c r="W47" s="8" t="e">
        <f t="shared" si="38"/>
        <v>#DIV/0!</v>
      </c>
      <c r="X47" s="8" t="e">
        <f t="shared" si="38"/>
        <v>#DIV/0!</v>
      </c>
      <c r="Y47" s="8" t="e">
        <f t="shared" si="38"/>
        <v>#DIV/0!</v>
      </c>
      <c r="Z47" s="8" t="e">
        <f t="shared" si="38"/>
        <v>#DIV/0!</v>
      </c>
      <c r="AA47" s="8" t="e">
        <f t="shared" si="38"/>
        <v>#DIV/0!</v>
      </c>
      <c r="AB47" s="8" t="e">
        <f t="shared" si="38"/>
        <v>#DIV/0!</v>
      </c>
      <c r="AC47" s="8" t="e">
        <f t="shared" si="38"/>
        <v>#DIV/0!</v>
      </c>
      <c r="AD47" s="8" t="e">
        <f t="shared" si="38"/>
        <v>#DIV/0!</v>
      </c>
      <c r="AE47" s="8" t="e">
        <f t="shared" si="38"/>
        <v>#DIV/0!</v>
      </c>
      <c r="AF47" s="8" t="e">
        <f t="shared" si="38"/>
        <v>#DIV/0!</v>
      </c>
      <c r="AG47" s="8" t="e">
        <f t="shared" si="38"/>
        <v>#DIV/0!</v>
      </c>
      <c r="AH47" s="8" t="e">
        <f t="shared" si="38"/>
        <v>#DIV/0!</v>
      </c>
      <c r="AI47" s="8" t="e">
        <f t="shared" si="38"/>
        <v>#DIV/0!</v>
      </c>
      <c r="AJ47" s="8" t="e">
        <f t="shared" si="38"/>
        <v>#DIV/0!</v>
      </c>
      <c r="AK47" s="8" t="e">
        <f t="shared" si="38"/>
        <v>#DIV/0!</v>
      </c>
    </row>
    <row r="48" spans="1:37" x14ac:dyDescent="0.25">
      <c r="A48" s="8" t="s">
        <v>2</v>
      </c>
      <c r="B48" s="8">
        <f t="shared" ref="B48:J48" si="39" xml:space="preserve"> B47/SQRT(COUNT(B28:B43))</f>
        <v>1.1385438859068281E-2</v>
      </c>
      <c r="C48" s="8">
        <f t="shared" si="39"/>
        <v>2.0510940420045785E-2</v>
      </c>
      <c r="D48" s="8">
        <f t="shared" si="39"/>
        <v>2.4273137416238762E-2</v>
      </c>
      <c r="E48" s="8">
        <f t="shared" si="39"/>
        <v>4.5547775488718786E-2</v>
      </c>
      <c r="F48" s="8">
        <f t="shared" si="39"/>
        <v>7.7582816290012638E-2</v>
      </c>
      <c r="G48" s="8">
        <f t="shared" si="39"/>
        <v>0.10822303521160373</v>
      </c>
      <c r="H48" s="8">
        <f t="shared" si="39"/>
        <v>0.10253523983882422</v>
      </c>
      <c r="I48" s="8">
        <f t="shared" si="39"/>
        <v>2.5030995399142251E-2</v>
      </c>
      <c r="J48" s="8">
        <f t="shared" si="39"/>
        <v>2.0702194878434211E-2</v>
      </c>
      <c r="K48" s="8">
        <f t="shared" ref="K48:M48" si="40" xml:space="preserve"> K47/SQRT(COUNT(K28:K43))</f>
        <v>1.1393774911587466E-2</v>
      </c>
      <c r="L48" s="8">
        <f t="shared" si="40"/>
        <v>2.6944267355489705E-2</v>
      </c>
      <c r="M48" s="8">
        <f t="shared" si="40"/>
        <v>2.6004754679416694E-2</v>
      </c>
      <c r="N48" s="8" t="s">
        <v>2</v>
      </c>
      <c r="O48" s="8">
        <f t="shared" ref="O48:R48" si="41" xml:space="preserve"> O47/SQRT(COUNT(O28:O43))</f>
        <v>9.2920502827877366E-2</v>
      </c>
      <c r="P48" s="8">
        <f t="shared" si="41"/>
        <v>0.14789139780808025</v>
      </c>
      <c r="Q48" s="8">
        <f t="shared" si="41"/>
        <v>1.2586564028004982E-2</v>
      </c>
      <c r="R48" s="8">
        <f t="shared" si="41"/>
        <v>0.14289837793978621</v>
      </c>
      <c r="S48" s="8">
        <f t="shared" ref="S48:AK48" si="42" xml:space="preserve"> S47/SQRT(COUNT(S28:S43))</f>
        <v>0.17153295846164551</v>
      </c>
      <c r="T48" s="8">
        <f t="shared" si="42"/>
        <v>0.11188143010907833</v>
      </c>
      <c r="U48" s="8">
        <f t="shared" si="42"/>
        <v>0.10832304173505106</v>
      </c>
      <c r="V48" s="8">
        <f t="shared" si="42"/>
        <v>0.10662289244456799</v>
      </c>
      <c r="W48" s="8" t="e">
        <f t="shared" si="42"/>
        <v>#DIV/0!</v>
      </c>
      <c r="X48" s="8" t="e">
        <f t="shared" si="42"/>
        <v>#DIV/0!</v>
      </c>
      <c r="Y48" s="8" t="e">
        <f t="shared" si="42"/>
        <v>#DIV/0!</v>
      </c>
      <c r="Z48" s="8" t="e">
        <f t="shared" si="42"/>
        <v>#DIV/0!</v>
      </c>
      <c r="AA48" s="8" t="e">
        <f t="shared" si="42"/>
        <v>#DIV/0!</v>
      </c>
      <c r="AB48" s="8" t="e">
        <f t="shared" si="42"/>
        <v>#DIV/0!</v>
      </c>
      <c r="AC48" s="8" t="e">
        <f t="shared" si="42"/>
        <v>#DIV/0!</v>
      </c>
      <c r="AD48" s="8" t="e">
        <f t="shared" si="42"/>
        <v>#DIV/0!</v>
      </c>
      <c r="AE48" s="8" t="e">
        <f t="shared" si="42"/>
        <v>#DIV/0!</v>
      </c>
      <c r="AF48" s="8" t="e">
        <f t="shared" si="42"/>
        <v>#DIV/0!</v>
      </c>
      <c r="AG48" s="8" t="e">
        <f t="shared" si="42"/>
        <v>#DIV/0!</v>
      </c>
      <c r="AH48" s="8" t="e">
        <f t="shared" si="42"/>
        <v>#DIV/0!</v>
      </c>
      <c r="AI48" s="8" t="e">
        <f t="shared" si="42"/>
        <v>#DIV/0!</v>
      </c>
      <c r="AJ48" s="8" t="e">
        <f t="shared" si="42"/>
        <v>#DIV/0!</v>
      </c>
      <c r="AK48" s="8" t="e">
        <f t="shared" si="42"/>
        <v>#DIV/0!</v>
      </c>
    </row>
    <row r="49" spans="1:37"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224" t="s">
        <v>44</v>
      </c>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6"/>
    </row>
    <row r="51" spans="1:37" customFormat="1" ht="15.75" thickBot="1" x14ac:dyDescent="0.3">
      <c r="AE51" s="1"/>
      <c r="AF51" s="1"/>
      <c r="AG51" s="1"/>
      <c r="AH51" s="1"/>
      <c r="AI51" s="1"/>
      <c r="AJ51" s="1"/>
    </row>
    <row r="52" spans="1:37" x14ac:dyDescent="0.25">
      <c r="A52" s="45" t="str">
        <f t="shared" ref="A52:H52" si="43">A27</f>
        <v>Noms des groupes</v>
      </c>
      <c r="B52" s="46" t="str">
        <f t="shared" si="43"/>
        <v>Témoin solvant</v>
      </c>
      <c r="C52" s="46" t="str">
        <f t="shared" si="43"/>
        <v>EE2-33.8ng/L</v>
      </c>
      <c r="D52" s="46" t="str">
        <f t="shared" si="43"/>
        <v>EE2-50.6ng/L</v>
      </c>
      <c r="E52" s="46" t="str">
        <f t="shared" si="43"/>
        <v>EE2-76ng/L</v>
      </c>
      <c r="F52" s="46" t="str">
        <f t="shared" si="43"/>
        <v>EE2-114ng/L</v>
      </c>
      <c r="G52" s="46" t="str">
        <f t="shared" si="43"/>
        <v>EE2-170.9ng/L</v>
      </c>
      <c r="H52" s="46" t="str">
        <f t="shared" si="43"/>
        <v>EE2-488ng/L</v>
      </c>
      <c r="I52" s="46" t="str">
        <f>I4</f>
        <v>Prochloraz-0,063mg/L</v>
      </c>
      <c r="J52" s="46" t="str">
        <f>J4</f>
        <v>Prochloraz-0,13mg/L</v>
      </c>
      <c r="K52" s="46" t="str">
        <f t="shared" ref="K52:M52" si="44">K4</f>
        <v>Prochloraz-0,25mg/L</v>
      </c>
      <c r="L52" s="46" t="str">
        <f t="shared" si="44"/>
        <v>Prochloraz-0,5mg/L</v>
      </c>
      <c r="M52" s="46" t="str">
        <f t="shared" si="44"/>
        <v>Prochloraz-1mg/L</v>
      </c>
      <c r="N52" s="47"/>
      <c r="O52" s="46" t="str">
        <f>O27</f>
        <v>Testo -30µg/L</v>
      </c>
      <c r="P52" s="46" t="str">
        <f>P27</f>
        <v>Testo 30µg/L + EE2 -64ng/L</v>
      </c>
      <c r="Q52" s="46" t="str">
        <f>Q27</f>
        <v>Testo 30µg/L + FAD-10mg/L</v>
      </c>
      <c r="R52" s="46" t="str">
        <f>R27</f>
        <v>Prochloraz-0.063mg/L + Testostérone</v>
      </c>
      <c r="S52" s="46" t="str">
        <f t="shared" ref="S52:AC52" si="45">S27</f>
        <v>Prochloraz-0.13mg/L + Testostérone</v>
      </c>
      <c r="T52" s="46" t="str">
        <f t="shared" si="45"/>
        <v>Prochloraz-0.25mg/L + Testostérone</v>
      </c>
      <c r="U52" s="46" t="str">
        <f t="shared" si="45"/>
        <v>Prochloraz-0.5mg/L + Testostérone</v>
      </c>
      <c r="V52" s="46" t="str">
        <f t="shared" si="45"/>
        <v>Prochloraz-1mg/L + Testostérone</v>
      </c>
      <c r="W52" s="46" t="str">
        <f t="shared" si="45"/>
        <v>0-00 + Testostérone</v>
      </c>
      <c r="X52" s="46" t="str">
        <f t="shared" si="45"/>
        <v>0-00 + Testostérone</v>
      </c>
      <c r="Y52" s="46" t="str">
        <f t="shared" si="45"/>
        <v>0-00 + Testostérone</v>
      </c>
      <c r="Z52" s="46" t="str">
        <f t="shared" si="45"/>
        <v>0-00 + Testostérone</v>
      </c>
      <c r="AA52" s="46" t="str">
        <f t="shared" si="45"/>
        <v>0-00 + Testostérone</v>
      </c>
      <c r="AB52" s="46" t="str">
        <f t="shared" si="45"/>
        <v>0-00 + Testostérone</v>
      </c>
      <c r="AC52" s="46" t="str">
        <f t="shared" si="45"/>
        <v>0-00 + Testostérone</v>
      </c>
      <c r="AD52" s="46" t="str">
        <f t="shared" ref="AD52:AK52" si="46">AD27</f>
        <v>0-00 + Testostérone</v>
      </c>
      <c r="AE52" s="46" t="str">
        <f t="shared" si="46"/>
        <v>0-00 + Testostérone</v>
      </c>
      <c r="AF52" s="46" t="str">
        <f t="shared" si="46"/>
        <v>0-00 + Testostérone</v>
      </c>
      <c r="AG52" s="46" t="str">
        <f t="shared" si="46"/>
        <v>0-00 + Testostérone</v>
      </c>
      <c r="AH52" s="46" t="str">
        <f t="shared" si="46"/>
        <v>0-00 + Testostérone</v>
      </c>
      <c r="AI52" s="46" t="str">
        <f t="shared" si="46"/>
        <v>0-00 + Testostérone</v>
      </c>
      <c r="AJ52" s="46" t="str">
        <f t="shared" si="46"/>
        <v>0-00 + Testostérone</v>
      </c>
      <c r="AK52" s="46" t="str">
        <f t="shared" si="46"/>
        <v>0-00 + Testostérone</v>
      </c>
    </row>
    <row r="53" spans="1:37" s="3" customFormat="1" x14ac:dyDescent="0.25">
      <c r="A53" s="64" t="s">
        <v>32</v>
      </c>
      <c r="B53" s="145">
        <f t="shared" ref="B53" si="47">B46</f>
        <v>0.12786931651462038</v>
      </c>
      <c r="C53" s="145">
        <f t="shared" ref="C53:AK53" si="48">C46</f>
        <v>0.12262717192203094</v>
      </c>
      <c r="D53" s="145">
        <f t="shared" si="48"/>
        <v>0.11911350636037547</v>
      </c>
      <c r="E53" s="145">
        <f t="shared" si="48"/>
        <v>0.17514550647610333</v>
      </c>
      <c r="F53" s="145">
        <f t="shared" si="48"/>
        <v>0.60354206967960089</v>
      </c>
      <c r="G53" s="145">
        <f t="shared" si="48"/>
        <v>1.4766265140950239</v>
      </c>
      <c r="H53" s="145">
        <f t="shared" si="48"/>
        <v>2.1094336916152114</v>
      </c>
      <c r="I53" s="145">
        <f t="shared" si="48"/>
        <v>0.15427004824369045</v>
      </c>
      <c r="J53" s="145">
        <f t="shared" si="48"/>
        <v>0.13695265175992793</v>
      </c>
      <c r="K53" s="145">
        <f t="shared" si="48"/>
        <v>0.14026114224297306</v>
      </c>
      <c r="L53" s="145">
        <f t="shared" si="48"/>
        <v>0.21175645076133248</v>
      </c>
      <c r="M53" s="145">
        <f t="shared" si="48"/>
        <v>0.15353002627745202</v>
      </c>
      <c r="N53" s="145"/>
      <c r="O53" s="145">
        <f t="shared" si="48"/>
        <v>0.99999999999999978</v>
      </c>
      <c r="P53" s="145">
        <f t="shared" si="48"/>
        <v>1.8054884101586119</v>
      </c>
      <c r="Q53" s="145">
        <f t="shared" si="48"/>
        <v>0.12461497381361147</v>
      </c>
      <c r="R53" s="145">
        <f t="shared" si="48"/>
        <v>0.79282503065937926</v>
      </c>
      <c r="S53" s="145">
        <f t="shared" si="48"/>
        <v>0.78757570846753622</v>
      </c>
      <c r="T53" s="145">
        <f t="shared" si="48"/>
        <v>0.53096902611742613</v>
      </c>
      <c r="U53" s="145">
        <f t="shared" si="48"/>
        <v>0.81166513430392473</v>
      </c>
      <c r="V53" s="145">
        <f t="shared" si="48"/>
        <v>0.75233408315801531</v>
      </c>
      <c r="W53" s="145" t="e">
        <f t="shared" si="48"/>
        <v>#DIV/0!</v>
      </c>
      <c r="X53" s="145" t="e">
        <f t="shared" si="48"/>
        <v>#DIV/0!</v>
      </c>
      <c r="Y53" s="145" t="e">
        <f t="shared" si="48"/>
        <v>#DIV/0!</v>
      </c>
      <c r="Z53" s="145" t="e">
        <f t="shared" si="48"/>
        <v>#DIV/0!</v>
      </c>
      <c r="AA53" s="145" t="e">
        <f t="shared" si="48"/>
        <v>#DIV/0!</v>
      </c>
      <c r="AB53" s="145" t="e">
        <f t="shared" si="48"/>
        <v>#DIV/0!</v>
      </c>
      <c r="AC53" s="145" t="e">
        <f t="shared" si="48"/>
        <v>#DIV/0!</v>
      </c>
      <c r="AD53" s="145" t="e">
        <f t="shared" si="48"/>
        <v>#DIV/0!</v>
      </c>
      <c r="AE53" s="145" t="e">
        <f t="shared" si="48"/>
        <v>#DIV/0!</v>
      </c>
      <c r="AF53" s="145" t="e">
        <f t="shared" si="48"/>
        <v>#DIV/0!</v>
      </c>
      <c r="AG53" s="145" t="e">
        <f t="shared" si="48"/>
        <v>#DIV/0!</v>
      </c>
      <c r="AH53" s="145" t="e">
        <f t="shared" si="48"/>
        <v>#DIV/0!</v>
      </c>
      <c r="AI53" s="145" t="e">
        <f t="shared" si="48"/>
        <v>#DIV/0!</v>
      </c>
      <c r="AJ53" s="145" t="e">
        <f t="shared" si="48"/>
        <v>#DIV/0!</v>
      </c>
      <c r="AK53" s="145" t="e">
        <f t="shared" si="48"/>
        <v>#DIV/0!</v>
      </c>
    </row>
    <row r="54" spans="1:37" s="3" customFormat="1" x14ac:dyDescent="0.25">
      <c r="A54" s="64" t="s">
        <v>2</v>
      </c>
      <c r="B54" s="145">
        <f t="shared" ref="B54" si="49">B48</f>
        <v>1.1385438859068281E-2</v>
      </c>
      <c r="C54" s="145">
        <f t="shared" ref="C54:AK54" si="50">C48</f>
        <v>2.0510940420045785E-2</v>
      </c>
      <c r="D54" s="145">
        <f t="shared" si="50"/>
        <v>2.4273137416238762E-2</v>
      </c>
      <c r="E54" s="145">
        <f t="shared" si="50"/>
        <v>4.5547775488718786E-2</v>
      </c>
      <c r="F54" s="145">
        <f t="shared" si="50"/>
        <v>7.7582816290012638E-2</v>
      </c>
      <c r="G54" s="145">
        <f t="shared" si="50"/>
        <v>0.10822303521160373</v>
      </c>
      <c r="H54" s="145">
        <f t="shared" si="50"/>
        <v>0.10253523983882422</v>
      </c>
      <c r="I54" s="145">
        <f t="shared" si="50"/>
        <v>2.5030995399142251E-2</v>
      </c>
      <c r="J54" s="145">
        <f t="shared" si="50"/>
        <v>2.0702194878434211E-2</v>
      </c>
      <c r="K54" s="145">
        <f t="shared" si="50"/>
        <v>1.1393774911587466E-2</v>
      </c>
      <c r="L54" s="145">
        <f t="shared" si="50"/>
        <v>2.6944267355489705E-2</v>
      </c>
      <c r="M54" s="145">
        <f t="shared" si="50"/>
        <v>2.6004754679416694E-2</v>
      </c>
      <c r="N54" s="145"/>
      <c r="O54" s="145">
        <f t="shared" si="50"/>
        <v>9.2920502827877366E-2</v>
      </c>
      <c r="P54" s="145">
        <f t="shared" si="50"/>
        <v>0.14789139780808025</v>
      </c>
      <c r="Q54" s="145">
        <f t="shared" si="50"/>
        <v>1.2586564028004982E-2</v>
      </c>
      <c r="R54" s="145">
        <f t="shared" si="50"/>
        <v>0.14289837793978621</v>
      </c>
      <c r="S54" s="145">
        <f t="shared" si="50"/>
        <v>0.17153295846164551</v>
      </c>
      <c r="T54" s="145">
        <f t="shared" si="50"/>
        <v>0.11188143010907833</v>
      </c>
      <c r="U54" s="145">
        <f t="shared" si="50"/>
        <v>0.10832304173505106</v>
      </c>
      <c r="V54" s="145">
        <f t="shared" si="50"/>
        <v>0.10662289244456799</v>
      </c>
      <c r="W54" s="145" t="e">
        <f t="shared" si="50"/>
        <v>#DIV/0!</v>
      </c>
      <c r="X54" s="145" t="e">
        <f t="shared" si="50"/>
        <v>#DIV/0!</v>
      </c>
      <c r="Y54" s="145" t="e">
        <f t="shared" si="50"/>
        <v>#DIV/0!</v>
      </c>
      <c r="Z54" s="145" t="e">
        <f t="shared" si="50"/>
        <v>#DIV/0!</v>
      </c>
      <c r="AA54" s="145" t="e">
        <f t="shared" si="50"/>
        <v>#DIV/0!</v>
      </c>
      <c r="AB54" s="145" t="e">
        <f t="shared" si="50"/>
        <v>#DIV/0!</v>
      </c>
      <c r="AC54" s="145" t="e">
        <f t="shared" si="50"/>
        <v>#DIV/0!</v>
      </c>
      <c r="AD54" s="145" t="e">
        <f t="shared" si="50"/>
        <v>#DIV/0!</v>
      </c>
      <c r="AE54" s="145" t="e">
        <f t="shared" si="50"/>
        <v>#DIV/0!</v>
      </c>
      <c r="AF54" s="145" t="e">
        <f t="shared" si="50"/>
        <v>#DIV/0!</v>
      </c>
      <c r="AG54" s="145" t="e">
        <f t="shared" si="50"/>
        <v>#DIV/0!</v>
      </c>
      <c r="AH54" s="145" t="e">
        <f t="shared" si="50"/>
        <v>#DIV/0!</v>
      </c>
      <c r="AI54" s="145" t="e">
        <f t="shared" si="50"/>
        <v>#DIV/0!</v>
      </c>
      <c r="AJ54" s="145" t="e">
        <f t="shared" si="50"/>
        <v>#DIV/0!</v>
      </c>
      <c r="AK54" s="145" t="e">
        <f t="shared" si="50"/>
        <v>#DIV/0!</v>
      </c>
    </row>
    <row r="55" spans="1:37" s="3" customFormat="1" x14ac:dyDescent="0.25">
      <c r="A55" s="64" t="s">
        <v>79</v>
      </c>
      <c r="B55" s="145">
        <f>(B53*100/$B53)-100</f>
        <v>0</v>
      </c>
      <c r="C55" s="145">
        <f t="shared" ref="C55:M55" si="51">(C53*100/$B53)-100</f>
        <v>-4.0996110212179531</v>
      </c>
      <c r="D55" s="145">
        <f t="shared" si="51"/>
        <v>-6.8474677060182643</v>
      </c>
      <c r="E55" s="145">
        <f t="shared" si="51"/>
        <v>36.972270791857596</v>
      </c>
      <c r="F55" s="145">
        <f t="shared" si="51"/>
        <v>371.99913640782836</v>
      </c>
      <c r="G55" s="145">
        <f t="shared" si="51"/>
        <v>1054.7934675369822</v>
      </c>
      <c r="H55" s="145">
        <f t="shared" si="51"/>
        <v>1549.6793359914627</v>
      </c>
      <c r="I55" s="145">
        <f t="shared" si="51"/>
        <v>20.646651165959298</v>
      </c>
      <c r="J55" s="145">
        <f t="shared" si="51"/>
        <v>7.103608193814793</v>
      </c>
      <c r="K55" s="145">
        <f t="shared" si="51"/>
        <v>9.6910080276653474</v>
      </c>
      <c r="L55" s="145">
        <f t="shared" si="51"/>
        <v>65.60380279902455</v>
      </c>
      <c r="M55" s="145">
        <f t="shared" si="51"/>
        <v>20.067918138827011</v>
      </c>
      <c r="N55" s="145"/>
      <c r="O55" s="145">
        <f>(O53*100/$O53)-100</f>
        <v>0</v>
      </c>
      <c r="P55" s="145">
        <f t="shared" ref="P55:AK55" si="52">(P53*100/$O53)-100</f>
        <v>80.548841015861228</v>
      </c>
      <c r="Q55" s="145">
        <f t="shared" si="52"/>
        <v>-87.538502618638844</v>
      </c>
      <c r="R55" s="145">
        <f t="shared" si="52"/>
        <v>-20.717496934062055</v>
      </c>
      <c r="S55" s="145">
        <f t="shared" si="52"/>
        <v>-21.242429153246363</v>
      </c>
      <c r="T55" s="145">
        <f t="shared" si="52"/>
        <v>-46.903097388257372</v>
      </c>
      <c r="U55" s="145">
        <f t="shared" si="52"/>
        <v>-18.833486569607516</v>
      </c>
      <c r="V55" s="145">
        <f t="shared" si="52"/>
        <v>-24.76659168419846</v>
      </c>
      <c r="W55" s="145" t="e">
        <f t="shared" si="52"/>
        <v>#DIV/0!</v>
      </c>
      <c r="X55" s="145" t="e">
        <f t="shared" si="52"/>
        <v>#DIV/0!</v>
      </c>
      <c r="Y55" s="145" t="e">
        <f t="shared" si="52"/>
        <v>#DIV/0!</v>
      </c>
      <c r="Z55" s="145" t="e">
        <f t="shared" si="52"/>
        <v>#DIV/0!</v>
      </c>
      <c r="AA55" s="145" t="e">
        <f t="shared" si="52"/>
        <v>#DIV/0!</v>
      </c>
      <c r="AB55" s="145" t="e">
        <f t="shared" si="52"/>
        <v>#DIV/0!</v>
      </c>
      <c r="AC55" s="145" t="e">
        <f t="shared" si="52"/>
        <v>#DIV/0!</v>
      </c>
      <c r="AD55" s="145" t="e">
        <f t="shared" si="52"/>
        <v>#DIV/0!</v>
      </c>
      <c r="AE55" s="145" t="e">
        <f t="shared" si="52"/>
        <v>#DIV/0!</v>
      </c>
      <c r="AF55" s="145" t="e">
        <f t="shared" si="52"/>
        <v>#DIV/0!</v>
      </c>
      <c r="AG55" s="145" t="e">
        <f t="shared" si="52"/>
        <v>#DIV/0!</v>
      </c>
      <c r="AH55" s="145" t="e">
        <f t="shared" si="52"/>
        <v>#DIV/0!</v>
      </c>
      <c r="AI55" s="145" t="e">
        <f t="shared" si="52"/>
        <v>#DIV/0!</v>
      </c>
      <c r="AJ55" s="145" t="e">
        <f t="shared" si="52"/>
        <v>#DIV/0!</v>
      </c>
      <c r="AK55" s="145" t="e">
        <f t="shared" si="52"/>
        <v>#DIV/0!</v>
      </c>
    </row>
    <row r="56" spans="1:37" s="3" customFormat="1" x14ac:dyDescent="0.25">
      <c r="A56" s="64" t="s">
        <v>81</v>
      </c>
      <c r="B56" s="145" t="e">
        <f ca="1">[1]!SWTEST(B28:B43)</f>
        <v>#NAME?</v>
      </c>
      <c r="C56" s="145" t="e">
        <f ca="1">[1]!SWTEST(C28:C43)</f>
        <v>#NAME?</v>
      </c>
      <c r="D56" s="145" t="e">
        <f ca="1">[1]!SWTEST(D28:D43)</f>
        <v>#NAME?</v>
      </c>
      <c r="E56" s="145" t="e">
        <f ca="1">[1]!SWTEST(E28:E43)</f>
        <v>#NAME?</v>
      </c>
      <c r="F56" s="145" t="e">
        <f ca="1">[1]!SWTEST(F28:F43)</f>
        <v>#NAME?</v>
      </c>
      <c r="G56" s="145" t="e">
        <f ca="1">[1]!SWTEST(G28:G43)</f>
        <v>#NAME?</v>
      </c>
      <c r="H56" s="145" t="e">
        <f ca="1">[1]!SWTEST(H28:H43)</f>
        <v>#NAME?</v>
      </c>
      <c r="I56" s="145" t="e">
        <f ca="1">[1]!SWTEST(I28:I43)</f>
        <v>#NAME?</v>
      </c>
      <c r="J56" s="145" t="e">
        <f ca="1">[1]!SWTEST(J28:J43)</f>
        <v>#NAME?</v>
      </c>
      <c r="K56" s="145" t="e">
        <f ca="1">[1]!SWTEST(K28:K43)</f>
        <v>#NAME?</v>
      </c>
      <c r="L56" s="145" t="e">
        <f ca="1">[1]!SWTEST(L28:L43)</f>
        <v>#NAME?</v>
      </c>
      <c r="M56" s="145" t="e">
        <f ca="1">[1]!SWTEST(M28:M43)</f>
        <v>#NAME?</v>
      </c>
      <c r="N56" s="145"/>
      <c r="O56" s="145" t="e">
        <f ca="1">[1]!SWTEST(O28:O43)</f>
        <v>#NAME?</v>
      </c>
      <c r="P56" s="145" t="e">
        <f ca="1">[1]!SWTEST(P28:P43)</f>
        <v>#NAME?</v>
      </c>
      <c r="Q56" s="145" t="e">
        <f ca="1">[1]!SWTEST(Q28:Q43)</f>
        <v>#NAME?</v>
      </c>
      <c r="R56" s="145" t="e">
        <f ca="1">[1]!SWTEST(R28:R43)</f>
        <v>#NAME?</v>
      </c>
      <c r="S56" s="145" t="e">
        <f ca="1">[1]!SWTEST(S28:S43)</f>
        <v>#NAME?</v>
      </c>
      <c r="T56" s="145" t="e">
        <f ca="1">[1]!SWTEST(T28:T43)</f>
        <v>#NAME?</v>
      </c>
      <c r="U56" s="145" t="e">
        <f ca="1">[1]!SWTEST(U28:U43)</f>
        <v>#NAME?</v>
      </c>
      <c r="V56" s="145" t="e">
        <f ca="1">[1]!SWTEST(V28:V43)</f>
        <v>#NAME?</v>
      </c>
      <c r="W56" s="145" t="e">
        <f ca="1">[1]!SWTEST(W28:W43)</f>
        <v>#NAME?</v>
      </c>
      <c r="X56" s="145" t="e">
        <f ca="1">[1]!SWTEST(X28:X43)</f>
        <v>#NAME?</v>
      </c>
      <c r="Y56" s="145" t="e">
        <f ca="1">[1]!SWTEST(Y28:Y43)</f>
        <v>#NAME?</v>
      </c>
      <c r="Z56" s="145" t="e">
        <f ca="1">[1]!SWTEST(Z28:Z43)</f>
        <v>#NAME?</v>
      </c>
      <c r="AA56" s="145" t="e">
        <f ca="1">[1]!SWTEST(AA28:AA43)</f>
        <v>#NAME?</v>
      </c>
      <c r="AB56" s="145" t="e">
        <f ca="1">[1]!SWTEST(AB28:AB43)</f>
        <v>#NAME?</v>
      </c>
      <c r="AC56" s="145" t="e">
        <f ca="1">[1]!SWTEST(AC28:AC43)</f>
        <v>#NAME?</v>
      </c>
      <c r="AD56" s="145" t="e">
        <f ca="1">[1]!SWTEST(AD28:AD43)</f>
        <v>#NAME?</v>
      </c>
      <c r="AE56" s="145" t="e">
        <f ca="1">[1]!SWTEST(AE28:AE43)</f>
        <v>#NAME?</v>
      </c>
      <c r="AF56" s="145" t="e">
        <f ca="1">[1]!SWTEST(AF28:AF43)</f>
        <v>#NAME?</v>
      </c>
      <c r="AG56" s="145" t="e">
        <f ca="1">[1]!SWTEST(AG28:AG43)</f>
        <v>#NAME?</v>
      </c>
      <c r="AH56" s="145" t="e">
        <f ca="1">[1]!SWTEST(AH28:AH43)</f>
        <v>#NAME?</v>
      </c>
      <c r="AI56" s="145" t="e">
        <f ca="1">[1]!SWTEST(AI28:AI43)</f>
        <v>#NAME?</v>
      </c>
      <c r="AJ56" s="145" t="e">
        <f ca="1">[1]!SWTEST(AJ28:AJ43)</f>
        <v>#NAME?</v>
      </c>
      <c r="AK56" s="145" t="e">
        <f ca="1">[1]!SWTEST(AK28:AK43)</f>
        <v>#NAME?</v>
      </c>
    </row>
    <row r="57" spans="1:37" s="3" customFormat="1" x14ac:dyDescent="0.25">
      <c r="A57" s="64" t="s">
        <v>85</v>
      </c>
      <c r="B57" s="145" t="e">
        <f ca="1">IF(B56&gt;0.05,"Oui","Non")</f>
        <v>#NAME?</v>
      </c>
      <c r="C57" s="145" t="e">
        <f t="shared" ref="C57:AK57" ca="1" si="53">IF(C56&gt;0.05,"Oui","Non")</f>
        <v>#NAME?</v>
      </c>
      <c r="D57" s="145" t="e">
        <f t="shared" ca="1" si="53"/>
        <v>#NAME?</v>
      </c>
      <c r="E57" s="145" t="e">
        <f t="shared" ca="1" si="53"/>
        <v>#NAME?</v>
      </c>
      <c r="F57" s="145" t="e">
        <f t="shared" ca="1" si="53"/>
        <v>#NAME?</v>
      </c>
      <c r="G57" s="145" t="e">
        <f t="shared" ca="1" si="53"/>
        <v>#NAME?</v>
      </c>
      <c r="H57" s="145" t="e">
        <f t="shared" ca="1" si="53"/>
        <v>#NAME?</v>
      </c>
      <c r="I57" s="145" t="e">
        <f t="shared" ca="1" si="53"/>
        <v>#NAME?</v>
      </c>
      <c r="J57" s="145" t="e">
        <f t="shared" ca="1" si="53"/>
        <v>#NAME?</v>
      </c>
      <c r="K57" s="145" t="e">
        <f t="shared" ca="1" si="53"/>
        <v>#NAME?</v>
      </c>
      <c r="L57" s="145" t="e">
        <f t="shared" ca="1" si="53"/>
        <v>#NAME?</v>
      </c>
      <c r="M57" s="145" t="e">
        <f t="shared" ca="1" si="53"/>
        <v>#NAME?</v>
      </c>
      <c r="N57" s="145"/>
      <c r="O57" s="145" t="e">
        <f t="shared" ca="1" si="53"/>
        <v>#NAME?</v>
      </c>
      <c r="P57" s="145" t="e">
        <f t="shared" ca="1" si="53"/>
        <v>#NAME?</v>
      </c>
      <c r="Q57" s="145" t="e">
        <f t="shared" ca="1" si="53"/>
        <v>#NAME?</v>
      </c>
      <c r="R57" s="145" t="e">
        <f t="shared" ca="1" si="53"/>
        <v>#NAME?</v>
      </c>
      <c r="S57" s="145" t="e">
        <f t="shared" ca="1" si="53"/>
        <v>#NAME?</v>
      </c>
      <c r="T57" s="145" t="e">
        <f t="shared" ca="1" si="53"/>
        <v>#NAME?</v>
      </c>
      <c r="U57" s="145" t="e">
        <f t="shared" ca="1" si="53"/>
        <v>#NAME?</v>
      </c>
      <c r="V57" s="145" t="e">
        <f t="shared" ca="1" si="53"/>
        <v>#NAME?</v>
      </c>
      <c r="W57" s="145" t="e">
        <f t="shared" ca="1" si="53"/>
        <v>#NAME?</v>
      </c>
      <c r="X57" s="145" t="e">
        <f t="shared" ca="1" si="53"/>
        <v>#NAME?</v>
      </c>
      <c r="Y57" s="145" t="e">
        <f t="shared" ca="1" si="53"/>
        <v>#NAME?</v>
      </c>
      <c r="Z57" s="145" t="e">
        <f t="shared" ca="1" si="53"/>
        <v>#NAME?</v>
      </c>
      <c r="AA57" s="145" t="e">
        <f t="shared" ca="1" si="53"/>
        <v>#NAME?</v>
      </c>
      <c r="AB57" s="145" t="e">
        <f t="shared" ca="1" si="53"/>
        <v>#NAME?</v>
      </c>
      <c r="AC57" s="145" t="e">
        <f t="shared" ca="1" si="53"/>
        <v>#NAME?</v>
      </c>
      <c r="AD57" s="145" t="e">
        <f t="shared" ca="1" si="53"/>
        <v>#NAME?</v>
      </c>
      <c r="AE57" s="145" t="e">
        <f t="shared" ca="1" si="53"/>
        <v>#NAME?</v>
      </c>
      <c r="AF57" s="145" t="e">
        <f t="shared" ca="1" si="53"/>
        <v>#NAME?</v>
      </c>
      <c r="AG57" s="145" t="e">
        <f t="shared" ca="1" si="53"/>
        <v>#NAME?</v>
      </c>
      <c r="AH57" s="145" t="e">
        <f t="shared" ca="1" si="53"/>
        <v>#NAME?</v>
      </c>
      <c r="AI57" s="145" t="e">
        <f t="shared" ca="1" si="53"/>
        <v>#NAME?</v>
      </c>
      <c r="AJ57" s="145" t="e">
        <f t="shared" ca="1" si="53"/>
        <v>#NAME?</v>
      </c>
      <c r="AK57" s="145" t="e">
        <f t="shared" ca="1" si="53"/>
        <v>#NAME?</v>
      </c>
    </row>
    <row r="58" spans="1:37" s="3" customFormat="1" x14ac:dyDescent="0.25">
      <c r="A58" s="64"/>
      <c r="B58" s="145"/>
      <c r="C58" s="145"/>
      <c r="D58" s="145"/>
      <c r="E58" s="145"/>
      <c r="F58" s="145"/>
      <c r="G58" s="145"/>
      <c r="H58" s="145"/>
      <c r="I58" s="145"/>
      <c r="J58" s="145"/>
      <c r="K58" s="145"/>
      <c r="L58" s="145"/>
      <c r="M58" s="145"/>
      <c r="N58" s="152"/>
      <c r="O58" s="153"/>
      <c r="P58" s="145"/>
      <c r="Q58" s="145"/>
      <c r="R58" s="145"/>
      <c r="S58" s="145"/>
      <c r="T58" s="145"/>
      <c r="U58" s="145"/>
      <c r="V58" s="145"/>
      <c r="W58" s="145"/>
      <c r="X58" s="145"/>
      <c r="Y58" s="145"/>
      <c r="Z58" s="145"/>
      <c r="AA58" s="145"/>
      <c r="AB58" s="145"/>
      <c r="AC58" s="145"/>
      <c r="AD58" s="145"/>
      <c r="AE58" s="154"/>
      <c r="AF58" s="154"/>
      <c r="AG58" s="154"/>
      <c r="AH58" s="154"/>
      <c r="AI58" s="154"/>
      <c r="AJ58" s="154"/>
      <c r="AK58" s="155"/>
    </row>
    <row r="59" spans="1:37" s="3" customFormat="1" x14ac:dyDescent="0.25">
      <c r="A59" s="64" t="s">
        <v>82</v>
      </c>
      <c r="B59" s="156"/>
      <c r="C59" s="156" t="e">
        <f t="shared" ref="C59:O59" ca="1" si="54">IF($B57="Non",IF(C57="Non","MW",IF(C57="Oui","MW","")),IF($B57="Oui",IF(C57="Oui","T-Test Welch",IF(C57="Non","MW",""))))</f>
        <v>#NAME?</v>
      </c>
      <c r="D59" s="156" t="e">
        <f t="shared" ca="1" si="54"/>
        <v>#NAME?</v>
      </c>
      <c r="E59" s="156" t="e">
        <f t="shared" ca="1" si="54"/>
        <v>#NAME?</v>
      </c>
      <c r="F59" s="156" t="e">
        <f t="shared" ca="1" si="54"/>
        <v>#NAME?</v>
      </c>
      <c r="G59" s="156" t="e">
        <f t="shared" ca="1" si="54"/>
        <v>#NAME?</v>
      </c>
      <c r="H59" s="156" t="e">
        <f t="shared" ca="1" si="54"/>
        <v>#NAME?</v>
      </c>
      <c r="I59" s="156" t="e">
        <f t="shared" ca="1" si="54"/>
        <v>#NAME?</v>
      </c>
      <c r="J59" s="156" t="e">
        <f t="shared" ca="1" si="54"/>
        <v>#NAME?</v>
      </c>
      <c r="K59" s="156" t="e">
        <f t="shared" ca="1" si="54"/>
        <v>#NAME?</v>
      </c>
      <c r="L59" s="156" t="e">
        <f t="shared" ca="1" si="54"/>
        <v>#NAME?</v>
      </c>
      <c r="M59" s="156" t="e">
        <f t="shared" ca="1" si="54"/>
        <v>#NAME?</v>
      </c>
      <c r="N59" s="156"/>
      <c r="O59" s="156" t="e">
        <f t="shared" ca="1" si="54"/>
        <v>#NAME?</v>
      </c>
      <c r="P59" s="156" t="e">
        <f ca="1">IF($O57="Non",IF(P57="Non","MW",IF(P57="Oui","MW","")),IF($O57="Oui",IF(P57="Oui","T-Test Welch",IF(P57="Non","MW",""))))</f>
        <v>#NAME?</v>
      </c>
      <c r="Q59" s="156" t="e">
        <f t="shared" ref="Q59:AK59" ca="1" si="55">IF($O57="Non",IF(Q57="Non","MW",IF(Q57="Oui","MW","")),IF($O57="Oui",IF(Q57="Oui","T-Test Welch",IF(Q57="Non","MW",""))))</f>
        <v>#NAME?</v>
      </c>
      <c r="R59" s="156" t="e">
        <f t="shared" ca="1" si="55"/>
        <v>#NAME?</v>
      </c>
      <c r="S59" s="156" t="e">
        <f t="shared" ca="1" si="55"/>
        <v>#NAME?</v>
      </c>
      <c r="T59" s="156" t="e">
        <f t="shared" ca="1" si="55"/>
        <v>#NAME?</v>
      </c>
      <c r="U59" s="156" t="e">
        <f t="shared" ca="1" si="55"/>
        <v>#NAME?</v>
      </c>
      <c r="V59" s="156" t="e">
        <f t="shared" ca="1" si="55"/>
        <v>#NAME?</v>
      </c>
      <c r="W59" s="156" t="e">
        <f t="shared" ca="1" si="55"/>
        <v>#NAME?</v>
      </c>
      <c r="X59" s="156" t="e">
        <f t="shared" ca="1" si="55"/>
        <v>#NAME?</v>
      </c>
      <c r="Y59" s="156" t="e">
        <f t="shared" ca="1" si="55"/>
        <v>#NAME?</v>
      </c>
      <c r="Z59" s="156" t="e">
        <f t="shared" ca="1" si="55"/>
        <v>#NAME?</v>
      </c>
      <c r="AA59" s="156" t="e">
        <f t="shared" ca="1" si="55"/>
        <v>#NAME?</v>
      </c>
      <c r="AB59" s="156" t="e">
        <f t="shared" ca="1" si="55"/>
        <v>#NAME?</v>
      </c>
      <c r="AC59" s="156" t="e">
        <f t="shared" ca="1" si="55"/>
        <v>#NAME?</v>
      </c>
      <c r="AD59" s="156" t="e">
        <f t="shared" ca="1" si="55"/>
        <v>#NAME?</v>
      </c>
      <c r="AE59" s="156" t="e">
        <f t="shared" ca="1" si="55"/>
        <v>#NAME?</v>
      </c>
      <c r="AF59" s="156" t="e">
        <f t="shared" ca="1" si="55"/>
        <v>#NAME?</v>
      </c>
      <c r="AG59" s="156" t="e">
        <f t="shared" ca="1" si="55"/>
        <v>#NAME?</v>
      </c>
      <c r="AH59" s="156" t="e">
        <f t="shared" ca="1" si="55"/>
        <v>#NAME?</v>
      </c>
      <c r="AI59" s="156" t="e">
        <f t="shared" ca="1" si="55"/>
        <v>#NAME?</v>
      </c>
      <c r="AJ59" s="156" t="e">
        <f t="shared" ca="1" si="55"/>
        <v>#NAME?</v>
      </c>
      <c r="AK59" s="156" t="e">
        <f t="shared" ca="1" si="55"/>
        <v>#NAME?</v>
      </c>
    </row>
    <row r="60" spans="1:37" s="3" customFormat="1" x14ac:dyDescent="0.25">
      <c r="A60" s="64" t="s">
        <v>83</v>
      </c>
      <c r="B60" s="157"/>
      <c r="C60" s="157" t="e">
        <f ca="1">IF(C59="MW",[1]!MTEST($B28:$B43,C28:C43,2), IF(C59="T-Test Welch",_xlfn.T.TEST($B28:$B43,C28:C43,2,3),""))</f>
        <v>#NAME?</v>
      </c>
      <c r="D60" s="157" t="e">
        <f ca="1">IF(D59="MW",[1]!MTEST($B28:$B43,D28:D43,2), IF(D59="T-Test Welch",_xlfn.T.TEST($B28:$B43,D28:D43,2,3),""))</f>
        <v>#NAME?</v>
      </c>
      <c r="E60" s="157" t="e">
        <f ca="1">IF(E59="MW",[1]!MTEST($B28:$B43,E28:E43,2), IF(E59="T-Test Welch",_xlfn.T.TEST($B28:$B43,E28:E43,2,3),""))</f>
        <v>#NAME?</v>
      </c>
      <c r="F60" s="157" t="e">
        <f ca="1">IF(F59="MW",[1]!MTEST($B28:$B43,F28:F43,2), IF(F59="T-Test Welch",_xlfn.T.TEST($B28:$B43,F28:F43,2,3),""))</f>
        <v>#NAME?</v>
      </c>
      <c r="G60" s="157" t="e">
        <f ca="1">IF(G59="MW",[1]!MTEST($B28:$B43,G28:G43,2), IF(G59="T-Test Welch",_xlfn.T.TEST($B28:$B43,G28:G43,2,3),""))</f>
        <v>#NAME?</v>
      </c>
      <c r="H60" s="157" t="e">
        <f ca="1">IF(H59="MW",[1]!MTEST($B28:$B43,H28:H43,2), IF(H59="T-Test Welch",_xlfn.T.TEST($B28:$B43,H28:H43,2,3),""))</f>
        <v>#NAME?</v>
      </c>
      <c r="I60" s="157" t="e">
        <f ca="1">IF(I59="MW",[1]!MTEST($B28:$B43,I28:I43,2), IF(I59="T-Test Welch",_xlfn.T.TEST($B28:$B43,I28:I43,2,3),""))</f>
        <v>#NAME?</v>
      </c>
      <c r="J60" s="157" t="e">
        <f ca="1">IF(J59="MW",[1]!MTEST($B28:$B43,J28:J43,2), IF(J59="T-Test Welch",_xlfn.T.TEST($B28:$B43,J28:J43,2,3),""))</f>
        <v>#NAME?</v>
      </c>
      <c r="K60" s="157" t="e">
        <f ca="1">IF(K59="MW",[1]!MTEST($B28:$B43,K28:K43,2), IF(K59="T-Test Welch",_xlfn.T.TEST($B28:$B43,K28:K43,2,3),""))</f>
        <v>#NAME?</v>
      </c>
      <c r="L60" s="157" t="e">
        <f ca="1">IF(L59="MW",[1]!MTEST($B28:$B43,L28:L43,2), IF(L59="T-Test Welch",_xlfn.T.TEST($B28:$B43,L28:L43,2,3),""))</f>
        <v>#NAME?</v>
      </c>
      <c r="M60" s="157" t="e">
        <f ca="1">IF(M59="MW",[1]!MTEST($B28:$B43,M28:M43,2), IF(M59="T-Test Welch",_xlfn.T.TEST($B28:$B43,M28:M43,2,3),""))</f>
        <v>#NAME?</v>
      </c>
      <c r="N60" s="157"/>
      <c r="O60" s="157" t="e">
        <f ca="1">IF(O59="MW",[1]!MTEST($B28:$B43,O28:O43,2), IF(O59="T-Test Welch",_xlfn.T.TEST($B28:$B43,O28:O43,2,3),""))</f>
        <v>#NAME?</v>
      </c>
      <c r="P60" s="157" t="e">
        <f ca="1">IF(P59="MW",[1]!MTEST($O28:$O43,P28:P43,2), IF(P59="T-Test Welch",_xlfn.T.TEST($O28:$O43,P28:P43,2,3),""))</f>
        <v>#NAME?</v>
      </c>
      <c r="Q60" s="157" t="e">
        <f ca="1">IF(Q59="MW",[1]!MTEST($O28:$O43,Q28:Q43,2), IF(Q59="T-Test Welch",_xlfn.T.TEST($O28:$O43,Q28:Q43,2,3),""))</f>
        <v>#NAME?</v>
      </c>
      <c r="R60" s="157" t="e">
        <f ca="1">IF(R59="MW",[1]!MTEST($O28:$O43,R28:R43,2), IF(R59="T-Test Welch",_xlfn.T.TEST($O28:$O43,R28:R43,2,3),""))</f>
        <v>#NAME?</v>
      </c>
      <c r="S60" s="157" t="e">
        <f ca="1">IF(S59="MW",[1]!MTEST($O28:$O43,S28:S43,2), IF(S59="T-Test Welch",_xlfn.T.TEST($O28:$O43,S28:S43,2,3),""))</f>
        <v>#NAME?</v>
      </c>
      <c r="T60" s="157" t="e">
        <f ca="1">IF(T59="MW",[1]!MTEST($O28:$O43,T28:T43,2), IF(T59="T-Test Welch",_xlfn.T.TEST($O28:$O43,T28:T43,2,3),""))</f>
        <v>#NAME?</v>
      </c>
      <c r="U60" s="157" t="e">
        <f ca="1">IF(U59="MW",[1]!MTEST($O28:$O43,U28:U43,2), IF(U59="T-Test Welch",_xlfn.T.TEST($O28:$O43,U28:U43,2,3),""))</f>
        <v>#NAME?</v>
      </c>
      <c r="V60" s="157" t="e">
        <f ca="1">IF(V59="MW",[1]!MTEST($O28:$O43,V28:V43,2), IF(V59="T-Test Welch",_xlfn.T.TEST($O28:$O43,V28:V43,2,3),""))</f>
        <v>#NAME?</v>
      </c>
      <c r="W60" s="157" t="e">
        <f ca="1">IF(W59="MW",[1]!MTEST($O28:$O43,W28:W43,2), IF(W59="T-Test Welch",_xlfn.T.TEST($O28:$O43,W28:W43,2,3),""))</f>
        <v>#NAME?</v>
      </c>
      <c r="X60" s="157" t="e">
        <f ca="1">IF(X59="MW",[1]!MTEST($O28:$O43,X28:X43,2), IF(X59="T-Test Welch",_xlfn.T.TEST($O28:$O43,X28:X43,2,3),""))</f>
        <v>#NAME?</v>
      </c>
      <c r="Y60" s="157" t="e">
        <f ca="1">IF(Y59="MW",[1]!MTEST($O28:$O43,Y28:Y43,2), IF(Y59="T-Test Welch",_xlfn.T.TEST($O28:$O43,Y28:Y43,2,3),""))</f>
        <v>#NAME?</v>
      </c>
      <c r="Z60" s="157" t="e">
        <f ca="1">IF(Z59="MW",[1]!MTEST($O28:$O43,Z28:Z43,2), IF(Z59="T-Test Welch",_xlfn.T.TEST($O28:$O43,Z28:Z43,2,3),""))</f>
        <v>#NAME?</v>
      </c>
      <c r="AA60" s="157" t="e">
        <f ca="1">IF(AA59="MW",[1]!MTEST($O28:$O43,AA28:AA43,2), IF(AA59="T-Test Welch",_xlfn.T.TEST($O28:$O43,AA28:AA43,2,3),""))</f>
        <v>#NAME?</v>
      </c>
      <c r="AB60" s="157" t="e">
        <f ca="1">IF(AB59="MW",[1]!MTEST($O28:$O43,AB28:AB43,2), IF(AB59="T-Test Welch",_xlfn.T.TEST($O28:$O43,AB28:AB43,2,3),""))</f>
        <v>#NAME?</v>
      </c>
      <c r="AC60" s="157" t="e">
        <f ca="1">IF(AC59="MW",[1]!MTEST($O28:$O43,AC28:AC43,2), IF(AC59="T-Test Welch",_xlfn.T.TEST($O28:$O43,AC28:AC43,2,3),""))</f>
        <v>#NAME?</v>
      </c>
      <c r="AD60" s="157" t="e">
        <f ca="1">IF(AD59="MW",[1]!MTEST($O28:$O43,AD28:AD43,2), IF(AD59="T-Test Welch",_xlfn.T.TEST($O28:$O43,AD28:AD43,2,3),""))</f>
        <v>#NAME?</v>
      </c>
      <c r="AE60" s="157" t="e">
        <f ca="1">IF(AE59="MW",[1]!MTEST($O28:$O43,AE28:AE43,2), IF(AE59="T-Test Welch",_xlfn.T.TEST($O28:$O43,AE28:AE43,2,3),""))</f>
        <v>#NAME?</v>
      </c>
      <c r="AF60" s="157" t="e">
        <f ca="1">IF(AF59="MW",[1]!MTEST($O28:$O43,AF28:AF43,2), IF(AF59="T-Test Welch",_xlfn.T.TEST($O28:$O43,AF28:AF43,2,3),""))</f>
        <v>#NAME?</v>
      </c>
      <c r="AG60" s="157" t="e">
        <f ca="1">IF(AG59="MW",[1]!MTEST($O28:$O43,AG28:AG43,2), IF(AG59="T-Test Welch",_xlfn.T.TEST($O28:$O43,AG28:AG43,2,3),""))</f>
        <v>#NAME?</v>
      </c>
      <c r="AH60" s="157" t="e">
        <f ca="1">IF(AH59="MW",[1]!MTEST($O28:$O43,AH28:AH43,2), IF(AH59="T-Test Welch",_xlfn.T.TEST($O28:$O43,AH28:AH43,2,3),""))</f>
        <v>#NAME?</v>
      </c>
      <c r="AI60" s="157" t="e">
        <f ca="1">IF(AI59="MW",[1]!MTEST($O28:$O43,AI28:AI43,2), IF(AI59="T-Test Welch",_xlfn.T.TEST($O28:$O43,AI28:AI43,2,3),""))</f>
        <v>#NAME?</v>
      </c>
      <c r="AJ60" s="157" t="e">
        <f ca="1">IF(AJ59="MW",[1]!MTEST($O28:$O43,AJ28:AJ43,2), IF(AJ59="T-Test Welch",_xlfn.T.TEST($O28:$O43,AJ28:AJ43,2,3),""))</f>
        <v>#NAME?</v>
      </c>
      <c r="AK60" s="157" t="e">
        <f ca="1">IF(AK59="MW",[1]!MTEST($O28:$O43,AK28:AK43,2), IF(AK59="T-Test Welch",_xlfn.T.TEST($O28:$O43,AK28:AK43,2,3),""))</f>
        <v>#NAME?</v>
      </c>
    </row>
    <row r="61" spans="1:37" s="3" customFormat="1" ht="15.75" thickBot="1" x14ac:dyDescent="0.3">
      <c r="A61" s="65" t="s">
        <v>84</v>
      </c>
      <c r="B61" s="146"/>
      <c r="C61" s="146" t="e">
        <f t="shared" ref="C61:O61" ca="1" si="56">IF(C60&gt;0.05,"NS",IF(C60&gt;0.01,"*",IF(C60&gt;0.001,"**","***")))</f>
        <v>#NAME?</v>
      </c>
      <c r="D61" s="146" t="e">
        <f t="shared" ca="1" si="56"/>
        <v>#NAME?</v>
      </c>
      <c r="E61" s="146" t="e">
        <f t="shared" ca="1" si="56"/>
        <v>#NAME?</v>
      </c>
      <c r="F61" s="146" t="e">
        <f t="shared" ca="1" si="56"/>
        <v>#NAME?</v>
      </c>
      <c r="G61" s="146" t="e">
        <f t="shared" ca="1" si="56"/>
        <v>#NAME?</v>
      </c>
      <c r="H61" s="146" t="e">
        <f t="shared" ca="1" si="56"/>
        <v>#NAME?</v>
      </c>
      <c r="I61" s="146" t="e">
        <f t="shared" ca="1" si="56"/>
        <v>#NAME?</v>
      </c>
      <c r="J61" s="146" t="e">
        <f t="shared" ca="1" si="56"/>
        <v>#NAME?</v>
      </c>
      <c r="K61" s="146" t="e">
        <f t="shared" ca="1" si="56"/>
        <v>#NAME?</v>
      </c>
      <c r="L61" s="146" t="e">
        <f t="shared" ca="1" si="56"/>
        <v>#NAME?</v>
      </c>
      <c r="M61" s="146" t="e">
        <f t="shared" ca="1" si="56"/>
        <v>#NAME?</v>
      </c>
      <c r="N61" s="146"/>
      <c r="O61" s="146" t="e">
        <f t="shared" ca="1" si="56"/>
        <v>#NAME?</v>
      </c>
      <c r="P61" s="146" t="e">
        <f ca="1">IF(P60&gt;0.05,"NS",IF(P60&gt;0.01,"*",IF(P60&gt;0.001,"**","***")))</f>
        <v>#NAME?</v>
      </c>
      <c r="Q61" s="146" t="e">
        <f t="shared" ref="Q61:AK61" ca="1" si="57">IF(Q60&gt;0.05,"NS",IF(Q60&gt;0.01,"*",IF(Q60&gt;0.001,"**","***")))</f>
        <v>#NAME?</v>
      </c>
      <c r="R61" s="146" t="e">
        <f t="shared" ca="1" si="57"/>
        <v>#NAME?</v>
      </c>
      <c r="S61" s="146" t="e">
        <f t="shared" ca="1" si="57"/>
        <v>#NAME?</v>
      </c>
      <c r="T61" s="146" t="e">
        <f t="shared" ca="1" si="57"/>
        <v>#NAME?</v>
      </c>
      <c r="U61" s="146" t="e">
        <f t="shared" ca="1" si="57"/>
        <v>#NAME?</v>
      </c>
      <c r="V61" s="146" t="e">
        <f t="shared" ca="1" si="57"/>
        <v>#NAME?</v>
      </c>
      <c r="W61" s="146" t="e">
        <f t="shared" ca="1" si="57"/>
        <v>#NAME?</v>
      </c>
      <c r="X61" s="146" t="e">
        <f t="shared" ca="1" si="57"/>
        <v>#NAME?</v>
      </c>
      <c r="Y61" s="146" t="e">
        <f t="shared" ca="1" si="57"/>
        <v>#NAME?</v>
      </c>
      <c r="Z61" s="146" t="e">
        <f t="shared" ca="1" si="57"/>
        <v>#NAME?</v>
      </c>
      <c r="AA61" s="146" t="e">
        <f t="shared" ca="1" si="57"/>
        <v>#NAME?</v>
      </c>
      <c r="AB61" s="146" t="e">
        <f t="shared" ca="1" si="57"/>
        <v>#NAME?</v>
      </c>
      <c r="AC61" s="146" t="e">
        <f t="shared" ca="1" si="57"/>
        <v>#NAME?</v>
      </c>
      <c r="AD61" s="146" t="e">
        <f t="shared" ca="1" si="57"/>
        <v>#NAME?</v>
      </c>
      <c r="AE61" s="146" t="e">
        <f t="shared" ca="1" si="57"/>
        <v>#NAME?</v>
      </c>
      <c r="AF61" s="146" t="e">
        <f t="shared" ca="1" si="57"/>
        <v>#NAME?</v>
      </c>
      <c r="AG61" s="146" t="e">
        <f t="shared" ca="1" si="57"/>
        <v>#NAME?</v>
      </c>
      <c r="AH61" s="146" t="e">
        <f t="shared" ca="1" si="57"/>
        <v>#NAME?</v>
      </c>
      <c r="AI61" s="146" t="e">
        <f t="shared" ca="1" si="57"/>
        <v>#NAME?</v>
      </c>
      <c r="AJ61" s="146" t="e">
        <f t="shared" ca="1" si="57"/>
        <v>#NAME?</v>
      </c>
      <c r="AK61" s="146" t="e">
        <f t="shared" ca="1" si="57"/>
        <v>#NAME?</v>
      </c>
    </row>
    <row r="63" spans="1:37" x14ac:dyDescent="0.25">
      <c r="A63" s="2" t="s">
        <v>39</v>
      </c>
    </row>
    <row r="64" spans="1:37" x14ac:dyDescent="0.25">
      <c r="A64" s="1" t="s">
        <v>23</v>
      </c>
      <c r="B64" s="1">
        <f>B46+(3*B47)</f>
        <v>0.22447796880300452</v>
      </c>
    </row>
    <row r="65" spans="1:37" x14ac:dyDescent="0.25">
      <c r="A65" s="1" t="s">
        <v>24</v>
      </c>
      <c r="B65" s="1">
        <f>B46+(10*B47)</f>
        <v>0.44989815747590078</v>
      </c>
    </row>
    <row r="66" spans="1:37" ht="15.75" thickBot="1" x14ac:dyDescent="0.3"/>
    <row r="67" spans="1:37" ht="27" thickBot="1" x14ac:dyDescent="0.45">
      <c r="A67" s="224" t="s">
        <v>45</v>
      </c>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c r="AD67" s="225"/>
      <c r="AE67" s="225"/>
      <c r="AF67" s="225"/>
      <c r="AG67" s="225"/>
      <c r="AH67" s="225"/>
      <c r="AI67" s="225"/>
      <c r="AJ67" s="225"/>
      <c r="AK67" s="226"/>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0" name="Plage1"/>
    <protectedRange sqref="B51:J51" name="Plage2_1"/>
    <protectedRange sqref="O5:O20 B5:J20" name="Plage1_1"/>
  </protectedRanges>
  <mergeCells count="9">
    <mergeCell ref="A1:AK1"/>
    <mergeCell ref="A67:AK67"/>
    <mergeCell ref="A5:A20"/>
    <mergeCell ref="B3:M3"/>
    <mergeCell ref="O3:AK3"/>
    <mergeCell ref="B26:M26"/>
    <mergeCell ref="O26:AK26"/>
    <mergeCell ref="A28:A43"/>
    <mergeCell ref="A50:AK50"/>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K1" zoomScale="80" zoomScaleNormal="80" workbookViewId="0">
      <selection activeCell="Z5" sqref="Z5:AD12"/>
    </sheetView>
  </sheetViews>
  <sheetFormatPr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1627</v>
      </c>
      <c r="K1" s="122"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1</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2956</v>
      </c>
      <c r="D2" s="1" t="s">
        <v>717</v>
      </c>
      <c r="E2" s="1">
        <v>30</v>
      </c>
      <c r="F2" s="1" t="s">
        <v>112</v>
      </c>
      <c r="G2" s="1">
        <v>1947</v>
      </c>
      <c r="K2" s="161" t="s">
        <v>120</v>
      </c>
      <c r="L2" s="161"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1</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2957</v>
      </c>
      <c r="D3" s="1" t="s">
        <v>1506</v>
      </c>
      <c r="E3" s="1" t="s">
        <v>304</v>
      </c>
      <c r="F3" s="1" t="s">
        <v>112</v>
      </c>
      <c r="G3" s="1">
        <v>6100</v>
      </c>
      <c r="K3" s="122" t="s">
        <v>154</v>
      </c>
      <c r="L3" s="122"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1</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2958</v>
      </c>
      <c r="D4" s="1" t="s">
        <v>2114</v>
      </c>
      <c r="E4" s="1" t="s">
        <v>2959</v>
      </c>
      <c r="F4" s="1" t="s">
        <v>112</v>
      </c>
      <c r="G4" s="1">
        <v>5256</v>
      </c>
      <c r="K4" s="122" t="s">
        <v>100</v>
      </c>
      <c r="L4" s="1" t="s">
        <v>1628</v>
      </c>
      <c r="M4" s="1" t="s">
        <v>1629</v>
      </c>
      <c r="N4" s="1" t="s">
        <v>1630</v>
      </c>
      <c r="O4" s="1" t="s">
        <v>1631</v>
      </c>
      <c r="P4" s="1" t="s">
        <v>1632</v>
      </c>
      <c r="Q4" s="1" t="s">
        <v>1633</v>
      </c>
      <c r="R4" s="1" t="s">
        <v>1634</v>
      </c>
      <c r="S4" s="1" t="s">
        <v>1635</v>
      </c>
      <c r="T4" s="1" t="s">
        <v>1636</v>
      </c>
      <c r="U4" s="1" t="s">
        <v>1637</v>
      </c>
      <c r="V4" s="1" t="s">
        <v>1638</v>
      </c>
      <c r="W4" s="1" t="s">
        <v>1639</v>
      </c>
      <c r="X4" s="1" t="s">
        <v>1640</v>
      </c>
      <c r="Y4" s="1" t="s">
        <v>1641</v>
      </c>
      <c r="Z4" s="1" t="s">
        <v>1642</v>
      </c>
      <c r="AA4" s="1" t="s">
        <v>1643</v>
      </c>
      <c r="AB4" s="1" t="s">
        <v>1644</v>
      </c>
      <c r="AC4" s="1" t="s">
        <v>1645</v>
      </c>
      <c r="AD4" s="1" t="s">
        <v>1646</v>
      </c>
      <c r="AE4" s="1" t="s">
        <v>1647</v>
      </c>
      <c r="AF4" s="1" t="s">
        <v>1648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1</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 s="1" t="s">
        <v>2960</v>
      </c>
      <c r="D5" s="1" t="s">
        <v>227</v>
      </c>
      <c r="E5" s="1" t="s">
        <v>1958</v>
      </c>
      <c r="F5" s="1" t="s">
        <v>112</v>
      </c>
      <c r="G5" s="1">
        <v>1363</v>
      </c>
      <c r="K5" s="149" t="s">
        <v>164</v>
      </c>
      <c r="L5" s="44">
        <v>3666.5</v>
      </c>
      <c r="M5" s="44">
        <v>2591439.75</v>
      </c>
      <c r="N5" s="44">
        <v>2247481.5</v>
      </c>
      <c r="O5" s="44">
        <v>3216019.25</v>
      </c>
      <c r="P5" s="44">
        <v>68074.5</v>
      </c>
      <c r="Q5" s="44">
        <v>49370</v>
      </c>
      <c r="R5" s="44">
        <v>21484</v>
      </c>
      <c r="S5" s="44">
        <v>1106066</v>
      </c>
      <c r="T5" s="44">
        <v>787480</v>
      </c>
      <c r="U5" s="44">
        <v>3538050.5</v>
      </c>
      <c r="V5" s="44">
        <v>5698055.25</v>
      </c>
      <c r="W5" s="44">
        <v>86332</v>
      </c>
      <c r="X5" s="44">
        <v>495476</v>
      </c>
      <c r="Y5" s="44">
        <v>473862.25</v>
      </c>
      <c r="Z5" s="44"/>
      <c r="AA5" s="44">
        <v>2140624</v>
      </c>
      <c r="AB5" s="44">
        <v>1552566.75</v>
      </c>
      <c r="AC5" s="44">
        <v>3161095.5</v>
      </c>
      <c r="AD5" s="44">
        <v>577724</v>
      </c>
      <c r="AE5" s="44">
        <v>436174</v>
      </c>
      <c r="AF5" s="44">
        <v>164120.33333333334</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1</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2961</v>
      </c>
      <c r="D6" s="1" t="s">
        <v>2962</v>
      </c>
      <c r="E6" s="1" t="s">
        <v>2963</v>
      </c>
      <c r="F6" s="1" t="s">
        <v>112</v>
      </c>
      <c r="G6" s="1">
        <v>240243</v>
      </c>
      <c r="K6" s="149" t="s">
        <v>1649</v>
      </c>
      <c r="L6" s="44">
        <v>298476.5</v>
      </c>
      <c r="M6" s="44">
        <v>3532248</v>
      </c>
      <c r="N6" s="44">
        <v>2257896</v>
      </c>
      <c r="O6" s="44">
        <v>1651945.25</v>
      </c>
      <c r="P6" s="44">
        <v>310751.25</v>
      </c>
      <c r="Q6" s="44">
        <v>131482.5</v>
      </c>
      <c r="R6" s="44">
        <v>1047600.75</v>
      </c>
      <c r="S6" s="44">
        <v>132039.5</v>
      </c>
      <c r="T6" s="44">
        <v>2272631.25</v>
      </c>
      <c r="U6" s="44"/>
      <c r="V6" s="44">
        <v>6266007</v>
      </c>
      <c r="W6" s="44"/>
      <c r="X6" s="44">
        <v>167767</v>
      </c>
      <c r="Y6" s="44">
        <v>380139.75</v>
      </c>
      <c r="Z6" s="44">
        <v>613164.25</v>
      </c>
      <c r="AA6" s="44">
        <v>542867.33333333337</v>
      </c>
      <c r="AB6" s="44">
        <v>772901</v>
      </c>
      <c r="AC6" s="44">
        <v>3128201.75</v>
      </c>
      <c r="AD6" s="44">
        <v>1143356.3333333333</v>
      </c>
      <c r="AE6" s="44">
        <v>190521.5</v>
      </c>
      <c r="AF6" s="44">
        <v>17628.5</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1</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2964</v>
      </c>
      <c r="D7" s="1" t="s">
        <v>2965</v>
      </c>
      <c r="E7" s="1" t="s">
        <v>2966</v>
      </c>
      <c r="F7" s="1" t="s">
        <v>112</v>
      </c>
      <c r="G7" s="1">
        <v>400824</v>
      </c>
      <c r="K7" s="149" t="s">
        <v>1650</v>
      </c>
      <c r="L7" s="44">
        <v>34716</v>
      </c>
      <c r="M7" s="44">
        <v>707876.25</v>
      </c>
      <c r="N7" s="44">
        <v>906465.75</v>
      </c>
      <c r="O7" s="44">
        <v>3973022.5</v>
      </c>
      <c r="P7" s="44">
        <v>50911.25</v>
      </c>
      <c r="Q7" s="44">
        <v>50889.75</v>
      </c>
      <c r="R7" s="44">
        <v>178760.25</v>
      </c>
      <c r="S7" s="44">
        <v>120040.5</v>
      </c>
      <c r="T7" s="44">
        <v>2983281.75</v>
      </c>
      <c r="U7" s="44">
        <v>4073774.5</v>
      </c>
      <c r="V7" s="44">
        <v>3651039.75</v>
      </c>
      <c r="W7" s="44">
        <v>381373</v>
      </c>
      <c r="X7" s="44">
        <v>251372</v>
      </c>
      <c r="Y7" s="44">
        <v>569277.5</v>
      </c>
      <c r="Z7" s="44">
        <v>555153</v>
      </c>
      <c r="AA7" s="44">
        <v>1293013.5</v>
      </c>
      <c r="AB7" s="44">
        <v>134602.66666666666</v>
      </c>
      <c r="AC7" s="44">
        <v>1767870.75</v>
      </c>
      <c r="AD7" s="44">
        <v>1359401.25</v>
      </c>
      <c r="AE7" s="44">
        <v>124934</v>
      </c>
      <c r="AF7" s="44">
        <v>320371</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1</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 s="1" t="s">
        <v>2967</v>
      </c>
      <c r="D8" s="1" t="s">
        <v>2194</v>
      </c>
      <c r="E8" s="1" t="s">
        <v>2968</v>
      </c>
      <c r="F8" s="1" t="s">
        <v>112</v>
      </c>
      <c r="G8" s="1">
        <v>175181</v>
      </c>
      <c r="K8" s="149" t="s">
        <v>1651</v>
      </c>
      <c r="L8" s="44">
        <v>278744.5</v>
      </c>
      <c r="M8" s="44">
        <v>1279705.75</v>
      </c>
      <c r="N8" s="44">
        <v>1678723</v>
      </c>
      <c r="O8" s="44">
        <v>2614167.5</v>
      </c>
      <c r="P8" s="44">
        <v>176564.75</v>
      </c>
      <c r="Q8" s="44">
        <v>75520.75</v>
      </c>
      <c r="R8" s="44">
        <v>283481</v>
      </c>
      <c r="S8" s="44">
        <v>92071</v>
      </c>
      <c r="T8" s="44">
        <v>412876.75</v>
      </c>
      <c r="U8" s="44">
        <v>3620125.25</v>
      </c>
      <c r="V8" s="44">
        <v>4963925.75</v>
      </c>
      <c r="W8" s="44">
        <v>248581.25</v>
      </c>
      <c r="X8" s="44">
        <v>268108</v>
      </c>
      <c r="Y8" s="44">
        <v>343980</v>
      </c>
      <c r="Z8" s="44">
        <v>558381.25</v>
      </c>
      <c r="AA8" s="44">
        <v>1312718.5</v>
      </c>
      <c r="AB8" s="44">
        <v>3169963.75</v>
      </c>
      <c r="AC8" s="44">
        <v>2113089.25</v>
      </c>
      <c r="AD8" s="44">
        <v>237555.75</v>
      </c>
      <c r="AE8" s="44">
        <v>129936.25</v>
      </c>
      <c r="AF8" s="44">
        <v>463177</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1</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9" s="1" t="s">
        <v>2969</v>
      </c>
      <c r="D9" s="1" t="s">
        <v>354</v>
      </c>
      <c r="E9" s="1" t="s">
        <v>2970</v>
      </c>
      <c r="F9" s="1" t="s">
        <v>112</v>
      </c>
      <c r="G9" s="1">
        <v>377658</v>
      </c>
      <c r="K9" s="149" t="s">
        <v>1652</v>
      </c>
      <c r="L9" s="44">
        <v>70535</v>
      </c>
      <c r="M9" s="44">
        <v>2362168.5</v>
      </c>
      <c r="N9" s="44">
        <v>1868649.75</v>
      </c>
      <c r="O9" s="44">
        <v>4236809.75</v>
      </c>
      <c r="P9" s="44">
        <v>431213.66666666669</v>
      </c>
      <c r="Q9" s="44">
        <v>973.5</v>
      </c>
      <c r="R9" s="44">
        <v>156081</v>
      </c>
      <c r="S9" s="44">
        <v>320657.75</v>
      </c>
      <c r="T9" s="44">
        <v>2598063.75</v>
      </c>
      <c r="U9" s="44">
        <v>1125738.5</v>
      </c>
      <c r="V9" s="44">
        <v>3947661.25</v>
      </c>
      <c r="W9" s="44">
        <v>366989</v>
      </c>
      <c r="X9" s="44">
        <v>0</v>
      </c>
      <c r="Y9" s="44">
        <v>524438.5</v>
      </c>
      <c r="Z9" s="44">
        <v>3625116.25</v>
      </c>
      <c r="AA9" s="44">
        <v>1241707.5</v>
      </c>
      <c r="AB9" s="44">
        <v>438962.25</v>
      </c>
      <c r="AC9" s="44">
        <v>980499.25</v>
      </c>
      <c r="AD9" s="44">
        <v>941873.75</v>
      </c>
      <c r="AE9" s="44">
        <v>174337</v>
      </c>
      <c r="AF9" s="44">
        <v>348940.33333333331</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1</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2971</v>
      </c>
      <c r="D10" s="1" t="s">
        <v>511</v>
      </c>
      <c r="E10" s="1" t="s">
        <v>2972</v>
      </c>
      <c r="F10" s="1" t="s">
        <v>112</v>
      </c>
      <c r="G10" s="1">
        <v>47953</v>
      </c>
      <c r="K10" s="149" t="s">
        <v>1653</v>
      </c>
      <c r="L10" s="44">
        <v>143460.25</v>
      </c>
      <c r="M10" s="44">
        <v>1878669.75</v>
      </c>
      <c r="N10" s="44">
        <v>964947.25</v>
      </c>
      <c r="O10" s="44"/>
      <c r="P10" s="44">
        <v>370412</v>
      </c>
      <c r="Q10" s="44"/>
      <c r="R10" s="44">
        <v>93171</v>
      </c>
      <c r="S10" s="44">
        <v>399006.75</v>
      </c>
      <c r="T10" s="44">
        <v>328223</v>
      </c>
      <c r="U10" s="44">
        <v>1974539</v>
      </c>
      <c r="V10" s="44"/>
      <c r="W10" s="44">
        <v>176586</v>
      </c>
      <c r="X10" s="44"/>
      <c r="Y10" s="44">
        <v>242509</v>
      </c>
      <c r="Z10" s="44">
        <v>232553.75</v>
      </c>
      <c r="AA10" s="44">
        <v>77181</v>
      </c>
      <c r="AB10" s="44">
        <v>892049.25</v>
      </c>
      <c r="AC10" s="44">
        <v>1818403.6666666667</v>
      </c>
      <c r="AD10" s="44">
        <v>923546</v>
      </c>
      <c r="AE10" s="44">
        <v>218628</v>
      </c>
      <c r="AF10" s="44">
        <v>132385.75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1</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1" s="1" t="s">
        <v>2973</v>
      </c>
      <c r="D11" s="1" t="s">
        <v>2974</v>
      </c>
      <c r="E11" s="1" t="s">
        <v>2975</v>
      </c>
      <c r="F11" s="1" t="s">
        <v>112</v>
      </c>
      <c r="G11" s="1">
        <v>38285</v>
      </c>
      <c r="K11" s="149" t="s">
        <v>1654</v>
      </c>
      <c r="L11" s="44">
        <v>202969.75</v>
      </c>
      <c r="M11" s="44">
        <v>1856688.75</v>
      </c>
      <c r="N11" s="44">
        <v>811647.33333333337</v>
      </c>
      <c r="O11" s="44">
        <v>2351672.5</v>
      </c>
      <c r="P11" s="44">
        <v>13464.5</v>
      </c>
      <c r="Q11" s="44">
        <v>90153.666666666672</v>
      </c>
      <c r="R11" s="44">
        <v>244598</v>
      </c>
      <c r="S11" s="44">
        <v>700446.25</v>
      </c>
      <c r="T11" s="44">
        <v>1573683</v>
      </c>
      <c r="U11" s="44">
        <v>2736188.6666666665</v>
      </c>
      <c r="V11" s="44">
        <v>3210249.25</v>
      </c>
      <c r="W11" s="44">
        <v>144044.25</v>
      </c>
      <c r="X11" s="44">
        <v>294880.5</v>
      </c>
      <c r="Y11" s="44"/>
      <c r="Z11" s="44">
        <v>469693</v>
      </c>
      <c r="AA11" s="44">
        <v>499958.75</v>
      </c>
      <c r="AB11" s="44">
        <v>1676538.5</v>
      </c>
      <c r="AC11" s="44">
        <v>1487190.25</v>
      </c>
      <c r="AD11" s="44">
        <v>723022.5</v>
      </c>
      <c r="AE11" s="44">
        <v>254848.75</v>
      </c>
      <c r="AF11" s="44">
        <v>276181</v>
      </c>
      <c r="AG11"/>
    </row>
    <row r="12" spans="1:144" x14ac:dyDescent="0.25">
      <c r="A12" s="1" t="str">
        <f t="shared" si="0"/>
        <v>1</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2" s="1" t="s">
        <v>2976</v>
      </c>
      <c r="D12" s="1">
        <v>0</v>
      </c>
      <c r="E12" s="1">
        <v>0</v>
      </c>
      <c r="F12" s="1" t="s">
        <v>112</v>
      </c>
      <c r="G12" s="1">
        <v>0</v>
      </c>
      <c r="K12" s="149" t="s">
        <v>1655</v>
      </c>
      <c r="L12" s="44">
        <v>517776.5</v>
      </c>
      <c r="M12" s="44">
        <v>2110131.25</v>
      </c>
      <c r="N12" s="44">
        <v>241460.25</v>
      </c>
      <c r="O12" s="44">
        <v>1540102.5</v>
      </c>
      <c r="P12" s="44">
        <v>185038.5</v>
      </c>
      <c r="Q12" s="44">
        <v>191451.5</v>
      </c>
      <c r="R12" s="44">
        <v>78956.333333333328</v>
      </c>
      <c r="S12" s="44">
        <v>485012.5</v>
      </c>
      <c r="T12" s="44">
        <v>1624713.25</v>
      </c>
      <c r="U12" s="44">
        <v>2699113.25</v>
      </c>
      <c r="V12" s="44"/>
      <c r="W12" s="44">
        <v>225696.75</v>
      </c>
      <c r="X12" s="44"/>
      <c r="Y12" s="44"/>
      <c r="Z12" s="44">
        <v>473429.5</v>
      </c>
      <c r="AA12" s="44">
        <v>2464299.5</v>
      </c>
      <c r="AB12" s="44">
        <v>175148</v>
      </c>
      <c r="AC12" s="44">
        <v>942796.33333333337</v>
      </c>
      <c r="AD12" s="44">
        <v>677378</v>
      </c>
      <c r="AE12" s="44">
        <v>134440.5</v>
      </c>
      <c r="AF12" s="44">
        <v>15216.5</v>
      </c>
      <c r="AG12"/>
    </row>
    <row r="13" spans="1:144" x14ac:dyDescent="0.25">
      <c r="A13" s="1" t="str">
        <f t="shared" si="0"/>
        <v>1</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3" s="1" t="s">
        <v>2977</v>
      </c>
      <c r="D13" s="1" t="s">
        <v>1384</v>
      </c>
      <c r="E13" s="1" t="s">
        <v>2978</v>
      </c>
      <c r="F13" s="1" t="s">
        <v>112</v>
      </c>
      <c r="G13" s="1">
        <v>52626</v>
      </c>
      <c r="K13"/>
      <c r="L13"/>
      <c r="M13"/>
      <c r="N13"/>
      <c r="O13"/>
      <c r="P13"/>
      <c r="Q13"/>
      <c r="R13"/>
      <c r="S13"/>
      <c r="T13"/>
      <c r="U13"/>
      <c r="V13"/>
      <c r="W13"/>
      <c r="X13"/>
      <c r="Y13"/>
      <c r="Z13"/>
      <c r="AA13"/>
      <c r="AB13"/>
      <c r="AC13"/>
      <c r="AD13"/>
      <c r="AE13"/>
      <c r="AF13"/>
      <c r="AG13"/>
    </row>
    <row r="14" spans="1:144" x14ac:dyDescent="0.25">
      <c r="A14" s="1" t="str">
        <f t="shared" si="0"/>
        <v>1</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 s="1" t="s">
        <v>2979</v>
      </c>
      <c r="D14" s="1" t="s">
        <v>2980</v>
      </c>
      <c r="E14" s="1" t="s">
        <v>2981</v>
      </c>
      <c r="F14" s="1" t="s">
        <v>112</v>
      </c>
      <c r="G14" s="1">
        <v>369352</v>
      </c>
      <c r="K14"/>
      <c r="L14"/>
      <c r="M14"/>
      <c r="N14"/>
      <c r="O14"/>
      <c r="P14"/>
      <c r="Q14"/>
      <c r="R14"/>
      <c r="S14"/>
      <c r="T14"/>
      <c r="U14"/>
      <c r="V14"/>
      <c r="W14"/>
      <c r="X14"/>
      <c r="Y14"/>
      <c r="Z14"/>
      <c r="AA14"/>
      <c r="AB14"/>
      <c r="AC14"/>
      <c r="AD14"/>
      <c r="AE14"/>
      <c r="AF14"/>
      <c r="AG14"/>
    </row>
    <row r="15" spans="1:144" x14ac:dyDescent="0.25">
      <c r="A15" s="1" t="str">
        <f t="shared" si="0"/>
        <v>1</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5" s="1" t="s">
        <v>2982</v>
      </c>
      <c r="D15" s="1" t="s">
        <v>2983</v>
      </c>
      <c r="E15" s="1" t="s">
        <v>2984</v>
      </c>
      <c r="F15" s="1" t="s">
        <v>112</v>
      </c>
      <c r="G15" s="1">
        <v>369698</v>
      </c>
    </row>
    <row r="16" spans="1:144" x14ac:dyDescent="0.25">
      <c r="A16" s="1" t="str">
        <f t="shared" si="0"/>
        <v>1</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6" s="1" t="s">
        <v>2985</v>
      </c>
      <c r="D16" s="1" t="s">
        <v>2962</v>
      </c>
      <c r="E16" s="1" t="s">
        <v>2986</v>
      </c>
      <c r="F16" s="1" t="s">
        <v>112</v>
      </c>
      <c r="G16" s="1">
        <v>213098</v>
      </c>
    </row>
    <row r="17" spans="1:7" x14ac:dyDescent="0.25">
      <c r="A17" s="1" t="str">
        <f t="shared" si="0"/>
        <v>1</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 s="1" t="s">
        <v>2987</v>
      </c>
      <c r="D17" s="1" t="s">
        <v>2132</v>
      </c>
      <c r="E17" s="1" t="s">
        <v>2988</v>
      </c>
      <c r="F17" s="1" t="s">
        <v>112</v>
      </c>
      <c r="G17" s="1">
        <v>162830</v>
      </c>
    </row>
    <row r="18" spans="1:7" x14ac:dyDescent="0.25">
      <c r="A18" s="1" t="str">
        <f t="shared" si="0"/>
        <v>1</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 s="1" t="s">
        <v>2989</v>
      </c>
      <c r="D18" s="1" t="s">
        <v>2990</v>
      </c>
      <c r="E18" s="1" t="s">
        <v>2991</v>
      </c>
      <c r="F18" s="1" t="s">
        <v>112</v>
      </c>
      <c r="G18" s="1">
        <v>151366</v>
      </c>
    </row>
    <row r="19" spans="1:7" x14ac:dyDescent="0.25">
      <c r="A19" s="1" t="str">
        <f t="shared" si="0"/>
        <v>1</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9" s="1" t="s">
        <v>2992</v>
      </c>
      <c r="D19" s="1">
        <v>0</v>
      </c>
      <c r="E19" s="1">
        <v>0</v>
      </c>
      <c r="F19" s="1" t="s">
        <v>112</v>
      </c>
      <c r="G19" s="1">
        <v>0</v>
      </c>
    </row>
    <row r="20" spans="1:7" x14ac:dyDescent="0.25">
      <c r="A20" s="1" t="str">
        <f t="shared" si="0"/>
        <v>1</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0" s="1" t="s">
        <v>2993</v>
      </c>
      <c r="D20" s="1">
        <v>0</v>
      </c>
      <c r="E20" s="1">
        <v>0</v>
      </c>
      <c r="F20" s="1" t="s">
        <v>112</v>
      </c>
      <c r="G20" s="1">
        <v>0</v>
      </c>
    </row>
    <row r="21" spans="1:7" x14ac:dyDescent="0.25">
      <c r="A21" s="1" t="str">
        <f t="shared" si="0"/>
        <v>1</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 s="1" t="s">
        <v>2994</v>
      </c>
      <c r="D21" s="1" t="s">
        <v>224</v>
      </c>
      <c r="E21" s="1" t="s">
        <v>2995</v>
      </c>
      <c r="F21" s="1" t="s">
        <v>112</v>
      </c>
      <c r="G21" s="1">
        <v>130774</v>
      </c>
    </row>
    <row r="22" spans="1:7" x14ac:dyDescent="0.25">
      <c r="A22" s="1" t="str">
        <f t="shared" si="0"/>
        <v>1</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2" s="1" t="s">
        <v>2996</v>
      </c>
      <c r="D22" s="1" t="s">
        <v>2106</v>
      </c>
      <c r="E22" s="1" t="s">
        <v>2997</v>
      </c>
      <c r="F22" s="1" t="s">
        <v>112</v>
      </c>
      <c r="G22" s="1">
        <v>46245</v>
      </c>
    </row>
    <row r="23" spans="1:7" x14ac:dyDescent="0.25">
      <c r="A23" s="1" t="str">
        <f t="shared" si="0"/>
        <v>1</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3" s="1" t="s">
        <v>2998</v>
      </c>
      <c r="D23" s="1" t="s">
        <v>2036</v>
      </c>
      <c r="E23" s="1" t="s">
        <v>2999</v>
      </c>
      <c r="F23" s="1" t="s">
        <v>112</v>
      </c>
      <c r="G23" s="1">
        <v>139859</v>
      </c>
    </row>
    <row r="24" spans="1:7" x14ac:dyDescent="0.25">
      <c r="A24" s="1" t="str">
        <f t="shared" si="0"/>
        <v>1</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 s="1" t="s">
        <v>3000</v>
      </c>
      <c r="D24" s="1" t="s">
        <v>1448</v>
      </c>
      <c r="E24" s="1" t="s">
        <v>3001</v>
      </c>
      <c r="F24" s="1" t="s">
        <v>112</v>
      </c>
      <c r="G24" s="1">
        <v>194647</v>
      </c>
    </row>
    <row r="25" spans="1:7" x14ac:dyDescent="0.25">
      <c r="A25" s="1" t="str">
        <f t="shared" si="0"/>
        <v>1</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 s="1" t="s">
        <v>3002</v>
      </c>
      <c r="D25" s="1" t="s">
        <v>3003</v>
      </c>
      <c r="E25" s="1" t="s">
        <v>3004</v>
      </c>
      <c r="F25" s="1" t="s">
        <v>112</v>
      </c>
      <c r="G25" s="1">
        <v>193090</v>
      </c>
    </row>
    <row r="26" spans="1:7" x14ac:dyDescent="0.25">
      <c r="A26" s="1" t="str">
        <f t="shared" si="0"/>
        <v>1</v>
      </c>
      <c r="B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6" s="1" t="s">
        <v>3005</v>
      </c>
      <c r="D26" s="1" t="s">
        <v>549</v>
      </c>
      <c r="E26" s="1">
        <v>30</v>
      </c>
      <c r="F26" s="1" t="s">
        <v>112</v>
      </c>
      <c r="G26" s="1">
        <v>649</v>
      </c>
    </row>
    <row r="27" spans="1:7" x14ac:dyDescent="0.25">
      <c r="A27" s="1" t="str">
        <f t="shared" si="0"/>
        <v>1</v>
      </c>
      <c r="B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7" s="1" t="s">
        <v>3006</v>
      </c>
      <c r="D27" s="1" t="s">
        <v>3007</v>
      </c>
      <c r="E27" s="1" t="s">
        <v>3008</v>
      </c>
      <c r="F27" s="1" t="s">
        <v>112</v>
      </c>
      <c r="G27" s="1">
        <v>466514</v>
      </c>
    </row>
    <row r="28" spans="1:7" x14ac:dyDescent="0.25">
      <c r="A28" s="1" t="str">
        <f t="shared" si="0"/>
        <v>1</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 s="1" t="s">
        <v>3009</v>
      </c>
      <c r="D28" s="1" t="s">
        <v>991</v>
      </c>
      <c r="E28" s="1" t="s">
        <v>3010</v>
      </c>
      <c r="F28" s="1" t="s">
        <v>112</v>
      </c>
      <c r="G28" s="1">
        <v>250604</v>
      </c>
    </row>
    <row r="29" spans="1:7" x14ac:dyDescent="0.25">
      <c r="A29" s="1" t="str">
        <f t="shared" si="0"/>
        <v>1</v>
      </c>
      <c r="B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9" s="1" t="s">
        <v>3011</v>
      </c>
      <c r="D29" s="1" t="s">
        <v>3012</v>
      </c>
      <c r="E29" s="1" t="s">
        <v>3013</v>
      </c>
      <c r="F29" s="1" t="s">
        <v>112</v>
      </c>
      <c r="G29" s="1">
        <v>94112</v>
      </c>
    </row>
    <row r="30" spans="1:7" x14ac:dyDescent="0.25">
      <c r="A30" s="1" t="str">
        <f t="shared" si="0"/>
        <v>1</v>
      </c>
      <c r="B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0" s="1" t="s">
        <v>3014</v>
      </c>
    </row>
    <row r="31" spans="1:7" x14ac:dyDescent="0.25">
      <c r="A31" s="1" t="str">
        <f t="shared" si="0"/>
        <v>1</v>
      </c>
      <c r="B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1" s="1" t="s">
        <v>3015</v>
      </c>
    </row>
    <row r="32" spans="1:7" x14ac:dyDescent="0.25">
      <c r="A32" s="1" t="str">
        <f t="shared" si="0"/>
        <v>1</v>
      </c>
      <c r="B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 s="1" t="s">
        <v>3016</v>
      </c>
      <c r="D32" s="1" t="s">
        <v>3017</v>
      </c>
      <c r="E32" s="1" t="s">
        <v>3018</v>
      </c>
      <c r="F32" s="1" t="s">
        <v>112</v>
      </c>
      <c r="G32" s="1">
        <v>525931</v>
      </c>
    </row>
    <row r="33" spans="1:10" x14ac:dyDescent="0.25">
      <c r="A33" s="1" t="str">
        <f t="shared" si="0"/>
        <v>1</v>
      </c>
      <c r="B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3" s="1" t="s">
        <v>3019</v>
      </c>
      <c r="D33" s="1" t="s">
        <v>3020</v>
      </c>
      <c r="E33" s="1" t="s">
        <v>3021</v>
      </c>
      <c r="F33" s="1" t="s">
        <v>112</v>
      </c>
      <c r="G33" s="1">
        <v>509622</v>
      </c>
    </row>
    <row r="34" spans="1:10" x14ac:dyDescent="0.2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112</v>
      </c>
    </row>
    <row r="35" spans="1:10" x14ac:dyDescent="0.25">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 s="1" t="s">
        <v>237</v>
      </c>
      <c r="D35" s="1" t="s">
        <v>112</v>
      </c>
      <c r="E35" s="1" t="s">
        <v>238</v>
      </c>
      <c r="F35" s="1" t="s">
        <v>239</v>
      </c>
      <c r="G35" s="1" t="s">
        <v>240</v>
      </c>
      <c r="H35" s="1" t="s">
        <v>241</v>
      </c>
      <c r="I35" s="1" t="s">
        <v>242</v>
      </c>
      <c r="J35" s="1" t="s">
        <v>243</v>
      </c>
    </row>
    <row r="36" spans="1:10" x14ac:dyDescent="0.25">
      <c r="A36" s="1" t="str">
        <f t="shared" si="0"/>
        <v>1</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6" s="1" t="s">
        <v>3022</v>
      </c>
      <c r="D36" s="1" t="s">
        <v>112</v>
      </c>
      <c r="E36" s="1" t="s">
        <v>3023</v>
      </c>
      <c r="F36" s="1" t="s">
        <v>3024</v>
      </c>
      <c r="G36" s="1" t="s">
        <v>3025</v>
      </c>
      <c r="H36" s="1" t="s">
        <v>3026</v>
      </c>
      <c r="I36" s="1">
        <v>29</v>
      </c>
      <c r="J36" s="1">
        <v>32</v>
      </c>
    </row>
    <row r="37" spans="1:10" x14ac:dyDescent="0.25">
      <c r="A37" s="1" t="str">
        <f t="shared" si="0"/>
        <v/>
      </c>
      <c r="B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7" s="1" t="s">
        <v>112</v>
      </c>
    </row>
    <row r="38" spans="1:10" x14ac:dyDescent="0.25">
      <c r="A38" s="1" t="str">
        <f t="shared" si="0"/>
        <v/>
      </c>
      <c r="B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 s="1" t="s">
        <v>112</v>
      </c>
    </row>
    <row r="39" spans="1:10" x14ac:dyDescent="0.25">
      <c r="A39" s="1" t="str">
        <f t="shared" si="0"/>
        <v/>
      </c>
      <c r="B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 s="1" t="s">
        <v>112</v>
      </c>
    </row>
    <row r="40" spans="1:10" x14ac:dyDescent="0.25">
      <c r="A40" s="1" t="str">
        <f t="shared" si="0"/>
        <v/>
      </c>
      <c r="B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 s="1" t="s">
        <v>112</v>
      </c>
    </row>
    <row r="41" spans="1:10" x14ac:dyDescent="0.25">
      <c r="A41" s="1" t="str">
        <f t="shared" si="0"/>
        <v/>
      </c>
      <c r="B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1" s="1" t="s">
        <v>112</v>
      </c>
    </row>
    <row r="42" spans="1:10" x14ac:dyDescent="0.25">
      <c r="A42" s="1" t="str">
        <f t="shared" si="0"/>
        <v/>
      </c>
      <c r="B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 s="1" t="s">
        <v>249</v>
      </c>
      <c r="D42" s="1" t="s">
        <v>110</v>
      </c>
      <c r="E42" s="1" t="s">
        <v>111</v>
      </c>
      <c r="F42" s="1" t="s">
        <v>112</v>
      </c>
      <c r="G42" s="1" t="s">
        <v>113</v>
      </c>
    </row>
    <row r="43" spans="1:10" x14ac:dyDescent="0.25">
      <c r="A43" s="1" t="str">
        <f t="shared" si="0"/>
        <v>13</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 s="1" t="s">
        <v>3027</v>
      </c>
      <c r="D43" s="1" t="s">
        <v>3028</v>
      </c>
      <c r="E43" s="1" t="s">
        <v>3029</v>
      </c>
      <c r="F43" s="1" t="s">
        <v>112</v>
      </c>
      <c r="G43" s="1">
        <v>2313620</v>
      </c>
    </row>
    <row r="44" spans="1:10" x14ac:dyDescent="0.25">
      <c r="A44" s="1" t="str">
        <f t="shared" si="0"/>
        <v>13</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4" s="1" t="s">
        <v>3030</v>
      </c>
      <c r="D44" s="1" t="s">
        <v>3031</v>
      </c>
      <c r="E44" s="1" t="s">
        <v>3032</v>
      </c>
      <c r="F44" s="1" t="s">
        <v>112</v>
      </c>
      <c r="G44" s="1">
        <v>2857785</v>
      </c>
    </row>
    <row r="45" spans="1:10" x14ac:dyDescent="0.25">
      <c r="A45" s="1" t="str">
        <f t="shared" si="0"/>
        <v>13</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5" s="1" t="s">
        <v>3033</v>
      </c>
      <c r="D45" s="1" t="s">
        <v>3034</v>
      </c>
      <c r="E45" s="1" t="s">
        <v>3035</v>
      </c>
      <c r="F45" s="1" t="s">
        <v>112</v>
      </c>
      <c r="G45" s="1">
        <v>2150660</v>
      </c>
    </row>
    <row r="46" spans="1:10" x14ac:dyDescent="0.25">
      <c r="A46" s="1" t="str">
        <f t="shared" si="0"/>
        <v>13</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 s="1" t="s">
        <v>3036</v>
      </c>
      <c r="D46" s="1" t="s">
        <v>3037</v>
      </c>
      <c r="E46" s="1" t="s">
        <v>3038</v>
      </c>
      <c r="F46" s="1" t="s">
        <v>112</v>
      </c>
      <c r="G46" s="1">
        <v>3043694</v>
      </c>
    </row>
    <row r="47" spans="1:10" x14ac:dyDescent="0.25">
      <c r="A47" s="1" t="str">
        <f t="shared" si="0"/>
        <v>13</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7" s="1" t="s">
        <v>3039</v>
      </c>
    </row>
    <row r="48" spans="1:10" x14ac:dyDescent="0.25">
      <c r="A48" s="1" t="str">
        <f t="shared" si="0"/>
        <v>13</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8" s="1" t="s">
        <v>3040</v>
      </c>
      <c r="D48" s="1" t="s">
        <v>3041</v>
      </c>
      <c r="E48" s="1" t="s">
        <v>3042</v>
      </c>
      <c r="F48" s="1" t="s">
        <v>112</v>
      </c>
      <c r="G48" s="1">
        <v>3532248</v>
      </c>
    </row>
    <row r="49" spans="1:7" x14ac:dyDescent="0.25">
      <c r="A49" s="1" t="str">
        <f t="shared" si="0"/>
        <v>13</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9" s="1" t="s">
        <v>3043</v>
      </c>
    </row>
    <row r="50" spans="1:7" x14ac:dyDescent="0.25">
      <c r="A50" s="1" t="str">
        <f t="shared" si="0"/>
        <v>13</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 s="1" t="s">
        <v>3044</v>
      </c>
    </row>
    <row r="51" spans="1:7" x14ac:dyDescent="0.25">
      <c r="A51" s="1" t="str">
        <f t="shared" si="0"/>
        <v>13</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1" s="1" t="s">
        <v>3045</v>
      </c>
      <c r="D51" s="1" t="s">
        <v>3046</v>
      </c>
      <c r="E51" s="1" t="s">
        <v>3047</v>
      </c>
      <c r="F51" s="1" t="s">
        <v>112</v>
      </c>
      <c r="G51" s="1">
        <v>898463</v>
      </c>
    </row>
    <row r="52" spans="1:7" x14ac:dyDescent="0.25">
      <c r="A52" s="1" t="str">
        <f t="shared" si="0"/>
        <v>13</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2" s="1" t="s">
        <v>3048</v>
      </c>
      <c r="D52" s="1" t="s">
        <v>3049</v>
      </c>
      <c r="E52" s="1" t="s">
        <v>3050</v>
      </c>
      <c r="F52" s="1" t="s">
        <v>112</v>
      </c>
      <c r="G52" s="1">
        <v>482714</v>
      </c>
    </row>
    <row r="53" spans="1:7" x14ac:dyDescent="0.25">
      <c r="A53" s="1" t="str">
        <f t="shared" si="0"/>
        <v>13</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 s="1" t="s">
        <v>3051</v>
      </c>
      <c r="D53" s="1" t="s">
        <v>3052</v>
      </c>
      <c r="E53" s="1" t="s">
        <v>3053</v>
      </c>
      <c r="F53" s="1" t="s">
        <v>112</v>
      </c>
      <c r="G53" s="1">
        <v>717464</v>
      </c>
    </row>
    <row r="54" spans="1:7" x14ac:dyDescent="0.25">
      <c r="A54" s="1" t="str">
        <f t="shared" si="0"/>
        <v>13</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4" s="1" t="s">
        <v>3054</v>
      </c>
      <c r="D54" s="1" t="s">
        <v>3055</v>
      </c>
      <c r="E54" s="1" t="s">
        <v>3056</v>
      </c>
      <c r="F54" s="1" t="s">
        <v>112</v>
      </c>
      <c r="G54" s="1">
        <v>732864</v>
      </c>
    </row>
    <row r="55" spans="1:7" x14ac:dyDescent="0.25">
      <c r="A55" s="1" t="str">
        <f t="shared" si="0"/>
        <v>13</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5" s="1" t="s">
        <v>3057</v>
      </c>
      <c r="D55" s="1" t="s">
        <v>3058</v>
      </c>
      <c r="E55" s="1" t="s">
        <v>3059</v>
      </c>
      <c r="F55" s="1" t="s">
        <v>112</v>
      </c>
      <c r="G55" s="1">
        <v>1094040</v>
      </c>
    </row>
    <row r="56" spans="1:7" x14ac:dyDescent="0.25">
      <c r="A56" s="1" t="str">
        <f t="shared" si="0"/>
        <v>13</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6" s="1" t="s">
        <v>3060</v>
      </c>
      <c r="D56" s="1" t="s">
        <v>3061</v>
      </c>
      <c r="E56" s="1" t="s">
        <v>3062</v>
      </c>
      <c r="F56" s="1" t="s">
        <v>112</v>
      </c>
      <c r="G56" s="1">
        <v>1401985</v>
      </c>
    </row>
    <row r="57" spans="1:7" x14ac:dyDescent="0.25">
      <c r="A57" s="1" t="str">
        <f t="shared" si="0"/>
        <v>13</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 s="1" t="s">
        <v>3063</v>
      </c>
      <c r="D57" s="1" t="s">
        <v>3064</v>
      </c>
      <c r="E57" s="1" t="s">
        <v>3065</v>
      </c>
      <c r="F57" s="1" t="s">
        <v>112</v>
      </c>
      <c r="G57" s="1">
        <v>1374385</v>
      </c>
    </row>
    <row r="58" spans="1:7" x14ac:dyDescent="0.25">
      <c r="A58" s="1" t="str">
        <f t="shared" si="0"/>
        <v>13</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8" s="1" t="s">
        <v>3066</v>
      </c>
      <c r="D58" s="1" t="s">
        <v>1201</v>
      </c>
      <c r="E58" s="1" t="s">
        <v>3067</v>
      </c>
      <c r="F58" s="1" t="s">
        <v>112</v>
      </c>
      <c r="G58" s="1">
        <v>1248413</v>
      </c>
    </row>
    <row r="59" spans="1:7" x14ac:dyDescent="0.25">
      <c r="A59" s="1" t="str">
        <f t="shared" si="0"/>
        <v>13</v>
      </c>
      <c r="B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9" s="1" t="s">
        <v>3068</v>
      </c>
      <c r="D59" s="1" t="s">
        <v>3069</v>
      </c>
      <c r="E59" s="1" t="s">
        <v>3070</v>
      </c>
      <c r="F59" s="1" t="s">
        <v>112</v>
      </c>
      <c r="G59" s="1">
        <v>2114171</v>
      </c>
    </row>
    <row r="60" spans="1:7" x14ac:dyDescent="0.25">
      <c r="A60" s="1" t="str">
        <f t="shared" si="0"/>
        <v>13</v>
      </c>
      <c r="B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 s="1" t="s">
        <v>3071</v>
      </c>
      <c r="D60" s="1" t="s">
        <v>3072</v>
      </c>
      <c r="E60" s="1" t="s">
        <v>3073</v>
      </c>
      <c r="F60" s="1" t="s">
        <v>112</v>
      </c>
      <c r="G60" s="1">
        <v>2223683</v>
      </c>
    </row>
    <row r="61" spans="1:7" x14ac:dyDescent="0.25">
      <c r="A61" s="1" t="str">
        <f t="shared" si="0"/>
        <v>13</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 s="1" t="s">
        <v>3074</v>
      </c>
      <c r="D61" s="1" t="s">
        <v>3075</v>
      </c>
      <c r="E61" s="1" t="s">
        <v>3076</v>
      </c>
      <c r="F61" s="1" t="s">
        <v>112</v>
      </c>
      <c r="G61" s="1">
        <v>2687428</v>
      </c>
    </row>
    <row r="62" spans="1:7" x14ac:dyDescent="0.25">
      <c r="A62" s="1" t="str">
        <f t="shared" si="0"/>
        <v>13</v>
      </c>
      <c r="B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2" s="1" t="s">
        <v>3077</v>
      </c>
      <c r="D62" s="1" t="s">
        <v>3078</v>
      </c>
      <c r="E62" s="1" t="s">
        <v>3079</v>
      </c>
      <c r="F62" s="1" t="s">
        <v>112</v>
      </c>
      <c r="G62" s="1">
        <v>2423392</v>
      </c>
    </row>
    <row r="63" spans="1:7" x14ac:dyDescent="0.25">
      <c r="A63" s="1" t="str">
        <f t="shared" si="0"/>
        <v>13</v>
      </c>
      <c r="B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3" s="1" t="s">
        <v>3080</v>
      </c>
      <c r="D63" s="1" t="s">
        <v>3081</v>
      </c>
      <c r="E63" s="1" t="s">
        <v>3082</v>
      </c>
      <c r="F63" s="1" t="s">
        <v>112</v>
      </c>
      <c r="G63" s="1">
        <v>2025726</v>
      </c>
    </row>
    <row r="64" spans="1:7" x14ac:dyDescent="0.25">
      <c r="A64" s="1" t="str">
        <f t="shared" si="0"/>
        <v>13</v>
      </c>
      <c r="B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 s="1" t="s">
        <v>3083</v>
      </c>
      <c r="D64" s="1" t="s">
        <v>3084</v>
      </c>
      <c r="E64" s="1" t="s">
        <v>3085</v>
      </c>
      <c r="F64" s="1" t="s">
        <v>112</v>
      </c>
      <c r="G64" s="1">
        <v>2208758</v>
      </c>
    </row>
    <row r="65" spans="1:10" x14ac:dyDescent="0.25">
      <c r="A65" s="1" t="str">
        <f t="shared" si="0"/>
        <v>13</v>
      </c>
      <c r="B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5" s="1" t="s">
        <v>3086</v>
      </c>
      <c r="D65" s="1" t="s">
        <v>3087</v>
      </c>
      <c r="E65" s="1" t="s">
        <v>3088</v>
      </c>
      <c r="F65" s="1" t="s">
        <v>112</v>
      </c>
      <c r="G65" s="1">
        <v>1537042</v>
      </c>
    </row>
    <row r="66" spans="1:10" x14ac:dyDescent="0.25">
      <c r="A66" s="1" t="str">
        <f t="shared" ref="A66:A129" si="1">IFERROR(LEFT(RIGHT(C66,LEN(C66)-SEARCH("@",C66)),SEARCH("/",RIGHT(C66,LEN(C66)-SEARCH("@",C66)-1))),"")</f>
        <v>13</v>
      </c>
      <c r="B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6" s="1" t="s">
        <v>3089</v>
      </c>
      <c r="D66" s="1" t="s">
        <v>3090</v>
      </c>
      <c r="E66" s="1" t="s">
        <v>3091</v>
      </c>
      <c r="F66" s="1" t="s">
        <v>112</v>
      </c>
      <c r="G66" s="1">
        <v>1743153</v>
      </c>
    </row>
    <row r="67" spans="1:10" x14ac:dyDescent="0.25">
      <c r="A67" s="1" t="str">
        <f t="shared" si="1"/>
        <v>13</v>
      </c>
      <c r="B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7" s="1" t="s">
        <v>3092</v>
      </c>
      <c r="D67" s="1" t="s">
        <v>342</v>
      </c>
      <c r="E67" s="1" t="s">
        <v>3093</v>
      </c>
      <c r="F67" s="1" t="s">
        <v>112</v>
      </c>
      <c r="G67" s="1">
        <v>1877259</v>
      </c>
    </row>
    <row r="68" spans="1:10" x14ac:dyDescent="0.25">
      <c r="A68" s="1" t="str">
        <f t="shared" si="1"/>
        <v>13</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 s="1" t="s">
        <v>3094</v>
      </c>
      <c r="D68" s="1" t="s">
        <v>3095</v>
      </c>
      <c r="E68" s="1" t="s">
        <v>3096</v>
      </c>
      <c r="F68" s="1" t="s">
        <v>112</v>
      </c>
      <c r="G68" s="1">
        <v>1892854</v>
      </c>
    </row>
    <row r="69" spans="1:10" x14ac:dyDescent="0.25">
      <c r="A69" s="1" t="str">
        <f t="shared" si="1"/>
        <v>13</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9" s="1" t="s">
        <v>3097</v>
      </c>
      <c r="D69" s="1" t="s">
        <v>3098</v>
      </c>
      <c r="E69" s="1" t="s">
        <v>3099</v>
      </c>
      <c r="F69" s="1" t="s">
        <v>112</v>
      </c>
      <c r="G69" s="1">
        <v>1853401</v>
      </c>
    </row>
    <row r="70" spans="1:10" x14ac:dyDescent="0.25">
      <c r="A70" s="1" t="str">
        <f t="shared" si="1"/>
        <v>13</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0" s="1" t="s">
        <v>3100</v>
      </c>
      <c r="D70" s="1" t="s">
        <v>3101</v>
      </c>
      <c r="E70" s="1" t="s">
        <v>3102</v>
      </c>
      <c r="F70" s="1" t="s">
        <v>112</v>
      </c>
      <c r="G70" s="1">
        <v>1803241</v>
      </c>
    </row>
    <row r="71" spans="1:10" x14ac:dyDescent="0.25">
      <c r="A71" s="1" t="str">
        <f t="shared" si="1"/>
        <v>13</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1" s="1" t="s">
        <v>3103</v>
      </c>
      <c r="D71" s="1" t="s">
        <v>3104</v>
      </c>
      <c r="E71" s="1" t="s">
        <v>3105</v>
      </c>
      <c r="F71" s="1" t="s">
        <v>112</v>
      </c>
      <c r="G71" s="1">
        <v>1977643</v>
      </c>
    </row>
    <row r="72" spans="1:10" x14ac:dyDescent="0.25">
      <c r="A72" s="1" t="str">
        <f t="shared" si="1"/>
        <v>13</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2" s="1" t="s">
        <v>3106</v>
      </c>
      <c r="D72" s="1" t="s">
        <v>3107</v>
      </c>
      <c r="E72" s="1" t="s">
        <v>3108</v>
      </c>
      <c r="F72" s="1" t="s">
        <v>112</v>
      </c>
      <c r="G72" s="1">
        <v>2063665</v>
      </c>
    </row>
    <row r="73" spans="1:10" x14ac:dyDescent="0.25">
      <c r="A73" s="1" t="str">
        <f t="shared" si="1"/>
        <v>13</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3" s="1" t="s">
        <v>3109</v>
      </c>
      <c r="D73" s="1" t="s">
        <v>3110</v>
      </c>
      <c r="E73" s="1" t="s">
        <v>3111</v>
      </c>
      <c r="F73" s="1" t="s">
        <v>112</v>
      </c>
      <c r="G73" s="1">
        <v>2101452</v>
      </c>
    </row>
    <row r="74" spans="1:10" x14ac:dyDescent="0.25">
      <c r="A74" s="1" t="str">
        <f t="shared" si="1"/>
        <v>13</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4" s="1" t="s">
        <v>3112</v>
      </c>
      <c r="D74" s="1" t="s">
        <v>3113</v>
      </c>
      <c r="E74" s="1" t="s">
        <v>3114</v>
      </c>
      <c r="F74" s="1" t="s">
        <v>112</v>
      </c>
      <c r="G74" s="1">
        <v>2297765</v>
      </c>
    </row>
    <row r="75" spans="1:10" x14ac:dyDescent="0.25">
      <c r="A75" s="1" t="str">
        <f t="shared" si="1"/>
        <v/>
      </c>
      <c r="B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5" s="1" t="s">
        <v>112</v>
      </c>
    </row>
    <row r="76" spans="1:10" x14ac:dyDescent="0.25">
      <c r="A76" s="1" t="str">
        <f t="shared" si="1"/>
        <v/>
      </c>
      <c r="B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6" s="1" t="s">
        <v>237</v>
      </c>
      <c r="D76" s="1" t="s">
        <v>112</v>
      </c>
      <c r="E76" s="1" t="s">
        <v>238</v>
      </c>
      <c r="F76" s="1" t="s">
        <v>239</v>
      </c>
      <c r="G76" s="1" t="s">
        <v>240</v>
      </c>
      <c r="H76" s="1" t="s">
        <v>241</v>
      </c>
      <c r="I76" s="1" t="s">
        <v>242</v>
      </c>
      <c r="J76" s="1" t="s">
        <v>243</v>
      </c>
    </row>
    <row r="77" spans="1:10" x14ac:dyDescent="0.25">
      <c r="A77" s="1" t="str">
        <f t="shared" si="1"/>
        <v>13</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77" s="1" t="s">
        <v>3115</v>
      </c>
      <c r="D77" s="1" t="s">
        <v>112</v>
      </c>
      <c r="E77" s="1" t="s">
        <v>3116</v>
      </c>
      <c r="F77" s="1" t="s">
        <v>3117</v>
      </c>
      <c r="G77" s="1" t="s">
        <v>3118</v>
      </c>
      <c r="H77" s="1" t="s">
        <v>3119</v>
      </c>
      <c r="I77" s="1">
        <v>32</v>
      </c>
      <c r="J77" s="1">
        <v>32</v>
      </c>
    </row>
    <row r="78" spans="1:10" x14ac:dyDescent="0.25">
      <c r="A78" s="1" t="str">
        <f t="shared" si="1"/>
        <v/>
      </c>
      <c r="B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8" s="1" t="s">
        <v>112</v>
      </c>
    </row>
    <row r="79" spans="1:10" x14ac:dyDescent="0.25">
      <c r="A79" s="1" t="str">
        <f t="shared" si="1"/>
        <v/>
      </c>
      <c r="B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9" s="1" t="s">
        <v>112</v>
      </c>
    </row>
    <row r="80" spans="1:10" x14ac:dyDescent="0.25">
      <c r="A80" s="1" t="str">
        <f t="shared" si="1"/>
        <v/>
      </c>
      <c r="B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0" s="1" t="s">
        <v>112</v>
      </c>
    </row>
    <row r="81" spans="1:7" x14ac:dyDescent="0.25">
      <c r="A81" s="1" t="str">
        <f t="shared" si="1"/>
        <v/>
      </c>
      <c r="B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1" s="1" t="s">
        <v>112</v>
      </c>
    </row>
    <row r="82" spans="1:7" x14ac:dyDescent="0.25">
      <c r="A82" s="1" t="str">
        <f t="shared" si="1"/>
        <v/>
      </c>
      <c r="B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2" s="1" t="s">
        <v>112</v>
      </c>
    </row>
    <row r="83" spans="1:7" x14ac:dyDescent="0.25">
      <c r="A83" s="1" t="str">
        <f t="shared" si="1"/>
        <v/>
      </c>
      <c r="B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3" s="1" t="s">
        <v>249</v>
      </c>
      <c r="D83" s="1" t="s">
        <v>110</v>
      </c>
      <c r="E83" s="1" t="s">
        <v>111</v>
      </c>
      <c r="F83" s="1" t="s">
        <v>112</v>
      </c>
      <c r="G83" s="1" t="s">
        <v>113</v>
      </c>
    </row>
    <row r="84" spans="1:7" x14ac:dyDescent="0.25">
      <c r="A84" s="1" t="str">
        <f t="shared" si="1"/>
        <v>14</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4" s="1" t="s">
        <v>3120</v>
      </c>
      <c r="D84" s="1" t="s">
        <v>3121</v>
      </c>
      <c r="E84" s="1" t="s">
        <v>3122</v>
      </c>
      <c r="F84" s="1" t="s">
        <v>112</v>
      </c>
      <c r="G84" s="1">
        <v>1836227</v>
      </c>
    </row>
    <row r="85" spans="1:7" x14ac:dyDescent="0.25">
      <c r="A85" s="1" t="str">
        <f t="shared" si="1"/>
        <v>14</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5" s="1" t="s">
        <v>3123</v>
      </c>
      <c r="D85" s="1" t="s">
        <v>3124</v>
      </c>
      <c r="E85" s="1" t="s">
        <v>3125</v>
      </c>
      <c r="F85" s="1" t="s">
        <v>112</v>
      </c>
      <c r="G85" s="1">
        <v>2285891</v>
      </c>
    </row>
    <row r="86" spans="1:7" x14ac:dyDescent="0.25">
      <c r="A86" s="1" t="str">
        <f t="shared" si="1"/>
        <v>14</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6" s="1" t="s">
        <v>3126</v>
      </c>
      <c r="D86" s="1" t="s">
        <v>3127</v>
      </c>
      <c r="E86" s="1" t="s">
        <v>3128</v>
      </c>
      <c r="F86" s="1" t="s">
        <v>112</v>
      </c>
      <c r="G86" s="1">
        <v>2310657</v>
      </c>
    </row>
    <row r="87" spans="1:7" x14ac:dyDescent="0.25">
      <c r="A87" s="1" t="str">
        <f t="shared" si="1"/>
        <v>14</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7" s="1" t="s">
        <v>3129</v>
      </c>
      <c r="D87" s="1" t="s">
        <v>780</v>
      </c>
      <c r="E87" s="1" t="s">
        <v>3130</v>
      </c>
      <c r="F87" s="1" t="s">
        <v>112</v>
      </c>
      <c r="G87" s="1">
        <v>2557151</v>
      </c>
    </row>
    <row r="88" spans="1:7" x14ac:dyDescent="0.25">
      <c r="A88" s="1" t="str">
        <f t="shared" si="1"/>
        <v>14</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8" s="1" t="s">
        <v>3131</v>
      </c>
      <c r="D88" s="1" t="s">
        <v>3132</v>
      </c>
      <c r="E88" s="1" t="s">
        <v>3133</v>
      </c>
      <c r="F88" s="1" t="s">
        <v>112</v>
      </c>
      <c r="G88" s="1">
        <v>1923460</v>
      </c>
    </row>
    <row r="89" spans="1:7" x14ac:dyDescent="0.25">
      <c r="A89" s="1" t="str">
        <f t="shared" si="1"/>
        <v>14</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9" s="1" t="s">
        <v>3134</v>
      </c>
      <c r="D89" s="1" t="s">
        <v>3135</v>
      </c>
      <c r="E89" s="1" t="s">
        <v>3136</v>
      </c>
      <c r="F89" s="1" t="s">
        <v>112</v>
      </c>
      <c r="G89" s="1">
        <v>2380500</v>
      </c>
    </row>
    <row r="90" spans="1:7" x14ac:dyDescent="0.25">
      <c r="A90" s="1" t="str">
        <f t="shared" si="1"/>
        <v>14</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90" s="1" t="s">
        <v>3137</v>
      </c>
      <c r="D90" s="1" t="s">
        <v>3138</v>
      </c>
      <c r="E90" s="1" t="s">
        <v>3139</v>
      </c>
      <c r="F90" s="1" t="s">
        <v>112</v>
      </c>
      <c r="G90" s="1">
        <v>2442058</v>
      </c>
    </row>
    <row r="91" spans="1:7" x14ac:dyDescent="0.25">
      <c r="A91" s="1" t="str">
        <f t="shared" si="1"/>
        <v>14</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91" s="1" t="s">
        <v>3140</v>
      </c>
      <c r="D91" s="1" t="s">
        <v>3141</v>
      </c>
      <c r="E91" s="1" t="s">
        <v>3142</v>
      </c>
      <c r="F91" s="1" t="s">
        <v>112</v>
      </c>
      <c r="G91" s="1">
        <v>2285566</v>
      </c>
    </row>
    <row r="92" spans="1:7" x14ac:dyDescent="0.25">
      <c r="A92" s="1" t="str">
        <f t="shared" si="1"/>
        <v>14</v>
      </c>
      <c r="B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2" s="1" t="s">
        <v>3143</v>
      </c>
      <c r="D92" s="1" t="s">
        <v>3144</v>
      </c>
      <c r="E92" s="1" t="s">
        <v>3145</v>
      </c>
      <c r="F92" s="1" t="s">
        <v>112</v>
      </c>
      <c r="G92" s="1">
        <v>1017730</v>
      </c>
    </row>
    <row r="93" spans="1:7" x14ac:dyDescent="0.25">
      <c r="A93" s="1" t="str">
        <f t="shared" si="1"/>
        <v>14</v>
      </c>
      <c r="B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3" s="1" t="s">
        <v>3146</v>
      </c>
      <c r="D93" s="1" t="s">
        <v>3147</v>
      </c>
      <c r="E93" s="1" t="s">
        <v>3148</v>
      </c>
      <c r="F93" s="1" t="s">
        <v>112</v>
      </c>
      <c r="G93" s="1">
        <v>808352</v>
      </c>
    </row>
    <row r="94" spans="1:7" x14ac:dyDescent="0.25">
      <c r="A94" s="1" t="str">
        <f t="shared" si="1"/>
        <v>14</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4" s="1" t="s">
        <v>3149</v>
      </c>
      <c r="D94" s="1" t="s">
        <v>3150</v>
      </c>
      <c r="E94" s="1" t="s">
        <v>3151</v>
      </c>
      <c r="F94" s="1" t="s">
        <v>112</v>
      </c>
      <c r="G94" s="1">
        <v>962509</v>
      </c>
    </row>
    <row r="95" spans="1:7" x14ac:dyDescent="0.25">
      <c r="A95" s="1" t="str">
        <f t="shared" si="1"/>
        <v>14</v>
      </c>
      <c r="B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5" s="1" t="s">
        <v>3152</v>
      </c>
      <c r="D95" s="1" t="s">
        <v>884</v>
      </c>
      <c r="E95" s="1" t="s">
        <v>3153</v>
      </c>
      <c r="F95" s="1" t="s">
        <v>112</v>
      </c>
      <c r="G95" s="1">
        <v>837272</v>
      </c>
    </row>
    <row r="96" spans="1:7" x14ac:dyDescent="0.25">
      <c r="A96" s="1" t="str">
        <f t="shared" si="1"/>
        <v>14</v>
      </c>
      <c r="B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96" s="1" t="s">
        <v>3154</v>
      </c>
      <c r="D96" s="1" t="s">
        <v>3155</v>
      </c>
      <c r="E96" s="1" t="s">
        <v>3156</v>
      </c>
      <c r="F96" s="1" t="s">
        <v>112</v>
      </c>
      <c r="G96" s="1">
        <v>1562587</v>
      </c>
    </row>
    <row r="97" spans="1:7" x14ac:dyDescent="0.25">
      <c r="A97" s="1" t="str">
        <f t="shared" si="1"/>
        <v>14</v>
      </c>
      <c r="B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97" s="1" t="s">
        <v>3157</v>
      </c>
      <c r="D97" s="1" t="s">
        <v>878</v>
      </c>
      <c r="E97" s="1" t="s">
        <v>3158</v>
      </c>
      <c r="F97" s="1" t="s">
        <v>112</v>
      </c>
      <c r="G97" s="1">
        <v>1430947</v>
      </c>
    </row>
    <row r="98" spans="1:7" x14ac:dyDescent="0.25">
      <c r="A98" s="1" t="str">
        <f t="shared" si="1"/>
        <v>14</v>
      </c>
      <c r="B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98" s="1" t="s">
        <v>3159</v>
      </c>
      <c r="D98" s="1" t="s">
        <v>269</v>
      </c>
      <c r="E98" s="1" t="s">
        <v>3160</v>
      </c>
      <c r="F98" s="1" t="s">
        <v>112</v>
      </c>
      <c r="G98" s="1">
        <v>1772959</v>
      </c>
    </row>
    <row r="99" spans="1:7" x14ac:dyDescent="0.25">
      <c r="A99" s="1" t="str">
        <f t="shared" si="1"/>
        <v>14</v>
      </c>
      <c r="B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99" s="1" t="s">
        <v>3161</v>
      </c>
      <c r="D99" s="1" t="s">
        <v>3162</v>
      </c>
      <c r="E99" s="1" t="s">
        <v>3163</v>
      </c>
      <c r="F99" s="1" t="s">
        <v>112</v>
      </c>
      <c r="G99" s="1">
        <v>1948399</v>
      </c>
    </row>
    <row r="100" spans="1:7" x14ac:dyDescent="0.25">
      <c r="A100" s="1" t="str">
        <f t="shared" si="1"/>
        <v>14</v>
      </c>
      <c r="B1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00" s="1" t="s">
        <v>3164</v>
      </c>
      <c r="D100" s="1" t="s">
        <v>3165</v>
      </c>
      <c r="E100" s="1" t="s">
        <v>3166</v>
      </c>
      <c r="F100" s="1" t="s">
        <v>112</v>
      </c>
      <c r="G100" s="1">
        <v>1825239</v>
      </c>
    </row>
    <row r="101" spans="1:7" x14ac:dyDescent="0.25">
      <c r="A101" s="1" t="str">
        <f t="shared" si="1"/>
        <v>14</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01" s="1" t="s">
        <v>3167</v>
      </c>
      <c r="D101" s="1" t="s">
        <v>1744</v>
      </c>
      <c r="E101" s="1" t="s">
        <v>3168</v>
      </c>
      <c r="F101" s="1" t="s">
        <v>112</v>
      </c>
      <c r="G101" s="1">
        <v>1568751</v>
      </c>
    </row>
    <row r="102" spans="1:7" x14ac:dyDescent="0.25">
      <c r="A102" s="1" t="str">
        <f t="shared" si="1"/>
        <v>14</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02" s="1" t="s">
        <v>3169</v>
      </c>
      <c r="D102" s="1" t="s">
        <v>3170</v>
      </c>
      <c r="E102" s="1" t="s">
        <v>3171</v>
      </c>
      <c r="F102" s="1" t="s">
        <v>112</v>
      </c>
      <c r="G102" s="1">
        <v>1935032</v>
      </c>
    </row>
    <row r="103" spans="1:7" x14ac:dyDescent="0.25">
      <c r="A103" s="1" t="str">
        <f t="shared" si="1"/>
        <v>14</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03" s="1" t="s">
        <v>3172</v>
      </c>
      <c r="D103" s="1" t="s">
        <v>3173</v>
      </c>
      <c r="E103" s="1" t="s">
        <v>3174</v>
      </c>
      <c r="F103" s="1" t="s">
        <v>112</v>
      </c>
      <c r="G103" s="1">
        <v>2145577</v>
      </c>
    </row>
    <row r="104" spans="1:7" x14ac:dyDescent="0.25">
      <c r="A104" s="1" t="str">
        <f t="shared" si="1"/>
        <v>14</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04" s="1" t="s">
        <v>3175</v>
      </c>
      <c r="D104" s="1" t="s">
        <v>3176</v>
      </c>
      <c r="E104" s="1" t="s">
        <v>3177</v>
      </c>
      <c r="F104" s="1" t="s">
        <v>112</v>
      </c>
      <c r="G104" s="1">
        <v>994629</v>
      </c>
    </row>
    <row r="105" spans="1:7" x14ac:dyDescent="0.25">
      <c r="A105" s="1" t="str">
        <f t="shared" si="1"/>
        <v>14</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05" s="1" t="s">
        <v>3178</v>
      </c>
      <c r="D105" s="1" t="s">
        <v>3179</v>
      </c>
      <c r="E105" s="1" t="s">
        <v>3180</v>
      </c>
      <c r="F105" s="1" t="s">
        <v>112</v>
      </c>
      <c r="G105" s="1">
        <v>805389</v>
      </c>
    </row>
    <row r="106" spans="1:7" x14ac:dyDescent="0.25">
      <c r="A106" s="1" t="str">
        <f t="shared" si="1"/>
        <v>14</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06" s="1" t="s">
        <v>3181</v>
      </c>
      <c r="D106" s="1" t="s">
        <v>3182</v>
      </c>
      <c r="E106" s="1" t="s">
        <v>3183</v>
      </c>
      <c r="F106" s="1" t="s">
        <v>112</v>
      </c>
      <c r="G106" s="1">
        <v>836298</v>
      </c>
    </row>
    <row r="107" spans="1:7" x14ac:dyDescent="0.25">
      <c r="A107" s="1" t="str">
        <f t="shared" si="1"/>
        <v>14</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07" s="1" t="s">
        <v>3184</v>
      </c>
      <c r="D107" s="1" t="s">
        <v>3185</v>
      </c>
      <c r="E107" s="1" t="s">
        <v>3186</v>
      </c>
      <c r="F107" s="1" t="s">
        <v>112</v>
      </c>
      <c r="G107" s="1">
        <v>1223473</v>
      </c>
    </row>
    <row r="108" spans="1:7" x14ac:dyDescent="0.25">
      <c r="A108" s="1" t="str">
        <f t="shared" si="1"/>
        <v>14</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08" s="1" t="s">
        <v>3187</v>
      </c>
      <c r="D108" s="1" t="s">
        <v>2640</v>
      </c>
      <c r="E108" s="1" t="s">
        <v>3188</v>
      </c>
      <c r="F108" s="1" t="s">
        <v>112</v>
      </c>
      <c r="G108" s="1">
        <v>673836</v>
      </c>
    </row>
    <row r="109" spans="1:7" x14ac:dyDescent="0.25">
      <c r="A109" s="1" t="str">
        <f t="shared" si="1"/>
        <v>14</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09" s="1" t="s">
        <v>3189</v>
      </c>
      <c r="D109" s="1" t="s">
        <v>3190</v>
      </c>
      <c r="E109" s="1" t="s">
        <v>3191</v>
      </c>
      <c r="F109" s="1" t="s">
        <v>112</v>
      </c>
      <c r="G109" s="1">
        <v>731069</v>
      </c>
    </row>
    <row r="110" spans="1:7" x14ac:dyDescent="0.25">
      <c r="A110" s="1" t="str">
        <f t="shared" si="1"/>
        <v>14</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0" s="1" t="s">
        <v>3192</v>
      </c>
      <c r="D110" s="1" t="s">
        <v>3193</v>
      </c>
      <c r="E110" s="1" t="s">
        <v>3194</v>
      </c>
      <c r="F110" s="1" t="s">
        <v>112</v>
      </c>
      <c r="G110" s="1">
        <v>1030037</v>
      </c>
    </row>
    <row r="111" spans="1:7" x14ac:dyDescent="0.25">
      <c r="A111" s="1" t="str">
        <f t="shared" si="1"/>
        <v>14</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1" s="1" t="s">
        <v>3195</v>
      </c>
    </row>
    <row r="112" spans="1:7" x14ac:dyDescent="0.25">
      <c r="A112" s="1" t="str">
        <f t="shared" si="1"/>
        <v>14</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12" s="1" t="s">
        <v>3196</v>
      </c>
      <c r="D112" s="1" t="s">
        <v>3197</v>
      </c>
      <c r="E112" s="1" t="s">
        <v>3198</v>
      </c>
      <c r="F112" s="1" t="s">
        <v>112</v>
      </c>
      <c r="G112" s="1">
        <v>131229</v>
      </c>
    </row>
    <row r="113" spans="1:10" x14ac:dyDescent="0.25">
      <c r="A113" s="1" t="str">
        <f t="shared" si="1"/>
        <v>14</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13" s="1" t="s">
        <v>3199</v>
      </c>
      <c r="D113" s="1" t="s">
        <v>3200</v>
      </c>
      <c r="E113" s="1" t="s">
        <v>3201</v>
      </c>
      <c r="F113" s="1" t="s">
        <v>112</v>
      </c>
      <c r="G113" s="1">
        <v>347225</v>
      </c>
    </row>
    <row r="114" spans="1:10" x14ac:dyDescent="0.25">
      <c r="A114" s="1" t="str">
        <f t="shared" si="1"/>
        <v>14</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14" s="1" t="s">
        <v>3202</v>
      </c>
      <c r="D114" s="1" t="s">
        <v>3203</v>
      </c>
      <c r="E114" s="1" t="s">
        <v>3204</v>
      </c>
      <c r="F114" s="1" t="s">
        <v>112</v>
      </c>
      <c r="G114" s="1">
        <v>95583</v>
      </c>
    </row>
    <row r="115" spans="1:10" x14ac:dyDescent="0.25">
      <c r="A115" s="1" t="str">
        <f t="shared" si="1"/>
        <v>14</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15" s="1" t="s">
        <v>3205</v>
      </c>
      <c r="D115" s="1" t="s">
        <v>3206</v>
      </c>
      <c r="E115" s="1" t="s">
        <v>3207</v>
      </c>
      <c r="F115" s="1" t="s">
        <v>112</v>
      </c>
      <c r="G115" s="1">
        <v>391804</v>
      </c>
    </row>
    <row r="116" spans="1:10" x14ac:dyDescent="0.25">
      <c r="A116" s="1" t="str">
        <f t="shared" si="1"/>
        <v/>
      </c>
      <c r="B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16" s="1" t="s">
        <v>112</v>
      </c>
    </row>
    <row r="117" spans="1:10" x14ac:dyDescent="0.25">
      <c r="A117" s="1" t="str">
        <f t="shared" si="1"/>
        <v/>
      </c>
      <c r="B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17" s="1" t="s">
        <v>237</v>
      </c>
      <c r="D117" s="1" t="s">
        <v>112</v>
      </c>
      <c r="E117" s="1" t="s">
        <v>238</v>
      </c>
      <c r="F117" s="1" t="s">
        <v>239</v>
      </c>
      <c r="G117" s="1" t="s">
        <v>240</v>
      </c>
      <c r="H117" s="1" t="s">
        <v>241</v>
      </c>
      <c r="I117" s="1" t="s">
        <v>242</v>
      </c>
      <c r="J117" s="1" t="s">
        <v>243</v>
      </c>
    </row>
    <row r="118" spans="1:10" x14ac:dyDescent="0.25">
      <c r="A118" s="1" t="str">
        <f t="shared" si="1"/>
        <v>14</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18" s="1" t="s">
        <v>3208</v>
      </c>
      <c r="D118" s="1" t="s">
        <v>112</v>
      </c>
      <c r="E118" s="1" t="s">
        <v>3209</v>
      </c>
      <c r="F118" s="1" t="s">
        <v>3210</v>
      </c>
      <c r="G118" s="1" t="s">
        <v>3211</v>
      </c>
      <c r="H118" s="1" t="s">
        <v>3212</v>
      </c>
      <c r="I118" s="1">
        <v>32</v>
      </c>
      <c r="J118" s="1">
        <v>32</v>
      </c>
    </row>
    <row r="119" spans="1:10" x14ac:dyDescent="0.25">
      <c r="A119" s="1" t="str">
        <f t="shared" si="1"/>
        <v/>
      </c>
      <c r="B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19" s="1" t="s">
        <v>112</v>
      </c>
    </row>
    <row r="120" spans="1:10" x14ac:dyDescent="0.25">
      <c r="A120" s="1" t="str">
        <f t="shared" si="1"/>
        <v/>
      </c>
      <c r="B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0" s="1" t="s">
        <v>112</v>
      </c>
    </row>
    <row r="121" spans="1:10" x14ac:dyDescent="0.25">
      <c r="A121" s="1" t="str">
        <f t="shared" si="1"/>
        <v/>
      </c>
      <c r="B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1" s="1" t="s">
        <v>112</v>
      </c>
    </row>
    <row r="122" spans="1:10" x14ac:dyDescent="0.25">
      <c r="A122" s="1" t="str">
        <f t="shared" si="1"/>
        <v/>
      </c>
      <c r="B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2" s="1" t="s">
        <v>112</v>
      </c>
    </row>
    <row r="123" spans="1:10" x14ac:dyDescent="0.25">
      <c r="A123" s="1" t="str">
        <f t="shared" si="1"/>
        <v/>
      </c>
      <c r="B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3" s="1" t="s">
        <v>112</v>
      </c>
    </row>
    <row r="124" spans="1:10" x14ac:dyDescent="0.25">
      <c r="A124" s="1" t="str">
        <f t="shared" si="1"/>
        <v/>
      </c>
      <c r="B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4" s="1" t="s">
        <v>249</v>
      </c>
      <c r="D124" s="1" t="s">
        <v>110</v>
      </c>
      <c r="E124" s="1" t="s">
        <v>111</v>
      </c>
      <c r="F124" s="1" t="s">
        <v>112</v>
      </c>
      <c r="G124" s="1" t="s">
        <v>113</v>
      </c>
    </row>
    <row r="125" spans="1:10" x14ac:dyDescent="0.25">
      <c r="A125" s="1" t="str">
        <f t="shared" si="1"/>
        <v>15</v>
      </c>
      <c r="B1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25" s="1" t="s">
        <v>3213</v>
      </c>
      <c r="D125" s="1" t="s">
        <v>1756</v>
      </c>
      <c r="E125" s="1" t="s">
        <v>3214</v>
      </c>
      <c r="F125" s="1" t="s">
        <v>112</v>
      </c>
      <c r="G125" s="1">
        <v>2987370</v>
      </c>
    </row>
    <row r="126" spans="1:10" x14ac:dyDescent="0.25">
      <c r="A126" s="1" t="str">
        <f t="shared" si="1"/>
        <v>15</v>
      </c>
      <c r="B1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26" s="1" t="s">
        <v>3215</v>
      </c>
      <c r="D126" s="1" t="s">
        <v>3216</v>
      </c>
      <c r="E126" s="1" t="s">
        <v>3217</v>
      </c>
      <c r="F126" s="1" t="s">
        <v>112</v>
      </c>
      <c r="G126" s="1">
        <v>3266222</v>
      </c>
    </row>
    <row r="127" spans="1:10" x14ac:dyDescent="0.25">
      <c r="A127" s="1" t="str">
        <f t="shared" si="1"/>
        <v>15</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27" s="1" t="s">
        <v>3218</v>
      </c>
      <c r="D127" s="1" t="s">
        <v>3219</v>
      </c>
      <c r="E127" s="1" t="s">
        <v>3220</v>
      </c>
      <c r="F127" s="1" t="s">
        <v>112</v>
      </c>
      <c r="G127" s="1">
        <v>3542631</v>
      </c>
    </row>
    <row r="128" spans="1:10" x14ac:dyDescent="0.25">
      <c r="A128" s="1" t="str">
        <f t="shared" si="1"/>
        <v>15</v>
      </c>
      <c r="B1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28" s="1" t="s">
        <v>3221</v>
      </c>
      <c r="D128" s="1" t="s">
        <v>3222</v>
      </c>
      <c r="E128" s="1" t="s">
        <v>3223</v>
      </c>
      <c r="F128" s="1" t="s">
        <v>112</v>
      </c>
      <c r="G128" s="1">
        <v>3067854</v>
      </c>
    </row>
    <row r="129" spans="1:7" x14ac:dyDescent="0.25">
      <c r="A129" s="1" t="str">
        <f t="shared" si="1"/>
        <v>15</v>
      </c>
      <c r="B1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29" s="1" t="s">
        <v>3224</v>
      </c>
      <c r="D129" s="1" t="s">
        <v>3225</v>
      </c>
      <c r="E129" s="1" t="s">
        <v>3226</v>
      </c>
      <c r="F129" s="1" t="s">
        <v>112</v>
      </c>
      <c r="G129" s="1">
        <v>1373563</v>
      </c>
    </row>
    <row r="130" spans="1:7" x14ac:dyDescent="0.25">
      <c r="A130" s="1" t="str">
        <f t="shared" ref="A130:A193" si="2">IFERROR(LEFT(RIGHT(C130,LEN(C130)-SEARCH("@",C130)),SEARCH("/",RIGHT(C130,LEN(C130)-SEARCH("@",C130)-1))),"")</f>
        <v>15</v>
      </c>
      <c r="B1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0" s="1" t="s">
        <v>3227</v>
      </c>
      <c r="D130" s="1" t="s">
        <v>3228</v>
      </c>
      <c r="E130" s="1" t="s">
        <v>3229</v>
      </c>
      <c r="F130" s="1" t="s">
        <v>112</v>
      </c>
      <c r="G130" s="1">
        <v>1755071</v>
      </c>
    </row>
    <row r="131" spans="1:7" x14ac:dyDescent="0.25">
      <c r="A131" s="1" t="str">
        <f t="shared" si="2"/>
        <v>15</v>
      </c>
      <c r="B1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1" s="1" t="s">
        <v>3230</v>
      </c>
      <c r="D131" s="1" t="s">
        <v>1771</v>
      </c>
      <c r="E131" s="1" t="s">
        <v>3231</v>
      </c>
      <c r="F131" s="1" t="s">
        <v>112</v>
      </c>
      <c r="G131" s="1">
        <v>1817452</v>
      </c>
    </row>
    <row r="132" spans="1:7" x14ac:dyDescent="0.25">
      <c r="A132" s="1" t="str">
        <f t="shared" si="2"/>
        <v>15</v>
      </c>
      <c r="B1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2" s="1" t="s">
        <v>3232</v>
      </c>
      <c r="D132" s="1" t="s">
        <v>2697</v>
      </c>
      <c r="E132" s="1" t="s">
        <v>3233</v>
      </c>
      <c r="F132" s="1" t="s">
        <v>112</v>
      </c>
      <c r="G132" s="1">
        <v>1661695</v>
      </c>
    </row>
    <row r="133" spans="1:7" x14ac:dyDescent="0.25">
      <c r="A133" s="1" t="str">
        <f t="shared" si="2"/>
        <v>15</v>
      </c>
      <c r="B1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33" s="1" t="s">
        <v>3234</v>
      </c>
      <c r="D133" s="1" t="s">
        <v>3235</v>
      </c>
      <c r="E133" s="1" t="s">
        <v>3236</v>
      </c>
      <c r="F133" s="1" t="s">
        <v>112</v>
      </c>
      <c r="G133" s="1">
        <v>3829768</v>
      </c>
    </row>
    <row r="134" spans="1:7" x14ac:dyDescent="0.25">
      <c r="A134" s="1" t="str">
        <f t="shared" si="2"/>
        <v>15</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34" s="1" t="s">
        <v>3237</v>
      </c>
      <c r="D134" s="1" t="s">
        <v>3238</v>
      </c>
      <c r="E134" s="1" t="s">
        <v>3239</v>
      </c>
      <c r="F134" s="1" t="s">
        <v>112</v>
      </c>
      <c r="G134" s="1">
        <v>4000211</v>
      </c>
    </row>
    <row r="135" spans="1:7" x14ac:dyDescent="0.25">
      <c r="A135" s="1" t="str">
        <f t="shared" si="2"/>
        <v>15</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35" s="1" t="s">
        <v>3240</v>
      </c>
      <c r="D135" s="1" t="s">
        <v>3241</v>
      </c>
      <c r="E135" s="1" t="s">
        <v>3242</v>
      </c>
      <c r="F135" s="1" t="s">
        <v>112</v>
      </c>
      <c r="G135" s="1">
        <v>4045980</v>
      </c>
    </row>
    <row r="136" spans="1:7" x14ac:dyDescent="0.25">
      <c r="A136" s="1" t="str">
        <f t="shared" si="2"/>
        <v>15</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36" s="1" t="s">
        <v>3243</v>
      </c>
      <c r="D136" s="1" t="s">
        <v>3244</v>
      </c>
      <c r="E136" s="1" t="s">
        <v>3245</v>
      </c>
      <c r="F136" s="1" t="s">
        <v>112</v>
      </c>
      <c r="G136" s="1">
        <v>4016131</v>
      </c>
    </row>
    <row r="137" spans="1:7" x14ac:dyDescent="0.25">
      <c r="A137" s="1" t="str">
        <f t="shared" si="2"/>
        <v>15</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7" s="1" t="s">
        <v>3246</v>
      </c>
      <c r="D137" s="1" t="s">
        <v>3247</v>
      </c>
      <c r="E137" s="1" t="s">
        <v>3248</v>
      </c>
      <c r="F137" s="1" t="s">
        <v>112</v>
      </c>
      <c r="G137" s="1">
        <v>2959727</v>
      </c>
    </row>
    <row r="138" spans="1:7" x14ac:dyDescent="0.25">
      <c r="A138" s="1" t="str">
        <f t="shared" si="2"/>
        <v>15</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8" s="1" t="s">
        <v>3249</v>
      </c>
      <c r="D138" s="1" t="s">
        <v>3250</v>
      </c>
      <c r="E138" s="1" t="s">
        <v>3251</v>
      </c>
      <c r="F138" s="1" t="s">
        <v>112</v>
      </c>
      <c r="G138" s="1">
        <v>2953973</v>
      </c>
    </row>
    <row r="139" spans="1:7" x14ac:dyDescent="0.25">
      <c r="A139" s="1" t="str">
        <f t="shared" si="2"/>
        <v>15</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9" s="1" t="s">
        <v>3252</v>
      </c>
      <c r="D139" s="1" t="s">
        <v>3253</v>
      </c>
      <c r="E139" s="1" t="s">
        <v>3254</v>
      </c>
      <c r="F139" s="1" t="s">
        <v>112</v>
      </c>
      <c r="G139" s="1">
        <v>2347190</v>
      </c>
    </row>
    <row r="140" spans="1:7" x14ac:dyDescent="0.25">
      <c r="A140" s="1" t="str">
        <f t="shared" si="2"/>
        <v>15</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0" s="1" t="s">
        <v>3255</v>
      </c>
      <c r="D140" s="1" t="s">
        <v>3256</v>
      </c>
      <c r="E140" s="1" t="s">
        <v>3257</v>
      </c>
      <c r="F140" s="1" t="s">
        <v>112</v>
      </c>
      <c r="G140" s="1">
        <v>2195780</v>
      </c>
    </row>
    <row r="141" spans="1:7" x14ac:dyDescent="0.25">
      <c r="A141" s="1" t="str">
        <f t="shared" si="2"/>
        <v>15</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1" s="1" t="s">
        <v>3258</v>
      </c>
      <c r="D141" s="1" t="s">
        <v>3259</v>
      </c>
      <c r="E141" s="1" t="s">
        <v>3260</v>
      </c>
      <c r="F141" s="1" t="s">
        <v>112</v>
      </c>
      <c r="G141" s="1">
        <v>3905234</v>
      </c>
    </row>
    <row r="142" spans="1:7" x14ac:dyDescent="0.25">
      <c r="A142" s="1" t="str">
        <f t="shared" si="2"/>
        <v>15</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2" s="1" t="s">
        <v>3261</v>
      </c>
      <c r="D142" s="1" t="s">
        <v>3262</v>
      </c>
      <c r="E142" s="1" t="s">
        <v>3263</v>
      </c>
      <c r="F142" s="1" t="s">
        <v>112</v>
      </c>
      <c r="G142" s="1">
        <v>4651228</v>
      </c>
    </row>
    <row r="143" spans="1:7" x14ac:dyDescent="0.25">
      <c r="A143" s="1" t="str">
        <f t="shared" si="2"/>
        <v>15</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3" s="1" t="s">
        <v>3264</v>
      </c>
      <c r="D143" s="1" t="s">
        <v>3238</v>
      </c>
      <c r="E143" s="1" t="s">
        <v>3265</v>
      </c>
      <c r="F143" s="1" t="s">
        <v>112</v>
      </c>
      <c r="G143" s="1">
        <v>4306339</v>
      </c>
    </row>
    <row r="144" spans="1:7" x14ac:dyDescent="0.25">
      <c r="A144" s="1" t="str">
        <f t="shared" si="2"/>
        <v>15</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4" s="1" t="s">
        <v>3266</v>
      </c>
      <c r="D144" s="1" t="s">
        <v>3267</v>
      </c>
      <c r="E144" s="1" t="s">
        <v>3268</v>
      </c>
      <c r="F144" s="1" t="s">
        <v>112</v>
      </c>
      <c r="G144" s="1">
        <v>4084438</v>
      </c>
    </row>
    <row r="145" spans="1:10" x14ac:dyDescent="0.25">
      <c r="A145" s="1" t="str">
        <f t="shared" si="2"/>
        <v>15</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5" s="1" t="s">
        <v>3269</v>
      </c>
    </row>
    <row r="146" spans="1:10" x14ac:dyDescent="0.25">
      <c r="A146" s="1" t="str">
        <f t="shared" si="2"/>
        <v>15</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6" s="1" t="s">
        <v>3270</v>
      </c>
    </row>
    <row r="147" spans="1:10" x14ac:dyDescent="0.25">
      <c r="A147" s="1" t="str">
        <f t="shared" si="2"/>
        <v>15</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7" s="1" t="s">
        <v>3271</v>
      </c>
    </row>
    <row r="148" spans="1:10" x14ac:dyDescent="0.25">
      <c r="A148" s="1" t="str">
        <f t="shared" si="2"/>
        <v>15</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8" s="1" t="s">
        <v>3272</v>
      </c>
    </row>
    <row r="149" spans="1:10" x14ac:dyDescent="0.25">
      <c r="A149" s="1" t="str">
        <f t="shared" si="2"/>
        <v>15</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49" s="1" t="s">
        <v>3273</v>
      </c>
      <c r="D149" s="1" t="s">
        <v>3274</v>
      </c>
      <c r="E149" s="1" t="s">
        <v>3275</v>
      </c>
      <c r="F149" s="1" t="s">
        <v>112</v>
      </c>
      <c r="G149" s="1">
        <v>2724328</v>
      </c>
    </row>
    <row r="150" spans="1:10" x14ac:dyDescent="0.25">
      <c r="A150" s="1" t="str">
        <f t="shared" si="2"/>
        <v>15</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0" s="1" t="s">
        <v>3276</v>
      </c>
      <c r="D150" s="1" t="s">
        <v>3277</v>
      </c>
      <c r="E150" s="1" t="s">
        <v>3278</v>
      </c>
      <c r="F150" s="1" t="s">
        <v>112</v>
      </c>
      <c r="G150" s="1">
        <v>2453349</v>
      </c>
    </row>
    <row r="151" spans="1:10" x14ac:dyDescent="0.25">
      <c r="A151" s="1" t="str">
        <f t="shared" si="2"/>
        <v>15</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1" s="1" t="s">
        <v>3279</v>
      </c>
      <c r="D151" s="1" t="s">
        <v>1156</v>
      </c>
      <c r="E151" s="1" t="s">
        <v>3280</v>
      </c>
      <c r="F151" s="1" t="s">
        <v>112</v>
      </c>
      <c r="G151" s="1">
        <v>2195067</v>
      </c>
    </row>
    <row r="152" spans="1:10" x14ac:dyDescent="0.25">
      <c r="A152" s="1" t="str">
        <f t="shared" si="2"/>
        <v>15</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3281</v>
      </c>
      <c r="D152" s="1" t="s">
        <v>3282</v>
      </c>
      <c r="E152" s="1" t="s">
        <v>3283</v>
      </c>
      <c r="F152" s="1" t="s">
        <v>112</v>
      </c>
      <c r="G152" s="1">
        <v>2033946</v>
      </c>
    </row>
    <row r="153" spans="1:10" x14ac:dyDescent="0.25">
      <c r="A153" s="1" t="str">
        <f t="shared" si="2"/>
        <v>15</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3" s="1" t="s">
        <v>3284</v>
      </c>
    </row>
    <row r="154" spans="1:10" x14ac:dyDescent="0.25">
      <c r="A154" s="1" t="str">
        <f t="shared" si="2"/>
        <v>15</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4" s="1" t="s">
        <v>3285</v>
      </c>
    </row>
    <row r="155" spans="1:10" x14ac:dyDescent="0.25">
      <c r="A155" s="1" t="str">
        <f t="shared" si="2"/>
        <v>15</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3286</v>
      </c>
      <c r="D155" s="1" t="s">
        <v>3287</v>
      </c>
      <c r="E155" s="1" t="s">
        <v>3288</v>
      </c>
      <c r="F155" s="1" t="s">
        <v>112</v>
      </c>
      <c r="G155" s="1">
        <v>1589473</v>
      </c>
    </row>
    <row r="156" spans="1:10" x14ac:dyDescent="0.25">
      <c r="A156" s="1" t="str">
        <f t="shared" si="2"/>
        <v>15</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3289</v>
      </c>
      <c r="D156" s="1" t="s">
        <v>3290</v>
      </c>
      <c r="E156" s="1" t="s">
        <v>3291</v>
      </c>
      <c r="F156" s="1" t="s">
        <v>112</v>
      </c>
      <c r="G156" s="1">
        <v>1490732</v>
      </c>
    </row>
    <row r="157" spans="1:10" x14ac:dyDescent="0.25">
      <c r="A157" s="1" t="str">
        <f t="shared" si="2"/>
        <v/>
      </c>
      <c r="B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7" s="1" t="s">
        <v>112</v>
      </c>
    </row>
    <row r="158" spans="1:10" x14ac:dyDescent="0.2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237</v>
      </c>
      <c r="D158" s="1" t="s">
        <v>112</v>
      </c>
      <c r="E158" s="1" t="s">
        <v>238</v>
      </c>
      <c r="F158" s="1" t="s">
        <v>239</v>
      </c>
      <c r="G158" s="1" t="s">
        <v>240</v>
      </c>
      <c r="H158" s="1" t="s">
        <v>241</v>
      </c>
      <c r="I158" s="1" t="s">
        <v>242</v>
      </c>
      <c r="J158" s="1" t="s">
        <v>243</v>
      </c>
    </row>
    <row r="159" spans="1:10" x14ac:dyDescent="0.25">
      <c r="A159" s="1" t="str">
        <f t="shared" si="2"/>
        <v>15</v>
      </c>
      <c r="B1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59" s="1" t="s">
        <v>3292</v>
      </c>
      <c r="D159" s="1" t="s">
        <v>112</v>
      </c>
      <c r="E159" s="1" t="s">
        <v>3293</v>
      </c>
      <c r="F159" s="1" t="s">
        <v>3294</v>
      </c>
      <c r="G159" s="1" t="s">
        <v>3295</v>
      </c>
      <c r="H159" s="1" t="s">
        <v>3296</v>
      </c>
      <c r="I159" s="1">
        <v>32</v>
      </c>
      <c r="J159" s="1">
        <v>32</v>
      </c>
    </row>
    <row r="160" spans="1:10" x14ac:dyDescent="0.25">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0" s="1" t="s">
        <v>112</v>
      </c>
    </row>
    <row r="161" spans="1:7" x14ac:dyDescent="0.2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2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2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2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2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249</v>
      </c>
      <c r="D165" s="1" t="s">
        <v>110</v>
      </c>
      <c r="E165" s="1" t="s">
        <v>111</v>
      </c>
      <c r="F165" s="1" t="s">
        <v>112</v>
      </c>
      <c r="G165" s="1" t="s">
        <v>113</v>
      </c>
    </row>
    <row r="166" spans="1:7" x14ac:dyDescent="0.25">
      <c r="A166" s="1" t="str">
        <f t="shared" si="2"/>
        <v>16</v>
      </c>
      <c r="B1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6" s="1" t="s">
        <v>3297</v>
      </c>
      <c r="D166" s="1" t="s">
        <v>3298</v>
      </c>
      <c r="E166" s="1" t="s">
        <v>3299</v>
      </c>
      <c r="F166" s="1" t="s">
        <v>112</v>
      </c>
      <c r="G166" s="1">
        <v>75012</v>
      </c>
    </row>
    <row r="167" spans="1:7" x14ac:dyDescent="0.25">
      <c r="A167" s="1" t="str">
        <f t="shared" si="2"/>
        <v>16</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3300</v>
      </c>
      <c r="D167" s="1" t="s">
        <v>263</v>
      </c>
      <c r="E167" s="1" t="s">
        <v>3301</v>
      </c>
      <c r="F167" s="1" t="s">
        <v>112</v>
      </c>
      <c r="G167" s="1">
        <v>47456</v>
      </c>
    </row>
    <row r="168" spans="1:7" x14ac:dyDescent="0.25">
      <c r="A168" s="1" t="str">
        <f t="shared" si="2"/>
        <v>16</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3302</v>
      </c>
      <c r="D168" s="1">
        <v>0</v>
      </c>
      <c r="E168" s="1">
        <v>0</v>
      </c>
      <c r="F168" s="1" t="s">
        <v>112</v>
      </c>
      <c r="G168" s="1">
        <v>0</v>
      </c>
    </row>
    <row r="169" spans="1:7" x14ac:dyDescent="0.25">
      <c r="A169" s="1" t="str">
        <f t="shared" si="2"/>
        <v>16</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3303</v>
      </c>
      <c r="D169" s="1" t="s">
        <v>1592</v>
      </c>
      <c r="E169" s="1" t="s">
        <v>3304</v>
      </c>
      <c r="F169" s="1" t="s">
        <v>112</v>
      </c>
      <c r="G169" s="1">
        <v>149830</v>
      </c>
    </row>
    <row r="170" spans="1:7" x14ac:dyDescent="0.25">
      <c r="A170" s="1" t="str">
        <f t="shared" si="2"/>
        <v>16</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3305</v>
      </c>
      <c r="D170" s="1" t="s">
        <v>3306</v>
      </c>
      <c r="E170" s="1" t="s">
        <v>3307</v>
      </c>
      <c r="F170" s="1" t="s">
        <v>112</v>
      </c>
      <c r="G170" s="1">
        <v>276992</v>
      </c>
    </row>
    <row r="171" spans="1:7" x14ac:dyDescent="0.25">
      <c r="A171" s="1" t="str">
        <f t="shared" si="2"/>
        <v>16</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3308</v>
      </c>
      <c r="D171" s="1" t="s">
        <v>2916</v>
      </c>
      <c r="E171" s="1" t="s">
        <v>3309</v>
      </c>
      <c r="F171" s="1" t="s">
        <v>112</v>
      </c>
      <c r="G171" s="1">
        <v>283741</v>
      </c>
    </row>
    <row r="172" spans="1:7" x14ac:dyDescent="0.25">
      <c r="A172" s="1" t="str">
        <f t="shared" si="2"/>
        <v>16</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3310</v>
      </c>
      <c r="D172" s="1" t="s">
        <v>1070</v>
      </c>
      <c r="E172" s="1" t="s">
        <v>3311</v>
      </c>
      <c r="F172" s="1" t="s">
        <v>112</v>
      </c>
      <c r="G172" s="1">
        <v>360830</v>
      </c>
    </row>
    <row r="173" spans="1:7" x14ac:dyDescent="0.25">
      <c r="A173" s="1" t="str">
        <f t="shared" si="2"/>
        <v>16</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3" s="1" t="s">
        <v>3312</v>
      </c>
      <c r="D173" s="1" t="s">
        <v>1603</v>
      </c>
      <c r="E173" s="1" t="s">
        <v>3313</v>
      </c>
      <c r="F173" s="1" t="s">
        <v>112</v>
      </c>
      <c r="G173" s="1">
        <v>321442</v>
      </c>
    </row>
    <row r="174" spans="1:7" x14ac:dyDescent="0.25">
      <c r="A174" s="1" t="str">
        <f t="shared" si="2"/>
        <v>16</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3314</v>
      </c>
      <c r="D174" s="1" t="s">
        <v>1454</v>
      </c>
      <c r="E174" s="1" t="s">
        <v>3315</v>
      </c>
      <c r="F174" s="1" t="s">
        <v>112</v>
      </c>
      <c r="G174" s="1">
        <v>19510</v>
      </c>
    </row>
    <row r="175" spans="1:7" x14ac:dyDescent="0.25">
      <c r="A175" s="1" t="str">
        <f t="shared" si="2"/>
        <v>16</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3316</v>
      </c>
      <c r="D175" s="1" t="s">
        <v>1506</v>
      </c>
      <c r="E175" s="1" t="s">
        <v>3317</v>
      </c>
      <c r="F175" s="1" t="s">
        <v>112</v>
      </c>
      <c r="G175" s="1">
        <v>5948</v>
      </c>
    </row>
    <row r="176" spans="1:7" x14ac:dyDescent="0.25">
      <c r="A176" s="1" t="str">
        <f t="shared" si="2"/>
        <v>16</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6" s="1" t="s">
        <v>3318</v>
      </c>
      <c r="D176" s="1" t="s">
        <v>1274</v>
      </c>
      <c r="E176" s="1" t="s">
        <v>3319</v>
      </c>
      <c r="F176" s="1" t="s">
        <v>112</v>
      </c>
      <c r="G176" s="1">
        <v>107501</v>
      </c>
    </row>
    <row r="177" spans="1:7" x14ac:dyDescent="0.25">
      <c r="A177" s="1" t="str">
        <f t="shared" si="2"/>
        <v>16</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7" s="1" t="s">
        <v>3320</v>
      </c>
      <c r="D177" s="1" t="s">
        <v>3321</v>
      </c>
      <c r="E177" s="1" t="s">
        <v>3322</v>
      </c>
      <c r="F177" s="1" t="s">
        <v>112</v>
      </c>
      <c r="G177" s="1">
        <v>70686</v>
      </c>
    </row>
    <row r="178" spans="1:7" x14ac:dyDescent="0.25">
      <c r="A178" s="1" t="str">
        <f t="shared" si="2"/>
        <v>16</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3323</v>
      </c>
      <c r="D178" s="1" t="s">
        <v>589</v>
      </c>
      <c r="E178" s="1" t="s">
        <v>3324</v>
      </c>
      <c r="F178" s="1" t="s">
        <v>112</v>
      </c>
      <c r="G178" s="1">
        <v>178858</v>
      </c>
    </row>
    <row r="179" spans="1:7" x14ac:dyDescent="0.25">
      <c r="A179" s="1" t="str">
        <f t="shared" si="2"/>
        <v>16</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9" s="1" t="s">
        <v>3325</v>
      </c>
      <c r="D179" s="1" t="s">
        <v>3326</v>
      </c>
      <c r="E179" s="1" t="s">
        <v>3327</v>
      </c>
      <c r="F179" s="1" t="s">
        <v>112</v>
      </c>
      <c r="G179" s="1">
        <v>194020</v>
      </c>
    </row>
    <row r="180" spans="1:7" x14ac:dyDescent="0.25">
      <c r="A180" s="1" t="str">
        <f t="shared" si="2"/>
        <v>16</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80" s="1" t="s">
        <v>3328</v>
      </c>
      <c r="D180" s="1" t="s">
        <v>1013</v>
      </c>
      <c r="E180" s="1" t="s">
        <v>3329</v>
      </c>
      <c r="F180" s="1" t="s">
        <v>112</v>
      </c>
      <c r="G180" s="1">
        <v>165836</v>
      </c>
    </row>
    <row r="181" spans="1:7" x14ac:dyDescent="0.25">
      <c r="A181" s="1" t="str">
        <f t="shared" si="2"/>
        <v>16</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81" s="1" t="s">
        <v>3330</v>
      </c>
      <c r="D181" s="1" t="s">
        <v>3331</v>
      </c>
      <c r="E181" s="1" t="s">
        <v>3332</v>
      </c>
      <c r="F181" s="1" t="s">
        <v>112</v>
      </c>
      <c r="G181" s="1">
        <v>167545</v>
      </c>
    </row>
    <row r="182" spans="1:7" x14ac:dyDescent="0.25">
      <c r="A182" s="1" t="str">
        <f t="shared" si="2"/>
        <v>16</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2" s="1" t="s">
        <v>3333</v>
      </c>
      <c r="D182" s="1" t="s">
        <v>2794</v>
      </c>
      <c r="E182" s="1" t="s">
        <v>3334</v>
      </c>
      <c r="F182" s="1" t="s">
        <v>112</v>
      </c>
      <c r="G182" s="1">
        <v>485570</v>
      </c>
    </row>
    <row r="183" spans="1:7" x14ac:dyDescent="0.25">
      <c r="A183" s="1" t="str">
        <f t="shared" si="2"/>
        <v>16</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3" s="1" t="s">
        <v>3335</v>
      </c>
      <c r="D183" s="1" t="s">
        <v>291</v>
      </c>
      <c r="E183" s="1" t="s">
        <v>3336</v>
      </c>
      <c r="F183" s="1" t="s">
        <v>112</v>
      </c>
      <c r="G183" s="1">
        <v>238145</v>
      </c>
    </row>
    <row r="184" spans="1:7" x14ac:dyDescent="0.25">
      <c r="A184" s="1" t="str">
        <f t="shared" si="2"/>
        <v>16</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4" s="1" t="s">
        <v>3337</v>
      </c>
      <c r="D184" s="1" t="s">
        <v>3338</v>
      </c>
      <c r="E184" s="1" t="s">
        <v>3339</v>
      </c>
      <c r="F184" s="1" t="s">
        <v>112</v>
      </c>
      <c r="G184" s="1">
        <v>569926</v>
      </c>
    </row>
    <row r="185" spans="1:7" x14ac:dyDescent="0.25">
      <c r="A185" s="1" t="str">
        <f t="shared" si="2"/>
        <v>16</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5" s="1" t="s">
        <v>3340</v>
      </c>
    </row>
    <row r="186" spans="1:7" x14ac:dyDescent="0.25">
      <c r="A186" s="1" t="str">
        <f t="shared" si="2"/>
        <v>16</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6" s="1" t="s">
        <v>3341</v>
      </c>
      <c r="D186" s="1" t="s">
        <v>607</v>
      </c>
      <c r="E186" s="1" t="s">
        <v>3342</v>
      </c>
      <c r="F186" s="1" t="s">
        <v>112</v>
      </c>
      <c r="G186" s="1">
        <v>370412</v>
      </c>
    </row>
    <row r="187" spans="1:7" x14ac:dyDescent="0.25">
      <c r="A187" s="1" t="str">
        <f t="shared" si="2"/>
        <v>16</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7" s="1" t="s">
        <v>3343</v>
      </c>
    </row>
    <row r="188" spans="1:7" x14ac:dyDescent="0.25">
      <c r="A188" s="1" t="str">
        <f t="shared" si="2"/>
        <v>16</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8" s="1" t="s">
        <v>3344</v>
      </c>
    </row>
    <row r="189" spans="1:7" x14ac:dyDescent="0.25">
      <c r="A189" s="1" t="str">
        <f t="shared" si="2"/>
        <v>16</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9" s="1" t="s">
        <v>3345</v>
      </c>
    </row>
    <row r="190" spans="1:7" x14ac:dyDescent="0.25">
      <c r="A190" s="1" t="str">
        <f t="shared" si="2"/>
        <v>16</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90" s="1" t="s">
        <v>3346</v>
      </c>
      <c r="D190" s="1" t="s">
        <v>3347</v>
      </c>
      <c r="E190" s="1" t="s">
        <v>3348</v>
      </c>
      <c r="F190" s="1" t="s">
        <v>112</v>
      </c>
      <c r="G190" s="1">
        <v>17390</v>
      </c>
    </row>
    <row r="191" spans="1:7" x14ac:dyDescent="0.25">
      <c r="A191" s="1" t="str">
        <f t="shared" si="2"/>
        <v>16</v>
      </c>
      <c r="B1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91" s="1" t="s">
        <v>3349</v>
      </c>
      <c r="D191" s="1">
        <v>0</v>
      </c>
      <c r="E191" s="1">
        <v>0</v>
      </c>
      <c r="F191" s="1" t="s">
        <v>112</v>
      </c>
      <c r="G191" s="1">
        <v>0</v>
      </c>
    </row>
    <row r="192" spans="1:7" x14ac:dyDescent="0.25">
      <c r="A192" s="1" t="str">
        <f t="shared" si="2"/>
        <v>16</v>
      </c>
      <c r="B1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92" s="1" t="s">
        <v>3350</v>
      </c>
      <c r="D192" s="1" t="s">
        <v>328</v>
      </c>
      <c r="E192" s="1" t="s">
        <v>476</v>
      </c>
      <c r="F192" s="1" t="s">
        <v>112</v>
      </c>
      <c r="G192" s="1">
        <v>4867</v>
      </c>
    </row>
    <row r="193" spans="1:10" x14ac:dyDescent="0.25">
      <c r="A193" s="1" t="str">
        <f t="shared" si="2"/>
        <v>16</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93" s="1" t="s">
        <v>3351</v>
      </c>
      <c r="D193" s="1" t="s">
        <v>2387</v>
      </c>
      <c r="E193" s="1" t="s">
        <v>3352</v>
      </c>
      <c r="F193" s="1" t="s">
        <v>112</v>
      </c>
      <c r="G193" s="1">
        <v>31601</v>
      </c>
    </row>
    <row r="194" spans="1:10" x14ac:dyDescent="0.25">
      <c r="A194" s="1" t="str">
        <f t="shared" ref="A194:A257" si="3">IFERROR(LEFT(RIGHT(C194,LEN(C194)-SEARCH("@",C194)),SEARCH("/",RIGHT(C194,LEN(C194)-SEARCH("@",C194)-1))),"")</f>
        <v>16</v>
      </c>
      <c r="B1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4" s="1" t="s">
        <v>3353</v>
      </c>
      <c r="D194" s="1" t="s">
        <v>1073</v>
      </c>
      <c r="E194" s="1" t="s">
        <v>3354</v>
      </c>
      <c r="F194" s="1" t="s">
        <v>112</v>
      </c>
      <c r="G194" s="1">
        <v>140811</v>
      </c>
    </row>
    <row r="195" spans="1:10" x14ac:dyDescent="0.25">
      <c r="A195" s="1" t="str">
        <f t="shared" si="3"/>
        <v>16</v>
      </c>
      <c r="B1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5" s="1" t="s">
        <v>3355</v>
      </c>
      <c r="D195" s="1" t="s">
        <v>3356</v>
      </c>
      <c r="E195" s="1" t="s">
        <v>3357</v>
      </c>
      <c r="F195" s="1" t="s">
        <v>112</v>
      </c>
      <c r="G195" s="1">
        <v>395568</v>
      </c>
    </row>
    <row r="196" spans="1:10" x14ac:dyDescent="0.25">
      <c r="A196" s="1" t="str">
        <f t="shared" si="3"/>
        <v>16</v>
      </c>
      <c r="B1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6" s="1" t="s">
        <v>3358</v>
      </c>
      <c r="D196" s="1">
        <v>0</v>
      </c>
      <c r="E196" s="1">
        <v>0</v>
      </c>
      <c r="F196" s="1" t="s">
        <v>112</v>
      </c>
      <c r="G196" s="1">
        <v>0</v>
      </c>
    </row>
    <row r="197" spans="1:10" x14ac:dyDescent="0.25">
      <c r="A197" s="1" t="str">
        <f t="shared" si="3"/>
        <v>16</v>
      </c>
      <c r="B1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7" s="1" t="s">
        <v>3359</v>
      </c>
      <c r="D197" s="1" t="s">
        <v>1838</v>
      </c>
      <c r="E197" s="1" t="s">
        <v>3360</v>
      </c>
      <c r="F197" s="1" t="s">
        <v>112</v>
      </c>
      <c r="G197" s="1">
        <v>203775</v>
      </c>
    </row>
    <row r="198" spans="1:10" x14ac:dyDescent="0.2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10" x14ac:dyDescent="0.2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237</v>
      </c>
      <c r="D199" s="1" t="s">
        <v>112</v>
      </c>
      <c r="E199" s="1" t="s">
        <v>238</v>
      </c>
      <c r="F199" s="1" t="s">
        <v>239</v>
      </c>
      <c r="G199" s="1" t="s">
        <v>240</v>
      </c>
      <c r="H199" s="1" t="s">
        <v>241</v>
      </c>
      <c r="I199" s="1" t="s">
        <v>242</v>
      </c>
      <c r="J199" s="1" t="s">
        <v>243</v>
      </c>
    </row>
    <row r="200" spans="1:10" x14ac:dyDescent="0.25">
      <c r="A200" s="1" t="str">
        <f t="shared" si="3"/>
        <v>16</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00" s="1" t="s">
        <v>3361</v>
      </c>
      <c r="D200" s="1" t="s">
        <v>112</v>
      </c>
      <c r="E200" s="1" t="s">
        <v>3362</v>
      </c>
      <c r="F200" s="1" t="s">
        <v>3363</v>
      </c>
      <c r="G200" s="1" t="s">
        <v>3364</v>
      </c>
      <c r="H200" s="1" t="s">
        <v>3365</v>
      </c>
      <c r="I200" s="1">
        <v>29</v>
      </c>
      <c r="J200" s="1">
        <v>32</v>
      </c>
    </row>
    <row r="201" spans="1:10" x14ac:dyDescent="0.25">
      <c r="A201" s="1" t="str">
        <f t="shared" si="3"/>
        <v/>
      </c>
      <c r="B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1" s="1" t="s">
        <v>112</v>
      </c>
    </row>
    <row r="202" spans="1:10" x14ac:dyDescent="0.25">
      <c r="A202" s="1" t="str">
        <f t="shared" si="3"/>
        <v/>
      </c>
      <c r="B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2" s="1" t="s">
        <v>112</v>
      </c>
    </row>
    <row r="203" spans="1:10" x14ac:dyDescent="0.25">
      <c r="A203" s="1" t="str">
        <f t="shared" si="3"/>
        <v/>
      </c>
      <c r="B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3" s="1" t="s">
        <v>112</v>
      </c>
    </row>
    <row r="204" spans="1:10" x14ac:dyDescent="0.25">
      <c r="A204" s="1" t="str">
        <f t="shared" si="3"/>
        <v/>
      </c>
      <c r="B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4" s="1" t="s">
        <v>112</v>
      </c>
    </row>
    <row r="205" spans="1:10" x14ac:dyDescent="0.25">
      <c r="A205" s="1" t="str">
        <f t="shared" si="3"/>
        <v/>
      </c>
      <c r="B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5" s="1" t="s">
        <v>112</v>
      </c>
    </row>
    <row r="206" spans="1:10" x14ac:dyDescent="0.25">
      <c r="A206" s="1" t="str">
        <f t="shared" si="3"/>
        <v/>
      </c>
      <c r="B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6" s="1" t="s">
        <v>249</v>
      </c>
      <c r="D206" s="1" t="s">
        <v>110</v>
      </c>
      <c r="E206" s="1" t="s">
        <v>111</v>
      </c>
      <c r="F206" s="1" t="s">
        <v>112</v>
      </c>
      <c r="G206" s="1" t="s">
        <v>113</v>
      </c>
    </row>
    <row r="207" spans="1:10" x14ac:dyDescent="0.25">
      <c r="A207" s="1" t="str">
        <f t="shared" si="3"/>
        <v>2</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7" s="1" t="s">
        <v>3366</v>
      </c>
      <c r="D207" s="1" t="s">
        <v>3367</v>
      </c>
      <c r="E207" s="1" t="s">
        <v>3368</v>
      </c>
      <c r="F207" s="1" t="s">
        <v>112</v>
      </c>
      <c r="G207" s="1">
        <v>82150</v>
      </c>
    </row>
    <row r="208" spans="1:10" x14ac:dyDescent="0.25">
      <c r="A208" s="1" t="str">
        <f t="shared" si="3"/>
        <v>2</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8" s="1" t="s">
        <v>3369</v>
      </c>
      <c r="D208" s="1" t="s">
        <v>1459</v>
      </c>
      <c r="E208" s="1">
        <v>34</v>
      </c>
      <c r="F208" s="1" t="s">
        <v>112</v>
      </c>
      <c r="G208" s="1">
        <v>56627</v>
      </c>
    </row>
    <row r="209" spans="1:7" x14ac:dyDescent="0.25">
      <c r="A209" s="1" t="str">
        <f t="shared" si="3"/>
        <v>2</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9" s="1" t="s">
        <v>3370</v>
      </c>
      <c r="D209" s="1" t="s">
        <v>1477</v>
      </c>
      <c r="E209" s="1" t="s">
        <v>1373</v>
      </c>
      <c r="F209" s="1" t="s">
        <v>112</v>
      </c>
      <c r="G209" s="1">
        <v>3504</v>
      </c>
    </row>
    <row r="210" spans="1:7" x14ac:dyDescent="0.25">
      <c r="A210" s="1" t="str">
        <f t="shared" si="3"/>
        <v>2</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10" s="1" t="s">
        <v>3371</v>
      </c>
      <c r="D210" s="1" t="s">
        <v>1384</v>
      </c>
      <c r="E210" s="1" t="s">
        <v>3372</v>
      </c>
      <c r="F210" s="1" t="s">
        <v>112</v>
      </c>
      <c r="G210" s="1">
        <v>55199</v>
      </c>
    </row>
    <row r="211" spans="1:7" x14ac:dyDescent="0.25">
      <c r="A211" s="1" t="str">
        <f t="shared" si="3"/>
        <v>2</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11" s="1" t="s">
        <v>3373</v>
      </c>
      <c r="D211" s="1" t="s">
        <v>191</v>
      </c>
      <c r="E211" s="1" t="s">
        <v>3374</v>
      </c>
      <c r="F211" s="1" t="s">
        <v>112</v>
      </c>
      <c r="G211" s="1">
        <v>130601</v>
      </c>
    </row>
    <row r="212" spans="1:7" x14ac:dyDescent="0.25">
      <c r="A212" s="1" t="str">
        <f t="shared" si="3"/>
        <v>2</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12" s="1" t="s">
        <v>3375</v>
      </c>
      <c r="D212" s="1" t="s">
        <v>1586</v>
      </c>
      <c r="E212" s="1" t="s">
        <v>3376</v>
      </c>
      <c r="F212" s="1" t="s">
        <v>112</v>
      </c>
      <c r="G212" s="1">
        <v>11853</v>
      </c>
    </row>
    <row r="213" spans="1:7" x14ac:dyDescent="0.25">
      <c r="A213" s="1" t="str">
        <f t="shared" si="3"/>
        <v>2</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13" s="1" t="s">
        <v>3377</v>
      </c>
      <c r="D213" s="1" t="s">
        <v>3378</v>
      </c>
      <c r="E213" s="1" t="s">
        <v>3379</v>
      </c>
      <c r="F213" s="1" t="s">
        <v>112</v>
      </c>
      <c r="G213" s="1">
        <v>287742</v>
      </c>
    </row>
    <row r="214" spans="1:7" x14ac:dyDescent="0.25">
      <c r="A214" s="1" t="str">
        <f t="shared" si="3"/>
        <v>2</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14" s="1" t="s">
        <v>3380</v>
      </c>
      <c r="D214" s="1" t="s">
        <v>2199</v>
      </c>
      <c r="E214" s="1" t="s">
        <v>3381</v>
      </c>
      <c r="F214" s="1" t="s">
        <v>112</v>
      </c>
      <c r="G214" s="1">
        <v>95734</v>
      </c>
    </row>
    <row r="215" spans="1:7" x14ac:dyDescent="0.25">
      <c r="A215" s="1" t="str">
        <f t="shared" si="3"/>
        <v>2</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15" s="1" t="s">
        <v>3382</v>
      </c>
      <c r="D215" s="1" t="s">
        <v>3383</v>
      </c>
      <c r="E215" s="1" t="s">
        <v>3384</v>
      </c>
      <c r="F215" s="1" t="s">
        <v>112</v>
      </c>
      <c r="G215" s="1">
        <v>50679</v>
      </c>
    </row>
    <row r="216" spans="1:7" x14ac:dyDescent="0.25">
      <c r="A216" s="1" t="str">
        <f t="shared" si="3"/>
        <v>2</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16" s="1" t="s">
        <v>3385</v>
      </c>
      <c r="D216" s="1" t="s">
        <v>3386</v>
      </c>
      <c r="E216" s="1" t="s">
        <v>2646</v>
      </c>
      <c r="F216" s="1" t="s">
        <v>112</v>
      </c>
      <c r="G216" s="1">
        <v>69302</v>
      </c>
    </row>
    <row r="217" spans="1:7" x14ac:dyDescent="0.25">
      <c r="A217" s="1" t="str">
        <f t="shared" si="3"/>
        <v>2</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17" s="1" t="s">
        <v>3387</v>
      </c>
      <c r="D217" s="1" t="s">
        <v>1957</v>
      </c>
      <c r="E217" s="1" t="s">
        <v>3388</v>
      </c>
      <c r="F217" s="1" t="s">
        <v>112</v>
      </c>
      <c r="G217" s="1">
        <v>7938</v>
      </c>
    </row>
    <row r="218" spans="1:7" x14ac:dyDescent="0.25">
      <c r="A218" s="1" t="str">
        <f t="shared" si="3"/>
        <v>2</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18" s="1" t="s">
        <v>3389</v>
      </c>
      <c r="D218" s="1" t="s">
        <v>3390</v>
      </c>
      <c r="E218" s="1" t="s">
        <v>3391</v>
      </c>
      <c r="F218" s="1" t="s">
        <v>112</v>
      </c>
      <c r="G218" s="1">
        <v>75640</v>
      </c>
    </row>
    <row r="219" spans="1:7" x14ac:dyDescent="0.25">
      <c r="A219" s="1" t="str">
        <f t="shared" si="3"/>
        <v>2</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9" s="1" t="s">
        <v>3392</v>
      </c>
      <c r="D219" s="1" t="s">
        <v>1547</v>
      </c>
      <c r="E219" s="1" t="s">
        <v>3393</v>
      </c>
      <c r="F219" s="1" t="s">
        <v>112</v>
      </c>
      <c r="G219" s="1">
        <v>84573</v>
      </c>
    </row>
    <row r="220" spans="1:7" x14ac:dyDescent="0.25">
      <c r="A220" s="1" t="str">
        <f t="shared" si="3"/>
        <v>2</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20" s="1" t="s">
        <v>3394</v>
      </c>
      <c r="D220" s="1" t="s">
        <v>511</v>
      </c>
      <c r="E220" s="1" t="s">
        <v>3395</v>
      </c>
      <c r="F220" s="1" t="s">
        <v>112</v>
      </c>
      <c r="G220" s="1">
        <v>45639</v>
      </c>
    </row>
    <row r="221" spans="1:7" x14ac:dyDescent="0.25">
      <c r="A221" s="1" t="str">
        <f t="shared" si="3"/>
        <v>2</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21" s="1" t="s">
        <v>3396</v>
      </c>
      <c r="D221" s="1" t="s">
        <v>625</v>
      </c>
      <c r="E221" s="1" t="s">
        <v>3397</v>
      </c>
      <c r="F221" s="1" t="s">
        <v>112</v>
      </c>
      <c r="G221" s="1">
        <v>168562</v>
      </c>
    </row>
    <row r="222" spans="1:7" x14ac:dyDescent="0.25">
      <c r="A222" s="1" t="str">
        <f t="shared" si="3"/>
        <v>2</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22" s="1" t="s">
        <v>3398</v>
      </c>
      <c r="D222" s="1" t="s">
        <v>1477</v>
      </c>
      <c r="E222" s="1" t="s">
        <v>3399</v>
      </c>
      <c r="F222" s="1" t="s">
        <v>112</v>
      </c>
      <c r="G222" s="1">
        <v>3309</v>
      </c>
    </row>
    <row r="223" spans="1:7" x14ac:dyDescent="0.25">
      <c r="A223" s="1" t="str">
        <f t="shared" si="3"/>
        <v>2</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23" s="1" t="s">
        <v>3400</v>
      </c>
      <c r="D223" s="1" t="s">
        <v>549</v>
      </c>
      <c r="E223" s="1">
        <v>30</v>
      </c>
      <c r="F223" s="1" t="s">
        <v>112</v>
      </c>
      <c r="G223" s="1">
        <v>649</v>
      </c>
    </row>
    <row r="224" spans="1:7" x14ac:dyDescent="0.25">
      <c r="A224" s="1" t="str">
        <f t="shared" si="3"/>
        <v>2</v>
      </c>
      <c r="B2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24" s="1" t="s">
        <v>3401</v>
      </c>
      <c r="D224" s="1" t="s">
        <v>227</v>
      </c>
      <c r="E224" s="1">
        <v>30</v>
      </c>
      <c r="F224" s="1" t="s">
        <v>112</v>
      </c>
      <c r="G224" s="1">
        <v>1298</v>
      </c>
    </row>
    <row r="225" spans="1:10" x14ac:dyDescent="0.25">
      <c r="A225" s="1" t="str">
        <f t="shared" si="3"/>
        <v>2</v>
      </c>
      <c r="B2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25" s="1" t="s">
        <v>3402</v>
      </c>
      <c r="D225" s="1" t="s">
        <v>717</v>
      </c>
      <c r="E225" s="1">
        <v>30</v>
      </c>
      <c r="F225" s="1" t="s">
        <v>112</v>
      </c>
      <c r="G225" s="1">
        <v>1947</v>
      </c>
    </row>
    <row r="226" spans="1:10" x14ac:dyDescent="0.25">
      <c r="A226" s="1" t="str">
        <f t="shared" si="3"/>
        <v>2</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26" s="1" t="s">
        <v>3403</v>
      </c>
      <c r="D226" s="1">
        <v>0</v>
      </c>
      <c r="E226" s="1">
        <v>0</v>
      </c>
      <c r="F226" s="1" t="s">
        <v>112</v>
      </c>
      <c r="G226" s="1">
        <v>0</v>
      </c>
    </row>
    <row r="227" spans="1:10" x14ac:dyDescent="0.25">
      <c r="A227" s="1" t="str">
        <f t="shared" si="3"/>
        <v>2</v>
      </c>
      <c r="B2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27" s="1" t="s">
        <v>3404</v>
      </c>
    </row>
    <row r="228" spans="1:10" x14ac:dyDescent="0.25">
      <c r="A228" s="1" t="str">
        <f t="shared" si="3"/>
        <v>2</v>
      </c>
      <c r="B2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28" s="1" t="s">
        <v>3405</v>
      </c>
    </row>
    <row r="229" spans="1:10" x14ac:dyDescent="0.25">
      <c r="A229" s="1" t="str">
        <f t="shared" si="3"/>
        <v>2</v>
      </c>
      <c r="B2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29" s="1" t="s">
        <v>3406</v>
      </c>
    </row>
    <row r="230" spans="1:10" x14ac:dyDescent="0.25">
      <c r="A230" s="1" t="str">
        <f t="shared" si="3"/>
        <v>2</v>
      </c>
      <c r="B2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30" s="1" t="s">
        <v>3407</v>
      </c>
    </row>
    <row r="231" spans="1:10" x14ac:dyDescent="0.25">
      <c r="A231" s="1" t="str">
        <f t="shared" si="3"/>
        <v>2</v>
      </c>
      <c r="B2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31" s="1" t="s">
        <v>3408</v>
      </c>
      <c r="D231" s="1" t="s">
        <v>333</v>
      </c>
      <c r="E231" s="1" t="s">
        <v>3409</v>
      </c>
      <c r="F231" s="1" t="s">
        <v>112</v>
      </c>
      <c r="G231" s="1">
        <v>46072</v>
      </c>
    </row>
    <row r="232" spans="1:10" x14ac:dyDescent="0.25">
      <c r="A232" s="1" t="str">
        <f t="shared" si="3"/>
        <v>2</v>
      </c>
      <c r="B2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32" s="1" t="s">
        <v>3410</v>
      </c>
      <c r="D232" s="1" t="s">
        <v>3411</v>
      </c>
      <c r="E232" s="1" t="s">
        <v>3412</v>
      </c>
      <c r="F232" s="1" t="s">
        <v>112</v>
      </c>
      <c r="G232" s="1">
        <v>95215</v>
      </c>
    </row>
    <row r="233" spans="1:10" x14ac:dyDescent="0.25">
      <c r="A233" s="1" t="str">
        <f t="shared" si="3"/>
        <v>2</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33" s="1" t="s">
        <v>3413</v>
      </c>
      <c r="D233" s="1" t="s">
        <v>3414</v>
      </c>
      <c r="E233" s="1" t="s">
        <v>3415</v>
      </c>
      <c r="F233" s="1" t="s">
        <v>112</v>
      </c>
      <c r="G233" s="1">
        <v>129174</v>
      </c>
    </row>
    <row r="234" spans="1:10" x14ac:dyDescent="0.25">
      <c r="A234" s="1" t="str">
        <f t="shared" si="3"/>
        <v>2</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34" s="1" t="s">
        <v>3416</v>
      </c>
    </row>
    <row r="235" spans="1:10" x14ac:dyDescent="0.25">
      <c r="A235" s="1" t="str">
        <f t="shared" si="3"/>
        <v>2</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5" s="1" t="s">
        <v>3417</v>
      </c>
      <c r="D235" s="1" t="s">
        <v>3418</v>
      </c>
      <c r="E235" s="1" t="s">
        <v>3419</v>
      </c>
      <c r="F235" s="1" t="s">
        <v>112</v>
      </c>
      <c r="G235" s="1">
        <v>291722</v>
      </c>
    </row>
    <row r="236" spans="1:10" x14ac:dyDescent="0.25">
      <c r="A236" s="1" t="str">
        <f t="shared" si="3"/>
        <v>2</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6" s="1" t="s">
        <v>3420</v>
      </c>
      <c r="D236" s="1" t="s">
        <v>2901</v>
      </c>
      <c r="E236" s="1" t="s">
        <v>3421</v>
      </c>
      <c r="F236" s="1" t="s">
        <v>112</v>
      </c>
      <c r="G236" s="1">
        <v>241022</v>
      </c>
    </row>
    <row r="237" spans="1:10" x14ac:dyDescent="0.25">
      <c r="A237" s="1" t="str">
        <f t="shared" si="3"/>
        <v>2</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7" s="1" t="s">
        <v>3422</v>
      </c>
      <c r="D237" s="1">
        <v>0</v>
      </c>
      <c r="E237" s="1">
        <v>0</v>
      </c>
      <c r="F237" s="1" t="s">
        <v>112</v>
      </c>
      <c r="G237" s="1">
        <v>0</v>
      </c>
    </row>
    <row r="238" spans="1:10" x14ac:dyDescent="0.25">
      <c r="A238" s="1" t="str">
        <f t="shared" si="3"/>
        <v>2</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8" s="1" t="s">
        <v>3423</v>
      </c>
      <c r="D238" s="1" t="s">
        <v>2611</v>
      </c>
      <c r="E238" s="1" t="s">
        <v>3424</v>
      </c>
      <c r="F238" s="1" t="s">
        <v>112</v>
      </c>
      <c r="G238" s="1">
        <v>233062</v>
      </c>
    </row>
    <row r="239" spans="1:10" x14ac:dyDescent="0.25">
      <c r="A239" s="1" t="str">
        <f t="shared" si="3"/>
        <v/>
      </c>
      <c r="B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9" s="1" t="s">
        <v>112</v>
      </c>
    </row>
    <row r="240" spans="1:10" x14ac:dyDescent="0.25">
      <c r="A240" s="1" t="str">
        <f t="shared" si="3"/>
        <v/>
      </c>
      <c r="B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0" s="1" t="s">
        <v>237</v>
      </c>
      <c r="D240" s="1" t="s">
        <v>112</v>
      </c>
      <c r="E240" s="1" t="s">
        <v>238</v>
      </c>
      <c r="F240" s="1" t="s">
        <v>239</v>
      </c>
      <c r="G240" s="1" t="s">
        <v>240</v>
      </c>
      <c r="H240" s="1" t="s">
        <v>241</v>
      </c>
      <c r="I240" s="1" t="s">
        <v>242</v>
      </c>
      <c r="J240" s="1" t="s">
        <v>243</v>
      </c>
    </row>
    <row r="241" spans="1:10" x14ac:dyDescent="0.25">
      <c r="A241" s="1" t="str">
        <f t="shared" si="3"/>
        <v>2</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41" s="1" t="s">
        <v>3425</v>
      </c>
      <c r="D241" s="1" t="s">
        <v>112</v>
      </c>
      <c r="E241" s="1" t="s">
        <v>3426</v>
      </c>
      <c r="F241" s="1" t="s">
        <v>3427</v>
      </c>
      <c r="G241" s="1" t="s">
        <v>3428</v>
      </c>
      <c r="H241" s="1" t="s">
        <v>3429</v>
      </c>
      <c r="I241" s="1">
        <v>29</v>
      </c>
      <c r="J241" s="1">
        <v>32</v>
      </c>
    </row>
    <row r="242" spans="1:10" x14ac:dyDescent="0.25">
      <c r="A242" s="1" t="str">
        <f t="shared" si="3"/>
        <v/>
      </c>
      <c r="B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2" s="1" t="s">
        <v>112</v>
      </c>
    </row>
    <row r="243" spans="1:10" x14ac:dyDescent="0.25">
      <c r="A243" s="1" t="str">
        <f t="shared" si="3"/>
        <v/>
      </c>
      <c r="B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3" s="1" t="s">
        <v>112</v>
      </c>
    </row>
    <row r="244" spans="1:10" x14ac:dyDescent="0.25">
      <c r="A244" s="1" t="str">
        <f t="shared" si="3"/>
        <v/>
      </c>
      <c r="B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4" s="1" t="s">
        <v>112</v>
      </c>
    </row>
    <row r="245" spans="1:10" x14ac:dyDescent="0.25">
      <c r="A245" s="1" t="str">
        <f t="shared" si="3"/>
        <v/>
      </c>
      <c r="B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5" s="1" t="s">
        <v>112</v>
      </c>
    </row>
    <row r="246" spans="1:10" x14ac:dyDescent="0.25">
      <c r="A246" s="1" t="str">
        <f t="shared" si="3"/>
        <v/>
      </c>
      <c r="B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6" s="1" t="s">
        <v>112</v>
      </c>
    </row>
    <row r="247" spans="1:10" x14ac:dyDescent="0.25">
      <c r="A247" s="1" t="str">
        <f t="shared" si="3"/>
        <v/>
      </c>
      <c r="B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7" s="1" t="s">
        <v>249</v>
      </c>
      <c r="D247" s="1" t="s">
        <v>110</v>
      </c>
      <c r="E247" s="1" t="s">
        <v>111</v>
      </c>
      <c r="F247" s="1" t="s">
        <v>112</v>
      </c>
      <c r="G247" s="1" t="s">
        <v>113</v>
      </c>
    </row>
    <row r="248" spans="1:10" x14ac:dyDescent="0.25">
      <c r="A248" s="1" t="str">
        <f t="shared" si="3"/>
        <v>3</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48" s="1" t="s">
        <v>3430</v>
      </c>
      <c r="D248" s="1" t="s">
        <v>3431</v>
      </c>
      <c r="E248" s="1">
        <v>31</v>
      </c>
      <c r="F248" s="1" t="s">
        <v>112</v>
      </c>
      <c r="G248" s="1">
        <v>8717</v>
      </c>
    </row>
    <row r="249" spans="1:10" x14ac:dyDescent="0.25">
      <c r="A249" s="1" t="str">
        <f t="shared" si="3"/>
        <v>3</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49" s="1" t="s">
        <v>3432</v>
      </c>
      <c r="D249" s="1" t="s">
        <v>717</v>
      </c>
      <c r="E249" s="1">
        <v>31</v>
      </c>
      <c r="F249" s="1" t="s">
        <v>112</v>
      </c>
      <c r="G249" s="1">
        <v>2012</v>
      </c>
    </row>
    <row r="250" spans="1:10" x14ac:dyDescent="0.25">
      <c r="A250" s="1" t="str">
        <f t="shared" si="3"/>
        <v>3</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50" s="1" t="s">
        <v>3433</v>
      </c>
      <c r="D250" s="1" t="s">
        <v>3434</v>
      </c>
      <c r="E250" s="1" t="s">
        <v>3435</v>
      </c>
      <c r="F250" s="1" t="s">
        <v>112</v>
      </c>
      <c r="G250" s="1">
        <v>70578</v>
      </c>
    </row>
    <row r="251" spans="1:10" x14ac:dyDescent="0.25">
      <c r="A251" s="1" t="str">
        <f t="shared" si="3"/>
        <v>3</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51" s="1" t="s">
        <v>3436</v>
      </c>
      <c r="D251" s="1" t="s">
        <v>328</v>
      </c>
      <c r="E251" s="1" t="s">
        <v>3437</v>
      </c>
      <c r="F251" s="1" t="s">
        <v>112</v>
      </c>
      <c r="G251" s="1">
        <v>4629</v>
      </c>
    </row>
    <row r="252" spans="1:10" x14ac:dyDescent="0.25">
      <c r="A252" s="1" t="str">
        <f t="shared" si="3"/>
        <v>3</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52" s="1" t="s">
        <v>3438</v>
      </c>
      <c r="D252" s="1" t="s">
        <v>1394</v>
      </c>
      <c r="E252" s="1" t="s">
        <v>3439</v>
      </c>
      <c r="F252" s="1" t="s">
        <v>112</v>
      </c>
      <c r="G252" s="1">
        <v>832556</v>
      </c>
    </row>
    <row r="253" spans="1:10" x14ac:dyDescent="0.25">
      <c r="A253" s="1" t="str">
        <f t="shared" si="3"/>
        <v>3</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53" s="1" t="s">
        <v>3440</v>
      </c>
      <c r="D253" s="1" t="s">
        <v>3441</v>
      </c>
      <c r="E253" s="1" t="s">
        <v>3442</v>
      </c>
      <c r="F253" s="1" t="s">
        <v>112</v>
      </c>
      <c r="G253" s="1">
        <v>1238614</v>
      </c>
    </row>
    <row r="254" spans="1:10" x14ac:dyDescent="0.25">
      <c r="A254" s="1" t="str">
        <f t="shared" si="3"/>
        <v>3</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54" s="1" t="s">
        <v>3443</v>
      </c>
      <c r="D254" s="1" t="s">
        <v>3444</v>
      </c>
      <c r="E254" s="1" t="s">
        <v>3445</v>
      </c>
      <c r="F254" s="1" t="s">
        <v>112</v>
      </c>
      <c r="G254" s="1">
        <v>1007802</v>
      </c>
    </row>
    <row r="255" spans="1:10" x14ac:dyDescent="0.25">
      <c r="A255" s="1" t="str">
        <f t="shared" si="3"/>
        <v>3</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55" s="1" t="s">
        <v>3446</v>
      </c>
      <c r="D255" s="1" t="s">
        <v>3447</v>
      </c>
      <c r="E255" s="1" t="s">
        <v>3448</v>
      </c>
      <c r="F255" s="1" t="s">
        <v>112</v>
      </c>
      <c r="G255" s="1">
        <v>1111431</v>
      </c>
    </row>
    <row r="256" spans="1:10" x14ac:dyDescent="0.25">
      <c r="A256" s="1" t="str">
        <f t="shared" si="3"/>
        <v>3</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56" s="1" t="s">
        <v>3449</v>
      </c>
      <c r="D256" s="1" t="s">
        <v>540</v>
      </c>
      <c r="E256" s="1" t="s">
        <v>3450</v>
      </c>
      <c r="F256" s="1" t="s">
        <v>112</v>
      </c>
      <c r="G256" s="1">
        <v>255363</v>
      </c>
    </row>
    <row r="257" spans="1:7" x14ac:dyDescent="0.25">
      <c r="A257" s="1" t="str">
        <f t="shared" si="3"/>
        <v>3</v>
      </c>
      <c r="B2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57" s="1" t="s">
        <v>3451</v>
      </c>
      <c r="D257" s="1" t="s">
        <v>3386</v>
      </c>
      <c r="E257" s="1" t="s">
        <v>3452</v>
      </c>
      <c r="F257" s="1" t="s">
        <v>112</v>
      </c>
      <c r="G257" s="1">
        <v>63895</v>
      </c>
    </row>
    <row r="258" spans="1:7" x14ac:dyDescent="0.25">
      <c r="A258" s="1" t="str">
        <f t="shared" ref="A258:A321" si="4">IFERROR(LEFT(RIGHT(C258,LEN(C258)-SEARCH("@",C258)),SEARCH("/",RIGHT(C258,LEN(C258)-SEARCH("@",C258)-1))),"")</f>
        <v>3</v>
      </c>
      <c r="B2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58" s="1" t="s">
        <v>3453</v>
      </c>
      <c r="D258" s="1" t="s">
        <v>1038</v>
      </c>
      <c r="E258" s="1" t="s">
        <v>3454</v>
      </c>
      <c r="F258" s="1" t="s">
        <v>112</v>
      </c>
      <c r="G258" s="1">
        <v>177235</v>
      </c>
    </row>
    <row r="259" spans="1:7" x14ac:dyDescent="0.25">
      <c r="A259" s="1" t="str">
        <f t="shared" si="4"/>
        <v>3</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59" s="1" t="s">
        <v>3455</v>
      </c>
      <c r="D259" s="1" t="s">
        <v>991</v>
      </c>
      <c r="E259" s="1" t="s">
        <v>3456</v>
      </c>
      <c r="F259" s="1" t="s">
        <v>112</v>
      </c>
      <c r="G259" s="1">
        <v>218548</v>
      </c>
    </row>
    <row r="260" spans="1:7" x14ac:dyDescent="0.25">
      <c r="A260" s="1" t="str">
        <f t="shared" si="4"/>
        <v>3</v>
      </c>
      <c r="B2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60" s="1" t="s">
        <v>3457</v>
      </c>
      <c r="D260" s="1" t="s">
        <v>3458</v>
      </c>
      <c r="E260" s="1" t="s">
        <v>3459</v>
      </c>
      <c r="F260" s="1" t="s">
        <v>112</v>
      </c>
      <c r="G260" s="1">
        <v>283481</v>
      </c>
    </row>
    <row r="261" spans="1:7" x14ac:dyDescent="0.25">
      <c r="A261" s="1" t="str">
        <f t="shared" si="4"/>
        <v>3</v>
      </c>
      <c r="B2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61" s="1" t="s">
        <v>3460</v>
      </c>
    </row>
    <row r="262" spans="1:7" x14ac:dyDescent="0.25">
      <c r="A262" s="1" t="str">
        <f t="shared" si="4"/>
        <v>3</v>
      </c>
      <c r="B2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62" s="1" t="s">
        <v>3461</v>
      </c>
    </row>
    <row r="263" spans="1:7" x14ac:dyDescent="0.25">
      <c r="A263" s="1" t="str">
        <f t="shared" si="4"/>
        <v>3</v>
      </c>
      <c r="B2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63" s="1" t="s">
        <v>3462</v>
      </c>
    </row>
    <row r="264" spans="1:7" x14ac:dyDescent="0.25">
      <c r="A264" s="1" t="str">
        <f t="shared" si="4"/>
        <v>3</v>
      </c>
      <c r="B2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64" s="1" t="s">
        <v>3463</v>
      </c>
      <c r="D264" s="1" t="s">
        <v>333</v>
      </c>
      <c r="E264" s="1" t="s">
        <v>3464</v>
      </c>
      <c r="F264" s="1" t="s">
        <v>112</v>
      </c>
      <c r="G264" s="1">
        <v>42935</v>
      </c>
    </row>
    <row r="265" spans="1:7" x14ac:dyDescent="0.25">
      <c r="A265" s="1" t="str">
        <f t="shared" si="4"/>
        <v>3</v>
      </c>
      <c r="B2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65" s="1" t="s">
        <v>3465</v>
      </c>
      <c r="D265" s="1" t="s">
        <v>2076</v>
      </c>
      <c r="E265" s="1" t="s">
        <v>3466</v>
      </c>
      <c r="F265" s="1" t="s">
        <v>112</v>
      </c>
      <c r="G265" s="1">
        <v>235095</v>
      </c>
    </row>
    <row r="266" spans="1:7" x14ac:dyDescent="0.25">
      <c r="A266" s="1" t="str">
        <f t="shared" si="4"/>
        <v>3</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66" s="1" t="s">
        <v>3467</v>
      </c>
      <c r="D266" s="1" t="s">
        <v>176</v>
      </c>
      <c r="E266" s="1" t="s">
        <v>3468</v>
      </c>
      <c r="F266" s="1" t="s">
        <v>112</v>
      </c>
      <c r="G266" s="1">
        <v>132872</v>
      </c>
    </row>
    <row r="267" spans="1:7" x14ac:dyDescent="0.25">
      <c r="A267" s="1" t="str">
        <f t="shared" si="4"/>
        <v>3</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67" s="1" t="s">
        <v>3469</v>
      </c>
      <c r="D267" s="1" t="s">
        <v>3470</v>
      </c>
      <c r="E267" s="1" t="s">
        <v>3471</v>
      </c>
      <c r="F267" s="1" t="s">
        <v>112</v>
      </c>
      <c r="G267" s="1">
        <v>213422</v>
      </c>
    </row>
    <row r="268" spans="1:7" x14ac:dyDescent="0.25">
      <c r="A268" s="1" t="str">
        <f t="shared" si="4"/>
        <v>3</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68" s="1" t="s">
        <v>3472</v>
      </c>
      <c r="D268" s="1" t="s">
        <v>173</v>
      </c>
      <c r="E268" s="1" t="s">
        <v>3473</v>
      </c>
      <c r="F268" s="1" t="s">
        <v>112</v>
      </c>
      <c r="G268" s="1">
        <v>159153</v>
      </c>
    </row>
    <row r="269" spans="1:7" x14ac:dyDescent="0.25">
      <c r="A269" s="1" t="str">
        <f t="shared" si="4"/>
        <v>3</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69" s="1" t="s">
        <v>3474</v>
      </c>
      <c r="D269" s="1" t="s">
        <v>333</v>
      </c>
      <c r="E269" s="1" t="s">
        <v>3475</v>
      </c>
      <c r="F269" s="1" t="s">
        <v>112</v>
      </c>
      <c r="G269" s="1">
        <v>46483</v>
      </c>
    </row>
    <row r="270" spans="1:7" x14ac:dyDescent="0.25">
      <c r="A270" s="1" t="str">
        <f t="shared" si="4"/>
        <v>3</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70" s="1" t="s">
        <v>3476</v>
      </c>
      <c r="D270" s="1" t="s">
        <v>3477</v>
      </c>
      <c r="E270" s="1" t="s">
        <v>3478</v>
      </c>
      <c r="F270" s="1" t="s">
        <v>112</v>
      </c>
      <c r="G270" s="1">
        <v>167048</v>
      </c>
    </row>
    <row r="271" spans="1:7" x14ac:dyDescent="0.25">
      <c r="A271" s="1" t="str">
        <f t="shared" si="4"/>
        <v>3</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71" s="1" t="s">
        <v>3479</v>
      </c>
      <c r="D271" s="1">
        <v>0</v>
      </c>
      <c r="E271" s="1">
        <v>0</v>
      </c>
      <c r="F271" s="1" t="s">
        <v>112</v>
      </c>
      <c r="G271" s="1">
        <v>0</v>
      </c>
    </row>
    <row r="272" spans="1:7" x14ac:dyDescent="0.25">
      <c r="A272" s="1" t="str">
        <f t="shared" si="4"/>
        <v>3</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72" s="1" t="s">
        <v>3480</v>
      </c>
      <c r="D272" s="1">
        <v>0</v>
      </c>
      <c r="E272" s="1">
        <v>0</v>
      </c>
      <c r="F272" s="1" t="s">
        <v>112</v>
      </c>
      <c r="G272" s="1">
        <v>0</v>
      </c>
    </row>
    <row r="273" spans="1:10" x14ac:dyDescent="0.25">
      <c r="A273" s="1" t="str">
        <f t="shared" si="4"/>
        <v>3</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73" s="1" t="s">
        <v>3481</v>
      </c>
      <c r="D273" s="1" t="s">
        <v>2374</v>
      </c>
      <c r="E273" s="1" t="s">
        <v>3482</v>
      </c>
      <c r="F273" s="1" t="s">
        <v>112</v>
      </c>
      <c r="G273" s="1">
        <v>371731</v>
      </c>
    </row>
    <row r="274" spans="1:10" x14ac:dyDescent="0.25">
      <c r="A274" s="1" t="str">
        <f t="shared" si="4"/>
        <v>3</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74" s="1" t="s">
        <v>3483</v>
      </c>
    </row>
    <row r="275" spans="1:10" x14ac:dyDescent="0.25">
      <c r="A275" s="1" t="str">
        <f t="shared" si="4"/>
        <v>3</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75" s="1" t="s">
        <v>3484</v>
      </c>
      <c r="D275" s="1" t="s">
        <v>1933</v>
      </c>
      <c r="E275" s="1" t="s">
        <v>3485</v>
      </c>
      <c r="F275" s="1" t="s">
        <v>112</v>
      </c>
      <c r="G275" s="1">
        <v>362063</v>
      </c>
    </row>
    <row r="276" spans="1:10" x14ac:dyDescent="0.25">
      <c r="A276" s="1" t="str">
        <f t="shared" si="4"/>
        <v>3</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76" s="1" t="s">
        <v>3486</v>
      </c>
      <c r="D276" s="1" t="s">
        <v>3012</v>
      </c>
      <c r="E276" s="1" t="s">
        <v>3487</v>
      </c>
      <c r="F276" s="1" t="s">
        <v>112</v>
      </c>
      <c r="G276" s="1">
        <v>88920</v>
      </c>
    </row>
    <row r="277" spans="1:10" x14ac:dyDescent="0.25">
      <c r="A277" s="1" t="str">
        <f t="shared" si="4"/>
        <v>3</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77" s="1" t="s">
        <v>3488</v>
      </c>
      <c r="D277" s="1" t="s">
        <v>3489</v>
      </c>
      <c r="E277" s="1" t="s">
        <v>3490</v>
      </c>
      <c r="F277" s="1" t="s">
        <v>112</v>
      </c>
      <c r="G277" s="1">
        <v>66231</v>
      </c>
    </row>
    <row r="278" spans="1:10" x14ac:dyDescent="0.25">
      <c r="A278" s="1" t="str">
        <f t="shared" si="4"/>
        <v>3</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78" s="1" t="s">
        <v>3491</v>
      </c>
      <c r="D278" s="1" t="s">
        <v>322</v>
      </c>
      <c r="E278" s="1" t="s">
        <v>3492</v>
      </c>
      <c r="F278" s="1" t="s">
        <v>112</v>
      </c>
      <c r="G278" s="1">
        <v>81718</v>
      </c>
    </row>
    <row r="279" spans="1:10" x14ac:dyDescent="0.25">
      <c r="A279" s="1" t="str">
        <f t="shared" si="4"/>
        <v>3</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79" s="1" t="s">
        <v>3493</v>
      </c>
    </row>
    <row r="280" spans="1:10" x14ac:dyDescent="0.25">
      <c r="A280" s="1" t="str">
        <f t="shared" si="4"/>
        <v/>
      </c>
      <c r="B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0" s="1" t="s">
        <v>112</v>
      </c>
    </row>
    <row r="281" spans="1:10" x14ac:dyDescent="0.25">
      <c r="A281" s="1" t="str">
        <f t="shared" si="4"/>
        <v/>
      </c>
      <c r="B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1" s="1" t="s">
        <v>237</v>
      </c>
      <c r="D281" s="1" t="s">
        <v>112</v>
      </c>
      <c r="E281" s="1" t="s">
        <v>238</v>
      </c>
      <c r="F281" s="1" t="s">
        <v>239</v>
      </c>
      <c r="G281" s="1" t="s">
        <v>240</v>
      </c>
      <c r="H281" s="1" t="s">
        <v>241</v>
      </c>
      <c r="I281" s="1" t="s">
        <v>242</v>
      </c>
      <c r="J281" s="1" t="s">
        <v>243</v>
      </c>
    </row>
    <row r="282" spans="1:10" x14ac:dyDescent="0.25">
      <c r="A282" s="1" t="str">
        <f t="shared" si="4"/>
        <v>3</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2" s="1" t="s">
        <v>3494</v>
      </c>
      <c r="D282" s="1" t="s">
        <v>112</v>
      </c>
      <c r="E282" s="1" t="s">
        <v>3495</v>
      </c>
      <c r="F282" s="1" t="s">
        <v>3496</v>
      </c>
      <c r="G282" s="1">
        <v>271735</v>
      </c>
      <c r="H282" s="1" t="s">
        <v>3497</v>
      </c>
      <c r="I282" s="1">
        <v>30</v>
      </c>
      <c r="J282" s="1">
        <v>32</v>
      </c>
    </row>
    <row r="283" spans="1:10" x14ac:dyDescent="0.25">
      <c r="A283" s="1" t="str">
        <f t="shared" si="4"/>
        <v/>
      </c>
      <c r="B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3" s="1" t="s">
        <v>112</v>
      </c>
    </row>
    <row r="284" spans="1:10" x14ac:dyDescent="0.25">
      <c r="A284" s="1" t="str">
        <f t="shared" si="4"/>
        <v/>
      </c>
      <c r="B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4" s="1" t="s">
        <v>112</v>
      </c>
    </row>
    <row r="285" spans="1:10" x14ac:dyDescent="0.25">
      <c r="A285" s="1" t="str">
        <f t="shared" si="4"/>
        <v/>
      </c>
      <c r="B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5" s="1" t="s">
        <v>112</v>
      </c>
    </row>
    <row r="286" spans="1:10" x14ac:dyDescent="0.25">
      <c r="A286" s="1" t="str">
        <f t="shared" si="4"/>
        <v/>
      </c>
      <c r="B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6" s="1" t="s">
        <v>112</v>
      </c>
    </row>
    <row r="287" spans="1:10" x14ac:dyDescent="0.25">
      <c r="A287" s="1" t="str">
        <f t="shared" si="4"/>
        <v/>
      </c>
      <c r="B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7" s="1" t="s">
        <v>112</v>
      </c>
    </row>
    <row r="288" spans="1:10" x14ac:dyDescent="0.25">
      <c r="A288" s="1" t="str">
        <f t="shared" si="4"/>
        <v/>
      </c>
      <c r="B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8" s="1" t="s">
        <v>249</v>
      </c>
      <c r="D288" s="1" t="s">
        <v>110</v>
      </c>
      <c r="E288" s="1" t="s">
        <v>111</v>
      </c>
      <c r="F288" s="1" t="s">
        <v>112</v>
      </c>
      <c r="G288" s="1" t="s">
        <v>113</v>
      </c>
    </row>
    <row r="289" spans="1:7" x14ac:dyDescent="0.25">
      <c r="A289" s="1" t="str">
        <f t="shared" si="4"/>
        <v>4</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89" s="1" t="s">
        <v>3498</v>
      </c>
      <c r="D289" s="1" t="s">
        <v>3499</v>
      </c>
      <c r="E289" s="1" t="s">
        <v>3500</v>
      </c>
      <c r="F289" s="1" t="s">
        <v>112</v>
      </c>
      <c r="G289" s="1">
        <v>1001226</v>
      </c>
    </row>
    <row r="290" spans="1:7" x14ac:dyDescent="0.25">
      <c r="A290" s="1" t="str">
        <f t="shared" si="4"/>
        <v>4</v>
      </c>
      <c r="B2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0" s="1" t="s">
        <v>3501</v>
      </c>
      <c r="D290" s="1" t="s">
        <v>3441</v>
      </c>
      <c r="E290" s="1" t="s">
        <v>3502</v>
      </c>
      <c r="F290" s="1" t="s">
        <v>112</v>
      </c>
      <c r="G290" s="1">
        <v>1210906</v>
      </c>
    </row>
    <row r="291" spans="1:7" x14ac:dyDescent="0.25">
      <c r="A291" s="1" t="str">
        <f t="shared" si="4"/>
        <v>4</v>
      </c>
      <c r="B2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1" s="1" t="s">
        <v>3503</v>
      </c>
    </row>
    <row r="292" spans="1:7" x14ac:dyDescent="0.25">
      <c r="A292" s="1" t="str">
        <f t="shared" si="4"/>
        <v>4</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2" s="1" t="s">
        <v>3504</v>
      </c>
    </row>
    <row r="293" spans="1:7" x14ac:dyDescent="0.25">
      <c r="A293" s="1" t="str">
        <f t="shared" si="4"/>
        <v>4</v>
      </c>
      <c r="B2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93" s="1" t="s">
        <v>3505</v>
      </c>
      <c r="D293" s="1" t="s">
        <v>322</v>
      </c>
      <c r="E293" s="1" t="s">
        <v>3506</v>
      </c>
      <c r="F293" s="1" t="s">
        <v>112</v>
      </c>
      <c r="G293" s="1">
        <v>75856</v>
      </c>
    </row>
    <row r="294" spans="1:7" x14ac:dyDescent="0.25">
      <c r="A294" s="1" t="str">
        <f t="shared" si="4"/>
        <v>4</v>
      </c>
      <c r="B2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94" s="1" t="s">
        <v>3507</v>
      </c>
    </row>
    <row r="295" spans="1:7" x14ac:dyDescent="0.25">
      <c r="A295" s="1" t="str">
        <f t="shared" si="4"/>
        <v>4</v>
      </c>
      <c r="B2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95" s="1" t="s">
        <v>3508</v>
      </c>
      <c r="D295" s="1" t="s">
        <v>3509</v>
      </c>
      <c r="E295" s="1" t="s">
        <v>3510</v>
      </c>
      <c r="F295" s="1" t="s">
        <v>112</v>
      </c>
      <c r="G295" s="1">
        <v>188223</v>
      </c>
    </row>
    <row r="296" spans="1:7" x14ac:dyDescent="0.25">
      <c r="A296" s="1" t="str">
        <f t="shared" si="4"/>
        <v>4</v>
      </c>
      <c r="B2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96" s="1" t="s">
        <v>3511</v>
      </c>
    </row>
    <row r="297" spans="1:7" x14ac:dyDescent="0.25">
      <c r="A297" s="1" t="str">
        <f t="shared" si="4"/>
        <v>4</v>
      </c>
      <c r="B2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97" s="1" t="s">
        <v>3512</v>
      </c>
      <c r="D297" s="1" t="s">
        <v>648</v>
      </c>
      <c r="E297" s="1" t="s">
        <v>3513</v>
      </c>
      <c r="F297" s="1" t="s">
        <v>112</v>
      </c>
      <c r="G297" s="1">
        <v>95496</v>
      </c>
    </row>
    <row r="298" spans="1:7" x14ac:dyDescent="0.25">
      <c r="A298" s="1" t="str">
        <f t="shared" si="4"/>
        <v>4</v>
      </c>
      <c r="B2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98" s="1" t="s">
        <v>3514</v>
      </c>
      <c r="D298" s="1" t="s">
        <v>532</v>
      </c>
      <c r="E298" s="1" t="s">
        <v>3515</v>
      </c>
      <c r="F298" s="1" t="s">
        <v>112</v>
      </c>
      <c r="G298" s="1">
        <v>96383</v>
      </c>
    </row>
    <row r="299" spans="1:7" x14ac:dyDescent="0.25">
      <c r="A299" s="1" t="str">
        <f t="shared" si="4"/>
        <v>4</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99" s="1" t="s">
        <v>3516</v>
      </c>
      <c r="D299" s="1" t="s">
        <v>3517</v>
      </c>
      <c r="E299" s="1" t="s">
        <v>3518</v>
      </c>
      <c r="F299" s="1" t="s">
        <v>112</v>
      </c>
      <c r="G299" s="1">
        <v>179636</v>
      </c>
    </row>
    <row r="300" spans="1:7" x14ac:dyDescent="0.25">
      <c r="A300" s="1" t="str">
        <f t="shared" si="4"/>
        <v>4</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0" s="1" t="s">
        <v>3519</v>
      </c>
      <c r="D300" s="1" t="s">
        <v>571</v>
      </c>
      <c r="E300" s="1" t="s">
        <v>3520</v>
      </c>
      <c r="F300" s="1" t="s">
        <v>112</v>
      </c>
      <c r="G300" s="1">
        <v>108647</v>
      </c>
    </row>
    <row r="301" spans="1:7" x14ac:dyDescent="0.25">
      <c r="A301" s="1" t="str">
        <f t="shared" si="4"/>
        <v>4</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1" s="1" t="s">
        <v>3521</v>
      </c>
    </row>
    <row r="302" spans="1:7" x14ac:dyDescent="0.25">
      <c r="A302" s="1" t="str">
        <f t="shared" si="4"/>
        <v>4</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2" s="1" t="s">
        <v>3522</v>
      </c>
      <c r="D302" s="1" t="s">
        <v>3523</v>
      </c>
      <c r="E302" s="1" t="s">
        <v>3524</v>
      </c>
      <c r="F302" s="1" t="s">
        <v>112</v>
      </c>
      <c r="G302" s="1">
        <v>158655</v>
      </c>
    </row>
    <row r="303" spans="1:7" x14ac:dyDescent="0.25">
      <c r="A303" s="1" t="str">
        <f t="shared" si="4"/>
        <v>4</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3" s="1" t="s">
        <v>3525</v>
      </c>
      <c r="D303" s="1" t="s">
        <v>2003</v>
      </c>
      <c r="E303" s="1" t="s">
        <v>3526</v>
      </c>
      <c r="F303" s="1" t="s">
        <v>112</v>
      </c>
      <c r="G303" s="1">
        <v>107976</v>
      </c>
    </row>
    <row r="304" spans="1:7" x14ac:dyDescent="0.25">
      <c r="A304" s="1" t="str">
        <f t="shared" si="4"/>
        <v>4</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4" s="1" t="s">
        <v>3527</v>
      </c>
      <c r="D304" s="1" t="s">
        <v>3431</v>
      </c>
      <c r="E304" s="1" t="s">
        <v>3528</v>
      </c>
      <c r="F304" s="1" t="s">
        <v>112</v>
      </c>
      <c r="G304" s="1">
        <v>9582</v>
      </c>
    </row>
    <row r="305" spans="1:7" x14ac:dyDescent="0.25">
      <c r="A305" s="1" t="str">
        <f t="shared" si="4"/>
        <v>4</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05" s="1" t="s">
        <v>3529</v>
      </c>
      <c r="D305" s="1" t="s">
        <v>1274</v>
      </c>
      <c r="E305" s="1" t="s">
        <v>3530</v>
      </c>
      <c r="F305" s="1" t="s">
        <v>112</v>
      </c>
      <c r="G305" s="1">
        <v>108928</v>
      </c>
    </row>
    <row r="306" spans="1:7" x14ac:dyDescent="0.25">
      <c r="A306" s="1" t="str">
        <f t="shared" si="4"/>
        <v>4</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06" s="1" t="s">
        <v>3531</v>
      </c>
      <c r="D306" s="1" t="s">
        <v>306</v>
      </c>
      <c r="E306" s="1" t="s">
        <v>3532</v>
      </c>
      <c r="F306" s="1" t="s">
        <v>112</v>
      </c>
      <c r="G306" s="1">
        <v>58163</v>
      </c>
    </row>
    <row r="307" spans="1:7" x14ac:dyDescent="0.25">
      <c r="A307" s="1" t="str">
        <f t="shared" si="4"/>
        <v>4</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07" s="1" t="s">
        <v>3533</v>
      </c>
      <c r="D307" s="1" t="s">
        <v>3534</v>
      </c>
      <c r="E307" s="1" t="s">
        <v>3535</v>
      </c>
      <c r="F307" s="1" t="s">
        <v>112</v>
      </c>
      <c r="G307" s="1">
        <v>483709</v>
      </c>
    </row>
    <row r="308" spans="1:7" x14ac:dyDescent="0.25">
      <c r="A308" s="1" t="str">
        <f t="shared" si="4"/>
        <v>4</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08" s="1" t="s">
        <v>3536</v>
      </c>
      <c r="D308" s="1" t="s">
        <v>3537</v>
      </c>
      <c r="E308" s="1" t="s">
        <v>3538</v>
      </c>
      <c r="F308" s="1" t="s">
        <v>112</v>
      </c>
      <c r="G308" s="1">
        <v>631831</v>
      </c>
    </row>
    <row r="309" spans="1:7" x14ac:dyDescent="0.25">
      <c r="A309" s="1" t="str">
        <f t="shared" si="4"/>
        <v>4</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09" s="1" t="s">
        <v>3539</v>
      </c>
      <c r="D309" s="1" t="s">
        <v>1603</v>
      </c>
      <c r="E309" s="1" t="s">
        <v>3540</v>
      </c>
      <c r="F309" s="1" t="s">
        <v>112</v>
      </c>
      <c r="G309" s="1">
        <v>315883</v>
      </c>
    </row>
    <row r="310" spans="1:7" x14ac:dyDescent="0.25">
      <c r="A310" s="1" t="str">
        <f t="shared" si="4"/>
        <v>4</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0" s="1" t="s">
        <v>3541</v>
      </c>
      <c r="D310" s="1" t="s">
        <v>1945</v>
      </c>
      <c r="E310" s="1" t="s">
        <v>3542</v>
      </c>
      <c r="F310" s="1" t="s">
        <v>112</v>
      </c>
      <c r="G310" s="1">
        <v>358429</v>
      </c>
    </row>
    <row r="311" spans="1:7" x14ac:dyDescent="0.25">
      <c r="A311" s="1" t="str">
        <f t="shared" si="4"/>
        <v>4</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1" s="1" t="s">
        <v>3543</v>
      </c>
      <c r="D311" s="1" t="s">
        <v>3544</v>
      </c>
      <c r="E311" s="1" t="s">
        <v>3545</v>
      </c>
      <c r="F311" s="1" t="s">
        <v>112</v>
      </c>
      <c r="G311" s="1">
        <v>432555</v>
      </c>
    </row>
    <row r="312" spans="1:7" x14ac:dyDescent="0.25">
      <c r="A312" s="1" t="str">
        <f t="shared" si="4"/>
        <v>4</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2" s="1" t="s">
        <v>3546</v>
      </c>
      <c r="D312" s="1" t="s">
        <v>3547</v>
      </c>
      <c r="E312" s="1" t="s">
        <v>3548</v>
      </c>
      <c r="F312" s="1" t="s">
        <v>112</v>
      </c>
      <c r="G312" s="1">
        <v>489160</v>
      </c>
    </row>
    <row r="313" spans="1:7" x14ac:dyDescent="0.25">
      <c r="A313" s="1" t="str">
        <f t="shared" si="4"/>
        <v>4</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3" s="1" t="s">
        <v>3549</v>
      </c>
      <c r="D313" s="1" t="s">
        <v>3550</v>
      </c>
      <c r="E313" s="1" t="s">
        <v>3551</v>
      </c>
      <c r="F313" s="1" t="s">
        <v>112</v>
      </c>
      <c r="G313" s="1">
        <v>432728</v>
      </c>
    </row>
    <row r="314" spans="1:7" x14ac:dyDescent="0.25">
      <c r="A314" s="1" t="str">
        <f t="shared" si="4"/>
        <v>4</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4" s="1" t="s">
        <v>3552</v>
      </c>
      <c r="D314" s="1" t="s">
        <v>3553</v>
      </c>
      <c r="E314" s="1" t="s">
        <v>3554</v>
      </c>
      <c r="F314" s="1" t="s">
        <v>112</v>
      </c>
      <c r="G314" s="1">
        <v>559933</v>
      </c>
    </row>
    <row r="315" spans="1:7" x14ac:dyDescent="0.25">
      <c r="A315" s="1" t="str">
        <f t="shared" si="4"/>
        <v>4</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5" s="1" t="s">
        <v>3555</v>
      </c>
      <c r="D315" s="1" t="s">
        <v>3556</v>
      </c>
      <c r="E315" s="1" t="s">
        <v>3557</v>
      </c>
      <c r="F315" s="1" t="s">
        <v>112</v>
      </c>
      <c r="G315" s="1">
        <v>837055</v>
      </c>
    </row>
    <row r="316" spans="1:7" x14ac:dyDescent="0.25">
      <c r="A316" s="1" t="str">
        <f t="shared" si="4"/>
        <v>4</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6" s="1" t="s">
        <v>3558</v>
      </c>
      <c r="D316" s="1" t="s">
        <v>3559</v>
      </c>
      <c r="E316" s="1" t="s">
        <v>3560</v>
      </c>
      <c r="F316" s="1" t="s">
        <v>112</v>
      </c>
      <c r="G316" s="1">
        <v>972069</v>
      </c>
    </row>
    <row r="317" spans="1:7" x14ac:dyDescent="0.25">
      <c r="A317" s="1" t="str">
        <f t="shared" si="4"/>
        <v>4</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17" s="1" t="s">
        <v>3561</v>
      </c>
      <c r="D317" s="1" t="s">
        <v>3562</v>
      </c>
      <c r="E317" s="1" t="s">
        <v>3563</v>
      </c>
      <c r="F317" s="1" t="s">
        <v>112</v>
      </c>
      <c r="G317" s="1">
        <v>426217</v>
      </c>
    </row>
    <row r="318" spans="1:7" x14ac:dyDescent="0.25">
      <c r="A318" s="1" t="str">
        <f t="shared" si="4"/>
        <v>4</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18" s="1" t="s">
        <v>3564</v>
      </c>
      <c r="D318" s="1" t="s">
        <v>3565</v>
      </c>
      <c r="E318" s="1" t="s">
        <v>3566</v>
      </c>
      <c r="F318" s="1" t="s">
        <v>112</v>
      </c>
      <c r="G318" s="1">
        <v>562550</v>
      </c>
    </row>
    <row r="319" spans="1:7" x14ac:dyDescent="0.25">
      <c r="A319" s="1" t="str">
        <f t="shared" si="4"/>
        <v>4</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19" s="1" t="s">
        <v>3567</v>
      </c>
      <c r="D319" s="1" t="s">
        <v>3568</v>
      </c>
      <c r="E319" s="1" t="s">
        <v>3569</v>
      </c>
      <c r="F319" s="1" t="s">
        <v>112</v>
      </c>
      <c r="G319" s="1">
        <v>434588</v>
      </c>
    </row>
    <row r="320" spans="1:7" x14ac:dyDescent="0.25">
      <c r="A320" s="1" t="str">
        <f t="shared" si="4"/>
        <v>4</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3570</v>
      </c>
      <c r="D320" s="1" t="s">
        <v>3571</v>
      </c>
      <c r="E320" s="1" t="s">
        <v>3572</v>
      </c>
      <c r="F320" s="1" t="s">
        <v>112</v>
      </c>
      <c r="G320" s="1">
        <v>516695</v>
      </c>
    </row>
    <row r="321" spans="1:10" x14ac:dyDescent="0.25">
      <c r="A321" s="1" t="str">
        <f t="shared" si="4"/>
        <v/>
      </c>
      <c r="B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1" s="1" t="s">
        <v>112</v>
      </c>
    </row>
    <row r="322" spans="1:10" x14ac:dyDescent="0.25">
      <c r="A322" s="1" t="str">
        <f t="shared" ref="A322:A385" si="5">IFERROR(LEFT(RIGHT(C322,LEN(C322)-SEARCH("@",C322)),SEARCH("/",RIGHT(C322,LEN(C322)-SEARCH("@",C322)-1))),"")</f>
        <v/>
      </c>
      <c r="B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2" s="1" t="s">
        <v>237</v>
      </c>
      <c r="D322" s="1" t="s">
        <v>112</v>
      </c>
      <c r="E322" s="1" t="s">
        <v>238</v>
      </c>
      <c r="F322" s="1" t="s">
        <v>239</v>
      </c>
      <c r="G322" s="1" t="s">
        <v>240</v>
      </c>
      <c r="H322" s="1" t="s">
        <v>241</v>
      </c>
      <c r="I322" s="1" t="s">
        <v>242</v>
      </c>
      <c r="J322" s="1" t="s">
        <v>243</v>
      </c>
    </row>
    <row r="323" spans="1:10" x14ac:dyDescent="0.25">
      <c r="A323" s="1" t="str">
        <f t="shared" si="5"/>
        <v>4</v>
      </c>
      <c r="B3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3" s="1" t="s">
        <v>3573</v>
      </c>
      <c r="D323" s="1" t="s">
        <v>112</v>
      </c>
      <c r="E323" s="1" t="s">
        <v>3574</v>
      </c>
      <c r="F323" s="1" t="s">
        <v>3575</v>
      </c>
      <c r="G323" s="1" t="s">
        <v>3576</v>
      </c>
      <c r="H323" s="1" t="s">
        <v>3577</v>
      </c>
      <c r="I323" s="1">
        <v>32</v>
      </c>
      <c r="J323" s="1">
        <v>32</v>
      </c>
    </row>
    <row r="324" spans="1:10" x14ac:dyDescent="0.2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112</v>
      </c>
    </row>
    <row r="325" spans="1:10" x14ac:dyDescent="0.25">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5" s="1" t="s">
        <v>112</v>
      </c>
    </row>
    <row r="326" spans="1:10" x14ac:dyDescent="0.2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10" x14ac:dyDescent="0.2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10" x14ac:dyDescent="0.2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10" x14ac:dyDescent="0.2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249</v>
      </c>
      <c r="D329" s="1" t="s">
        <v>110</v>
      </c>
      <c r="E329" s="1" t="s">
        <v>111</v>
      </c>
      <c r="F329" s="1" t="s">
        <v>112</v>
      </c>
      <c r="G329" s="1" t="s">
        <v>113</v>
      </c>
    </row>
    <row r="330" spans="1:10" x14ac:dyDescent="0.25">
      <c r="A330" s="1" t="str">
        <f t="shared" si="5"/>
        <v>5</v>
      </c>
      <c r="B3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0" s="1" t="s">
        <v>3578</v>
      </c>
    </row>
    <row r="331" spans="1:10" x14ac:dyDescent="0.25">
      <c r="A331" s="1" t="str">
        <f t="shared" si="5"/>
        <v>5</v>
      </c>
      <c r="B3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1" s="1" t="s">
        <v>3579</v>
      </c>
      <c r="D331" s="1" t="s">
        <v>3580</v>
      </c>
      <c r="E331" s="1" t="s">
        <v>3581</v>
      </c>
      <c r="F331" s="1" t="s">
        <v>112</v>
      </c>
      <c r="G331" s="1">
        <v>787480</v>
      </c>
    </row>
    <row r="332" spans="1:10" x14ac:dyDescent="0.25">
      <c r="A332" s="1" t="str">
        <f t="shared" si="5"/>
        <v>5</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3582</v>
      </c>
    </row>
    <row r="333" spans="1:10" x14ac:dyDescent="0.25">
      <c r="A333" s="1" t="str">
        <f t="shared" si="5"/>
        <v>5</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3583</v>
      </c>
    </row>
    <row r="334" spans="1:10" x14ac:dyDescent="0.25">
      <c r="A334" s="1" t="str">
        <f t="shared" si="5"/>
        <v>5</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4" s="1" t="s">
        <v>3584</v>
      </c>
      <c r="D334" s="1" t="s">
        <v>3585</v>
      </c>
      <c r="E334" s="1" t="s">
        <v>3586</v>
      </c>
      <c r="F334" s="1" t="s">
        <v>112</v>
      </c>
      <c r="G334" s="1">
        <v>2603136</v>
      </c>
    </row>
    <row r="335" spans="1:10" x14ac:dyDescent="0.25">
      <c r="A335" s="1" t="str">
        <f t="shared" si="5"/>
        <v>5</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3587</v>
      </c>
      <c r="D335" s="1" t="s">
        <v>3588</v>
      </c>
      <c r="E335" s="1" t="s">
        <v>3589</v>
      </c>
      <c r="F335" s="1" t="s">
        <v>112</v>
      </c>
      <c r="G335" s="1">
        <v>2139824</v>
      </c>
    </row>
    <row r="336" spans="1:10" x14ac:dyDescent="0.25">
      <c r="A336" s="1" t="str">
        <f t="shared" si="5"/>
        <v>5</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3590</v>
      </c>
      <c r="D336" s="1" t="s">
        <v>1870</v>
      </c>
      <c r="E336" s="1" t="s">
        <v>3591</v>
      </c>
      <c r="F336" s="1" t="s">
        <v>112</v>
      </c>
      <c r="G336" s="1">
        <v>2163054</v>
      </c>
    </row>
    <row r="337" spans="1:7" x14ac:dyDescent="0.25">
      <c r="A337" s="1" t="str">
        <f t="shared" si="5"/>
        <v>5</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3592</v>
      </c>
      <c r="D337" s="1" t="s">
        <v>3593</v>
      </c>
      <c r="E337" s="1" t="s">
        <v>3594</v>
      </c>
      <c r="F337" s="1" t="s">
        <v>112</v>
      </c>
      <c r="G337" s="1">
        <v>2184511</v>
      </c>
    </row>
    <row r="338" spans="1:7" x14ac:dyDescent="0.25">
      <c r="A338" s="1" t="str">
        <f t="shared" si="5"/>
        <v>5</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3595</v>
      </c>
      <c r="D338" s="1" t="s">
        <v>3596</v>
      </c>
      <c r="E338" s="1" t="s">
        <v>3597</v>
      </c>
      <c r="F338" s="1" t="s">
        <v>112</v>
      </c>
      <c r="G338" s="1">
        <v>3210309</v>
      </c>
    </row>
    <row r="339" spans="1:7" x14ac:dyDescent="0.25">
      <c r="A339" s="1" t="str">
        <f t="shared" si="5"/>
        <v>5</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3598</v>
      </c>
      <c r="D339" s="1" t="s">
        <v>3599</v>
      </c>
      <c r="E339" s="1" t="s">
        <v>3600</v>
      </c>
      <c r="F339" s="1" t="s">
        <v>112</v>
      </c>
      <c r="G339" s="1">
        <v>2810394</v>
      </c>
    </row>
    <row r="340" spans="1:7" x14ac:dyDescent="0.25">
      <c r="A340" s="1" t="str">
        <f t="shared" si="5"/>
        <v>5</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3601</v>
      </c>
      <c r="D340" s="1" t="s">
        <v>3602</v>
      </c>
      <c r="E340" s="1" t="s">
        <v>3603</v>
      </c>
      <c r="F340" s="1" t="s">
        <v>112</v>
      </c>
      <c r="G340" s="1">
        <v>3075490</v>
      </c>
    </row>
    <row r="341" spans="1:7" x14ac:dyDescent="0.25">
      <c r="A341" s="1" t="str">
        <f t="shared" si="5"/>
        <v>5</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1" s="1" t="s">
        <v>3604</v>
      </c>
      <c r="D341" s="1" t="s">
        <v>3605</v>
      </c>
      <c r="E341" s="1" t="s">
        <v>3606</v>
      </c>
      <c r="F341" s="1" t="s">
        <v>112</v>
      </c>
      <c r="G341" s="1">
        <v>2836934</v>
      </c>
    </row>
    <row r="342" spans="1:7" x14ac:dyDescent="0.25">
      <c r="A342" s="1" t="str">
        <f t="shared" si="5"/>
        <v>5</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3607</v>
      </c>
      <c r="D342" s="1" t="s">
        <v>665</v>
      </c>
      <c r="E342" s="1" t="s">
        <v>3608</v>
      </c>
      <c r="F342" s="1" t="s">
        <v>112</v>
      </c>
      <c r="G342" s="1">
        <v>118013</v>
      </c>
    </row>
    <row r="343" spans="1:7" x14ac:dyDescent="0.25">
      <c r="A343" s="1" t="str">
        <f t="shared" si="5"/>
        <v>5</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3609</v>
      </c>
      <c r="D343" s="1" t="s">
        <v>3610</v>
      </c>
      <c r="E343" s="1" t="s">
        <v>3611</v>
      </c>
      <c r="F343" s="1" t="s">
        <v>112</v>
      </c>
      <c r="G343" s="1">
        <v>854056</v>
      </c>
    </row>
    <row r="344" spans="1:7" x14ac:dyDescent="0.25">
      <c r="A344" s="1" t="str">
        <f t="shared" si="5"/>
        <v>5</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4" s="1" t="s">
        <v>3612</v>
      </c>
      <c r="D344" s="1" t="s">
        <v>1268</v>
      </c>
      <c r="E344" s="1" t="s">
        <v>3613</v>
      </c>
      <c r="F344" s="1" t="s">
        <v>112</v>
      </c>
      <c r="G344" s="1">
        <v>99130</v>
      </c>
    </row>
    <row r="345" spans="1:7" x14ac:dyDescent="0.25">
      <c r="A345" s="1" t="str">
        <f t="shared" si="5"/>
        <v>5</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5" s="1" t="s">
        <v>3614</v>
      </c>
      <c r="D345" s="1" t="s">
        <v>3615</v>
      </c>
      <c r="E345" s="1" t="s">
        <v>3616</v>
      </c>
      <c r="F345" s="1" t="s">
        <v>112</v>
      </c>
      <c r="G345" s="1">
        <v>580308</v>
      </c>
    </row>
    <row r="346" spans="1:7" x14ac:dyDescent="0.25">
      <c r="A346" s="1" t="str">
        <f t="shared" si="5"/>
        <v>5</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3617</v>
      </c>
      <c r="D346" s="1" t="s">
        <v>3618</v>
      </c>
      <c r="E346" s="1" t="s">
        <v>3619</v>
      </c>
      <c r="F346" s="1" t="s">
        <v>112</v>
      </c>
      <c r="G346" s="1">
        <v>2593316</v>
      </c>
    </row>
    <row r="347" spans="1:7" x14ac:dyDescent="0.25">
      <c r="A347" s="1" t="str">
        <f t="shared" si="5"/>
        <v>5</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7" s="1" t="s">
        <v>3620</v>
      </c>
      <c r="D347" s="1" t="s">
        <v>3621</v>
      </c>
      <c r="E347" s="1" t="s">
        <v>3622</v>
      </c>
      <c r="F347" s="1" t="s">
        <v>112</v>
      </c>
      <c r="G347" s="1">
        <v>3066535</v>
      </c>
    </row>
    <row r="348" spans="1:7" x14ac:dyDescent="0.25">
      <c r="A348" s="1" t="str">
        <f t="shared" si="5"/>
        <v>5</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8" s="1" t="s">
        <v>3623</v>
      </c>
      <c r="D348" s="1" t="s">
        <v>3624</v>
      </c>
      <c r="E348" s="1" t="s">
        <v>3625</v>
      </c>
      <c r="F348" s="1" t="s">
        <v>112</v>
      </c>
      <c r="G348" s="1">
        <v>2210229</v>
      </c>
    </row>
    <row r="349" spans="1:7" x14ac:dyDescent="0.25">
      <c r="A349" s="1" t="str">
        <f t="shared" si="5"/>
        <v>5</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9" s="1" t="s">
        <v>3626</v>
      </c>
      <c r="D349" s="1" t="s">
        <v>3627</v>
      </c>
      <c r="E349" s="1" t="s">
        <v>3628</v>
      </c>
      <c r="F349" s="1" t="s">
        <v>112</v>
      </c>
      <c r="G349" s="1">
        <v>2522175</v>
      </c>
    </row>
    <row r="350" spans="1:7" x14ac:dyDescent="0.25">
      <c r="A350" s="1" t="str">
        <f t="shared" si="5"/>
        <v>5</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50" s="1" t="s">
        <v>3629</v>
      </c>
    </row>
    <row r="351" spans="1:7" x14ac:dyDescent="0.25">
      <c r="A351" s="1" t="str">
        <f t="shared" si="5"/>
        <v>5</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51" s="1" t="s">
        <v>3630</v>
      </c>
      <c r="D351" s="1" t="s">
        <v>3550</v>
      </c>
      <c r="E351" s="1" t="s">
        <v>3631</v>
      </c>
      <c r="F351" s="1" t="s">
        <v>112</v>
      </c>
      <c r="G351" s="1">
        <v>459116</v>
      </c>
    </row>
    <row r="352" spans="1:7" x14ac:dyDescent="0.25">
      <c r="A352" s="1" t="str">
        <f t="shared" si="5"/>
        <v>5</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52" s="1" t="s">
        <v>3632</v>
      </c>
    </row>
    <row r="353" spans="1:10" x14ac:dyDescent="0.25">
      <c r="A353" s="1" t="str">
        <f t="shared" si="5"/>
        <v>5</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53" s="1" t="s">
        <v>3633</v>
      </c>
      <c r="D353" s="1" t="s">
        <v>3634</v>
      </c>
      <c r="E353" s="1" t="s">
        <v>3635</v>
      </c>
      <c r="F353" s="1" t="s">
        <v>112</v>
      </c>
      <c r="G353" s="1">
        <v>197330</v>
      </c>
    </row>
    <row r="354" spans="1:10" x14ac:dyDescent="0.25">
      <c r="A354" s="1" t="str">
        <f t="shared" si="5"/>
        <v>5</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4" s="1" t="s">
        <v>3636</v>
      </c>
      <c r="D354" s="1" t="s">
        <v>3637</v>
      </c>
      <c r="E354" s="1" t="s">
        <v>3638</v>
      </c>
      <c r="F354" s="1" t="s">
        <v>112</v>
      </c>
      <c r="G354" s="1">
        <v>1573683</v>
      </c>
    </row>
    <row r="355" spans="1:10" x14ac:dyDescent="0.25">
      <c r="A355" s="1" t="str">
        <f t="shared" si="5"/>
        <v>5</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5" s="1" t="s">
        <v>3639</v>
      </c>
    </row>
    <row r="356" spans="1:10" x14ac:dyDescent="0.25">
      <c r="A356" s="1" t="str">
        <f t="shared" si="5"/>
        <v>5</v>
      </c>
      <c r="B3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6" s="1" t="s">
        <v>3640</v>
      </c>
    </row>
    <row r="357" spans="1:10" x14ac:dyDescent="0.25">
      <c r="A357" s="1" t="str">
        <f t="shared" si="5"/>
        <v>5</v>
      </c>
      <c r="B3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7" s="1" t="s">
        <v>3641</v>
      </c>
    </row>
    <row r="358" spans="1:10" x14ac:dyDescent="0.25">
      <c r="A358" s="1" t="str">
        <f t="shared" si="5"/>
        <v>5</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8" s="1" t="s">
        <v>3642</v>
      </c>
      <c r="D358" s="1" t="s">
        <v>3643</v>
      </c>
      <c r="E358" s="1" t="s">
        <v>3644</v>
      </c>
      <c r="F358" s="1" t="s">
        <v>112</v>
      </c>
      <c r="G358" s="1">
        <v>1796795</v>
      </c>
    </row>
    <row r="359" spans="1:10" x14ac:dyDescent="0.25">
      <c r="A359" s="1" t="str">
        <f t="shared" si="5"/>
        <v>5</v>
      </c>
      <c r="B3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9" s="1" t="s">
        <v>3645</v>
      </c>
      <c r="D359" s="1" t="s">
        <v>3646</v>
      </c>
      <c r="E359" s="1" t="s">
        <v>3647</v>
      </c>
      <c r="F359" s="1" t="s">
        <v>112</v>
      </c>
      <c r="G359" s="1">
        <v>1392792</v>
      </c>
    </row>
    <row r="360" spans="1:10" x14ac:dyDescent="0.25">
      <c r="A360" s="1" t="str">
        <f t="shared" si="5"/>
        <v>5</v>
      </c>
      <c r="B3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60" s="1" t="s">
        <v>3648</v>
      </c>
      <c r="D360" s="1" t="s">
        <v>3649</v>
      </c>
      <c r="E360" s="1" t="s">
        <v>3650</v>
      </c>
      <c r="F360" s="1" t="s">
        <v>112</v>
      </c>
      <c r="G360" s="1">
        <v>1465317</v>
      </c>
    </row>
    <row r="361" spans="1:10" x14ac:dyDescent="0.25">
      <c r="A361" s="1" t="str">
        <f t="shared" si="5"/>
        <v>5</v>
      </c>
      <c r="B3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61" s="1" t="s">
        <v>3651</v>
      </c>
      <c r="D361" s="1" t="s">
        <v>3652</v>
      </c>
      <c r="E361" s="1" t="s">
        <v>3653</v>
      </c>
      <c r="F361" s="1" t="s">
        <v>112</v>
      </c>
      <c r="G361" s="1">
        <v>1843949</v>
      </c>
    </row>
    <row r="362" spans="1:10" x14ac:dyDescent="0.2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10" x14ac:dyDescent="0.2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237</v>
      </c>
      <c r="D363" s="1" t="s">
        <v>112</v>
      </c>
      <c r="E363" s="1" t="s">
        <v>238</v>
      </c>
      <c r="F363" s="1" t="s">
        <v>239</v>
      </c>
      <c r="G363" s="1" t="s">
        <v>240</v>
      </c>
      <c r="H363" s="1" t="s">
        <v>241</v>
      </c>
      <c r="I363" s="1" t="s">
        <v>242</v>
      </c>
      <c r="J363" s="1" t="s">
        <v>243</v>
      </c>
    </row>
    <row r="364" spans="1:10" x14ac:dyDescent="0.25">
      <c r="A364" s="1" t="str">
        <f t="shared" si="5"/>
        <v>5</v>
      </c>
      <c r="B3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64" s="1" t="s">
        <v>3654</v>
      </c>
      <c r="D364" s="1" t="s">
        <v>112</v>
      </c>
      <c r="E364" s="1" t="s">
        <v>3655</v>
      </c>
      <c r="F364" s="1" t="s">
        <v>3656</v>
      </c>
      <c r="G364" s="1" t="s">
        <v>3657</v>
      </c>
      <c r="H364" s="1" t="s">
        <v>3658</v>
      </c>
      <c r="I364" s="1">
        <v>31</v>
      </c>
      <c r="J364" s="1">
        <v>32</v>
      </c>
    </row>
    <row r="365" spans="1:10" x14ac:dyDescent="0.25">
      <c r="A365" s="1" t="str">
        <f t="shared" si="5"/>
        <v/>
      </c>
      <c r="B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5" s="1" t="s">
        <v>112</v>
      </c>
    </row>
    <row r="366" spans="1:10" x14ac:dyDescent="0.25">
      <c r="A366" s="1" t="str">
        <f t="shared" si="5"/>
        <v/>
      </c>
      <c r="B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6" s="1" t="s">
        <v>112</v>
      </c>
    </row>
    <row r="367" spans="1:10" x14ac:dyDescent="0.25">
      <c r="A367" s="1" t="str">
        <f t="shared" si="5"/>
        <v/>
      </c>
      <c r="B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7" s="1" t="s">
        <v>112</v>
      </c>
    </row>
    <row r="368" spans="1:10" x14ac:dyDescent="0.25">
      <c r="A368" s="1" t="str">
        <f t="shared" si="5"/>
        <v/>
      </c>
      <c r="B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8" s="1" t="s">
        <v>112</v>
      </c>
    </row>
    <row r="369" spans="1:7" x14ac:dyDescent="0.25">
      <c r="A369" s="1" t="str">
        <f t="shared" si="5"/>
        <v/>
      </c>
      <c r="B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9" s="1" t="s">
        <v>112</v>
      </c>
    </row>
    <row r="370" spans="1:7" x14ac:dyDescent="0.25">
      <c r="A370" s="1" t="str">
        <f t="shared" si="5"/>
        <v/>
      </c>
      <c r="B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70" s="1" t="s">
        <v>249</v>
      </c>
      <c r="D370" s="1" t="s">
        <v>110</v>
      </c>
      <c r="E370" s="1" t="s">
        <v>111</v>
      </c>
      <c r="F370" s="1" t="s">
        <v>112</v>
      </c>
      <c r="G370" s="1" t="s">
        <v>113</v>
      </c>
    </row>
    <row r="371" spans="1:7" x14ac:dyDescent="0.25">
      <c r="A371" s="1" t="str">
        <f t="shared" si="5"/>
        <v>6</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1" s="1" t="s">
        <v>3659</v>
      </c>
      <c r="D371" s="1" t="s">
        <v>3660</v>
      </c>
      <c r="E371" s="1" t="s">
        <v>3661</v>
      </c>
      <c r="F371" s="1" t="s">
        <v>112</v>
      </c>
      <c r="G371" s="1">
        <v>3658783</v>
      </c>
    </row>
    <row r="372" spans="1:7" x14ac:dyDescent="0.25">
      <c r="A372" s="1" t="str">
        <f t="shared" si="5"/>
        <v>6</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2" s="1" t="s">
        <v>3662</v>
      </c>
      <c r="D372" s="1" t="s">
        <v>3663</v>
      </c>
      <c r="E372" s="1" t="s">
        <v>3664</v>
      </c>
      <c r="F372" s="1" t="s">
        <v>112</v>
      </c>
      <c r="G372" s="1">
        <v>3199689</v>
      </c>
    </row>
    <row r="373" spans="1:7" x14ac:dyDescent="0.25">
      <c r="A373" s="1" t="str">
        <f t="shared" si="5"/>
        <v>6</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3" s="1" t="s">
        <v>3665</v>
      </c>
      <c r="D373" s="1" t="s">
        <v>3666</v>
      </c>
      <c r="E373" s="1" t="s">
        <v>3667</v>
      </c>
      <c r="F373" s="1" t="s">
        <v>112</v>
      </c>
      <c r="G373" s="1">
        <v>3345582</v>
      </c>
    </row>
    <row r="374" spans="1:7" x14ac:dyDescent="0.25">
      <c r="A374" s="1" t="str">
        <f t="shared" si="5"/>
        <v>6</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4" s="1" t="s">
        <v>3668</v>
      </c>
      <c r="D374" s="1" t="s">
        <v>3669</v>
      </c>
      <c r="E374" s="1" t="s">
        <v>3670</v>
      </c>
      <c r="F374" s="1" t="s">
        <v>112</v>
      </c>
      <c r="G374" s="1">
        <v>3948148</v>
      </c>
    </row>
    <row r="375" spans="1:7" x14ac:dyDescent="0.25">
      <c r="A375" s="1" t="str">
        <f t="shared" si="5"/>
        <v>6</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5" s="1" t="s">
        <v>3671</v>
      </c>
    </row>
    <row r="376" spans="1:7" x14ac:dyDescent="0.25">
      <c r="A376" s="1" t="str">
        <f t="shared" si="5"/>
        <v>6</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6" s="1" t="s">
        <v>3672</v>
      </c>
    </row>
    <row r="377" spans="1:7" x14ac:dyDescent="0.25">
      <c r="A377" s="1" t="str">
        <f t="shared" si="5"/>
        <v>6</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7" s="1" t="s">
        <v>3673</v>
      </c>
    </row>
    <row r="378" spans="1:7" x14ac:dyDescent="0.25">
      <c r="A378" s="1" t="str">
        <f t="shared" si="5"/>
        <v>6</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8" s="1" t="s">
        <v>3674</v>
      </c>
    </row>
    <row r="379" spans="1:7" x14ac:dyDescent="0.25">
      <c r="A379" s="1" t="str">
        <f t="shared" si="5"/>
        <v>6</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9" s="1" t="s">
        <v>3675</v>
      </c>
      <c r="D379" s="1" t="s">
        <v>3676</v>
      </c>
      <c r="E379" s="1" t="s">
        <v>3677</v>
      </c>
      <c r="F379" s="1" t="s">
        <v>112</v>
      </c>
      <c r="G379" s="1">
        <v>3920397</v>
      </c>
    </row>
    <row r="380" spans="1:7" x14ac:dyDescent="0.25">
      <c r="A380" s="1" t="str">
        <f t="shared" si="5"/>
        <v>6</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80" s="1" t="s">
        <v>3678</v>
      </c>
      <c r="D380" s="1" t="s">
        <v>3679</v>
      </c>
      <c r="E380" s="1" t="s">
        <v>3680</v>
      </c>
      <c r="F380" s="1" t="s">
        <v>112</v>
      </c>
      <c r="G380" s="1">
        <v>4018229</v>
      </c>
    </row>
    <row r="381" spans="1:7" x14ac:dyDescent="0.25">
      <c r="A381" s="1" t="str">
        <f t="shared" si="5"/>
        <v>6</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81" s="1" t="s">
        <v>3681</v>
      </c>
      <c r="D381" s="1" t="s">
        <v>3682</v>
      </c>
      <c r="E381" s="1" t="s">
        <v>3683</v>
      </c>
      <c r="F381" s="1" t="s">
        <v>112</v>
      </c>
      <c r="G381" s="1">
        <v>3933980</v>
      </c>
    </row>
    <row r="382" spans="1:7" x14ac:dyDescent="0.25">
      <c r="A382" s="1" t="str">
        <f t="shared" si="5"/>
        <v>6</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82" s="1" t="s">
        <v>3684</v>
      </c>
      <c r="D382" s="1" t="s">
        <v>3685</v>
      </c>
      <c r="E382" s="1" t="s">
        <v>3686</v>
      </c>
      <c r="F382" s="1" t="s">
        <v>112</v>
      </c>
      <c r="G382" s="1">
        <v>4422492</v>
      </c>
    </row>
    <row r="383" spans="1:7" x14ac:dyDescent="0.25">
      <c r="A383" s="1" t="str">
        <f t="shared" si="5"/>
        <v>6</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83" s="1" t="s">
        <v>3687</v>
      </c>
      <c r="D383" s="1" t="s">
        <v>3688</v>
      </c>
      <c r="E383" s="1" t="s">
        <v>3689</v>
      </c>
      <c r="F383" s="1" t="s">
        <v>112</v>
      </c>
      <c r="G383" s="1">
        <v>3270613</v>
      </c>
    </row>
    <row r="384" spans="1:7" x14ac:dyDescent="0.25">
      <c r="A384" s="1" t="str">
        <f t="shared" si="5"/>
        <v>6</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84" s="1" t="s">
        <v>3690</v>
      </c>
      <c r="D384" s="1" t="s">
        <v>3691</v>
      </c>
      <c r="E384" s="1" t="s">
        <v>3692</v>
      </c>
      <c r="F384" s="1" t="s">
        <v>112</v>
      </c>
      <c r="G384" s="1">
        <v>3805975</v>
      </c>
    </row>
    <row r="385" spans="1:7" x14ac:dyDescent="0.25">
      <c r="A385" s="1" t="str">
        <f t="shared" si="5"/>
        <v>6</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85" s="1" t="s">
        <v>3693</v>
      </c>
      <c r="D385" s="1" t="s">
        <v>3694</v>
      </c>
      <c r="E385" s="1" t="s">
        <v>3695</v>
      </c>
      <c r="F385" s="1" t="s">
        <v>112</v>
      </c>
      <c r="G385" s="1">
        <v>3607737</v>
      </c>
    </row>
    <row r="386" spans="1:7" x14ac:dyDescent="0.25">
      <c r="A386" s="1" t="str">
        <f t="shared" ref="A386:A449" si="6">IFERROR(LEFT(RIGHT(C386,LEN(C386)-SEARCH("@",C386)),SEARCH("/",RIGHT(C386,LEN(C386)-SEARCH("@",C386)-1))),"")</f>
        <v>6</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86" s="1" t="s">
        <v>3696</v>
      </c>
      <c r="D386" s="1" t="s">
        <v>3697</v>
      </c>
      <c r="E386" s="1" t="s">
        <v>3698</v>
      </c>
      <c r="F386" s="1" t="s">
        <v>112</v>
      </c>
      <c r="G386" s="1">
        <v>3796176</v>
      </c>
    </row>
    <row r="387" spans="1:7" x14ac:dyDescent="0.25">
      <c r="A387" s="1" t="str">
        <f t="shared" si="6"/>
        <v>6</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87" s="1" t="s">
        <v>3699</v>
      </c>
      <c r="D387" s="1" t="s">
        <v>3700</v>
      </c>
      <c r="E387" s="1" t="s">
        <v>3701</v>
      </c>
      <c r="F387" s="1" t="s">
        <v>112</v>
      </c>
      <c r="G387" s="1">
        <v>982040</v>
      </c>
    </row>
    <row r="388" spans="1:7" x14ac:dyDescent="0.25">
      <c r="A388" s="1" t="str">
        <f t="shared" si="6"/>
        <v>6</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88" s="1" t="s">
        <v>3702</v>
      </c>
      <c r="D388" s="1" t="s">
        <v>3703</v>
      </c>
      <c r="E388" s="1" t="s">
        <v>3704</v>
      </c>
      <c r="F388" s="1" t="s">
        <v>112</v>
      </c>
      <c r="G388" s="1">
        <v>1409577</v>
      </c>
    </row>
    <row r="389" spans="1:7" x14ac:dyDescent="0.25">
      <c r="A389" s="1" t="str">
        <f t="shared" si="6"/>
        <v>6</v>
      </c>
      <c r="B3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89" s="1" t="s">
        <v>3705</v>
      </c>
      <c r="D389" s="1" t="s">
        <v>3706</v>
      </c>
      <c r="E389" s="1" t="s">
        <v>3707</v>
      </c>
      <c r="F389" s="1" t="s">
        <v>112</v>
      </c>
      <c r="G389" s="1">
        <v>1360239</v>
      </c>
    </row>
    <row r="390" spans="1:7" x14ac:dyDescent="0.25">
      <c r="A390" s="1" t="str">
        <f t="shared" si="6"/>
        <v>6</v>
      </c>
      <c r="B3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90" s="1" t="s">
        <v>3708</v>
      </c>
      <c r="D390" s="1" t="s">
        <v>3709</v>
      </c>
      <c r="E390" s="1" t="s">
        <v>3710</v>
      </c>
      <c r="F390" s="1" t="s">
        <v>112</v>
      </c>
      <c r="G390" s="1">
        <v>751098</v>
      </c>
    </row>
    <row r="391" spans="1:7" x14ac:dyDescent="0.25">
      <c r="A391" s="1" t="str">
        <f t="shared" si="6"/>
        <v>6</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91" s="1" t="s">
        <v>3711</v>
      </c>
      <c r="D391" s="1" t="s">
        <v>3712</v>
      </c>
      <c r="E391" s="1" t="s">
        <v>3713</v>
      </c>
      <c r="F391" s="1" t="s">
        <v>112</v>
      </c>
      <c r="G391" s="1">
        <v>1842716</v>
      </c>
    </row>
    <row r="392" spans="1:7" x14ac:dyDescent="0.25">
      <c r="A392" s="1" t="str">
        <f t="shared" si="6"/>
        <v>6</v>
      </c>
      <c r="B3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92" s="1" t="s">
        <v>3714</v>
      </c>
      <c r="D392" s="1" t="s">
        <v>3715</v>
      </c>
      <c r="E392" s="1" t="s">
        <v>3716</v>
      </c>
      <c r="F392" s="1" t="s">
        <v>112</v>
      </c>
      <c r="G392" s="1">
        <v>1991919</v>
      </c>
    </row>
    <row r="393" spans="1:7" x14ac:dyDescent="0.25">
      <c r="A393" s="1" t="str">
        <f t="shared" si="6"/>
        <v>6</v>
      </c>
      <c r="B3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93" s="1" t="s">
        <v>3717</v>
      </c>
      <c r="D393" s="1" t="s">
        <v>3718</v>
      </c>
      <c r="E393" s="1" t="s">
        <v>3719</v>
      </c>
      <c r="F393" s="1" t="s">
        <v>112</v>
      </c>
      <c r="G393" s="1">
        <v>2081055</v>
      </c>
    </row>
    <row r="394" spans="1:7" x14ac:dyDescent="0.25">
      <c r="A394" s="1" t="str">
        <f t="shared" si="6"/>
        <v>6</v>
      </c>
      <c r="B3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94" s="1" t="s">
        <v>3720</v>
      </c>
      <c r="D394" s="1" t="s">
        <v>3721</v>
      </c>
      <c r="E394" s="1" t="s">
        <v>3722</v>
      </c>
      <c r="F394" s="1" t="s">
        <v>112</v>
      </c>
      <c r="G394" s="1">
        <v>1982466</v>
      </c>
    </row>
    <row r="395" spans="1:7" x14ac:dyDescent="0.25">
      <c r="A395" s="1" t="str">
        <f t="shared" si="6"/>
        <v>6</v>
      </c>
      <c r="B3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95" s="1" t="s">
        <v>3723</v>
      </c>
      <c r="D395" s="1" t="s">
        <v>3724</v>
      </c>
      <c r="E395" s="1" t="s">
        <v>3725</v>
      </c>
      <c r="F395" s="1" t="s">
        <v>112</v>
      </c>
      <c r="G395" s="1">
        <v>3035128</v>
      </c>
    </row>
    <row r="396" spans="1:7" x14ac:dyDescent="0.25">
      <c r="A396" s="1" t="str">
        <f t="shared" si="6"/>
        <v>6</v>
      </c>
      <c r="B3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96" s="1" t="s">
        <v>3726</v>
      </c>
      <c r="D396" s="1" t="s">
        <v>3727</v>
      </c>
      <c r="E396" s="1" t="s">
        <v>3728</v>
      </c>
      <c r="F396" s="1" t="s">
        <v>112</v>
      </c>
      <c r="G396" s="1">
        <v>2356469</v>
      </c>
    </row>
    <row r="397" spans="1:7" x14ac:dyDescent="0.25">
      <c r="A397" s="1" t="str">
        <f t="shared" si="6"/>
        <v>6</v>
      </c>
      <c r="B3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97" s="1" t="s">
        <v>3729</v>
      </c>
      <c r="D397" s="1" t="s">
        <v>3730</v>
      </c>
      <c r="E397" s="1" t="s">
        <v>3731</v>
      </c>
      <c r="F397" s="1" t="s">
        <v>112</v>
      </c>
      <c r="G397" s="1">
        <v>2816969</v>
      </c>
    </row>
    <row r="398" spans="1:7" x14ac:dyDescent="0.25">
      <c r="A398" s="1" t="str">
        <f t="shared" si="6"/>
        <v>6</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98" s="1" t="s">
        <v>3732</v>
      </c>
    </row>
    <row r="399" spans="1:7" x14ac:dyDescent="0.25">
      <c r="A399" s="1" t="str">
        <f t="shared" si="6"/>
        <v>6</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99" s="1" t="s">
        <v>3733</v>
      </c>
      <c r="D399" s="1" t="s">
        <v>3734</v>
      </c>
      <c r="E399" s="1" t="s">
        <v>3735</v>
      </c>
      <c r="F399" s="1" t="s">
        <v>112</v>
      </c>
      <c r="G399" s="1">
        <v>2595652</v>
      </c>
    </row>
    <row r="400" spans="1:7" x14ac:dyDescent="0.25">
      <c r="A400" s="1" t="str">
        <f t="shared" si="6"/>
        <v>6</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00" s="1" t="s">
        <v>3736</v>
      </c>
      <c r="D400" s="1" t="s">
        <v>3737</v>
      </c>
      <c r="E400" s="1" t="s">
        <v>3738</v>
      </c>
      <c r="F400" s="1" t="s">
        <v>112</v>
      </c>
      <c r="G400" s="1">
        <v>2687276</v>
      </c>
    </row>
    <row r="401" spans="1:10" x14ac:dyDescent="0.25">
      <c r="A401" s="1" t="str">
        <f t="shared" si="6"/>
        <v>6</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01" s="1" t="s">
        <v>3739</v>
      </c>
      <c r="D401" s="1" t="s">
        <v>3740</v>
      </c>
      <c r="E401" s="1" t="s">
        <v>3741</v>
      </c>
      <c r="F401" s="1" t="s">
        <v>112</v>
      </c>
      <c r="G401" s="1">
        <v>2628140</v>
      </c>
    </row>
    <row r="402" spans="1:10" x14ac:dyDescent="0.25">
      <c r="A402" s="1" t="str">
        <f t="shared" si="6"/>
        <v>6</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02" s="1" t="s">
        <v>3742</v>
      </c>
      <c r="D402" s="1" t="s">
        <v>3743</v>
      </c>
      <c r="E402" s="1" t="s">
        <v>3744</v>
      </c>
      <c r="F402" s="1" t="s">
        <v>112</v>
      </c>
      <c r="G402" s="1">
        <v>2885385</v>
      </c>
    </row>
    <row r="403" spans="1:10" x14ac:dyDescent="0.25">
      <c r="A403" s="1" t="str">
        <f t="shared" si="6"/>
        <v/>
      </c>
      <c r="B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3" s="1" t="s">
        <v>112</v>
      </c>
    </row>
    <row r="404" spans="1:10" x14ac:dyDescent="0.25">
      <c r="A404" s="1" t="str">
        <f t="shared" si="6"/>
        <v/>
      </c>
      <c r="B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4" s="1" t="s">
        <v>237</v>
      </c>
      <c r="D404" s="1" t="s">
        <v>112</v>
      </c>
      <c r="E404" s="1" t="s">
        <v>238</v>
      </c>
      <c r="F404" s="1" t="s">
        <v>239</v>
      </c>
      <c r="G404" s="1" t="s">
        <v>240</v>
      </c>
      <c r="H404" s="1" t="s">
        <v>241</v>
      </c>
      <c r="I404" s="1" t="s">
        <v>242</v>
      </c>
      <c r="J404" s="1" t="s">
        <v>243</v>
      </c>
    </row>
    <row r="405" spans="1:10" x14ac:dyDescent="0.25">
      <c r="A405" s="1" t="str">
        <f t="shared" si="6"/>
        <v>6</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05" s="1" t="s">
        <v>3745</v>
      </c>
      <c r="D405" s="1" t="s">
        <v>112</v>
      </c>
      <c r="E405" s="1" t="s">
        <v>3746</v>
      </c>
      <c r="F405" s="1" t="s">
        <v>3747</v>
      </c>
      <c r="G405" s="1" t="s">
        <v>3748</v>
      </c>
      <c r="H405" s="1" t="s">
        <v>3749</v>
      </c>
      <c r="I405" s="1">
        <v>32</v>
      </c>
      <c r="J405" s="1">
        <v>32</v>
      </c>
    </row>
    <row r="406" spans="1:10" x14ac:dyDescent="0.25">
      <c r="A406" s="1" t="str">
        <f t="shared" si="6"/>
        <v/>
      </c>
      <c r="B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6" s="1" t="s">
        <v>112</v>
      </c>
    </row>
    <row r="407" spans="1:10" x14ac:dyDescent="0.25">
      <c r="A407" s="1" t="str">
        <f t="shared" si="6"/>
        <v/>
      </c>
      <c r="B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7" s="1" t="s">
        <v>112</v>
      </c>
    </row>
    <row r="408" spans="1:10" x14ac:dyDescent="0.25">
      <c r="A408" s="1" t="str">
        <f t="shared" si="6"/>
        <v/>
      </c>
      <c r="B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8" s="1" t="s">
        <v>112</v>
      </c>
    </row>
    <row r="409" spans="1:10" x14ac:dyDescent="0.25">
      <c r="A409" s="1" t="str">
        <f t="shared" si="6"/>
        <v/>
      </c>
      <c r="B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9" s="1" t="s">
        <v>112</v>
      </c>
    </row>
    <row r="410" spans="1:10" x14ac:dyDescent="0.25">
      <c r="A410" s="1" t="str">
        <f t="shared" si="6"/>
        <v/>
      </c>
      <c r="B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10" s="1" t="s">
        <v>112</v>
      </c>
    </row>
    <row r="411" spans="1:10" x14ac:dyDescent="0.25">
      <c r="A411" s="1" t="str">
        <f t="shared" si="6"/>
        <v/>
      </c>
      <c r="B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11" s="1" t="s">
        <v>249</v>
      </c>
      <c r="D411" s="1" t="s">
        <v>110</v>
      </c>
      <c r="E411" s="1" t="s">
        <v>111</v>
      </c>
      <c r="F411" s="1" t="s">
        <v>112</v>
      </c>
      <c r="G411" s="1" t="s">
        <v>113</v>
      </c>
    </row>
    <row r="412" spans="1:10" x14ac:dyDescent="0.25">
      <c r="A412" s="1" t="str">
        <f t="shared" si="6"/>
        <v>7</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12" s="1" t="s">
        <v>3750</v>
      </c>
      <c r="D412" s="1" t="s">
        <v>3751</v>
      </c>
      <c r="E412" s="1" t="s">
        <v>3752</v>
      </c>
      <c r="F412" s="1" t="s">
        <v>112</v>
      </c>
      <c r="G412" s="1">
        <v>5583628</v>
      </c>
    </row>
    <row r="413" spans="1:10" x14ac:dyDescent="0.25">
      <c r="A413" s="1" t="str">
        <f t="shared" si="6"/>
        <v>7</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13" s="1" t="s">
        <v>3753</v>
      </c>
      <c r="D413" s="1" t="s">
        <v>3754</v>
      </c>
      <c r="E413" s="1" t="s">
        <v>3755</v>
      </c>
      <c r="F413" s="1" t="s">
        <v>112</v>
      </c>
      <c r="G413" s="1">
        <v>5769342</v>
      </c>
    </row>
    <row r="414" spans="1:10" x14ac:dyDescent="0.25">
      <c r="A414" s="1" t="str">
        <f t="shared" si="6"/>
        <v>7</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14" s="1" t="s">
        <v>3756</v>
      </c>
      <c r="D414" s="1" t="s">
        <v>3757</v>
      </c>
      <c r="E414" s="1" t="s">
        <v>3758</v>
      </c>
      <c r="F414" s="1" t="s">
        <v>112</v>
      </c>
      <c r="G414" s="1">
        <v>5884110</v>
      </c>
    </row>
    <row r="415" spans="1:10" x14ac:dyDescent="0.25">
      <c r="A415" s="1" t="str">
        <f t="shared" si="6"/>
        <v>7</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15" s="1" t="s">
        <v>3759</v>
      </c>
      <c r="D415" s="1" t="s">
        <v>3760</v>
      </c>
      <c r="E415" s="1" t="s">
        <v>3761</v>
      </c>
      <c r="F415" s="1" t="s">
        <v>112</v>
      </c>
      <c r="G415" s="1">
        <v>5555141</v>
      </c>
    </row>
    <row r="416" spans="1:10" x14ac:dyDescent="0.25">
      <c r="A416" s="1" t="str">
        <f t="shared" si="6"/>
        <v>7</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16" s="1" t="s">
        <v>3762</v>
      </c>
    </row>
    <row r="417" spans="1:7" x14ac:dyDescent="0.25">
      <c r="A417" s="1" t="str">
        <f t="shared" si="6"/>
        <v>7</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17" s="1" t="s">
        <v>3763</v>
      </c>
    </row>
    <row r="418" spans="1:7" x14ac:dyDescent="0.25">
      <c r="A418" s="1" t="str">
        <f t="shared" si="6"/>
        <v>7</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18" s="1" t="s">
        <v>3764</v>
      </c>
    </row>
    <row r="419" spans="1:7" x14ac:dyDescent="0.25">
      <c r="A419" s="1" t="str">
        <f t="shared" si="6"/>
        <v>7</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19" s="1" t="s">
        <v>3765</v>
      </c>
      <c r="D419" s="1" t="s">
        <v>3766</v>
      </c>
      <c r="E419" s="1" t="s">
        <v>3767</v>
      </c>
      <c r="F419" s="1" t="s">
        <v>112</v>
      </c>
      <c r="G419" s="1">
        <v>6266007</v>
      </c>
    </row>
    <row r="420" spans="1:7" x14ac:dyDescent="0.25">
      <c r="A420" s="1" t="str">
        <f t="shared" si="6"/>
        <v>7</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0" s="1" t="s">
        <v>3768</v>
      </c>
      <c r="D420" s="1" t="s">
        <v>3769</v>
      </c>
      <c r="E420" s="1" t="s">
        <v>3770</v>
      </c>
      <c r="F420" s="1" t="s">
        <v>112</v>
      </c>
      <c r="G420" s="1">
        <v>3551110</v>
      </c>
    </row>
    <row r="421" spans="1:7" x14ac:dyDescent="0.25">
      <c r="A421" s="1" t="str">
        <f t="shared" si="6"/>
        <v>7</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1" s="1" t="s">
        <v>3771</v>
      </c>
      <c r="D421" s="1" t="s">
        <v>3772</v>
      </c>
      <c r="E421" s="1" t="s">
        <v>3773</v>
      </c>
      <c r="F421" s="1" t="s">
        <v>112</v>
      </c>
      <c r="G421" s="1">
        <v>4101006</v>
      </c>
    </row>
    <row r="422" spans="1:7" x14ac:dyDescent="0.25">
      <c r="A422" s="1" t="str">
        <f t="shared" si="6"/>
        <v>7</v>
      </c>
      <c r="B4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2" s="1" t="s">
        <v>3774</v>
      </c>
      <c r="D422" s="1" t="s">
        <v>3775</v>
      </c>
      <c r="E422" s="1" t="s">
        <v>3776</v>
      </c>
      <c r="F422" s="1" t="s">
        <v>112</v>
      </c>
      <c r="G422" s="1">
        <v>3526300</v>
      </c>
    </row>
    <row r="423" spans="1:7" x14ac:dyDescent="0.25">
      <c r="A423" s="1" t="str">
        <f t="shared" si="6"/>
        <v>7</v>
      </c>
      <c r="B4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3" s="1" t="s">
        <v>3777</v>
      </c>
      <c r="D423" s="1" t="s">
        <v>3778</v>
      </c>
      <c r="E423" s="1" t="s">
        <v>3779</v>
      </c>
      <c r="F423" s="1" t="s">
        <v>112</v>
      </c>
      <c r="G423" s="1">
        <v>3425743</v>
      </c>
    </row>
    <row r="424" spans="1:7" x14ac:dyDescent="0.25">
      <c r="A424" s="1" t="str">
        <f t="shared" si="6"/>
        <v>7</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24" s="1" t="s">
        <v>3780</v>
      </c>
      <c r="D424" s="1" t="s">
        <v>3781</v>
      </c>
      <c r="E424" s="1" t="s">
        <v>3782</v>
      </c>
      <c r="F424" s="1" t="s">
        <v>112</v>
      </c>
      <c r="G424" s="1">
        <v>5087762</v>
      </c>
    </row>
    <row r="425" spans="1:7" x14ac:dyDescent="0.25">
      <c r="A425" s="1" t="str">
        <f t="shared" si="6"/>
        <v>7</v>
      </c>
      <c r="B4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25" s="1" t="s">
        <v>3783</v>
      </c>
      <c r="D425" s="1" t="s">
        <v>3669</v>
      </c>
      <c r="E425" s="1" t="s">
        <v>3784</v>
      </c>
      <c r="F425" s="1" t="s">
        <v>112</v>
      </c>
      <c r="G425" s="1">
        <v>4818427</v>
      </c>
    </row>
    <row r="426" spans="1:7" x14ac:dyDescent="0.25">
      <c r="A426" s="1" t="str">
        <f t="shared" si="6"/>
        <v>7</v>
      </c>
      <c r="B4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26" s="1" t="s">
        <v>3785</v>
      </c>
      <c r="D426" s="1" t="s">
        <v>3786</v>
      </c>
      <c r="E426" s="1" t="s">
        <v>3787</v>
      </c>
      <c r="F426" s="1" t="s">
        <v>112</v>
      </c>
      <c r="G426" s="1">
        <v>5183972</v>
      </c>
    </row>
    <row r="427" spans="1:7" x14ac:dyDescent="0.25">
      <c r="A427" s="1" t="str">
        <f t="shared" si="6"/>
        <v>7</v>
      </c>
      <c r="B4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27" s="1" t="s">
        <v>3788</v>
      </c>
      <c r="D427" s="1" t="s">
        <v>3789</v>
      </c>
      <c r="E427" s="1" t="s">
        <v>3790</v>
      </c>
      <c r="F427" s="1" t="s">
        <v>112</v>
      </c>
      <c r="G427" s="1">
        <v>4765542</v>
      </c>
    </row>
    <row r="428" spans="1:7" x14ac:dyDescent="0.25">
      <c r="A428" s="1" t="str">
        <f t="shared" si="6"/>
        <v>7</v>
      </c>
      <c r="B4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28" s="1" t="s">
        <v>3791</v>
      </c>
      <c r="D428" s="1" t="s">
        <v>3792</v>
      </c>
      <c r="E428" s="1" t="s">
        <v>3793</v>
      </c>
      <c r="F428" s="1" t="s">
        <v>112</v>
      </c>
      <c r="G428" s="1">
        <v>3891845</v>
      </c>
    </row>
    <row r="429" spans="1:7" x14ac:dyDescent="0.25">
      <c r="A429" s="1" t="str">
        <f t="shared" si="6"/>
        <v>7</v>
      </c>
      <c r="B4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29" s="1" t="s">
        <v>3794</v>
      </c>
      <c r="D429" s="1" t="s">
        <v>3795</v>
      </c>
      <c r="E429" s="1" t="s">
        <v>3796</v>
      </c>
      <c r="F429" s="1" t="s">
        <v>112</v>
      </c>
      <c r="G429" s="1">
        <v>3804807</v>
      </c>
    </row>
    <row r="430" spans="1:7" x14ac:dyDescent="0.25">
      <c r="A430" s="1" t="str">
        <f t="shared" si="6"/>
        <v>7</v>
      </c>
      <c r="B4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30" s="1" t="s">
        <v>3797</v>
      </c>
      <c r="D430" s="1" t="s">
        <v>3798</v>
      </c>
      <c r="E430" s="1" t="s">
        <v>3799</v>
      </c>
      <c r="F430" s="1" t="s">
        <v>112</v>
      </c>
      <c r="G430" s="1">
        <v>4048402</v>
      </c>
    </row>
    <row r="431" spans="1:7" x14ac:dyDescent="0.25">
      <c r="A431" s="1" t="str">
        <f t="shared" si="6"/>
        <v>7</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31" s="1" t="s">
        <v>3800</v>
      </c>
      <c r="D431" s="1" t="s">
        <v>3801</v>
      </c>
      <c r="E431" s="1" t="s">
        <v>3802</v>
      </c>
      <c r="F431" s="1" t="s">
        <v>112</v>
      </c>
      <c r="G431" s="1">
        <v>4045591</v>
      </c>
    </row>
    <row r="432" spans="1:7" x14ac:dyDescent="0.25">
      <c r="A432" s="1" t="str">
        <f t="shared" si="6"/>
        <v>7</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32" s="1" t="s">
        <v>3803</v>
      </c>
    </row>
    <row r="433" spans="1:10" x14ac:dyDescent="0.25">
      <c r="A433" s="1" t="str">
        <f t="shared" si="6"/>
        <v>7</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33" s="1" t="s">
        <v>3804</v>
      </c>
    </row>
    <row r="434" spans="1:10" x14ac:dyDescent="0.25">
      <c r="A434" s="1" t="str">
        <f t="shared" si="6"/>
        <v>7</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34" s="1" t="s">
        <v>3805</v>
      </c>
    </row>
    <row r="435" spans="1:10" x14ac:dyDescent="0.25">
      <c r="A435" s="1" t="str">
        <f t="shared" si="6"/>
        <v>7</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35" s="1" t="s">
        <v>3806</v>
      </c>
    </row>
    <row r="436" spans="1:10" x14ac:dyDescent="0.25">
      <c r="A436" s="1" t="str">
        <f t="shared" si="6"/>
        <v>7</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36" s="1" t="s">
        <v>3807</v>
      </c>
      <c r="D436" s="1" t="s">
        <v>1350</v>
      </c>
      <c r="E436" s="1" t="s">
        <v>3808</v>
      </c>
      <c r="F436" s="1" t="s">
        <v>112</v>
      </c>
      <c r="G436" s="1">
        <v>3259084</v>
      </c>
    </row>
    <row r="437" spans="1:10" x14ac:dyDescent="0.25">
      <c r="A437" s="1" t="str">
        <f t="shared" si="6"/>
        <v>7</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37" s="1" t="s">
        <v>3809</v>
      </c>
      <c r="D437" s="1" t="s">
        <v>3810</v>
      </c>
      <c r="E437" s="1" t="s">
        <v>3811</v>
      </c>
      <c r="F437" s="1" t="s">
        <v>112</v>
      </c>
      <c r="G437" s="1">
        <v>3042266</v>
      </c>
    </row>
    <row r="438" spans="1:10" x14ac:dyDescent="0.25">
      <c r="A438" s="1" t="str">
        <f t="shared" si="6"/>
        <v>7</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38" s="1" t="s">
        <v>3812</v>
      </c>
      <c r="D438" s="1" t="s">
        <v>3813</v>
      </c>
      <c r="E438" s="1" t="s">
        <v>3814</v>
      </c>
      <c r="F438" s="1" t="s">
        <v>112</v>
      </c>
      <c r="G438" s="1">
        <v>3029440</v>
      </c>
    </row>
    <row r="439" spans="1:10" x14ac:dyDescent="0.25">
      <c r="A439" s="1" t="str">
        <f t="shared" si="6"/>
        <v>7</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39" s="1" t="s">
        <v>3815</v>
      </c>
      <c r="D439" s="1" t="s">
        <v>2337</v>
      </c>
      <c r="E439" s="1" t="s">
        <v>3816</v>
      </c>
      <c r="F439" s="1" t="s">
        <v>112</v>
      </c>
      <c r="G439" s="1">
        <v>3510207</v>
      </c>
    </row>
    <row r="440" spans="1:10" x14ac:dyDescent="0.25">
      <c r="A440" s="1" t="str">
        <f t="shared" si="6"/>
        <v>7</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40" s="1" t="s">
        <v>3817</v>
      </c>
    </row>
    <row r="441" spans="1:10" x14ac:dyDescent="0.25">
      <c r="A441" s="1" t="str">
        <f t="shared" si="6"/>
        <v>7</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41" s="1" t="s">
        <v>3818</v>
      </c>
    </row>
    <row r="442" spans="1:10" x14ac:dyDescent="0.25">
      <c r="A442" s="1" t="str">
        <f t="shared" si="6"/>
        <v>7</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42" s="1" t="s">
        <v>3819</v>
      </c>
    </row>
    <row r="443" spans="1:10" x14ac:dyDescent="0.25">
      <c r="A443" s="1" t="str">
        <f t="shared" si="6"/>
        <v>7</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43" s="1" t="s">
        <v>3820</v>
      </c>
    </row>
    <row r="444" spans="1:10" x14ac:dyDescent="0.25">
      <c r="A444" s="1" t="str">
        <f t="shared" si="6"/>
        <v/>
      </c>
      <c r="B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44" s="1" t="s">
        <v>112</v>
      </c>
    </row>
    <row r="445" spans="1:10" x14ac:dyDescent="0.25">
      <c r="A445" s="1" t="str">
        <f t="shared" si="6"/>
        <v/>
      </c>
      <c r="B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45" s="1" t="s">
        <v>237</v>
      </c>
      <c r="D445" s="1" t="s">
        <v>112</v>
      </c>
      <c r="E445" s="1" t="s">
        <v>238</v>
      </c>
      <c r="F445" s="1" t="s">
        <v>239</v>
      </c>
      <c r="G445" s="1" t="s">
        <v>240</v>
      </c>
      <c r="H445" s="1" t="s">
        <v>241</v>
      </c>
      <c r="I445" s="1" t="s">
        <v>242</v>
      </c>
      <c r="J445" s="1" t="s">
        <v>243</v>
      </c>
    </row>
    <row r="446" spans="1:10" x14ac:dyDescent="0.25">
      <c r="A446" s="1" t="str">
        <f t="shared" si="6"/>
        <v>7</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46" s="1" t="s">
        <v>3821</v>
      </c>
      <c r="D446" s="1" t="s">
        <v>112</v>
      </c>
      <c r="E446" s="1" t="s">
        <v>3822</v>
      </c>
      <c r="F446" s="1" t="s">
        <v>3823</v>
      </c>
      <c r="G446" s="1" t="s">
        <v>3824</v>
      </c>
      <c r="H446" s="1" t="s">
        <v>3825</v>
      </c>
      <c r="I446" s="1">
        <v>32</v>
      </c>
      <c r="J446" s="1">
        <v>32</v>
      </c>
    </row>
    <row r="447" spans="1:10" x14ac:dyDescent="0.25">
      <c r="A447" s="1" t="str">
        <f t="shared" si="6"/>
        <v/>
      </c>
      <c r="B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47" s="1" t="s">
        <v>112</v>
      </c>
    </row>
    <row r="448" spans="1:10" x14ac:dyDescent="0.25">
      <c r="A448" s="1" t="str">
        <f t="shared" si="6"/>
        <v/>
      </c>
      <c r="B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48" s="1" t="s">
        <v>112</v>
      </c>
    </row>
    <row r="449" spans="1:7" x14ac:dyDescent="0.25">
      <c r="A449" s="1" t="str">
        <f t="shared" si="6"/>
        <v/>
      </c>
      <c r="B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49" s="1" t="s">
        <v>112</v>
      </c>
    </row>
    <row r="450" spans="1:7" x14ac:dyDescent="0.25">
      <c r="A450" s="1" t="str">
        <f t="shared" ref="A450:A513" si="7">IFERROR(LEFT(RIGHT(C450,LEN(C450)-SEARCH("@",C450)),SEARCH("/",RIGHT(C450,LEN(C450)-SEARCH("@",C450)-1))),"")</f>
        <v/>
      </c>
      <c r="B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0" s="1" t="s">
        <v>112</v>
      </c>
    </row>
    <row r="451" spans="1:7" x14ac:dyDescent="0.25">
      <c r="A451" s="1" t="str">
        <f t="shared" si="7"/>
        <v/>
      </c>
      <c r="B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1" s="1" t="s">
        <v>112</v>
      </c>
    </row>
    <row r="452" spans="1:7" x14ac:dyDescent="0.25">
      <c r="A452" s="1" t="str">
        <f t="shared" si="7"/>
        <v/>
      </c>
      <c r="B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2" s="1" t="s">
        <v>249</v>
      </c>
      <c r="D452" s="1" t="s">
        <v>110</v>
      </c>
      <c r="E452" s="1" t="s">
        <v>111</v>
      </c>
      <c r="F452" s="1" t="s">
        <v>112</v>
      </c>
      <c r="G452" s="1" t="s">
        <v>113</v>
      </c>
    </row>
    <row r="453" spans="1:7" x14ac:dyDescent="0.25">
      <c r="A453" s="1" t="str">
        <f t="shared" si="7"/>
        <v>10</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53" s="1" t="s">
        <v>3826</v>
      </c>
    </row>
    <row r="454" spans="1:7" x14ac:dyDescent="0.25">
      <c r="A454" s="1" t="str">
        <f t="shared" si="7"/>
        <v>10</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54" s="1" t="s">
        <v>3827</v>
      </c>
      <c r="D454" s="1" t="s">
        <v>369</v>
      </c>
      <c r="E454" s="1" t="s">
        <v>3828</v>
      </c>
      <c r="F454" s="1" t="s">
        <v>112</v>
      </c>
      <c r="G454" s="1">
        <v>245391</v>
      </c>
    </row>
    <row r="455" spans="1:7" x14ac:dyDescent="0.25">
      <c r="A455" s="1" t="str">
        <f t="shared" si="7"/>
        <v>10</v>
      </c>
      <c r="B4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55" s="1" t="s">
        <v>3829</v>
      </c>
      <c r="D455" s="1" t="s">
        <v>303</v>
      </c>
      <c r="E455" s="1">
        <v>32</v>
      </c>
      <c r="F455" s="1" t="s">
        <v>112</v>
      </c>
      <c r="G455" s="1">
        <v>4153</v>
      </c>
    </row>
    <row r="456" spans="1:7" x14ac:dyDescent="0.25">
      <c r="A456" s="1" t="str">
        <f t="shared" si="7"/>
        <v>10</v>
      </c>
      <c r="B4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56" s="1" t="s">
        <v>3830</v>
      </c>
      <c r="D456" s="1" t="s">
        <v>2123</v>
      </c>
      <c r="E456" s="1" t="s">
        <v>3831</v>
      </c>
      <c r="F456" s="1" t="s">
        <v>112</v>
      </c>
      <c r="G456" s="1">
        <v>9452</v>
      </c>
    </row>
    <row r="457" spans="1:7" x14ac:dyDescent="0.25">
      <c r="A457" s="1" t="str">
        <f t="shared" si="7"/>
        <v>10</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57" s="1" t="s">
        <v>3832</v>
      </c>
    </row>
    <row r="458" spans="1:7" x14ac:dyDescent="0.25">
      <c r="A458" s="1" t="str">
        <f t="shared" si="7"/>
        <v>10</v>
      </c>
      <c r="B4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58" s="1" t="s">
        <v>3833</v>
      </c>
    </row>
    <row r="459" spans="1:7" x14ac:dyDescent="0.25">
      <c r="A459" s="1" t="str">
        <f t="shared" si="7"/>
        <v>10</v>
      </c>
      <c r="B4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59" s="1" t="s">
        <v>3834</v>
      </c>
    </row>
    <row r="460" spans="1:7" x14ac:dyDescent="0.25">
      <c r="A460" s="1" t="str">
        <f t="shared" si="7"/>
        <v>10</v>
      </c>
      <c r="B4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0" s="1" t="s">
        <v>3835</v>
      </c>
    </row>
    <row r="461" spans="1:7" x14ac:dyDescent="0.25">
      <c r="A461" s="1" t="str">
        <f t="shared" si="7"/>
        <v>10</v>
      </c>
      <c r="B4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61" s="1" t="s">
        <v>3836</v>
      </c>
      <c r="D461" s="1" t="s">
        <v>3837</v>
      </c>
      <c r="E461" s="1" t="s">
        <v>3838</v>
      </c>
      <c r="F461" s="1" t="s">
        <v>112</v>
      </c>
      <c r="G461" s="1">
        <v>413585</v>
      </c>
    </row>
    <row r="462" spans="1:7" x14ac:dyDescent="0.25">
      <c r="A462" s="1" t="str">
        <f t="shared" si="7"/>
        <v>10</v>
      </c>
      <c r="B4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62" s="1" t="s">
        <v>3839</v>
      </c>
      <c r="D462" s="1" t="s">
        <v>3837</v>
      </c>
      <c r="E462" s="1" t="s">
        <v>3840</v>
      </c>
      <c r="F462" s="1" t="s">
        <v>112</v>
      </c>
      <c r="G462" s="1">
        <v>401646</v>
      </c>
    </row>
    <row r="463" spans="1:7" x14ac:dyDescent="0.25">
      <c r="A463" s="1" t="str">
        <f t="shared" si="7"/>
        <v>10</v>
      </c>
      <c r="B4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63" s="1" t="s">
        <v>3841</v>
      </c>
      <c r="D463" s="1" t="s">
        <v>2058</v>
      </c>
      <c r="E463" s="1" t="s">
        <v>3842</v>
      </c>
      <c r="F463" s="1" t="s">
        <v>112</v>
      </c>
      <c r="G463" s="1">
        <v>232565</v>
      </c>
    </row>
    <row r="464" spans="1:7" x14ac:dyDescent="0.25">
      <c r="A464" s="1" t="str">
        <f t="shared" si="7"/>
        <v>10</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64" s="1" t="s">
        <v>3843</v>
      </c>
      <c r="D464" s="1" t="s">
        <v>3844</v>
      </c>
      <c r="E464" s="1" t="s">
        <v>3845</v>
      </c>
      <c r="F464" s="1" t="s">
        <v>112</v>
      </c>
      <c r="G464" s="1">
        <v>477696</v>
      </c>
    </row>
    <row r="465" spans="1:7" x14ac:dyDescent="0.25">
      <c r="A465" s="1" t="str">
        <f t="shared" si="7"/>
        <v>10</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5" s="1" t="s">
        <v>3846</v>
      </c>
      <c r="D465" s="1" t="s">
        <v>1597</v>
      </c>
      <c r="E465" s="1" t="s">
        <v>3847</v>
      </c>
      <c r="F465" s="1" t="s">
        <v>112</v>
      </c>
      <c r="G465" s="1">
        <v>259191</v>
      </c>
    </row>
    <row r="466" spans="1:7" x14ac:dyDescent="0.25">
      <c r="A466" s="1" t="str">
        <f t="shared" si="7"/>
        <v>10</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6" s="1" t="s">
        <v>3848</v>
      </c>
      <c r="D466" s="1" t="s">
        <v>3849</v>
      </c>
      <c r="E466" s="1" t="s">
        <v>3850</v>
      </c>
      <c r="F466" s="1" t="s">
        <v>112</v>
      </c>
      <c r="G466" s="1">
        <v>290727</v>
      </c>
    </row>
    <row r="467" spans="1:7" x14ac:dyDescent="0.25">
      <c r="A467" s="1" t="str">
        <f t="shared" si="7"/>
        <v>10</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7" s="1" t="s">
        <v>3851</v>
      </c>
      <c r="D467" s="1" t="s">
        <v>3852</v>
      </c>
      <c r="E467" s="1" t="s">
        <v>3853</v>
      </c>
      <c r="F467" s="1" t="s">
        <v>112</v>
      </c>
      <c r="G467" s="1">
        <v>226854</v>
      </c>
    </row>
    <row r="468" spans="1:7" x14ac:dyDescent="0.25">
      <c r="A468" s="1" t="str">
        <f t="shared" si="7"/>
        <v>10</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8" s="1" t="s">
        <v>3854</v>
      </c>
      <c r="D468" s="1" t="s">
        <v>3509</v>
      </c>
      <c r="E468" s="1" t="s">
        <v>3855</v>
      </c>
      <c r="F468" s="1" t="s">
        <v>112</v>
      </c>
      <c r="G468" s="1">
        <v>217553</v>
      </c>
    </row>
    <row r="469" spans="1:7" x14ac:dyDescent="0.25">
      <c r="A469" s="1" t="str">
        <f t="shared" si="7"/>
        <v>10</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69" s="1" t="s">
        <v>3856</v>
      </c>
      <c r="D469" s="1" t="s">
        <v>3356</v>
      </c>
      <c r="E469" s="1" t="s">
        <v>3857</v>
      </c>
      <c r="F469" s="1" t="s">
        <v>112</v>
      </c>
      <c r="G469" s="1">
        <v>378999</v>
      </c>
    </row>
    <row r="470" spans="1:7" x14ac:dyDescent="0.25">
      <c r="A470" s="1" t="str">
        <f t="shared" si="7"/>
        <v>10</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0" s="1" t="s">
        <v>3858</v>
      </c>
      <c r="D470" s="1" t="s">
        <v>3859</v>
      </c>
      <c r="E470" s="1" t="s">
        <v>3860</v>
      </c>
      <c r="F470" s="1" t="s">
        <v>112</v>
      </c>
      <c r="G470" s="1">
        <v>390376</v>
      </c>
    </row>
    <row r="471" spans="1:7" x14ac:dyDescent="0.25">
      <c r="A471" s="1" t="str">
        <f t="shared" si="7"/>
        <v>10</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1" s="1" t="s">
        <v>3861</v>
      </c>
      <c r="D471" s="1" t="s">
        <v>635</v>
      </c>
      <c r="E471" s="1" t="s">
        <v>3862</v>
      </c>
      <c r="F471" s="1" t="s">
        <v>112</v>
      </c>
      <c r="G471" s="1">
        <v>360657</v>
      </c>
    </row>
    <row r="472" spans="1:7" x14ac:dyDescent="0.25">
      <c r="A472" s="1" t="str">
        <f t="shared" si="7"/>
        <v>10</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2" s="1" t="s">
        <v>3863</v>
      </c>
      <c r="D472" s="1" t="s">
        <v>1054</v>
      </c>
      <c r="E472" s="1" t="s">
        <v>3864</v>
      </c>
      <c r="F472" s="1" t="s">
        <v>112</v>
      </c>
      <c r="G472" s="1">
        <v>337924</v>
      </c>
    </row>
    <row r="473" spans="1:7" x14ac:dyDescent="0.25">
      <c r="A473" s="1" t="str">
        <f t="shared" si="7"/>
        <v>10</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3" s="1" t="s">
        <v>3865</v>
      </c>
    </row>
    <row r="474" spans="1:7" x14ac:dyDescent="0.25">
      <c r="A474" s="1" t="str">
        <f t="shared" si="7"/>
        <v>10</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4" s="1" t="s">
        <v>3866</v>
      </c>
      <c r="D474" s="1" t="s">
        <v>1519</v>
      </c>
      <c r="E474" s="1" t="s">
        <v>3867</v>
      </c>
      <c r="F474" s="1" t="s">
        <v>112</v>
      </c>
      <c r="G474" s="1">
        <v>176586</v>
      </c>
    </row>
    <row r="475" spans="1:7" x14ac:dyDescent="0.25">
      <c r="A475" s="1" t="str">
        <f t="shared" si="7"/>
        <v>10</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5" s="1" t="s">
        <v>3868</v>
      </c>
    </row>
    <row r="476" spans="1:7" x14ac:dyDescent="0.25">
      <c r="A476" s="1" t="str">
        <f t="shared" si="7"/>
        <v>10</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6" s="1" t="s">
        <v>3869</v>
      </c>
    </row>
    <row r="477" spans="1:7" x14ac:dyDescent="0.25">
      <c r="A477" s="1" t="str">
        <f t="shared" si="7"/>
        <v>10</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77" s="1" t="s">
        <v>3870</v>
      </c>
      <c r="D477" s="1" t="s">
        <v>1425</v>
      </c>
      <c r="E477" s="1" t="s">
        <v>3871</v>
      </c>
      <c r="F477" s="1" t="s">
        <v>112</v>
      </c>
      <c r="G477" s="1">
        <v>79209</v>
      </c>
    </row>
    <row r="478" spans="1:7" x14ac:dyDescent="0.25">
      <c r="A478" s="1" t="str">
        <f t="shared" si="7"/>
        <v>10</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78" s="1" t="s">
        <v>3872</v>
      </c>
      <c r="D478" s="1" t="s">
        <v>1998</v>
      </c>
      <c r="E478" s="1" t="s">
        <v>3873</v>
      </c>
      <c r="F478" s="1" t="s">
        <v>112</v>
      </c>
      <c r="G478" s="1">
        <v>160602</v>
      </c>
    </row>
    <row r="479" spans="1:7" x14ac:dyDescent="0.25">
      <c r="A479" s="1" t="str">
        <f t="shared" si="7"/>
        <v>10</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79" s="1" t="s">
        <v>3874</v>
      </c>
      <c r="D479" s="1" t="s">
        <v>3875</v>
      </c>
      <c r="E479" s="1" t="s">
        <v>3876</v>
      </c>
      <c r="F479" s="1" t="s">
        <v>112</v>
      </c>
      <c r="G479" s="1">
        <v>336366</v>
      </c>
    </row>
    <row r="480" spans="1:7" x14ac:dyDescent="0.25">
      <c r="A480" s="1" t="str">
        <f t="shared" si="7"/>
        <v>10</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0" s="1" t="s">
        <v>3877</v>
      </c>
      <c r="D480" s="1">
        <v>0</v>
      </c>
      <c r="E480" s="1">
        <v>0</v>
      </c>
      <c r="F480" s="1" t="s">
        <v>112</v>
      </c>
      <c r="G480" s="1">
        <v>0</v>
      </c>
    </row>
    <row r="481" spans="1:10" x14ac:dyDescent="0.25">
      <c r="A481" s="1" t="str">
        <f t="shared" si="7"/>
        <v>10</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1" s="1" t="s">
        <v>3878</v>
      </c>
      <c r="D481" s="1" t="s">
        <v>1838</v>
      </c>
      <c r="E481" s="1" t="s">
        <v>3879</v>
      </c>
      <c r="F481" s="1" t="s">
        <v>112</v>
      </c>
      <c r="G481" s="1">
        <v>182729</v>
      </c>
    </row>
    <row r="482" spans="1:10" x14ac:dyDescent="0.25">
      <c r="A482" s="1" t="str">
        <f t="shared" si="7"/>
        <v>10</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2" s="1" t="s">
        <v>3880</v>
      </c>
      <c r="D482" s="1" t="s">
        <v>2990</v>
      </c>
      <c r="E482" s="1" t="s">
        <v>3881</v>
      </c>
      <c r="F482" s="1" t="s">
        <v>112</v>
      </c>
      <c r="G482" s="1">
        <v>158828</v>
      </c>
    </row>
    <row r="483" spans="1:10" x14ac:dyDescent="0.25">
      <c r="A483" s="1" t="str">
        <f t="shared" si="7"/>
        <v>10</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3" s="1" t="s">
        <v>3882</v>
      </c>
      <c r="D483" s="1" t="s">
        <v>3418</v>
      </c>
      <c r="E483" s="1" t="s">
        <v>3883</v>
      </c>
      <c r="F483" s="1" t="s">
        <v>112</v>
      </c>
      <c r="G483" s="1">
        <v>317202</v>
      </c>
    </row>
    <row r="484" spans="1:10" x14ac:dyDescent="0.25">
      <c r="A484" s="1" t="str">
        <f t="shared" si="7"/>
        <v>10</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4" s="1" t="s">
        <v>3884</v>
      </c>
      <c r="D484" s="1" t="s">
        <v>2913</v>
      </c>
      <c r="E484" s="1" t="s">
        <v>3885</v>
      </c>
      <c r="F484" s="1" t="s">
        <v>112</v>
      </c>
      <c r="G484" s="1">
        <v>244028</v>
      </c>
    </row>
    <row r="485" spans="1:10" x14ac:dyDescent="0.25">
      <c r="A485" s="1" t="str">
        <f t="shared" si="7"/>
        <v/>
      </c>
      <c r="B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5" s="1" t="s">
        <v>112</v>
      </c>
    </row>
    <row r="486" spans="1:10" x14ac:dyDescent="0.25">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6" s="1" t="s">
        <v>237</v>
      </c>
      <c r="D486" s="1" t="s">
        <v>112</v>
      </c>
      <c r="E486" s="1" t="s">
        <v>238</v>
      </c>
      <c r="F486" s="1" t="s">
        <v>239</v>
      </c>
      <c r="G486" s="1" t="s">
        <v>240</v>
      </c>
      <c r="H486" s="1" t="s">
        <v>241</v>
      </c>
      <c r="I486" s="1" t="s">
        <v>242</v>
      </c>
      <c r="J486" s="1" t="s">
        <v>243</v>
      </c>
    </row>
    <row r="487" spans="1:10" x14ac:dyDescent="0.25">
      <c r="A487" s="1" t="str">
        <f t="shared" si="7"/>
        <v>10</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87" s="1" t="s">
        <v>3886</v>
      </c>
      <c r="D487" s="1" t="s">
        <v>112</v>
      </c>
      <c r="E487" s="1" t="s">
        <v>3887</v>
      </c>
      <c r="F487" s="1" t="s">
        <v>3888</v>
      </c>
      <c r="G487" s="1" t="s">
        <v>3889</v>
      </c>
      <c r="H487" s="1" t="s">
        <v>3890</v>
      </c>
      <c r="I487" s="1">
        <v>28</v>
      </c>
      <c r="J487" s="1">
        <v>32</v>
      </c>
    </row>
    <row r="488" spans="1:10" x14ac:dyDescent="0.2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112</v>
      </c>
    </row>
    <row r="489" spans="1:10" x14ac:dyDescent="0.2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112</v>
      </c>
    </row>
    <row r="490" spans="1:10" x14ac:dyDescent="0.25">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0" s="1" t="s">
        <v>112</v>
      </c>
    </row>
    <row r="491" spans="1:10" x14ac:dyDescent="0.2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10" x14ac:dyDescent="0.2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10" x14ac:dyDescent="0.2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249</v>
      </c>
      <c r="D493" s="1" t="s">
        <v>110</v>
      </c>
      <c r="E493" s="1" t="s">
        <v>111</v>
      </c>
      <c r="F493" s="1" t="s">
        <v>112</v>
      </c>
      <c r="G493" s="1" t="s">
        <v>113</v>
      </c>
    </row>
    <row r="494" spans="1:10" x14ac:dyDescent="0.25">
      <c r="A494" s="1" t="str">
        <f t="shared" si="7"/>
        <v>11</v>
      </c>
      <c r="B4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4" s="1" t="s">
        <v>3891</v>
      </c>
      <c r="D494" s="1" t="s">
        <v>3892</v>
      </c>
      <c r="E494" s="1" t="s">
        <v>3893</v>
      </c>
      <c r="F494" s="1" t="s">
        <v>112</v>
      </c>
      <c r="G494" s="1">
        <v>87947</v>
      </c>
    </row>
    <row r="495" spans="1:10" x14ac:dyDescent="0.25">
      <c r="A495" s="1" t="str">
        <f t="shared" si="7"/>
        <v>11</v>
      </c>
      <c r="B4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5" s="1" t="s">
        <v>3894</v>
      </c>
      <c r="D495" s="1" t="s">
        <v>285</v>
      </c>
      <c r="E495" s="1" t="s">
        <v>3895</v>
      </c>
      <c r="F495" s="1" t="s">
        <v>112</v>
      </c>
      <c r="G495" s="1">
        <v>670548</v>
      </c>
    </row>
    <row r="496" spans="1:10" x14ac:dyDescent="0.25">
      <c r="A496" s="1" t="str">
        <f t="shared" si="7"/>
        <v>11</v>
      </c>
      <c r="B4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6" s="1" t="s">
        <v>3896</v>
      </c>
      <c r="D496" s="1" t="s">
        <v>2356</v>
      </c>
      <c r="E496" s="1" t="s">
        <v>3897</v>
      </c>
      <c r="F496" s="1" t="s">
        <v>112</v>
      </c>
      <c r="G496" s="1">
        <v>551606</v>
      </c>
    </row>
    <row r="497" spans="1:7" x14ac:dyDescent="0.25">
      <c r="A497" s="1" t="str">
        <f t="shared" si="7"/>
        <v>11</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3898</v>
      </c>
      <c r="D497" s="1" t="s">
        <v>3899</v>
      </c>
      <c r="E497" s="1" t="s">
        <v>3900</v>
      </c>
      <c r="F497" s="1" t="s">
        <v>112</v>
      </c>
      <c r="G497" s="1">
        <v>671803</v>
      </c>
    </row>
    <row r="498" spans="1:7" x14ac:dyDescent="0.25">
      <c r="A498" s="1" t="str">
        <f t="shared" si="7"/>
        <v>11</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98" s="1" t="s">
        <v>3901</v>
      </c>
      <c r="D498" s="1" t="s">
        <v>1367</v>
      </c>
      <c r="E498" s="1" t="s">
        <v>3902</v>
      </c>
      <c r="F498" s="1" t="s">
        <v>112</v>
      </c>
      <c r="G498" s="1">
        <v>67529</v>
      </c>
    </row>
    <row r="499" spans="1:7" x14ac:dyDescent="0.25">
      <c r="A499" s="1" t="str">
        <f t="shared" si="7"/>
        <v>11</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99" s="1" t="s">
        <v>3903</v>
      </c>
      <c r="D499" s="1" t="s">
        <v>557</v>
      </c>
      <c r="E499" s="1" t="s">
        <v>3904</v>
      </c>
      <c r="F499" s="1" t="s">
        <v>112</v>
      </c>
      <c r="G499" s="1">
        <v>187726</v>
      </c>
    </row>
    <row r="500" spans="1:7" x14ac:dyDescent="0.25">
      <c r="A500" s="1" t="str">
        <f t="shared" si="7"/>
        <v>11</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3905</v>
      </c>
      <c r="D500" s="1" t="s">
        <v>2132</v>
      </c>
      <c r="E500" s="1" t="s">
        <v>3906</v>
      </c>
      <c r="F500" s="1" t="s">
        <v>112</v>
      </c>
      <c r="G500" s="1">
        <v>148489</v>
      </c>
    </row>
    <row r="501" spans="1:7" x14ac:dyDescent="0.25">
      <c r="A501" s="1" t="str">
        <f t="shared" si="7"/>
        <v>11</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3907</v>
      </c>
      <c r="D501" s="1" t="s">
        <v>1970</v>
      </c>
      <c r="E501" s="1" t="s">
        <v>3908</v>
      </c>
      <c r="F501" s="1" t="s">
        <v>112</v>
      </c>
      <c r="G501" s="1">
        <v>267324</v>
      </c>
    </row>
    <row r="502" spans="1:7" x14ac:dyDescent="0.25">
      <c r="A502" s="1" t="str">
        <f t="shared" si="7"/>
        <v>11</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2" s="1" t="s">
        <v>3909</v>
      </c>
      <c r="D502" s="1" t="s">
        <v>1083</v>
      </c>
      <c r="E502" s="1" t="s">
        <v>3910</v>
      </c>
      <c r="F502" s="1" t="s">
        <v>112</v>
      </c>
      <c r="G502" s="1">
        <v>210459</v>
      </c>
    </row>
    <row r="503" spans="1:7" x14ac:dyDescent="0.25">
      <c r="A503" s="1" t="str">
        <f t="shared" si="7"/>
        <v>11</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3911</v>
      </c>
      <c r="D503" s="1">
        <v>0</v>
      </c>
      <c r="E503" s="1">
        <v>0</v>
      </c>
      <c r="F503" s="1" t="s">
        <v>112</v>
      </c>
      <c r="G503" s="1">
        <v>0</v>
      </c>
    </row>
    <row r="504" spans="1:7" x14ac:dyDescent="0.25">
      <c r="A504" s="1" t="str">
        <f t="shared" si="7"/>
        <v>11</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3912</v>
      </c>
      <c r="D504" s="1" t="s">
        <v>2006</v>
      </c>
      <c r="E504" s="1" t="s">
        <v>3913</v>
      </c>
      <c r="F504" s="1" t="s">
        <v>112</v>
      </c>
      <c r="G504" s="1">
        <v>326417</v>
      </c>
    </row>
    <row r="505" spans="1:7" x14ac:dyDescent="0.25">
      <c r="A505" s="1" t="str">
        <f t="shared" si="7"/>
        <v>11</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3914</v>
      </c>
      <c r="D505" s="1" t="s">
        <v>3915</v>
      </c>
      <c r="E505" s="1" t="s">
        <v>3916</v>
      </c>
      <c r="F505" s="1" t="s">
        <v>112</v>
      </c>
      <c r="G505" s="1">
        <v>468612</v>
      </c>
    </row>
    <row r="506" spans="1:7" x14ac:dyDescent="0.25">
      <c r="A506" s="1" t="str">
        <f t="shared" si="7"/>
        <v>11</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3917</v>
      </c>
      <c r="D506" s="1" t="s">
        <v>3918</v>
      </c>
      <c r="E506" s="1" t="s">
        <v>3919</v>
      </c>
      <c r="F506" s="1" t="s">
        <v>112</v>
      </c>
      <c r="G506" s="1">
        <v>378523</v>
      </c>
    </row>
    <row r="507" spans="1:7" x14ac:dyDescent="0.25">
      <c r="A507" s="1" t="str">
        <f t="shared" si="7"/>
        <v>11</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3920</v>
      </c>
      <c r="D507" s="1" t="s">
        <v>3921</v>
      </c>
      <c r="E507" s="1" t="s">
        <v>3922</v>
      </c>
      <c r="F507" s="1" t="s">
        <v>112</v>
      </c>
      <c r="G507" s="1">
        <v>221231</v>
      </c>
    </row>
    <row r="508" spans="1:7" x14ac:dyDescent="0.25">
      <c r="A508" s="1" t="str">
        <f t="shared" si="7"/>
        <v>11</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3923</v>
      </c>
      <c r="D508" s="1" t="s">
        <v>1704</v>
      </c>
      <c r="E508" s="1" t="s">
        <v>3924</v>
      </c>
      <c r="F508" s="1" t="s">
        <v>112</v>
      </c>
      <c r="G508" s="1">
        <v>242752</v>
      </c>
    </row>
    <row r="509" spans="1:7" x14ac:dyDescent="0.25">
      <c r="A509" s="1" t="str">
        <f t="shared" si="7"/>
        <v>11</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9" s="1" t="s">
        <v>3925</v>
      </c>
      <c r="D509" s="1" t="s">
        <v>3926</v>
      </c>
      <c r="E509" s="1" t="s">
        <v>3927</v>
      </c>
      <c r="F509" s="1" t="s">
        <v>112</v>
      </c>
      <c r="G509" s="1">
        <v>229926</v>
      </c>
    </row>
    <row r="510" spans="1:7" x14ac:dyDescent="0.25">
      <c r="A510" s="1" t="str">
        <f t="shared" si="7"/>
        <v>11</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3928</v>
      </c>
      <c r="D510" s="1">
        <v>0</v>
      </c>
      <c r="E510" s="1">
        <v>0</v>
      </c>
      <c r="F510" s="1" t="s">
        <v>112</v>
      </c>
      <c r="G510" s="1">
        <v>0</v>
      </c>
    </row>
    <row r="511" spans="1:7" x14ac:dyDescent="0.25">
      <c r="A511" s="1" t="str">
        <f t="shared" si="7"/>
        <v>11</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3929</v>
      </c>
      <c r="D511" s="1">
        <v>0</v>
      </c>
      <c r="E511" s="1">
        <v>0</v>
      </c>
      <c r="F511" s="1" t="s">
        <v>112</v>
      </c>
      <c r="G511" s="1">
        <v>0</v>
      </c>
    </row>
    <row r="512" spans="1:7" x14ac:dyDescent="0.25">
      <c r="A512" s="1" t="str">
        <f t="shared" si="7"/>
        <v>11</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2" s="1" t="s">
        <v>3930</v>
      </c>
      <c r="D512" s="1">
        <v>0</v>
      </c>
      <c r="E512" s="1">
        <v>0</v>
      </c>
      <c r="F512" s="1" t="s">
        <v>112</v>
      </c>
      <c r="G512" s="1">
        <v>0</v>
      </c>
    </row>
    <row r="513" spans="1:10" x14ac:dyDescent="0.25">
      <c r="A513" s="1" t="str">
        <f t="shared" si="7"/>
        <v>11</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3" s="1" t="s">
        <v>3931</v>
      </c>
      <c r="D513" s="1">
        <v>0</v>
      </c>
      <c r="E513" s="1">
        <v>0</v>
      </c>
      <c r="F513" s="1" t="s">
        <v>112</v>
      </c>
      <c r="G513" s="1">
        <v>0</v>
      </c>
    </row>
    <row r="514" spans="1:10" x14ac:dyDescent="0.25">
      <c r="A514" s="1" t="str">
        <f t="shared" ref="A514:A577" si="8">IFERROR(LEFT(RIGHT(C514,LEN(C514)-SEARCH("@",C514)),SEARCH("/",RIGHT(C514,LEN(C514)-SEARCH("@",C514)-1))),"")</f>
        <v>11</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3932</v>
      </c>
    </row>
    <row r="515" spans="1:10" x14ac:dyDescent="0.25">
      <c r="A515" s="1" t="str">
        <f t="shared" si="8"/>
        <v>11</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5" s="1" t="s">
        <v>3933</v>
      </c>
    </row>
    <row r="516" spans="1:10" x14ac:dyDescent="0.25">
      <c r="A516" s="1" t="str">
        <f t="shared" si="8"/>
        <v>11</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6" s="1" t="s">
        <v>3934</v>
      </c>
    </row>
    <row r="517" spans="1:10" x14ac:dyDescent="0.25">
      <c r="A517" s="1" t="str">
        <f t="shared" si="8"/>
        <v>11</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7" s="1" t="s">
        <v>3935</v>
      </c>
    </row>
    <row r="518" spans="1:10" x14ac:dyDescent="0.25">
      <c r="A518" s="1" t="str">
        <f t="shared" si="8"/>
        <v>11</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8" s="1" t="s">
        <v>3936</v>
      </c>
      <c r="D518" s="1" t="s">
        <v>1003</v>
      </c>
      <c r="E518" s="1" t="s">
        <v>3937</v>
      </c>
      <c r="F518" s="1" t="s">
        <v>112</v>
      </c>
      <c r="G518" s="1">
        <v>145007</v>
      </c>
    </row>
    <row r="519" spans="1:10" x14ac:dyDescent="0.25">
      <c r="A519" s="1" t="str">
        <f t="shared" si="8"/>
        <v>11</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9" s="1" t="s">
        <v>3938</v>
      </c>
      <c r="D519" s="1" t="s">
        <v>3939</v>
      </c>
      <c r="E519" s="1" t="s">
        <v>3940</v>
      </c>
      <c r="F519" s="1" t="s">
        <v>112</v>
      </c>
      <c r="G519" s="1">
        <v>380427</v>
      </c>
    </row>
    <row r="520" spans="1:10" x14ac:dyDescent="0.25">
      <c r="A520" s="1" t="str">
        <f t="shared" si="8"/>
        <v>11</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20" s="1" t="s">
        <v>3941</v>
      </c>
      <c r="D520" s="1" t="s">
        <v>1102</v>
      </c>
      <c r="E520" s="1" t="s">
        <v>3942</v>
      </c>
      <c r="F520" s="1" t="s">
        <v>112</v>
      </c>
      <c r="G520" s="1">
        <v>367838</v>
      </c>
    </row>
    <row r="521" spans="1:10" x14ac:dyDescent="0.25">
      <c r="A521" s="1" t="str">
        <f t="shared" si="8"/>
        <v>11</v>
      </c>
      <c r="B5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21" s="1" t="s">
        <v>3943</v>
      </c>
      <c r="D521" s="1" t="s">
        <v>988</v>
      </c>
      <c r="E521" s="1" t="s">
        <v>3944</v>
      </c>
      <c r="F521" s="1" t="s">
        <v>112</v>
      </c>
      <c r="G521" s="1">
        <v>286250</v>
      </c>
    </row>
    <row r="522" spans="1:10" x14ac:dyDescent="0.25">
      <c r="A522" s="1" t="str">
        <f t="shared" si="8"/>
        <v>11</v>
      </c>
      <c r="B5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2" s="1" t="s">
        <v>3945</v>
      </c>
    </row>
    <row r="523" spans="1:10" x14ac:dyDescent="0.25">
      <c r="A523" s="1" t="str">
        <f t="shared" si="8"/>
        <v>11</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3" s="1" t="s">
        <v>3946</v>
      </c>
    </row>
    <row r="524" spans="1:10" x14ac:dyDescent="0.25">
      <c r="A524" s="1" t="str">
        <f t="shared" si="8"/>
        <v>11</v>
      </c>
      <c r="B5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4" s="1" t="s">
        <v>3947</v>
      </c>
    </row>
    <row r="525" spans="1:10" x14ac:dyDescent="0.25">
      <c r="A525" s="1" t="str">
        <f t="shared" si="8"/>
        <v>11</v>
      </c>
      <c r="B5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5" s="1" t="s">
        <v>3948</v>
      </c>
    </row>
    <row r="526" spans="1:10" x14ac:dyDescent="0.2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10" x14ac:dyDescent="0.2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237</v>
      </c>
      <c r="D527" s="1" t="s">
        <v>112</v>
      </c>
      <c r="E527" s="1" t="s">
        <v>238</v>
      </c>
      <c r="F527" s="1" t="s">
        <v>239</v>
      </c>
      <c r="G527" s="1" t="s">
        <v>240</v>
      </c>
      <c r="H527" s="1" t="s">
        <v>241</v>
      </c>
      <c r="I527" s="1" t="s">
        <v>242</v>
      </c>
      <c r="J527" s="1" t="s">
        <v>243</v>
      </c>
    </row>
    <row r="528" spans="1:10" x14ac:dyDescent="0.25">
      <c r="A528" s="1" t="str">
        <f t="shared" si="8"/>
        <v>11</v>
      </c>
      <c r="B5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8" s="1" t="s">
        <v>3949</v>
      </c>
      <c r="D528" s="1" t="s">
        <v>112</v>
      </c>
      <c r="E528" s="1" t="s">
        <v>3950</v>
      </c>
      <c r="F528" s="1" t="s">
        <v>3951</v>
      </c>
      <c r="G528" s="1" t="s">
        <v>3952</v>
      </c>
      <c r="H528" s="1" t="s">
        <v>3953</v>
      </c>
      <c r="I528" s="1">
        <v>24</v>
      </c>
      <c r="J528" s="1">
        <v>32</v>
      </c>
    </row>
    <row r="529" spans="1:7" x14ac:dyDescent="0.2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112</v>
      </c>
    </row>
    <row r="530" spans="1:7" x14ac:dyDescent="0.25">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0" s="1" t="s">
        <v>112</v>
      </c>
    </row>
    <row r="531" spans="1:7" x14ac:dyDescent="0.25">
      <c r="A531" s="1" t="str">
        <f t="shared" si="8"/>
        <v/>
      </c>
      <c r="B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1" s="1" t="s">
        <v>112</v>
      </c>
    </row>
    <row r="532" spans="1:7" x14ac:dyDescent="0.25">
      <c r="A532" s="1" t="str">
        <f t="shared" si="8"/>
        <v/>
      </c>
      <c r="B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2" s="1" t="s">
        <v>112</v>
      </c>
    </row>
    <row r="533" spans="1:7" x14ac:dyDescent="0.25">
      <c r="A533" s="1" t="str">
        <f t="shared" si="8"/>
        <v/>
      </c>
      <c r="B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3" s="1" t="s">
        <v>112</v>
      </c>
    </row>
    <row r="534" spans="1:7" x14ac:dyDescent="0.25">
      <c r="A534" s="1" t="str">
        <f t="shared" si="8"/>
        <v/>
      </c>
      <c r="B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4" s="1" t="s">
        <v>249</v>
      </c>
      <c r="D534" s="1" t="s">
        <v>110</v>
      </c>
      <c r="E534" s="1" t="s">
        <v>111</v>
      </c>
      <c r="F534" s="1" t="s">
        <v>112</v>
      </c>
      <c r="G534" s="1" t="s">
        <v>113</v>
      </c>
    </row>
    <row r="535" spans="1:7" x14ac:dyDescent="0.25">
      <c r="A535" s="1" t="str">
        <f t="shared" si="8"/>
        <v>12</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5" s="1" t="s">
        <v>3954</v>
      </c>
      <c r="D535" s="1" t="s">
        <v>3955</v>
      </c>
      <c r="E535" s="1" t="s">
        <v>3956</v>
      </c>
      <c r="F535" s="1" t="s">
        <v>112</v>
      </c>
      <c r="G535" s="1">
        <v>437616</v>
      </c>
    </row>
    <row r="536" spans="1:7" x14ac:dyDescent="0.25">
      <c r="A536" s="1" t="str">
        <f t="shared" si="8"/>
        <v>12</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6" s="1" t="s">
        <v>3957</v>
      </c>
      <c r="D536" s="1" t="s">
        <v>3958</v>
      </c>
      <c r="E536" s="1" t="s">
        <v>3959</v>
      </c>
      <c r="F536" s="1" t="s">
        <v>112</v>
      </c>
      <c r="G536" s="1">
        <v>540293</v>
      </c>
    </row>
    <row r="537" spans="1:7" x14ac:dyDescent="0.25">
      <c r="A537" s="1" t="str">
        <f t="shared" si="8"/>
        <v>12</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7" s="1" t="s">
        <v>3960</v>
      </c>
      <c r="D537" s="1" t="s">
        <v>3961</v>
      </c>
      <c r="E537" s="1" t="s">
        <v>3962</v>
      </c>
      <c r="F537" s="1" t="s">
        <v>112</v>
      </c>
      <c r="G537" s="1">
        <v>373851</v>
      </c>
    </row>
    <row r="538" spans="1:7" x14ac:dyDescent="0.25">
      <c r="A538" s="1" t="str">
        <f t="shared" si="8"/>
        <v>12</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8" s="1" t="s">
        <v>3963</v>
      </c>
      <c r="D538" s="1" t="s">
        <v>3964</v>
      </c>
      <c r="E538" s="1" t="s">
        <v>3965</v>
      </c>
      <c r="F538" s="1" t="s">
        <v>112</v>
      </c>
      <c r="G538" s="1">
        <v>543689</v>
      </c>
    </row>
    <row r="539" spans="1:7" x14ac:dyDescent="0.25">
      <c r="A539" s="1" t="str">
        <f t="shared" si="8"/>
        <v>12</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9" s="1" t="s">
        <v>3966</v>
      </c>
      <c r="D539" s="1" t="s">
        <v>1070</v>
      </c>
      <c r="E539" s="1" t="s">
        <v>3967</v>
      </c>
      <c r="F539" s="1" t="s">
        <v>112</v>
      </c>
      <c r="G539" s="1">
        <v>375841</v>
      </c>
    </row>
    <row r="540" spans="1:7" x14ac:dyDescent="0.25">
      <c r="A540" s="1" t="str">
        <f t="shared" si="8"/>
        <v>12</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40" s="1" t="s">
        <v>3968</v>
      </c>
      <c r="D540" s="1" t="s">
        <v>3969</v>
      </c>
      <c r="E540" s="1" t="s">
        <v>3970</v>
      </c>
      <c r="F540" s="1" t="s">
        <v>112</v>
      </c>
      <c r="G540" s="1">
        <v>207625</v>
      </c>
    </row>
    <row r="541" spans="1:7" x14ac:dyDescent="0.25">
      <c r="A541" s="1" t="str">
        <f t="shared" si="8"/>
        <v>12</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41" s="1" t="s">
        <v>3971</v>
      </c>
      <c r="D541" s="1" t="s">
        <v>3972</v>
      </c>
      <c r="E541" s="1" t="s">
        <v>3973</v>
      </c>
      <c r="F541" s="1" t="s">
        <v>112</v>
      </c>
      <c r="G541" s="1">
        <v>516738</v>
      </c>
    </row>
    <row r="542" spans="1:7" x14ac:dyDescent="0.25">
      <c r="A542" s="1" t="str">
        <f t="shared" si="8"/>
        <v>12</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42" s="1" t="s">
        <v>3974</v>
      </c>
      <c r="D542" s="1" t="s">
        <v>1189</v>
      </c>
      <c r="E542" s="1" t="s">
        <v>3975</v>
      </c>
      <c r="F542" s="1" t="s">
        <v>112</v>
      </c>
      <c r="G542" s="1">
        <v>420355</v>
      </c>
    </row>
    <row r="543" spans="1:7" x14ac:dyDescent="0.25">
      <c r="A543" s="1" t="str">
        <f t="shared" si="8"/>
        <v>12</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43" s="1" t="s">
        <v>3976</v>
      </c>
      <c r="D543" s="1" t="s">
        <v>3964</v>
      </c>
      <c r="E543" s="1" t="s">
        <v>3977</v>
      </c>
      <c r="F543" s="1" t="s">
        <v>112</v>
      </c>
      <c r="G543" s="1">
        <v>561815</v>
      </c>
    </row>
    <row r="544" spans="1:7" x14ac:dyDescent="0.25">
      <c r="A544" s="1" t="str">
        <f t="shared" si="8"/>
        <v>12</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44" s="1" t="s">
        <v>3978</v>
      </c>
      <c r="D544" s="1" t="s">
        <v>3979</v>
      </c>
      <c r="E544" s="1" t="s">
        <v>3980</v>
      </c>
      <c r="F544" s="1" t="s">
        <v>112</v>
      </c>
      <c r="G544" s="1">
        <v>576740</v>
      </c>
    </row>
    <row r="545" spans="1:7" x14ac:dyDescent="0.25">
      <c r="A545" s="1" t="str">
        <f t="shared" si="8"/>
        <v>12</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45" s="1" t="s">
        <v>3981</v>
      </c>
    </row>
    <row r="546" spans="1:7" x14ac:dyDescent="0.25">
      <c r="A546" s="1" t="str">
        <f t="shared" si="8"/>
        <v>12</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46" s="1" t="s">
        <v>3982</v>
      </c>
    </row>
    <row r="547" spans="1:7" x14ac:dyDescent="0.25">
      <c r="A547" s="1" t="str">
        <f t="shared" si="8"/>
        <v>12</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7" s="1" t="s">
        <v>3983</v>
      </c>
      <c r="D547" s="1" t="s">
        <v>3984</v>
      </c>
      <c r="E547" s="1" t="s">
        <v>3985</v>
      </c>
      <c r="F547" s="1" t="s">
        <v>112</v>
      </c>
      <c r="G547" s="1">
        <v>337772</v>
      </c>
    </row>
    <row r="548" spans="1:7" x14ac:dyDescent="0.25">
      <c r="A548" s="1" t="str">
        <f t="shared" si="8"/>
        <v>12</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8" s="1" t="s">
        <v>3986</v>
      </c>
      <c r="D548" s="1" t="s">
        <v>2478</v>
      </c>
      <c r="E548" s="1" t="s">
        <v>3987</v>
      </c>
      <c r="F548" s="1" t="s">
        <v>112</v>
      </c>
      <c r="G548" s="1">
        <v>326179</v>
      </c>
    </row>
    <row r="549" spans="1:7" x14ac:dyDescent="0.25">
      <c r="A549" s="1" t="str">
        <f t="shared" si="8"/>
        <v>12</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9" s="1" t="s">
        <v>3988</v>
      </c>
      <c r="D549" s="1" t="s">
        <v>3989</v>
      </c>
      <c r="E549" s="1" t="s">
        <v>3990</v>
      </c>
      <c r="F549" s="1" t="s">
        <v>112</v>
      </c>
      <c r="G549" s="1">
        <v>367989</v>
      </c>
    </row>
    <row r="550" spans="1:7" x14ac:dyDescent="0.25">
      <c r="A550" s="1" t="str">
        <f t="shared" si="8"/>
        <v>12</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50" s="1" t="s">
        <v>3991</v>
      </c>
    </row>
    <row r="551" spans="1:7" x14ac:dyDescent="0.25">
      <c r="A551" s="1" t="str">
        <f t="shared" si="8"/>
        <v>12</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51" s="1" t="s">
        <v>3992</v>
      </c>
      <c r="D551" s="1" t="s">
        <v>3993</v>
      </c>
      <c r="E551" s="1" t="s">
        <v>3994</v>
      </c>
      <c r="F551" s="1" t="s">
        <v>112</v>
      </c>
      <c r="G551" s="1">
        <v>436145</v>
      </c>
    </row>
    <row r="552" spans="1:7" x14ac:dyDescent="0.25">
      <c r="A552" s="1" t="str">
        <f t="shared" si="8"/>
        <v>12</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52" s="1" t="s">
        <v>3995</v>
      </c>
      <c r="D552" s="1" t="s">
        <v>3996</v>
      </c>
      <c r="E552" s="1" t="s">
        <v>3997</v>
      </c>
      <c r="F552" s="1" t="s">
        <v>112</v>
      </c>
      <c r="G552" s="1">
        <v>612732</v>
      </c>
    </row>
    <row r="553" spans="1:7" x14ac:dyDescent="0.25">
      <c r="A553" s="1" t="str">
        <f t="shared" si="8"/>
        <v>12</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53" s="1" t="s">
        <v>3998</v>
      </c>
    </row>
    <row r="554" spans="1:7" x14ac:dyDescent="0.25">
      <c r="A554" s="1" t="str">
        <f t="shared" si="8"/>
        <v>12</v>
      </c>
      <c r="B5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54" s="1" t="s">
        <v>3999</v>
      </c>
    </row>
    <row r="555" spans="1:7" x14ac:dyDescent="0.25">
      <c r="A555" s="1" t="str">
        <f t="shared" si="8"/>
        <v>12</v>
      </c>
      <c r="B5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55" s="1" t="s">
        <v>4000</v>
      </c>
      <c r="D555" s="1" t="s">
        <v>1059</v>
      </c>
      <c r="E555" s="1" t="s">
        <v>4001</v>
      </c>
      <c r="F555" s="1" t="s">
        <v>112</v>
      </c>
      <c r="G555" s="1">
        <v>198022</v>
      </c>
    </row>
    <row r="556" spans="1:7" x14ac:dyDescent="0.25">
      <c r="A556" s="1" t="str">
        <f t="shared" si="8"/>
        <v>12</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56" s="1" t="s">
        <v>4002</v>
      </c>
      <c r="D556" s="1" t="s">
        <v>2839</v>
      </c>
      <c r="E556" s="1" t="s">
        <v>4003</v>
      </c>
      <c r="F556" s="1" t="s">
        <v>112</v>
      </c>
      <c r="G556" s="1">
        <v>322978</v>
      </c>
    </row>
    <row r="557" spans="1:7" x14ac:dyDescent="0.25">
      <c r="A557" s="1" t="str">
        <f t="shared" si="8"/>
        <v>12</v>
      </c>
      <c r="B5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57" s="1" t="s">
        <v>4004</v>
      </c>
      <c r="D557" s="1" t="s">
        <v>3326</v>
      </c>
      <c r="E557" s="1" t="s">
        <v>4005</v>
      </c>
      <c r="F557" s="1" t="s">
        <v>112</v>
      </c>
      <c r="G557" s="1">
        <v>216753</v>
      </c>
    </row>
    <row r="558" spans="1:7" x14ac:dyDescent="0.25">
      <c r="A558" s="1" t="str">
        <f t="shared" si="8"/>
        <v>12</v>
      </c>
      <c r="B5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58" s="1" t="s">
        <v>4006</v>
      </c>
      <c r="D558" s="1" t="s">
        <v>179</v>
      </c>
      <c r="E558" s="1" t="s">
        <v>4007</v>
      </c>
      <c r="F558" s="1" t="s">
        <v>112</v>
      </c>
      <c r="G558" s="1">
        <v>232283</v>
      </c>
    </row>
    <row r="559" spans="1:7" x14ac:dyDescent="0.25">
      <c r="A559" s="1" t="str">
        <f t="shared" si="8"/>
        <v>12</v>
      </c>
      <c r="B5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9" s="1" t="s">
        <v>4008</v>
      </c>
    </row>
    <row r="560" spans="1:7" x14ac:dyDescent="0.25">
      <c r="A560" s="1" t="str">
        <f t="shared" si="8"/>
        <v>12</v>
      </c>
      <c r="B5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0" s="1" t="s">
        <v>4009</v>
      </c>
    </row>
    <row r="561" spans="1:10" x14ac:dyDescent="0.25">
      <c r="A561" s="1" t="str">
        <f t="shared" si="8"/>
        <v>12</v>
      </c>
      <c r="B5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1" s="1" t="s">
        <v>4010</v>
      </c>
    </row>
    <row r="562" spans="1:10" x14ac:dyDescent="0.25">
      <c r="A562" s="1" t="str">
        <f t="shared" si="8"/>
        <v>12</v>
      </c>
      <c r="B5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2" s="1" t="s">
        <v>4011</v>
      </c>
    </row>
    <row r="563" spans="1:10" x14ac:dyDescent="0.25">
      <c r="A563" s="1" t="str">
        <f t="shared" si="8"/>
        <v>12</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3" s="1" t="s">
        <v>4012</v>
      </c>
    </row>
    <row r="564" spans="1:10" x14ac:dyDescent="0.25">
      <c r="A564" s="1" t="str">
        <f t="shared" si="8"/>
        <v>12</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4" s="1" t="s">
        <v>4013</v>
      </c>
    </row>
    <row r="565" spans="1:10" x14ac:dyDescent="0.25">
      <c r="A565" s="1" t="str">
        <f t="shared" si="8"/>
        <v>12</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5" s="1" t="s">
        <v>4014</v>
      </c>
    </row>
    <row r="566" spans="1:10" x14ac:dyDescent="0.25">
      <c r="A566" s="1" t="str">
        <f t="shared" si="8"/>
        <v>12</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6" s="1" t="s">
        <v>4015</v>
      </c>
    </row>
    <row r="567" spans="1:10" x14ac:dyDescent="0.25">
      <c r="A567" s="1" t="str">
        <f t="shared" si="8"/>
        <v/>
      </c>
      <c r="B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7" s="1" t="s">
        <v>112</v>
      </c>
    </row>
    <row r="568" spans="1:10" x14ac:dyDescent="0.25">
      <c r="A568" s="1" t="str">
        <f t="shared" si="8"/>
        <v/>
      </c>
      <c r="B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8" s="1" t="s">
        <v>237</v>
      </c>
      <c r="D568" s="1" t="s">
        <v>112</v>
      </c>
      <c r="E568" s="1" t="s">
        <v>238</v>
      </c>
      <c r="F568" s="1" t="s">
        <v>239</v>
      </c>
      <c r="G568" s="1" t="s">
        <v>240</v>
      </c>
      <c r="H568" s="1" t="s">
        <v>241</v>
      </c>
      <c r="I568" s="1" t="s">
        <v>242</v>
      </c>
      <c r="J568" s="1" t="s">
        <v>243</v>
      </c>
    </row>
    <row r="569" spans="1:10" x14ac:dyDescent="0.25">
      <c r="A569" s="1" t="str">
        <f t="shared" si="8"/>
        <v>12</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69" s="1" t="s">
        <v>4016</v>
      </c>
      <c r="D569" s="1" t="s">
        <v>112</v>
      </c>
      <c r="E569" s="1" t="s">
        <v>4017</v>
      </c>
      <c r="F569" s="1" t="s">
        <v>4018</v>
      </c>
      <c r="G569" s="1" t="s">
        <v>4019</v>
      </c>
      <c r="H569" s="1" t="s">
        <v>4020</v>
      </c>
      <c r="I569" s="1">
        <v>29</v>
      </c>
      <c r="J569" s="1">
        <v>32</v>
      </c>
    </row>
    <row r="570" spans="1:10" x14ac:dyDescent="0.25">
      <c r="A570" s="1" t="str">
        <f t="shared" si="8"/>
        <v/>
      </c>
      <c r="B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0" s="1" t="s">
        <v>112</v>
      </c>
    </row>
    <row r="571" spans="1:10" x14ac:dyDescent="0.25">
      <c r="A571" s="1" t="str">
        <f t="shared" si="8"/>
        <v/>
      </c>
      <c r="B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1" s="1" t="s">
        <v>112</v>
      </c>
    </row>
    <row r="572" spans="1:10" x14ac:dyDescent="0.25">
      <c r="A572" s="1" t="str">
        <f t="shared" si="8"/>
        <v/>
      </c>
      <c r="B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2" s="1" t="s">
        <v>112</v>
      </c>
    </row>
    <row r="573" spans="1:10" x14ac:dyDescent="0.25">
      <c r="A573" s="1" t="str">
        <f t="shared" si="8"/>
        <v/>
      </c>
      <c r="B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3" s="1" t="s">
        <v>112</v>
      </c>
    </row>
    <row r="574" spans="1:10" x14ac:dyDescent="0.25">
      <c r="A574" s="1" t="str">
        <f t="shared" si="8"/>
        <v/>
      </c>
      <c r="B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4" s="1" t="s">
        <v>112</v>
      </c>
    </row>
    <row r="575" spans="1:10" x14ac:dyDescent="0.25">
      <c r="A575" s="1" t="str">
        <f t="shared" si="8"/>
        <v/>
      </c>
      <c r="B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5" s="1" t="s">
        <v>249</v>
      </c>
      <c r="D575" s="1" t="s">
        <v>110</v>
      </c>
      <c r="E575" s="1" t="s">
        <v>111</v>
      </c>
      <c r="F575" s="1" t="s">
        <v>112</v>
      </c>
      <c r="G575" s="1" t="s">
        <v>113</v>
      </c>
    </row>
    <row r="576" spans="1:10" x14ac:dyDescent="0.25">
      <c r="A576" s="1" t="str">
        <f t="shared" si="8"/>
        <v>17</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76" s="1" t="s">
        <v>4021</v>
      </c>
    </row>
    <row r="577" spans="1:7" x14ac:dyDescent="0.25">
      <c r="A577" s="1" t="str">
        <f t="shared" si="8"/>
        <v>17</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77" s="1" t="s">
        <v>4022</v>
      </c>
    </row>
    <row r="578" spans="1:7" x14ac:dyDescent="0.25">
      <c r="A578" s="1" t="str">
        <f t="shared" ref="A578:A641" si="9">IFERROR(LEFT(RIGHT(C578,LEN(C578)-SEARCH("@",C578)),SEARCH("/",RIGHT(C578,LEN(C578)-SEARCH("@",C578)-1))),"")</f>
        <v>17</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78" s="1" t="s">
        <v>4023</v>
      </c>
    </row>
    <row r="579" spans="1:7" x14ac:dyDescent="0.25">
      <c r="A579" s="1" t="str">
        <f t="shared" si="9"/>
        <v>17</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79" s="1" t="s">
        <v>4024</v>
      </c>
    </row>
    <row r="580" spans="1:7" x14ac:dyDescent="0.25">
      <c r="A580" s="1" t="str">
        <f t="shared" si="9"/>
        <v>17</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80" s="1" t="s">
        <v>4025</v>
      </c>
      <c r="D580" s="1" t="s">
        <v>4026</v>
      </c>
      <c r="E580" s="1" t="s">
        <v>4027</v>
      </c>
      <c r="F580" s="1" t="s">
        <v>112</v>
      </c>
      <c r="G580" s="1">
        <v>478929</v>
      </c>
    </row>
    <row r="581" spans="1:7" x14ac:dyDescent="0.25">
      <c r="A581" s="1" t="str">
        <f t="shared" si="9"/>
        <v>17</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81" s="1" t="s">
        <v>4028</v>
      </c>
      <c r="D581" s="1" t="s">
        <v>4029</v>
      </c>
      <c r="E581" s="1" t="s">
        <v>4030</v>
      </c>
      <c r="F581" s="1" t="s">
        <v>112</v>
      </c>
      <c r="G581" s="1">
        <v>700333</v>
      </c>
    </row>
    <row r="582" spans="1:7" x14ac:dyDescent="0.25">
      <c r="A582" s="1" t="str">
        <f t="shared" si="9"/>
        <v>17</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82" s="1" t="s">
        <v>4031</v>
      </c>
      <c r="D582" s="1" t="s">
        <v>4032</v>
      </c>
      <c r="E582" s="1" t="s">
        <v>4033</v>
      </c>
      <c r="F582" s="1" t="s">
        <v>112</v>
      </c>
      <c r="G582" s="1">
        <v>841078</v>
      </c>
    </row>
    <row r="583" spans="1:7" x14ac:dyDescent="0.25">
      <c r="A583" s="1" t="str">
        <f t="shared" si="9"/>
        <v>17</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83" s="1" t="s">
        <v>4034</v>
      </c>
      <c r="D583" s="1" t="s">
        <v>3017</v>
      </c>
      <c r="E583" s="1" t="s">
        <v>4035</v>
      </c>
      <c r="F583" s="1" t="s">
        <v>112</v>
      </c>
      <c r="G583" s="1">
        <v>432317</v>
      </c>
    </row>
    <row r="584" spans="1:7" x14ac:dyDescent="0.25">
      <c r="A584" s="1" t="str">
        <f t="shared" si="9"/>
        <v>17</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84" s="1" t="s">
        <v>4036</v>
      </c>
      <c r="D584" s="1" t="s">
        <v>4037</v>
      </c>
      <c r="E584" s="1" t="s">
        <v>4038</v>
      </c>
      <c r="F584" s="1" t="s">
        <v>112</v>
      </c>
      <c r="G584" s="1">
        <v>483623</v>
      </c>
    </row>
    <row r="585" spans="1:7" x14ac:dyDescent="0.25">
      <c r="A585" s="1" t="str">
        <f t="shared" si="9"/>
        <v>17</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85" s="1" t="s">
        <v>4039</v>
      </c>
    </row>
    <row r="586" spans="1:7" x14ac:dyDescent="0.25">
      <c r="A586" s="1" t="str">
        <f t="shared" si="9"/>
        <v>17</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86" s="1" t="s">
        <v>4040</v>
      </c>
      <c r="D586" s="1" t="s">
        <v>4041</v>
      </c>
      <c r="E586" s="1" t="s">
        <v>4042</v>
      </c>
      <c r="F586" s="1" t="s">
        <v>112</v>
      </c>
      <c r="G586" s="1">
        <v>626683</v>
      </c>
    </row>
    <row r="587" spans="1:7" x14ac:dyDescent="0.25">
      <c r="A587" s="1" t="str">
        <f t="shared" si="9"/>
        <v>17</v>
      </c>
      <c r="B5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87" s="1" t="s">
        <v>4043</v>
      </c>
    </row>
    <row r="588" spans="1:7" x14ac:dyDescent="0.25">
      <c r="A588" s="1" t="str">
        <f t="shared" si="9"/>
        <v>17</v>
      </c>
      <c r="B5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88" s="1" t="s">
        <v>4044</v>
      </c>
      <c r="D588" s="1" t="s">
        <v>972</v>
      </c>
      <c r="E588" s="1" t="s">
        <v>4045</v>
      </c>
      <c r="F588" s="1" t="s">
        <v>112</v>
      </c>
      <c r="G588" s="1">
        <v>415359</v>
      </c>
    </row>
    <row r="589" spans="1:7" x14ac:dyDescent="0.25">
      <c r="A589" s="1" t="str">
        <f t="shared" si="9"/>
        <v>17</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89" s="1" t="s">
        <v>4046</v>
      </c>
      <c r="D589" s="1" t="s">
        <v>4047</v>
      </c>
      <c r="E589" s="1" t="s">
        <v>4048</v>
      </c>
      <c r="F589" s="1" t="s">
        <v>112</v>
      </c>
      <c r="G589" s="1">
        <v>684132</v>
      </c>
    </row>
    <row r="590" spans="1:7" x14ac:dyDescent="0.25">
      <c r="A590" s="1" t="str">
        <f t="shared" si="9"/>
        <v>17</v>
      </c>
      <c r="B5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90" s="1" t="s">
        <v>4049</v>
      </c>
      <c r="D590" s="1" t="s">
        <v>4050</v>
      </c>
      <c r="E590" s="1" t="s">
        <v>4051</v>
      </c>
      <c r="F590" s="1" t="s">
        <v>112</v>
      </c>
      <c r="G590" s="1">
        <v>596661</v>
      </c>
    </row>
    <row r="591" spans="1:7" x14ac:dyDescent="0.25">
      <c r="A591" s="1" t="str">
        <f t="shared" si="9"/>
        <v>17</v>
      </c>
      <c r="B5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91" s="1" t="s">
        <v>4052</v>
      </c>
      <c r="D591" s="1" t="s">
        <v>4053</v>
      </c>
      <c r="E591" s="1" t="s">
        <v>4054</v>
      </c>
      <c r="F591" s="1" t="s">
        <v>112</v>
      </c>
      <c r="G591" s="1">
        <v>537373</v>
      </c>
    </row>
    <row r="592" spans="1:7" x14ac:dyDescent="0.25">
      <c r="A592" s="1" t="str">
        <f t="shared" si="9"/>
        <v>17</v>
      </c>
      <c r="B5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92" s="1" t="s">
        <v>4055</v>
      </c>
      <c r="D592" s="1" t="s">
        <v>929</v>
      </c>
      <c r="E592" s="1" t="s">
        <v>4056</v>
      </c>
      <c r="F592" s="1" t="s">
        <v>112</v>
      </c>
      <c r="G592" s="1">
        <v>3334378</v>
      </c>
    </row>
    <row r="593" spans="1:7" x14ac:dyDescent="0.25">
      <c r="A593" s="1" t="str">
        <f t="shared" si="9"/>
        <v>17</v>
      </c>
      <c r="B5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93" s="1" t="s">
        <v>4057</v>
      </c>
      <c r="D593" s="1" t="s">
        <v>4058</v>
      </c>
      <c r="E593" s="1" t="s">
        <v>4059</v>
      </c>
      <c r="F593" s="1" t="s">
        <v>112</v>
      </c>
      <c r="G593" s="1">
        <v>3656274</v>
      </c>
    </row>
    <row r="594" spans="1:7" x14ac:dyDescent="0.25">
      <c r="A594" s="1" t="str">
        <f t="shared" si="9"/>
        <v>17</v>
      </c>
      <c r="B5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94" s="1" t="s">
        <v>4060</v>
      </c>
      <c r="D594" s="1" t="s">
        <v>4061</v>
      </c>
      <c r="E594" s="1" t="s">
        <v>4062</v>
      </c>
      <c r="F594" s="1" t="s">
        <v>112</v>
      </c>
      <c r="G594" s="1">
        <v>3536120</v>
      </c>
    </row>
    <row r="595" spans="1:7" x14ac:dyDescent="0.25">
      <c r="A595" s="1" t="str">
        <f t="shared" si="9"/>
        <v>17</v>
      </c>
      <c r="B5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95" s="1" t="s">
        <v>4063</v>
      </c>
      <c r="D595" s="1" t="s">
        <v>4064</v>
      </c>
      <c r="E595" s="1" t="s">
        <v>4065</v>
      </c>
      <c r="F595" s="1" t="s">
        <v>112</v>
      </c>
      <c r="G595" s="1">
        <v>3973693</v>
      </c>
    </row>
    <row r="596" spans="1:7" x14ac:dyDescent="0.25">
      <c r="A596" s="1" t="str">
        <f t="shared" si="9"/>
        <v>17</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96" s="1" t="s">
        <v>4066</v>
      </c>
      <c r="D596" s="1" t="s">
        <v>4067</v>
      </c>
      <c r="E596" s="1" t="s">
        <v>4068</v>
      </c>
      <c r="F596" s="1" t="s">
        <v>112</v>
      </c>
      <c r="G596" s="1">
        <v>245391</v>
      </c>
    </row>
    <row r="597" spans="1:7" x14ac:dyDescent="0.25">
      <c r="A597" s="1" t="str">
        <f t="shared" si="9"/>
        <v>17</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97" s="1" t="s">
        <v>4069</v>
      </c>
      <c r="D597" s="1" t="s">
        <v>322</v>
      </c>
      <c r="E597" s="1" t="s">
        <v>4070</v>
      </c>
      <c r="F597" s="1" t="s">
        <v>112</v>
      </c>
      <c r="G597" s="1">
        <v>82994</v>
      </c>
    </row>
    <row r="598" spans="1:7" x14ac:dyDescent="0.25">
      <c r="A598" s="1" t="str">
        <f t="shared" si="9"/>
        <v>17</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98" s="1" t="s">
        <v>4071</v>
      </c>
      <c r="D598" s="1" t="s">
        <v>288</v>
      </c>
      <c r="E598" s="1" t="s">
        <v>4072</v>
      </c>
      <c r="F598" s="1" t="s">
        <v>112</v>
      </c>
      <c r="G598" s="1">
        <v>364442</v>
      </c>
    </row>
    <row r="599" spans="1:7" x14ac:dyDescent="0.25">
      <c r="A599" s="1" t="str">
        <f t="shared" si="9"/>
        <v>17</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99" s="1" t="s">
        <v>4073</v>
      </c>
      <c r="D599" s="1" t="s">
        <v>4074</v>
      </c>
      <c r="E599" s="1" t="s">
        <v>4075</v>
      </c>
      <c r="F599" s="1" t="s">
        <v>112</v>
      </c>
      <c r="G599" s="1">
        <v>237388</v>
      </c>
    </row>
    <row r="600" spans="1:7" x14ac:dyDescent="0.25">
      <c r="A600" s="1" t="str">
        <f t="shared" si="9"/>
        <v>17</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00" s="1" t="s">
        <v>4076</v>
      </c>
      <c r="D600" s="1" t="s">
        <v>1038</v>
      </c>
      <c r="E600" s="1" t="s">
        <v>4077</v>
      </c>
      <c r="F600" s="1" t="s">
        <v>112</v>
      </c>
      <c r="G600" s="1">
        <v>188569</v>
      </c>
    </row>
    <row r="601" spans="1:7" x14ac:dyDescent="0.25">
      <c r="A601" s="1" t="str">
        <f t="shared" si="9"/>
        <v>17</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01" s="1" t="s">
        <v>4078</v>
      </c>
      <c r="D601" s="1" t="s">
        <v>4079</v>
      </c>
      <c r="E601" s="1" t="s">
        <v>4080</v>
      </c>
      <c r="F601" s="1" t="s">
        <v>112</v>
      </c>
      <c r="G601" s="1">
        <v>325595</v>
      </c>
    </row>
    <row r="602" spans="1:7" x14ac:dyDescent="0.25">
      <c r="A602" s="1" t="str">
        <f t="shared" si="9"/>
        <v>17</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02" s="1" t="s">
        <v>4081</v>
      </c>
      <c r="D602" s="1" t="s">
        <v>4082</v>
      </c>
      <c r="E602" s="1" t="s">
        <v>4083</v>
      </c>
      <c r="F602" s="1" t="s">
        <v>112</v>
      </c>
      <c r="G602" s="1">
        <v>671435</v>
      </c>
    </row>
    <row r="603" spans="1:7" x14ac:dyDescent="0.25">
      <c r="A603" s="1" t="str">
        <f t="shared" si="9"/>
        <v>17</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03" s="1" t="s">
        <v>4084</v>
      </c>
      <c r="D603" s="1" t="s">
        <v>4085</v>
      </c>
      <c r="E603" s="1" t="s">
        <v>4086</v>
      </c>
      <c r="F603" s="1" t="s">
        <v>112</v>
      </c>
      <c r="G603" s="1">
        <v>693173</v>
      </c>
    </row>
    <row r="604" spans="1:7" x14ac:dyDescent="0.25">
      <c r="A604" s="1" t="str">
        <f t="shared" si="9"/>
        <v>17</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04" s="1" t="s">
        <v>4087</v>
      </c>
      <c r="D604" s="1" t="s">
        <v>1283</v>
      </c>
      <c r="E604" s="1" t="s">
        <v>4088</v>
      </c>
      <c r="F604" s="1" t="s">
        <v>112</v>
      </c>
      <c r="G604" s="1">
        <v>415034</v>
      </c>
    </row>
    <row r="605" spans="1:7" x14ac:dyDescent="0.25">
      <c r="A605" s="1" t="str">
        <f t="shared" si="9"/>
        <v>17</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05" s="1" t="s">
        <v>4089</v>
      </c>
      <c r="D605" s="1" t="s">
        <v>4090</v>
      </c>
      <c r="E605" s="1" t="s">
        <v>4091</v>
      </c>
      <c r="F605" s="1" t="s">
        <v>112</v>
      </c>
      <c r="G605" s="1">
        <v>518447</v>
      </c>
    </row>
    <row r="606" spans="1:7" x14ac:dyDescent="0.25">
      <c r="A606" s="1" t="str">
        <f t="shared" si="9"/>
        <v>17</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06" s="1" t="s">
        <v>4092</v>
      </c>
      <c r="D606" s="1" t="s">
        <v>4093</v>
      </c>
      <c r="E606" s="1" t="s">
        <v>4094</v>
      </c>
      <c r="F606" s="1" t="s">
        <v>112</v>
      </c>
      <c r="G606" s="1">
        <v>424854</v>
      </c>
    </row>
    <row r="607" spans="1:7" x14ac:dyDescent="0.25">
      <c r="A607" s="1" t="str">
        <f t="shared" si="9"/>
        <v>17</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07" s="1" t="s">
        <v>4095</v>
      </c>
      <c r="D607" s="1" t="s">
        <v>4096</v>
      </c>
      <c r="E607" s="1" t="s">
        <v>4097</v>
      </c>
      <c r="F607" s="1" t="s">
        <v>112</v>
      </c>
      <c r="G607" s="1">
        <v>535383</v>
      </c>
    </row>
    <row r="608" spans="1:7" x14ac:dyDescent="0.25">
      <c r="A608" s="1" t="str">
        <f t="shared" si="9"/>
        <v/>
      </c>
      <c r="B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8" s="1" t="s">
        <v>112</v>
      </c>
    </row>
    <row r="609" spans="1:10" x14ac:dyDescent="0.25">
      <c r="A609" s="1" t="str">
        <f t="shared" si="9"/>
        <v/>
      </c>
      <c r="B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9" s="1" t="s">
        <v>237</v>
      </c>
      <c r="D609" s="1" t="s">
        <v>112</v>
      </c>
      <c r="E609" s="1" t="s">
        <v>238</v>
      </c>
      <c r="F609" s="1" t="s">
        <v>239</v>
      </c>
      <c r="G609" s="1" t="s">
        <v>240</v>
      </c>
      <c r="H609" s="1" t="s">
        <v>241</v>
      </c>
      <c r="I609" s="1" t="s">
        <v>242</v>
      </c>
      <c r="J609" s="1" t="s">
        <v>243</v>
      </c>
    </row>
    <row r="610" spans="1:10" x14ac:dyDescent="0.25">
      <c r="A610" s="1" t="str">
        <f t="shared" si="9"/>
        <v>17</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0" s="1" t="s">
        <v>4098</v>
      </c>
      <c r="D610" s="1" t="s">
        <v>112</v>
      </c>
      <c r="E610" s="1" t="s">
        <v>4099</v>
      </c>
      <c r="F610" s="1" t="s">
        <v>4100</v>
      </c>
      <c r="G610" s="1" t="s">
        <v>4101</v>
      </c>
      <c r="H610" s="1" t="s">
        <v>4102</v>
      </c>
      <c r="I610" s="1">
        <v>29</v>
      </c>
      <c r="J610" s="1">
        <v>32</v>
      </c>
    </row>
    <row r="611" spans="1:10" x14ac:dyDescent="0.25">
      <c r="A611" s="1" t="str">
        <f t="shared" si="9"/>
        <v/>
      </c>
      <c r="B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1" s="1" t="s">
        <v>112</v>
      </c>
    </row>
    <row r="612" spans="1:10" x14ac:dyDescent="0.25">
      <c r="A612" s="1" t="str">
        <f t="shared" si="9"/>
        <v/>
      </c>
      <c r="B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2" s="1" t="s">
        <v>112</v>
      </c>
    </row>
    <row r="613" spans="1:10" x14ac:dyDescent="0.25">
      <c r="A613" s="1" t="str">
        <f t="shared" si="9"/>
        <v/>
      </c>
      <c r="B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3" s="1" t="s">
        <v>112</v>
      </c>
    </row>
    <row r="614" spans="1:10" x14ac:dyDescent="0.25">
      <c r="A614" s="1" t="str">
        <f t="shared" si="9"/>
        <v/>
      </c>
      <c r="B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4" s="1" t="s">
        <v>112</v>
      </c>
    </row>
    <row r="615" spans="1:10" x14ac:dyDescent="0.25">
      <c r="A615" s="1" t="str">
        <f t="shared" si="9"/>
        <v/>
      </c>
      <c r="B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5" s="1" t="s">
        <v>112</v>
      </c>
    </row>
    <row r="616" spans="1:10" x14ac:dyDescent="0.25">
      <c r="A616" s="1" t="str">
        <f t="shared" si="9"/>
        <v/>
      </c>
      <c r="B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6" s="1" t="s">
        <v>249</v>
      </c>
      <c r="D616" s="1" t="s">
        <v>110</v>
      </c>
      <c r="E616" s="1" t="s">
        <v>111</v>
      </c>
      <c r="F616" s="1" t="s">
        <v>112</v>
      </c>
      <c r="G616" s="1" t="s">
        <v>113</v>
      </c>
    </row>
    <row r="617" spans="1:10" x14ac:dyDescent="0.25">
      <c r="A617" s="1" t="str">
        <f t="shared" si="9"/>
        <v>18</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17" s="1" t="s">
        <v>4103</v>
      </c>
    </row>
    <row r="618" spans="1:10" x14ac:dyDescent="0.25">
      <c r="A618" s="1" t="str">
        <f t="shared" si="9"/>
        <v>18</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18" s="1" t="s">
        <v>4104</v>
      </c>
      <c r="D618" s="1" t="s">
        <v>4105</v>
      </c>
      <c r="E618" s="1" t="s">
        <v>4106</v>
      </c>
      <c r="F618" s="1" t="s">
        <v>112</v>
      </c>
      <c r="G618" s="1">
        <v>2027175</v>
      </c>
    </row>
    <row r="619" spans="1:10" x14ac:dyDescent="0.25">
      <c r="A619" s="1" t="str">
        <f t="shared" si="9"/>
        <v>18</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19" s="1" t="s">
        <v>4107</v>
      </c>
    </row>
    <row r="620" spans="1:10" x14ac:dyDescent="0.25">
      <c r="A620" s="1" t="str">
        <f t="shared" si="9"/>
        <v>18</v>
      </c>
      <c r="B6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0" s="1" t="s">
        <v>4108</v>
      </c>
      <c r="D620" s="1" t="s">
        <v>4109</v>
      </c>
      <c r="E620" s="1" t="s">
        <v>4110</v>
      </c>
      <c r="F620" s="1" t="s">
        <v>112</v>
      </c>
      <c r="G620" s="1">
        <v>2254073</v>
      </c>
    </row>
    <row r="621" spans="1:10" x14ac:dyDescent="0.25">
      <c r="A621" s="1" t="str">
        <f t="shared" si="9"/>
        <v>18</v>
      </c>
      <c r="B6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21" s="1" t="s">
        <v>4111</v>
      </c>
      <c r="D621" s="1" t="s">
        <v>3338</v>
      </c>
      <c r="E621" s="1" t="s">
        <v>4112</v>
      </c>
      <c r="F621" s="1" t="s">
        <v>112</v>
      </c>
      <c r="G621" s="1">
        <v>480941</v>
      </c>
    </row>
    <row r="622" spans="1:10" x14ac:dyDescent="0.25">
      <c r="A622" s="1" t="str">
        <f t="shared" si="9"/>
        <v>18</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22" s="1" t="s">
        <v>4113</v>
      </c>
      <c r="D622" s="1" t="s">
        <v>2887</v>
      </c>
      <c r="E622" s="1" t="s">
        <v>4114</v>
      </c>
      <c r="F622" s="1" t="s">
        <v>112</v>
      </c>
      <c r="G622" s="1">
        <v>509817</v>
      </c>
    </row>
    <row r="623" spans="1:10" x14ac:dyDescent="0.25">
      <c r="A623" s="1" t="str">
        <f t="shared" si="9"/>
        <v>18</v>
      </c>
      <c r="B6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23" s="1" t="s">
        <v>4115</v>
      </c>
    </row>
    <row r="624" spans="1:10" x14ac:dyDescent="0.25">
      <c r="A624" s="1" t="str">
        <f t="shared" si="9"/>
        <v>18</v>
      </c>
      <c r="B6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24" s="1" t="s">
        <v>4116</v>
      </c>
      <c r="D624" s="1" t="s">
        <v>4117</v>
      </c>
      <c r="E624" s="1" t="s">
        <v>4118</v>
      </c>
      <c r="F624" s="1" t="s">
        <v>112</v>
      </c>
      <c r="G624" s="1">
        <v>637844</v>
      </c>
    </row>
    <row r="625" spans="1:7" x14ac:dyDescent="0.25">
      <c r="A625" s="1" t="str">
        <f t="shared" si="9"/>
        <v>18</v>
      </c>
      <c r="B6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25" s="1" t="s">
        <v>4119</v>
      </c>
      <c r="D625" s="1" t="s">
        <v>4120</v>
      </c>
      <c r="E625" s="1" t="s">
        <v>4121</v>
      </c>
      <c r="F625" s="1" t="s">
        <v>112</v>
      </c>
      <c r="G625" s="1">
        <v>1317672</v>
      </c>
    </row>
    <row r="626" spans="1:7" x14ac:dyDescent="0.25">
      <c r="A626" s="1" t="str">
        <f t="shared" si="9"/>
        <v>18</v>
      </c>
      <c r="B6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26" s="1" t="s">
        <v>4122</v>
      </c>
      <c r="D626" s="1" t="s">
        <v>4123</v>
      </c>
      <c r="E626" s="1" t="s">
        <v>4124</v>
      </c>
      <c r="F626" s="1" t="s">
        <v>112</v>
      </c>
      <c r="G626" s="1">
        <v>1053895</v>
      </c>
    </row>
    <row r="627" spans="1:7" x14ac:dyDescent="0.25">
      <c r="A627" s="1" t="str">
        <f t="shared" si="9"/>
        <v>18</v>
      </c>
      <c r="B6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27" s="1" t="s">
        <v>4125</v>
      </c>
      <c r="D627" s="1" t="s">
        <v>4126</v>
      </c>
      <c r="E627" s="1" t="s">
        <v>4127</v>
      </c>
      <c r="F627" s="1" t="s">
        <v>112</v>
      </c>
      <c r="G627" s="1">
        <v>1293749</v>
      </c>
    </row>
    <row r="628" spans="1:7" x14ac:dyDescent="0.25">
      <c r="A628" s="1" t="str">
        <f t="shared" si="9"/>
        <v>18</v>
      </c>
      <c r="B6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28" s="1" t="s">
        <v>4128</v>
      </c>
      <c r="D628" s="1" t="s">
        <v>4129</v>
      </c>
      <c r="E628" s="1" t="s">
        <v>4130</v>
      </c>
      <c r="F628" s="1" t="s">
        <v>112</v>
      </c>
      <c r="G628" s="1">
        <v>1506738</v>
      </c>
    </row>
    <row r="629" spans="1:7" x14ac:dyDescent="0.25">
      <c r="A629" s="1" t="str">
        <f t="shared" si="9"/>
        <v>18</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29" s="1" t="s">
        <v>4131</v>
      </c>
      <c r="D629" s="1" t="s">
        <v>4132</v>
      </c>
      <c r="E629" s="1" t="s">
        <v>4133</v>
      </c>
      <c r="F629" s="1" t="s">
        <v>112</v>
      </c>
      <c r="G629" s="1">
        <v>1111020</v>
      </c>
    </row>
    <row r="630" spans="1:7" x14ac:dyDescent="0.25">
      <c r="A630" s="1" t="str">
        <f t="shared" si="9"/>
        <v>18</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0" s="1" t="s">
        <v>4134</v>
      </c>
      <c r="D630" s="1" t="s">
        <v>4135</v>
      </c>
      <c r="E630" s="1" t="s">
        <v>4136</v>
      </c>
      <c r="F630" s="1" t="s">
        <v>112</v>
      </c>
      <c r="G630" s="1">
        <v>1011046</v>
      </c>
    </row>
    <row r="631" spans="1:7" x14ac:dyDescent="0.25">
      <c r="A631" s="1" t="str">
        <f t="shared" si="9"/>
        <v>18</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1" s="1" t="s">
        <v>4137</v>
      </c>
      <c r="D631" s="1" t="s">
        <v>4138</v>
      </c>
      <c r="E631" s="1" t="s">
        <v>4139</v>
      </c>
      <c r="F631" s="1" t="s">
        <v>112</v>
      </c>
      <c r="G631" s="1">
        <v>1658321</v>
      </c>
    </row>
    <row r="632" spans="1:7" x14ac:dyDescent="0.25">
      <c r="A632" s="1" t="str">
        <f t="shared" si="9"/>
        <v>18</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2" s="1" t="s">
        <v>4140</v>
      </c>
      <c r="D632" s="1" t="s">
        <v>4141</v>
      </c>
      <c r="E632" s="1" t="s">
        <v>4142</v>
      </c>
      <c r="F632" s="1" t="s">
        <v>112</v>
      </c>
      <c r="G632" s="1">
        <v>1470487</v>
      </c>
    </row>
    <row r="633" spans="1:7" x14ac:dyDescent="0.25">
      <c r="A633" s="1" t="str">
        <f t="shared" si="9"/>
        <v>18</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33" s="1" t="s">
        <v>4143</v>
      </c>
      <c r="D633" s="1" t="s">
        <v>3058</v>
      </c>
      <c r="E633" s="1" t="s">
        <v>4144</v>
      </c>
      <c r="F633" s="1" t="s">
        <v>112</v>
      </c>
      <c r="G633" s="1">
        <v>1025690</v>
      </c>
    </row>
    <row r="634" spans="1:7" x14ac:dyDescent="0.25">
      <c r="A634" s="1" t="str">
        <f t="shared" si="9"/>
        <v>18</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34" s="1" t="s">
        <v>4145</v>
      </c>
      <c r="D634" s="1" t="s">
        <v>4146</v>
      </c>
      <c r="E634" s="1" t="s">
        <v>4147</v>
      </c>
      <c r="F634" s="1" t="s">
        <v>112</v>
      </c>
      <c r="G634" s="1">
        <v>1579307</v>
      </c>
    </row>
    <row r="635" spans="1:7" x14ac:dyDescent="0.25">
      <c r="A635" s="1" t="str">
        <f t="shared" si="9"/>
        <v>18</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35" s="1" t="s">
        <v>4148</v>
      </c>
      <c r="D635" s="1" t="s">
        <v>2602</v>
      </c>
      <c r="E635" s="1" t="s">
        <v>4149</v>
      </c>
      <c r="F635" s="1" t="s">
        <v>112</v>
      </c>
      <c r="G635" s="1">
        <v>1027571</v>
      </c>
    </row>
    <row r="636" spans="1:7" x14ac:dyDescent="0.25">
      <c r="A636" s="1" t="str">
        <f t="shared" si="9"/>
        <v>18</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36" s="1" t="s">
        <v>4150</v>
      </c>
      <c r="D636" s="1" t="s">
        <v>4151</v>
      </c>
      <c r="E636" s="1" t="s">
        <v>4152</v>
      </c>
      <c r="F636" s="1" t="s">
        <v>112</v>
      </c>
      <c r="G636" s="1">
        <v>1334262</v>
      </c>
    </row>
    <row r="637" spans="1:7" x14ac:dyDescent="0.25">
      <c r="A637" s="1" t="str">
        <f t="shared" si="9"/>
        <v>18</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37" s="1" t="s">
        <v>4153</v>
      </c>
      <c r="D637" s="1" t="s">
        <v>3383</v>
      </c>
      <c r="E637" s="1" t="s">
        <v>4154</v>
      </c>
      <c r="F637" s="1" t="s">
        <v>112</v>
      </c>
      <c r="G637" s="1">
        <v>56368</v>
      </c>
    </row>
    <row r="638" spans="1:7" x14ac:dyDescent="0.25">
      <c r="A638" s="1" t="str">
        <f t="shared" si="9"/>
        <v>18</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38" s="1" t="s">
        <v>4155</v>
      </c>
      <c r="D638" s="1">
        <v>0</v>
      </c>
      <c r="E638" s="1">
        <v>0</v>
      </c>
      <c r="F638" s="1" t="s">
        <v>112</v>
      </c>
      <c r="G638" s="1">
        <v>0</v>
      </c>
    </row>
    <row r="639" spans="1:7" x14ac:dyDescent="0.25">
      <c r="A639" s="1" t="str">
        <f t="shared" si="9"/>
        <v>18</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39" s="1" t="s">
        <v>4156</v>
      </c>
      <c r="D639" s="1" t="s">
        <v>4157</v>
      </c>
      <c r="E639" s="1" t="s">
        <v>4158</v>
      </c>
      <c r="F639" s="1" t="s">
        <v>112</v>
      </c>
      <c r="G639" s="1">
        <v>116499</v>
      </c>
    </row>
    <row r="640" spans="1:7" x14ac:dyDescent="0.25">
      <c r="A640" s="1" t="str">
        <f t="shared" si="9"/>
        <v>18</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0" s="1" t="s">
        <v>4159</v>
      </c>
      <c r="D640" s="1" t="s">
        <v>3414</v>
      </c>
      <c r="E640" s="1" t="s">
        <v>4160</v>
      </c>
      <c r="F640" s="1" t="s">
        <v>112</v>
      </c>
      <c r="G640" s="1">
        <v>135857</v>
      </c>
    </row>
    <row r="641" spans="1:10" x14ac:dyDescent="0.25">
      <c r="A641" s="1" t="str">
        <f t="shared" si="9"/>
        <v>18</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1" s="1" t="s">
        <v>4161</v>
      </c>
      <c r="D641" s="1" t="s">
        <v>4162</v>
      </c>
      <c r="E641" s="1" t="s">
        <v>4163</v>
      </c>
      <c r="F641" s="1" t="s">
        <v>112</v>
      </c>
      <c r="G641" s="1">
        <v>409216</v>
      </c>
    </row>
    <row r="642" spans="1:10" x14ac:dyDescent="0.25">
      <c r="A642" s="1" t="str">
        <f t="shared" ref="A642:A705" si="10">IFERROR(LEFT(RIGHT(C642,LEN(C642)-SEARCH("@",C642)),SEARCH("/",RIGHT(C642,LEN(C642)-SEARCH("@",C642)-1))),"")</f>
        <v>18</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2" s="1" t="s">
        <v>4164</v>
      </c>
      <c r="D642" s="1" t="s">
        <v>577</v>
      </c>
      <c r="E642" s="1" t="s">
        <v>4165</v>
      </c>
      <c r="F642" s="1" t="s">
        <v>112</v>
      </c>
      <c r="G642" s="1">
        <v>501835</v>
      </c>
    </row>
    <row r="643" spans="1:10" x14ac:dyDescent="0.25">
      <c r="A643" s="1" t="str">
        <f t="shared" si="10"/>
        <v>18</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3" s="1" t="s">
        <v>4166</v>
      </c>
      <c r="D643" s="1" t="s">
        <v>4167</v>
      </c>
      <c r="E643" s="1" t="s">
        <v>4168</v>
      </c>
      <c r="F643" s="1" t="s">
        <v>112</v>
      </c>
      <c r="G643" s="1">
        <v>507459</v>
      </c>
    </row>
    <row r="644" spans="1:10" x14ac:dyDescent="0.25">
      <c r="A644" s="1" t="str">
        <f t="shared" si="10"/>
        <v>18</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4" s="1" t="s">
        <v>4169</v>
      </c>
      <c r="D644" s="1" t="s">
        <v>4170</v>
      </c>
      <c r="E644" s="1" t="s">
        <v>4171</v>
      </c>
      <c r="F644" s="1" t="s">
        <v>112</v>
      </c>
      <c r="G644" s="1">
        <v>581325</v>
      </c>
    </row>
    <row r="645" spans="1:10" x14ac:dyDescent="0.25">
      <c r="A645" s="1" t="str">
        <f t="shared" si="10"/>
        <v>18</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45" s="1" t="s">
        <v>4172</v>
      </c>
      <c r="D645" s="1" t="s">
        <v>4173</v>
      </c>
      <c r="E645" s="1" t="s">
        <v>4174</v>
      </c>
      <c r="F645" s="1" t="s">
        <v>112</v>
      </c>
      <c r="G645" s="1">
        <v>2310376</v>
      </c>
    </row>
    <row r="646" spans="1:10" x14ac:dyDescent="0.25">
      <c r="A646" s="1" t="str">
        <f t="shared" si="10"/>
        <v>18</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46" s="1" t="s">
        <v>4175</v>
      </c>
      <c r="D646" s="1" t="s">
        <v>4176</v>
      </c>
      <c r="E646" s="1" t="s">
        <v>4177</v>
      </c>
      <c r="F646" s="1" t="s">
        <v>112</v>
      </c>
      <c r="G646" s="1">
        <v>2325841</v>
      </c>
    </row>
    <row r="647" spans="1:10" x14ac:dyDescent="0.25">
      <c r="A647" s="1" t="str">
        <f t="shared" si="10"/>
        <v>18</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47" s="1" t="s">
        <v>4178</v>
      </c>
      <c r="D647" s="1" t="s">
        <v>4179</v>
      </c>
      <c r="E647" s="1" t="s">
        <v>4180</v>
      </c>
      <c r="F647" s="1" t="s">
        <v>112</v>
      </c>
      <c r="G647" s="1">
        <v>2564743</v>
      </c>
    </row>
    <row r="648" spans="1:10" x14ac:dyDescent="0.25">
      <c r="A648" s="1" t="str">
        <f t="shared" si="10"/>
        <v>18</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48" s="1" t="s">
        <v>4181</v>
      </c>
      <c r="D648" s="1" t="s">
        <v>4182</v>
      </c>
      <c r="E648" s="1" t="s">
        <v>4183</v>
      </c>
      <c r="F648" s="1" t="s">
        <v>112</v>
      </c>
      <c r="G648" s="1">
        <v>2656238</v>
      </c>
    </row>
    <row r="649" spans="1:10" x14ac:dyDescent="0.25">
      <c r="A649" s="1" t="str">
        <f t="shared" si="10"/>
        <v/>
      </c>
      <c r="B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9" s="1" t="s">
        <v>112</v>
      </c>
    </row>
    <row r="650" spans="1:10" x14ac:dyDescent="0.25">
      <c r="A650" s="1" t="str">
        <f t="shared" si="10"/>
        <v/>
      </c>
      <c r="B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0" s="1" t="s">
        <v>237</v>
      </c>
      <c r="D650" s="1" t="s">
        <v>112</v>
      </c>
      <c r="E650" s="1" t="s">
        <v>238</v>
      </c>
      <c r="F650" s="1" t="s">
        <v>239</v>
      </c>
      <c r="G650" s="1" t="s">
        <v>240</v>
      </c>
      <c r="H650" s="1" t="s">
        <v>241</v>
      </c>
      <c r="I650" s="1" t="s">
        <v>242</v>
      </c>
      <c r="J650" s="1" t="s">
        <v>243</v>
      </c>
    </row>
    <row r="651" spans="1:10" x14ac:dyDescent="0.25">
      <c r="A651" s="1" t="str">
        <f t="shared" si="10"/>
        <v>18</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1" s="1" t="s">
        <v>4184</v>
      </c>
      <c r="D651" s="1" t="s">
        <v>112</v>
      </c>
      <c r="E651" s="1" t="s">
        <v>4185</v>
      </c>
      <c r="F651" s="1" t="s">
        <v>4186</v>
      </c>
      <c r="G651" s="1" t="s">
        <v>4187</v>
      </c>
      <c r="H651" s="1" t="s">
        <v>4188</v>
      </c>
      <c r="I651" s="1">
        <v>30</v>
      </c>
      <c r="J651" s="1">
        <v>32</v>
      </c>
    </row>
    <row r="652" spans="1:10" x14ac:dyDescent="0.25">
      <c r="A652" s="1" t="str">
        <f t="shared" si="10"/>
        <v/>
      </c>
      <c r="B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2" s="1" t="s">
        <v>112</v>
      </c>
    </row>
    <row r="653" spans="1:10" x14ac:dyDescent="0.2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10" x14ac:dyDescent="0.2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112</v>
      </c>
    </row>
    <row r="655" spans="1:10" x14ac:dyDescent="0.25">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5" s="1" t="s">
        <v>112</v>
      </c>
    </row>
    <row r="656" spans="1:10" x14ac:dyDescent="0.2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2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249</v>
      </c>
      <c r="D657" s="1" t="s">
        <v>110</v>
      </c>
      <c r="E657" s="1" t="s">
        <v>111</v>
      </c>
      <c r="F657" s="1" t="s">
        <v>112</v>
      </c>
      <c r="G657" s="1" t="s">
        <v>113</v>
      </c>
    </row>
    <row r="658" spans="1:7" x14ac:dyDescent="0.25">
      <c r="A658" s="1" t="str">
        <f t="shared" si="10"/>
        <v>19</v>
      </c>
      <c r="B6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58" s="1" t="s">
        <v>4189</v>
      </c>
      <c r="D658" s="1" t="s">
        <v>4190</v>
      </c>
      <c r="E658" s="1" t="s">
        <v>4191</v>
      </c>
      <c r="F658" s="1" t="s">
        <v>112</v>
      </c>
      <c r="G658" s="1">
        <v>1435035</v>
      </c>
    </row>
    <row r="659" spans="1:7" x14ac:dyDescent="0.25">
      <c r="A659" s="1" t="str">
        <f t="shared" si="10"/>
        <v>19</v>
      </c>
      <c r="B6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59" s="1" t="s">
        <v>4192</v>
      </c>
      <c r="D659" s="1" t="s">
        <v>3107</v>
      </c>
      <c r="E659" s="1" t="s">
        <v>4193</v>
      </c>
      <c r="F659" s="1" t="s">
        <v>112</v>
      </c>
      <c r="G659" s="1">
        <v>1779816</v>
      </c>
    </row>
    <row r="660" spans="1:7" x14ac:dyDescent="0.25">
      <c r="A660" s="1" t="str">
        <f t="shared" si="10"/>
        <v>19</v>
      </c>
      <c r="B6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0" s="1" t="s">
        <v>4194</v>
      </c>
      <c r="D660" s="1" t="s">
        <v>4195</v>
      </c>
      <c r="E660" s="1" t="s">
        <v>4196</v>
      </c>
      <c r="F660" s="1" t="s">
        <v>112</v>
      </c>
      <c r="G660" s="1">
        <v>1609610</v>
      </c>
    </row>
    <row r="661" spans="1:7" x14ac:dyDescent="0.25">
      <c r="A661" s="1" t="str">
        <f t="shared" si="10"/>
        <v>19</v>
      </c>
      <c r="B6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1" s="1" t="s">
        <v>4197</v>
      </c>
      <c r="D661" s="1" t="s">
        <v>1876</v>
      </c>
      <c r="E661" s="1" t="s">
        <v>4198</v>
      </c>
      <c r="F661" s="1" t="s">
        <v>112</v>
      </c>
      <c r="G661" s="1">
        <v>1385806</v>
      </c>
    </row>
    <row r="662" spans="1:7" x14ac:dyDescent="0.25">
      <c r="A662" s="1" t="str">
        <f t="shared" si="10"/>
        <v>19</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2" s="1" t="s">
        <v>4199</v>
      </c>
      <c r="D662" s="1" t="s">
        <v>2557</v>
      </c>
      <c r="E662" s="1" t="s">
        <v>4200</v>
      </c>
      <c r="F662" s="1" t="s">
        <v>112</v>
      </c>
      <c r="G662" s="1">
        <v>708833</v>
      </c>
    </row>
    <row r="663" spans="1:7" x14ac:dyDescent="0.25">
      <c r="A663" s="1" t="str">
        <f t="shared" si="10"/>
        <v>19</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3" s="1" t="s">
        <v>4201</v>
      </c>
      <c r="D663" s="1" t="s">
        <v>4202</v>
      </c>
      <c r="E663" s="1" t="s">
        <v>4203</v>
      </c>
      <c r="F663" s="1" t="s">
        <v>112</v>
      </c>
      <c r="G663" s="1">
        <v>836969</v>
      </c>
    </row>
    <row r="664" spans="1:7" x14ac:dyDescent="0.25">
      <c r="A664" s="1" t="str">
        <f t="shared" si="10"/>
        <v>19</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4" s="1" t="s">
        <v>4204</v>
      </c>
    </row>
    <row r="665" spans="1:7" x14ac:dyDescent="0.25">
      <c r="A665" s="1" t="str">
        <f t="shared" si="10"/>
        <v>19</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4205</v>
      </c>
    </row>
    <row r="666" spans="1:7" x14ac:dyDescent="0.25">
      <c r="A666" s="1" t="str">
        <f t="shared" si="10"/>
        <v>19</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6" s="1" t="s">
        <v>4206</v>
      </c>
      <c r="D666" s="1" t="s">
        <v>4207</v>
      </c>
      <c r="E666" s="1" t="s">
        <v>4208</v>
      </c>
      <c r="F666" s="1" t="s">
        <v>112</v>
      </c>
      <c r="G666" s="1">
        <v>129563</v>
      </c>
    </row>
    <row r="667" spans="1:7" x14ac:dyDescent="0.25">
      <c r="A667" s="1" t="str">
        <f t="shared" si="10"/>
        <v>19</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7" s="1" t="s">
        <v>4209</v>
      </c>
      <c r="D667" s="1" t="s">
        <v>4210</v>
      </c>
      <c r="E667" s="1" t="s">
        <v>4211</v>
      </c>
      <c r="F667" s="1" t="s">
        <v>112</v>
      </c>
      <c r="G667" s="1">
        <v>25718</v>
      </c>
    </row>
    <row r="668" spans="1:7" x14ac:dyDescent="0.25">
      <c r="A668" s="1" t="str">
        <f t="shared" si="10"/>
        <v>19</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4212</v>
      </c>
    </row>
    <row r="669" spans="1:7" x14ac:dyDescent="0.25">
      <c r="A669" s="1" t="str">
        <f t="shared" si="10"/>
        <v>19</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4213</v>
      </c>
      <c r="D669" s="1" t="s">
        <v>4214</v>
      </c>
      <c r="E669" s="1" t="s">
        <v>4215</v>
      </c>
      <c r="F669" s="1" t="s">
        <v>112</v>
      </c>
      <c r="G669" s="1">
        <v>248527</v>
      </c>
    </row>
    <row r="670" spans="1:7" x14ac:dyDescent="0.25">
      <c r="A670" s="1" t="str">
        <f t="shared" si="10"/>
        <v>19</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0" s="1" t="s">
        <v>4216</v>
      </c>
      <c r="D670" s="1" t="s">
        <v>4217</v>
      </c>
      <c r="E670" s="1" t="s">
        <v>4218</v>
      </c>
      <c r="F670" s="1" t="s">
        <v>112</v>
      </c>
      <c r="G670" s="1">
        <v>2809010</v>
      </c>
    </row>
    <row r="671" spans="1:7" x14ac:dyDescent="0.25">
      <c r="A671" s="1" t="str">
        <f t="shared" si="10"/>
        <v>19</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4219</v>
      </c>
      <c r="D671" s="1" t="s">
        <v>4220</v>
      </c>
      <c r="E671" s="1" t="s">
        <v>4221</v>
      </c>
      <c r="F671" s="1" t="s">
        <v>112</v>
      </c>
      <c r="G671" s="1">
        <v>3011876</v>
      </c>
    </row>
    <row r="672" spans="1:7" x14ac:dyDescent="0.25">
      <c r="A672" s="1" t="str">
        <f t="shared" si="10"/>
        <v>19</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4222</v>
      </c>
      <c r="D672" s="1" t="s">
        <v>4223</v>
      </c>
      <c r="E672" s="1" t="s">
        <v>4224</v>
      </c>
      <c r="F672" s="1" t="s">
        <v>112</v>
      </c>
      <c r="G672" s="1">
        <v>3732844</v>
      </c>
    </row>
    <row r="673" spans="1:7" x14ac:dyDescent="0.25">
      <c r="A673" s="1" t="str">
        <f t="shared" si="10"/>
        <v>19</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4225</v>
      </c>
      <c r="D673" s="1" t="s">
        <v>4226</v>
      </c>
      <c r="E673" s="1" t="s">
        <v>4227</v>
      </c>
      <c r="F673" s="1" t="s">
        <v>112</v>
      </c>
      <c r="G673" s="1">
        <v>3126125</v>
      </c>
    </row>
    <row r="674" spans="1:7" x14ac:dyDescent="0.25">
      <c r="A674" s="1" t="str">
        <f t="shared" si="10"/>
        <v>19</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4228</v>
      </c>
      <c r="D674" s="1" t="s">
        <v>4229</v>
      </c>
      <c r="E674" s="1" t="s">
        <v>4230</v>
      </c>
      <c r="F674" s="1" t="s">
        <v>112</v>
      </c>
      <c r="G674" s="1">
        <v>541245</v>
      </c>
    </row>
    <row r="675" spans="1:7" x14ac:dyDescent="0.25">
      <c r="A675" s="1" t="str">
        <f t="shared" si="10"/>
        <v>19</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4231</v>
      </c>
      <c r="D675" s="1" t="s">
        <v>4232</v>
      </c>
      <c r="E675" s="1" t="s">
        <v>4233</v>
      </c>
      <c r="F675" s="1" t="s">
        <v>112</v>
      </c>
      <c r="G675" s="1">
        <v>325508</v>
      </c>
    </row>
    <row r="676" spans="1:7" x14ac:dyDescent="0.25">
      <c r="A676" s="1" t="str">
        <f t="shared" si="10"/>
        <v>19</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4234</v>
      </c>
      <c r="D676" s="1" t="s">
        <v>2659</v>
      </c>
      <c r="E676" s="1" t="s">
        <v>4235</v>
      </c>
      <c r="F676" s="1" t="s">
        <v>112</v>
      </c>
      <c r="G676" s="1">
        <v>449988</v>
      </c>
    </row>
    <row r="677" spans="1:7" x14ac:dyDescent="0.25">
      <c r="A677" s="1" t="str">
        <f t="shared" si="10"/>
        <v>19</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7" s="1" t="s">
        <v>4236</v>
      </c>
      <c r="D677" s="1" t="s">
        <v>4237</v>
      </c>
      <c r="E677" s="1" t="s">
        <v>4238</v>
      </c>
      <c r="F677" s="1" t="s">
        <v>112</v>
      </c>
      <c r="G677" s="1">
        <v>439108</v>
      </c>
    </row>
    <row r="678" spans="1:7" x14ac:dyDescent="0.25">
      <c r="A678" s="1" t="str">
        <f t="shared" si="10"/>
        <v>19</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4239</v>
      </c>
      <c r="D678" s="1" t="s">
        <v>4240</v>
      </c>
      <c r="E678" s="1" t="s">
        <v>4241</v>
      </c>
      <c r="F678" s="1" t="s">
        <v>112</v>
      </c>
      <c r="G678" s="1">
        <v>905254</v>
      </c>
    </row>
    <row r="679" spans="1:7" x14ac:dyDescent="0.25">
      <c r="A679" s="1" t="str">
        <f t="shared" si="10"/>
        <v>19</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4242</v>
      </c>
      <c r="D679" s="1" t="s">
        <v>4202</v>
      </c>
      <c r="E679" s="1" t="s">
        <v>4243</v>
      </c>
      <c r="F679" s="1" t="s">
        <v>112</v>
      </c>
      <c r="G679" s="1">
        <v>895867</v>
      </c>
    </row>
    <row r="680" spans="1:7" x14ac:dyDescent="0.25">
      <c r="A680" s="1" t="str">
        <f t="shared" si="10"/>
        <v>19</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80" s="1" t="s">
        <v>4244</v>
      </c>
      <c r="D680" s="1" t="s">
        <v>4245</v>
      </c>
      <c r="E680" s="1" t="s">
        <v>4246</v>
      </c>
      <c r="F680" s="1" t="s">
        <v>112</v>
      </c>
      <c r="G680" s="1">
        <v>781077</v>
      </c>
    </row>
    <row r="681" spans="1:7" x14ac:dyDescent="0.25">
      <c r="A681" s="1" t="str">
        <f t="shared" si="10"/>
        <v>19</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81" s="1" t="s">
        <v>4247</v>
      </c>
      <c r="D681" s="1" t="s">
        <v>1394</v>
      </c>
      <c r="E681" s="1" t="s">
        <v>4248</v>
      </c>
      <c r="F681" s="1" t="s">
        <v>112</v>
      </c>
      <c r="G681" s="1">
        <v>985999</v>
      </c>
    </row>
    <row r="682" spans="1:7" x14ac:dyDescent="0.25">
      <c r="A682" s="1" t="str">
        <f t="shared" si="10"/>
        <v>19</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4249</v>
      </c>
      <c r="D682" s="1" t="s">
        <v>3712</v>
      </c>
      <c r="E682" s="1" t="s">
        <v>4250</v>
      </c>
      <c r="F682" s="1" t="s">
        <v>112</v>
      </c>
      <c r="G682" s="1">
        <v>1540481</v>
      </c>
    </row>
    <row r="683" spans="1:7" x14ac:dyDescent="0.25">
      <c r="A683" s="1" t="str">
        <f t="shared" si="10"/>
        <v>19</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3" s="1" t="s">
        <v>4251</v>
      </c>
      <c r="D683" s="1" t="s">
        <v>4252</v>
      </c>
      <c r="E683" s="1" t="s">
        <v>4253</v>
      </c>
      <c r="F683" s="1" t="s">
        <v>112</v>
      </c>
      <c r="G683" s="1">
        <v>1734220</v>
      </c>
    </row>
    <row r="684" spans="1:7" x14ac:dyDescent="0.25">
      <c r="A684" s="1" t="str">
        <f t="shared" si="10"/>
        <v>19</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4" s="1" t="s">
        <v>4254</v>
      </c>
      <c r="D684" s="1" t="s">
        <v>4255</v>
      </c>
      <c r="E684" s="1" t="s">
        <v>4256</v>
      </c>
      <c r="F684" s="1" t="s">
        <v>112</v>
      </c>
      <c r="G684" s="1">
        <v>1753622</v>
      </c>
    </row>
    <row r="685" spans="1:7" x14ac:dyDescent="0.25">
      <c r="A685" s="1" t="str">
        <f t="shared" si="10"/>
        <v>19</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5" s="1" t="s">
        <v>4257</v>
      </c>
      <c r="D685" s="1" t="s">
        <v>4258</v>
      </c>
      <c r="E685" s="1" t="s">
        <v>4259</v>
      </c>
      <c r="F685" s="1" t="s">
        <v>112</v>
      </c>
      <c r="G685" s="1">
        <v>1677831</v>
      </c>
    </row>
    <row r="686" spans="1:7" x14ac:dyDescent="0.25">
      <c r="A686" s="1" t="str">
        <f t="shared" si="10"/>
        <v>19</v>
      </c>
      <c r="B6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6" s="1" t="s">
        <v>4260</v>
      </c>
    </row>
    <row r="687" spans="1:7" x14ac:dyDescent="0.25">
      <c r="A687" s="1" t="str">
        <f t="shared" si="10"/>
        <v>19</v>
      </c>
      <c r="B6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7" s="1" t="s">
        <v>4261</v>
      </c>
    </row>
    <row r="688" spans="1:7" x14ac:dyDescent="0.25">
      <c r="A688" s="1" t="str">
        <f t="shared" si="10"/>
        <v>19</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8" s="1" t="s">
        <v>4262</v>
      </c>
      <c r="D688" s="1" t="s">
        <v>4263</v>
      </c>
      <c r="E688" s="1" t="s">
        <v>4264</v>
      </c>
      <c r="F688" s="1" t="s">
        <v>112</v>
      </c>
      <c r="G688" s="1">
        <v>183400</v>
      </c>
    </row>
    <row r="689" spans="1:10" x14ac:dyDescent="0.25">
      <c r="A689" s="1" t="str">
        <f t="shared" si="10"/>
        <v>19</v>
      </c>
      <c r="B6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9" s="1" t="s">
        <v>4265</v>
      </c>
      <c r="D689" s="1" t="s">
        <v>1128</v>
      </c>
      <c r="E689" s="1" t="s">
        <v>4266</v>
      </c>
      <c r="F689" s="1" t="s">
        <v>112</v>
      </c>
      <c r="G689" s="1">
        <v>166896</v>
      </c>
    </row>
    <row r="690" spans="1:10" x14ac:dyDescent="0.2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0" s="1" t="s">
        <v>112</v>
      </c>
    </row>
    <row r="691" spans="1:10" x14ac:dyDescent="0.2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1" s="1" t="s">
        <v>237</v>
      </c>
      <c r="D691" s="1" t="s">
        <v>112</v>
      </c>
      <c r="E691" s="1" t="s">
        <v>238</v>
      </c>
      <c r="F691" s="1" t="s">
        <v>239</v>
      </c>
      <c r="G691" s="1" t="s">
        <v>240</v>
      </c>
      <c r="H691" s="1" t="s">
        <v>241</v>
      </c>
      <c r="I691" s="1" t="s">
        <v>242</v>
      </c>
      <c r="J691" s="1" t="s">
        <v>243</v>
      </c>
    </row>
    <row r="692" spans="1:10" x14ac:dyDescent="0.25">
      <c r="A692" s="1" t="str">
        <f t="shared" si="10"/>
        <v>19</v>
      </c>
      <c r="B6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92" s="1" t="s">
        <v>4267</v>
      </c>
      <c r="D692" s="1" t="s">
        <v>112</v>
      </c>
      <c r="E692" s="1" t="s">
        <v>4268</v>
      </c>
      <c r="F692" s="1" t="s">
        <v>4269</v>
      </c>
      <c r="G692" s="1" t="s">
        <v>4270</v>
      </c>
      <c r="H692" s="1" t="s">
        <v>4271</v>
      </c>
      <c r="I692" s="1">
        <v>32</v>
      </c>
      <c r="J692" s="1">
        <v>32</v>
      </c>
    </row>
    <row r="693" spans="1:10" x14ac:dyDescent="0.2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3" s="1" t="s">
        <v>112</v>
      </c>
    </row>
    <row r="694" spans="1:10" x14ac:dyDescent="0.2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4" s="1" t="s">
        <v>112</v>
      </c>
    </row>
    <row r="695" spans="1:10" x14ac:dyDescent="0.2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5" s="1" t="s">
        <v>112</v>
      </c>
    </row>
    <row r="696" spans="1:10" x14ac:dyDescent="0.2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6" s="1" t="s">
        <v>112</v>
      </c>
    </row>
    <row r="697" spans="1:10" x14ac:dyDescent="0.2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7" s="1" t="s">
        <v>112</v>
      </c>
    </row>
    <row r="698" spans="1:10" x14ac:dyDescent="0.2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8" s="1" t="s">
        <v>249</v>
      </c>
      <c r="D698" s="1" t="s">
        <v>110</v>
      </c>
      <c r="E698" s="1" t="s">
        <v>111</v>
      </c>
      <c r="F698" s="1" t="s">
        <v>112</v>
      </c>
      <c r="G698" s="1" t="s">
        <v>113</v>
      </c>
    </row>
    <row r="699" spans="1:10" x14ac:dyDescent="0.25">
      <c r="A699" s="1" t="str">
        <f t="shared" si="10"/>
        <v>20</v>
      </c>
      <c r="B6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9" s="1" t="s">
        <v>4272</v>
      </c>
      <c r="D699" s="1" t="s">
        <v>4273</v>
      </c>
      <c r="E699" s="1" t="s">
        <v>4274</v>
      </c>
      <c r="F699" s="1" t="s">
        <v>112</v>
      </c>
      <c r="G699" s="1">
        <v>3394552</v>
      </c>
    </row>
    <row r="700" spans="1:10" x14ac:dyDescent="0.25">
      <c r="A700" s="1" t="str">
        <f t="shared" si="10"/>
        <v>20</v>
      </c>
      <c r="B7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0" s="1" t="s">
        <v>4275</v>
      </c>
      <c r="D700" s="1" t="s">
        <v>4276</v>
      </c>
      <c r="E700" s="1" t="s">
        <v>4277</v>
      </c>
      <c r="F700" s="1" t="s">
        <v>112</v>
      </c>
      <c r="G700" s="1">
        <v>3159717</v>
      </c>
    </row>
    <row r="701" spans="1:10" x14ac:dyDescent="0.25">
      <c r="A701" s="1" t="str">
        <f t="shared" si="10"/>
        <v>20</v>
      </c>
      <c r="B7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1" s="1" t="s">
        <v>4278</v>
      </c>
      <c r="D701" s="1" t="s">
        <v>4279</v>
      </c>
      <c r="E701" s="1" t="s">
        <v>4280</v>
      </c>
      <c r="F701" s="1" t="s">
        <v>112</v>
      </c>
      <c r="G701" s="1">
        <v>2840654</v>
      </c>
    </row>
    <row r="702" spans="1:10" x14ac:dyDescent="0.25">
      <c r="A702" s="1" t="str">
        <f t="shared" si="10"/>
        <v>20</v>
      </c>
      <c r="B7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2" s="1" t="s">
        <v>4281</v>
      </c>
      <c r="D702" s="1" t="s">
        <v>4282</v>
      </c>
      <c r="E702" s="1" t="s">
        <v>4283</v>
      </c>
      <c r="F702" s="1" t="s">
        <v>112</v>
      </c>
      <c r="G702" s="1">
        <v>3249459</v>
      </c>
    </row>
    <row r="703" spans="1:10" x14ac:dyDescent="0.25">
      <c r="A703" s="1" t="str">
        <f t="shared" si="10"/>
        <v>20</v>
      </c>
      <c r="B7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03" s="1" t="s">
        <v>4284</v>
      </c>
      <c r="D703" s="1" t="s">
        <v>4285</v>
      </c>
      <c r="E703" s="1" t="s">
        <v>4286</v>
      </c>
      <c r="F703" s="1" t="s">
        <v>112</v>
      </c>
      <c r="G703" s="1">
        <v>2605818</v>
      </c>
    </row>
    <row r="704" spans="1:10" x14ac:dyDescent="0.25">
      <c r="A704" s="1" t="str">
        <f t="shared" si="10"/>
        <v>20</v>
      </c>
      <c r="B7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04" s="1" t="s">
        <v>4287</v>
      </c>
      <c r="D704" s="1" t="s">
        <v>4288</v>
      </c>
      <c r="E704" s="1" t="s">
        <v>4289</v>
      </c>
      <c r="F704" s="1" t="s">
        <v>112</v>
      </c>
      <c r="G704" s="1">
        <v>3231268</v>
      </c>
    </row>
    <row r="705" spans="1:7" x14ac:dyDescent="0.25">
      <c r="A705" s="1" t="str">
        <f t="shared" si="10"/>
        <v>20</v>
      </c>
      <c r="B7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05" s="1" t="s">
        <v>4290</v>
      </c>
      <c r="D705" s="1" t="s">
        <v>4291</v>
      </c>
      <c r="E705" s="1" t="s">
        <v>4292</v>
      </c>
      <c r="F705" s="1" t="s">
        <v>112</v>
      </c>
      <c r="G705" s="1">
        <v>3051113</v>
      </c>
    </row>
    <row r="706" spans="1:7" x14ac:dyDescent="0.25">
      <c r="A706" s="1" t="str">
        <f t="shared" ref="A706:A769" si="11">IFERROR(LEFT(RIGHT(C706,LEN(C706)-SEARCH("@",C706)),SEARCH("/",RIGHT(C706,LEN(C706)-SEARCH("@",C706)-1))),"")</f>
        <v>20</v>
      </c>
      <c r="B7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06" s="1" t="s">
        <v>4293</v>
      </c>
      <c r="D706" s="1" t="s">
        <v>4294</v>
      </c>
      <c r="E706" s="1" t="s">
        <v>4295</v>
      </c>
      <c r="F706" s="1" t="s">
        <v>112</v>
      </c>
      <c r="G706" s="1">
        <v>3624608</v>
      </c>
    </row>
    <row r="707" spans="1:7" x14ac:dyDescent="0.25">
      <c r="A707" s="1" t="str">
        <f t="shared" si="11"/>
        <v>20</v>
      </c>
      <c r="B7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07" s="1" t="s">
        <v>4296</v>
      </c>
      <c r="D707" s="1" t="s">
        <v>4297</v>
      </c>
      <c r="E707" s="1" t="s">
        <v>4298</v>
      </c>
      <c r="F707" s="1" t="s">
        <v>112</v>
      </c>
      <c r="G707" s="1">
        <v>1714342</v>
      </c>
    </row>
    <row r="708" spans="1:7" x14ac:dyDescent="0.25">
      <c r="A708" s="1" t="str">
        <f t="shared" si="11"/>
        <v>20</v>
      </c>
      <c r="B7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08" s="1" t="s">
        <v>4299</v>
      </c>
      <c r="D708" s="1" t="s">
        <v>4300</v>
      </c>
      <c r="E708" s="1" t="s">
        <v>4301</v>
      </c>
      <c r="F708" s="1" t="s">
        <v>112</v>
      </c>
      <c r="G708" s="1">
        <v>1595270</v>
      </c>
    </row>
    <row r="709" spans="1:7" x14ac:dyDescent="0.25">
      <c r="A709" s="1" t="str">
        <f t="shared" si="11"/>
        <v>20</v>
      </c>
      <c r="B7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09" s="1" t="s">
        <v>4302</v>
      </c>
      <c r="D709" s="1" t="s">
        <v>4303</v>
      </c>
      <c r="E709" s="1" t="s">
        <v>4304</v>
      </c>
      <c r="F709" s="1" t="s">
        <v>112</v>
      </c>
      <c r="G709" s="1">
        <v>1685358</v>
      </c>
    </row>
    <row r="710" spans="1:7" x14ac:dyDescent="0.25">
      <c r="A710" s="1" t="str">
        <f t="shared" si="11"/>
        <v>20</v>
      </c>
      <c r="B7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10" s="1" t="s">
        <v>4305</v>
      </c>
      <c r="D710" s="1" t="s">
        <v>4306</v>
      </c>
      <c r="E710" s="1" t="s">
        <v>4307</v>
      </c>
      <c r="F710" s="1" t="s">
        <v>112</v>
      </c>
      <c r="G710" s="1">
        <v>2076513</v>
      </c>
    </row>
    <row r="711" spans="1:7" x14ac:dyDescent="0.25">
      <c r="A711" s="1" t="str">
        <f t="shared" si="11"/>
        <v>20</v>
      </c>
      <c r="B7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11" s="1" t="s">
        <v>4308</v>
      </c>
      <c r="D711" s="1" t="s">
        <v>4309</v>
      </c>
      <c r="E711" s="1" t="s">
        <v>4310</v>
      </c>
      <c r="F711" s="1" t="s">
        <v>112</v>
      </c>
      <c r="G711" s="1">
        <v>1780659</v>
      </c>
    </row>
    <row r="712" spans="1:7" x14ac:dyDescent="0.25">
      <c r="A712" s="1" t="str">
        <f t="shared" si="11"/>
        <v>20</v>
      </c>
      <c r="B7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12" s="1" t="s">
        <v>4311</v>
      </c>
      <c r="D712" s="1" t="s">
        <v>4312</v>
      </c>
      <c r="E712" s="1" t="s">
        <v>4313</v>
      </c>
      <c r="F712" s="1" t="s">
        <v>112</v>
      </c>
      <c r="G712" s="1">
        <v>2176984</v>
      </c>
    </row>
    <row r="713" spans="1:7" x14ac:dyDescent="0.25">
      <c r="A713" s="1" t="str">
        <f t="shared" si="11"/>
        <v>20</v>
      </c>
      <c r="B7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13" s="1" t="s">
        <v>4314</v>
      </c>
      <c r="D713" s="1" t="s">
        <v>1327</v>
      </c>
      <c r="E713" s="1" t="s">
        <v>4315</v>
      </c>
      <c r="F713" s="1" t="s">
        <v>112</v>
      </c>
      <c r="G713" s="1">
        <v>2107682</v>
      </c>
    </row>
    <row r="714" spans="1:7" x14ac:dyDescent="0.25">
      <c r="A714" s="1" t="str">
        <f t="shared" si="11"/>
        <v>20</v>
      </c>
      <c r="B7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14" s="1" t="s">
        <v>4316</v>
      </c>
      <c r="D714" s="1" t="s">
        <v>4317</v>
      </c>
      <c r="E714" s="1" t="s">
        <v>4318</v>
      </c>
      <c r="F714" s="1" t="s">
        <v>112</v>
      </c>
      <c r="G714" s="1">
        <v>2387032</v>
      </c>
    </row>
    <row r="715" spans="1:7" x14ac:dyDescent="0.25">
      <c r="A715" s="1" t="str">
        <f t="shared" si="11"/>
        <v>20</v>
      </c>
      <c r="B7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15" s="1" t="s">
        <v>4319</v>
      </c>
      <c r="D715" s="1" t="s">
        <v>4320</v>
      </c>
      <c r="E715" s="1" t="s">
        <v>4321</v>
      </c>
      <c r="F715" s="1" t="s">
        <v>112</v>
      </c>
      <c r="G715" s="1">
        <v>853234</v>
      </c>
    </row>
    <row r="716" spans="1:7" x14ac:dyDescent="0.25">
      <c r="A716" s="1" t="str">
        <f t="shared" si="11"/>
        <v>20</v>
      </c>
      <c r="B7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16" s="1" t="s">
        <v>4322</v>
      </c>
      <c r="D716" s="1" t="s">
        <v>4323</v>
      </c>
      <c r="E716" s="1" t="s">
        <v>4324</v>
      </c>
      <c r="F716" s="1" t="s">
        <v>112</v>
      </c>
      <c r="G716" s="1">
        <v>859507</v>
      </c>
    </row>
    <row r="717" spans="1:7" x14ac:dyDescent="0.25">
      <c r="A717" s="1" t="str">
        <f t="shared" si="11"/>
        <v>20</v>
      </c>
      <c r="B7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17" s="1" t="s">
        <v>4325</v>
      </c>
      <c r="D717" s="1" t="s">
        <v>4326</v>
      </c>
      <c r="E717" s="1" t="s">
        <v>4327</v>
      </c>
      <c r="F717" s="1" t="s">
        <v>112</v>
      </c>
      <c r="G717" s="1">
        <v>697521</v>
      </c>
    </row>
    <row r="718" spans="1:7" x14ac:dyDescent="0.25">
      <c r="A718" s="1" t="str">
        <f t="shared" si="11"/>
        <v>20</v>
      </c>
      <c r="B7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18" s="1" t="s">
        <v>4328</v>
      </c>
      <c r="D718" s="1" t="s">
        <v>4329</v>
      </c>
      <c r="E718" s="1" t="s">
        <v>4330</v>
      </c>
      <c r="F718" s="1" t="s">
        <v>112</v>
      </c>
      <c r="G718" s="1">
        <v>1511735</v>
      </c>
    </row>
    <row r="719" spans="1:7" x14ac:dyDescent="0.25">
      <c r="A719" s="1" t="str">
        <f t="shared" si="11"/>
        <v>20</v>
      </c>
      <c r="B7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19" s="1" t="s">
        <v>4331</v>
      </c>
      <c r="D719" s="1" t="s">
        <v>4332</v>
      </c>
      <c r="E719" s="1" t="s">
        <v>4333</v>
      </c>
      <c r="F719" s="1" t="s">
        <v>112</v>
      </c>
      <c r="G719" s="1">
        <v>1714753</v>
      </c>
    </row>
    <row r="720" spans="1:7" x14ac:dyDescent="0.25">
      <c r="A720" s="1" t="str">
        <f t="shared" si="11"/>
        <v>20</v>
      </c>
      <c r="B7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20" s="1" t="s">
        <v>4334</v>
      </c>
      <c r="D720" s="1" t="s">
        <v>4335</v>
      </c>
      <c r="E720" s="1" t="s">
        <v>4336</v>
      </c>
      <c r="F720" s="1" t="s">
        <v>112</v>
      </c>
      <c r="G720" s="1">
        <v>1759787</v>
      </c>
    </row>
    <row r="721" spans="1:10" x14ac:dyDescent="0.25">
      <c r="A721" s="1" t="str">
        <f t="shared" si="11"/>
        <v>20</v>
      </c>
      <c r="B7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21" s="1" t="s">
        <v>4337</v>
      </c>
      <c r="D721" s="1" t="s">
        <v>4338</v>
      </c>
      <c r="E721" s="1" t="s">
        <v>4339</v>
      </c>
      <c r="F721" s="1" t="s">
        <v>112</v>
      </c>
      <c r="G721" s="1">
        <v>1980671</v>
      </c>
    </row>
    <row r="722" spans="1:10" x14ac:dyDescent="0.25">
      <c r="A722" s="1" t="str">
        <f t="shared" si="11"/>
        <v>20</v>
      </c>
      <c r="B7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22" s="1" t="s">
        <v>4340</v>
      </c>
    </row>
    <row r="723" spans="1:10" x14ac:dyDescent="0.25">
      <c r="A723" s="1" t="str">
        <f t="shared" si="11"/>
        <v>20</v>
      </c>
      <c r="B7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23" s="1" t="s">
        <v>4341</v>
      </c>
      <c r="D723" s="1" t="s">
        <v>4342</v>
      </c>
      <c r="E723" s="1" t="s">
        <v>4343</v>
      </c>
      <c r="F723" s="1" t="s">
        <v>112</v>
      </c>
      <c r="G723" s="1">
        <v>1177185</v>
      </c>
    </row>
    <row r="724" spans="1:10" x14ac:dyDescent="0.25">
      <c r="A724" s="1" t="str">
        <f t="shared" si="11"/>
        <v>20</v>
      </c>
      <c r="B7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24" s="1" t="s">
        <v>4344</v>
      </c>
      <c r="D724" s="1" t="s">
        <v>4345</v>
      </c>
      <c r="E724" s="1" t="s">
        <v>4346</v>
      </c>
      <c r="F724" s="1" t="s">
        <v>112</v>
      </c>
      <c r="G724" s="1">
        <v>1554605</v>
      </c>
    </row>
    <row r="725" spans="1:10" x14ac:dyDescent="0.25">
      <c r="A725" s="1" t="str">
        <f t="shared" si="11"/>
        <v>20</v>
      </c>
      <c r="B7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25" s="1" t="s">
        <v>4347</v>
      </c>
      <c r="D725" s="1" t="s">
        <v>4348</v>
      </c>
      <c r="E725" s="1" t="s">
        <v>4349</v>
      </c>
      <c r="F725" s="1" t="s">
        <v>112</v>
      </c>
      <c r="G725" s="1">
        <v>1733117</v>
      </c>
    </row>
    <row r="726" spans="1:10" x14ac:dyDescent="0.25">
      <c r="A726" s="1" t="str">
        <f t="shared" si="11"/>
        <v>20</v>
      </c>
      <c r="B7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26" s="1" t="s">
        <v>4350</v>
      </c>
      <c r="D726" s="1" t="s">
        <v>4351</v>
      </c>
      <c r="E726" s="1" t="s">
        <v>4352</v>
      </c>
      <c r="F726" s="1" t="s">
        <v>112</v>
      </c>
      <c r="G726" s="1">
        <v>1483854</v>
      </c>
    </row>
    <row r="727" spans="1:10" x14ac:dyDescent="0.25">
      <c r="A727" s="1" t="str">
        <f t="shared" si="11"/>
        <v>20</v>
      </c>
      <c r="B7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27" s="1" t="s">
        <v>4353</v>
      </c>
      <c r="D727" s="1" t="s">
        <v>4354</v>
      </c>
      <c r="E727" s="1" t="s">
        <v>4355</v>
      </c>
      <c r="F727" s="1" t="s">
        <v>112</v>
      </c>
      <c r="G727" s="1">
        <v>787133</v>
      </c>
    </row>
    <row r="728" spans="1:10" x14ac:dyDescent="0.25">
      <c r="A728" s="1" t="str">
        <f t="shared" si="11"/>
        <v>20</v>
      </c>
      <c r="B7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28" s="1" t="s">
        <v>4356</v>
      </c>
      <c r="D728" s="1" t="s">
        <v>4357</v>
      </c>
      <c r="E728" s="1" t="s">
        <v>4358</v>
      </c>
      <c r="F728" s="1" t="s">
        <v>112</v>
      </c>
      <c r="G728" s="1">
        <v>866883</v>
      </c>
    </row>
    <row r="729" spans="1:10" x14ac:dyDescent="0.25">
      <c r="A729" s="1" t="str">
        <f t="shared" si="11"/>
        <v>20</v>
      </c>
      <c r="B7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29" s="1" t="s">
        <v>4359</v>
      </c>
      <c r="D729" s="1" t="s">
        <v>2689</v>
      </c>
      <c r="E729" s="1" t="s">
        <v>4360</v>
      </c>
      <c r="F729" s="1" t="s">
        <v>112</v>
      </c>
      <c r="G729" s="1">
        <v>1174373</v>
      </c>
    </row>
    <row r="730" spans="1:10" x14ac:dyDescent="0.25">
      <c r="A730" s="1" t="str">
        <f t="shared" si="11"/>
        <v>20</v>
      </c>
      <c r="B7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30" s="1" t="s">
        <v>4361</v>
      </c>
    </row>
    <row r="731" spans="1:10" x14ac:dyDescent="0.2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31" s="1" t="s">
        <v>112</v>
      </c>
    </row>
    <row r="732" spans="1:10" x14ac:dyDescent="0.2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32" s="1" t="s">
        <v>237</v>
      </c>
      <c r="D732" s="1" t="s">
        <v>112</v>
      </c>
      <c r="E732" s="1" t="s">
        <v>238</v>
      </c>
      <c r="F732" s="1" t="s">
        <v>239</v>
      </c>
      <c r="G732" s="1" t="s">
        <v>240</v>
      </c>
      <c r="H732" s="1" t="s">
        <v>241</v>
      </c>
      <c r="I732" s="1" t="s">
        <v>242</v>
      </c>
      <c r="J732" s="1" t="s">
        <v>243</v>
      </c>
    </row>
    <row r="733" spans="1:10" x14ac:dyDescent="0.25">
      <c r="A733" s="1" t="str">
        <f t="shared" si="11"/>
        <v>20</v>
      </c>
      <c r="B7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733" s="1" t="s">
        <v>4362</v>
      </c>
      <c r="D733" s="1" t="s">
        <v>112</v>
      </c>
      <c r="E733" s="1" t="s">
        <v>4363</v>
      </c>
      <c r="F733" s="1" t="s">
        <v>4364</v>
      </c>
      <c r="G733" s="1" t="s">
        <v>4365</v>
      </c>
      <c r="H733" s="1" t="s">
        <v>4366</v>
      </c>
      <c r="I733" s="1">
        <v>32</v>
      </c>
      <c r="J733" s="1">
        <v>32</v>
      </c>
    </row>
    <row r="734" spans="1:10" x14ac:dyDescent="0.2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34" s="1" t="s">
        <v>112</v>
      </c>
    </row>
    <row r="735" spans="1:10" x14ac:dyDescent="0.2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35" s="1" t="s">
        <v>112</v>
      </c>
    </row>
    <row r="736" spans="1:10" x14ac:dyDescent="0.2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36" s="1" t="s">
        <v>112</v>
      </c>
    </row>
    <row r="737" spans="1:7" x14ac:dyDescent="0.2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37" s="1" t="s">
        <v>112</v>
      </c>
    </row>
    <row r="738" spans="1:7" x14ac:dyDescent="0.2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38" s="1" t="s">
        <v>112</v>
      </c>
    </row>
    <row r="739" spans="1:7" x14ac:dyDescent="0.2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39" s="1" t="s">
        <v>249</v>
      </c>
      <c r="D739" s="1" t="s">
        <v>110</v>
      </c>
      <c r="E739" s="1" t="s">
        <v>111</v>
      </c>
      <c r="F739" s="1" t="s">
        <v>112</v>
      </c>
      <c r="G739" s="1" t="s">
        <v>113</v>
      </c>
    </row>
    <row r="740" spans="1:7" x14ac:dyDescent="0.25">
      <c r="A740" s="1" t="str">
        <f t="shared" si="11"/>
        <v>21</v>
      </c>
      <c r="B7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40" s="1" t="s">
        <v>4367</v>
      </c>
      <c r="D740" s="1" t="s">
        <v>4368</v>
      </c>
      <c r="E740" s="1" t="s">
        <v>4369</v>
      </c>
      <c r="F740" s="1" t="s">
        <v>112</v>
      </c>
      <c r="G740" s="1">
        <v>478497</v>
      </c>
    </row>
    <row r="741" spans="1:7" x14ac:dyDescent="0.25">
      <c r="A741" s="1" t="str">
        <f t="shared" si="11"/>
        <v>21</v>
      </c>
      <c r="B7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41" s="1" t="s">
        <v>4370</v>
      </c>
    </row>
    <row r="742" spans="1:7" x14ac:dyDescent="0.25">
      <c r="A742" s="1" t="str">
        <f t="shared" si="11"/>
        <v>21</v>
      </c>
      <c r="B7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42" s="1" t="s">
        <v>4371</v>
      </c>
      <c r="D742" s="1" t="s">
        <v>4372</v>
      </c>
      <c r="E742" s="1" t="s">
        <v>4373</v>
      </c>
      <c r="F742" s="1" t="s">
        <v>112</v>
      </c>
      <c r="G742" s="1">
        <v>676951</v>
      </c>
    </row>
    <row r="743" spans="1:7" x14ac:dyDescent="0.25">
      <c r="A743" s="1" t="str">
        <f t="shared" si="11"/>
        <v>21</v>
      </c>
      <c r="B7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43" s="1" t="s">
        <v>4374</v>
      </c>
    </row>
    <row r="744" spans="1:7" x14ac:dyDescent="0.25">
      <c r="A744" s="1" t="str">
        <f t="shared" si="11"/>
        <v>21</v>
      </c>
      <c r="B7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44" s="1" t="s">
        <v>4375</v>
      </c>
      <c r="D744" s="1" t="s">
        <v>4376</v>
      </c>
      <c r="E744" s="1" t="s">
        <v>4377</v>
      </c>
      <c r="F744" s="1" t="s">
        <v>112</v>
      </c>
      <c r="G744" s="1">
        <v>1182312</v>
      </c>
    </row>
    <row r="745" spans="1:7" x14ac:dyDescent="0.25">
      <c r="A745" s="1" t="str">
        <f t="shared" si="11"/>
        <v>21</v>
      </c>
      <c r="B7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45" s="1" t="s">
        <v>4378</v>
      </c>
    </row>
    <row r="746" spans="1:7" x14ac:dyDescent="0.25">
      <c r="A746" s="1" t="str">
        <f t="shared" si="11"/>
        <v>21</v>
      </c>
      <c r="B7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46" s="1" t="s">
        <v>4379</v>
      </c>
      <c r="D746" s="1" t="s">
        <v>4380</v>
      </c>
      <c r="E746" s="1" t="s">
        <v>4381</v>
      </c>
      <c r="F746" s="1" t="s">
        <v>112</v>
      </c>
      <c r="G746" s="1">
        <v>748005</v>
      </c>
    </row>
    <row r="747" spans="1:7" x14ac:dyDescent="0.25">
      <c r="A747" s="1" t="str">
        <f t="shared" si="11"/>
        <v>21</v>
      </c>
      <c r="B7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47" s="1" t="s">
        <v>4382</v>
      </c>
      <c r="D747" s="1" t="s">
        <v>656</v>
      </c>
      <c r="E747" s="1" t="s">
        <v>4383</v>
      </c>
      <c r="F747" s="1" t="s">
        <v>112</v>
      </c>
      <c r="G747" s="1">
        <v>1499752</v>
      </c>
    </row>
    <row r="748" spans="1:7" x14ac:dyDescent="0.25">
      <c r="A748" s="1" t="str">
        <f t="shared" si="11"/>
        <v>21</v>
      </c>
      <c r="B7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8" s="1" t="s">
        <v>4384</v>
      </c>
      <c r="D748" s="1" t="s">
        <v>4385</v>
      </c>
      <c r="E748" s="1" t="s">
        <v>4386</v>
      </c>
      <c r="F748" s="1" t="s">
        <v>112</v>
      </c>
      <c r="G748" s="1">
        <v>1107689</v>
      </c>
    </row>
    <row r="749" spans="1:7" x14ac:dyDescent="0.25">
      <c r="A749" s="1" t="str">
        <f t="shared" si="11"/>
        <v>21</v>
      </c>
      <c r="B7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9" s="1" t="s">
        <v>4387</v>
      </c>
      <c r="D749" s="1" t="s">
        <v>4388</v>
      </c>
      <c r="E749" s="1" t="s">
        <v>4389</v>
      </c>
      <c r="F749" s="1" t="s">
        <v>112</v>
      </c>
      <c r="G749" s="1">
        <v>1244930</v>
      </c>
    </row>
    <row r="750" spans="1:7" x14ac:dyDescent="0.25">
      <c r="A750" s="1" t="str">
        <f t="shared" si="11"/>
        <v>21</v>
      </c>
      <c r="B7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0" s="1" t="s">
        <v>4390</v>
      </c>
      <c r="D750" s="1" t="s">
        <v>4391</v>
      </c>
      <c r="E750" s="1" t="s">
        <v>4392</v>
      </c>
      <c r="F750" s="1" t="s">
        <v>112</v>
      </c>
      <c r="G750" s="1">
        <v>1620447</v>
      </c>
    </row>
    <row r="751" spans="1:7" x14ac:dyDescent="0.25">
      <c r="A751" s="1" t="str">
        <f t="shared" si="11"/>
        <v>21</v>
      </c>
      <c r="B7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1" s="1" t="s">
        <v>4393</v>
      </c>
      <c r="D751" s="1" t="s">
        <v>4394</v>
      </c>
      <c r="E751" s="1" t="s">
        <v>4395</v>
      </c>
      <c r="F751" s="1" t="s">
        <v>112</v>
      </c>
      <c r="G751" s="1">
        <v>1464539</v>
      </c>
    </row>
    <row r="752" spans="1:7" x14ac:dyDescent="0.25">
      <c r="A752" s="1" t="str">
        <f t="shared" si="11"/>
        <v>21</v>
      </c>
      <c r="B7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52" s="1" t="s">
        <v>4396</v>
      </c>
      <c r="D752" s="1" t="s">
        <v>1372</v>
      </c>
      <c r="E752" s="1" t="s">
        <v>4397</v>
      </c>
      <c r="F752" s="1" t="s">
        <v>112</v>
      </c>
      <c r="G752" s="1">
        <v>31061</v>
      </c>
    </row>
    <row r="753" spans="1:7" x14ac:dyDescent="0.25">
      <c r="A753" s="1" t="str">
        <f t="shared" si="11"/>
        <v>21</v>
      </c>
      <c r="B7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53" s="1" t="s">
        <v>4398</v>
      </c>
      <c r="D753" s="1" t="s">
        <v>197</v>
      </c>
      <c r="E753" s="1" t="s">
        <v>4399</v>
      </c>
      <c r="F753" s="1" t="s">
        <v>112</v>
      </c>
      <c r="G753" s="1">
        <v>184546</v>
      </c>
    </row>
    <row r="754" spans="1:7" x14ac:dyDescent="0.25">
      <c r="A754" s="1" t="str">
        <f t="shared" si="11"/>
        <v>21</v>
      </c>
      <c r="B7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54" s="1" t="s">
        <v>4400</v>
      </c>
      <c r="D754" s="1" t="s">
        <v>4401</v>
      </c>
      <c r="E754" s="1" t="s">
        <v>4402</v>
      </c>
      <c r="F754" s="1" t="s">
        <v>112</v>
      </c>
      <c r="G754" s="1">
        <v>187877</v>
      </c>
    </row>
    <row r="755" spans="1:7" x14ac:dyDescent="0.25">
      <c r="A755" s="1" t="str">
        <f t="shared" si="11"/>
        <v>21</v>
      </c>
      <c r="B7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55" s="1" t="s">
        <v>4403</v>
      </c>
      <c r="D755" s="1" t="s">
        <v>4404</v>
      </c>
      <c r="E755" s="1" t="s">
        <v>4405</v>
      </c>
      <c r="F755" s="1" t="s">
        <v>112</v>
      </c>
      <c r="G755" s="1">
        <v>546739</v>
      </c>
    </row>
    <row r="756" spans="1:7" x14ac:dyDescent="0.25">
      <c r="A756" s="1" t="str">
        <f t="shared" si="11"/>
        <v>21</v>
      </c>
      <c r="B7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56" s="1" t="s">
        <v>4406</v>
      </c>
      <c r="D756" s="1" t="s">
        <v>4407</v>
      </c>
      <c r="E756" s="1" t="s">
        <v>4408</v>
      </c>
      <c r="F756" s="1" t="s">
        <v>112</v>
      </c>
      <c r="G756" s="1">
        <v>1326864</v>
      </c>
    </row>
    <row r="757" spans="1:7" x14ac:dyDescent="0.25">
      <c r="A757" s="1" t="str">
        <f t="shared" si="11"/>
        <v>21</v>
      </c>
      <c r="B7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57" s="1" t="s">
        <v>4409</v>
      </c>
      <c r="D757" s="1" t="s">
        <v>4410</v>
      </c>
      <c r="E757" s="1" t="s">
        <v>4411</v>
      </c>
      <c r="F757" s="1" t="s">
        <v>112</v>
      </c>
      <c r="G757" s="1">
        <v>918968</v>
      </c>
    </row>
    <row r="758" spans="1:7" x14ac:dyDescent="0.25">
      <c r="A758" s="1" t="str">
        <f t="shared" si="11"/>
        <v>21</v>
      </c>
      <c r="B7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58" s="1" t="s">
        <v>4412</v>
      </c>
      <c r="D758" s="1" t="s">
        <v>4413</v>
      </c>
      <c r="E758" s="1" t="s">
        <v>4414</v>
      </c>
      <c r="F758" s="1" t="s">
        <v>112</v>
      </c>
      <c r="G758" s="1">
        <v>1033952</v>
      </c>
    </row>
    <row r="759" spans="1:7" x14ac:dyDescent="0.25">
      <c r="A759" s="1" t="str">
        <f t="shared" si="11"/>
        <v>21</v>
      </c>
      <c r="B7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59" s="1" t="s">
        <v>4415</v>
      </c>
      <c r="D759" s="1" t="s">
        <v>4416</v>
      </c>
      <c r="E759" s="1" t="s">
        <v>4417</v>
      </c>
      <c r="F759" s="1" t="s">
        <v>112</v>
      </c>
      <c r="G759" s="1">
        <v>487711</v>
      </c>
    </row>
    <row r="760" spans="1:7" x14ac:dyDescent="0.25">
      <c r="A760" s="1" t="str">
        <f t="shared" si="11"/>
        <v>21</v>
      </c>
      <c r="B7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60" s="1" t="s">
        <v>4418</v>
      </c>
    </row>
    <row r="761" spans="1:7" x14ac:dyDescent="0.25">
      <c r="A761" s="1" t="str">
        <f t="shared" si="11"/>
        <v>21</v>
      </c>
      <c r="B7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61" s="1" t="s">
        <v>4419</v>
      </c>
      <c r="D761" s="1" t="s">
        <v>4420</v>
      </c>
      <c r="E761" s="1" t="s">
        <v>4421</v>
      </c>
      <c r="F761" s="1" t="s">
        <v>112</v>
      </c>
      <c r="G761" s="1">
        <v>902226</v>
      </c>
    </row>
    <row r="762" spans="1:7" x14ac:dyDescent="0.25">
      <c r="A762" s="1" t="str">
        <f t="shared" si="11"/>
        <v>21</v>
      </c>
      <c r="B7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62" s="1" t="s">
        <v>4422</v>
      </c>
      <c r="D762" s="1" t="s">
        <v>4423</v>
      </c>
      <c r="E762" s="1" t="s">
        <v>4424</v>
      </c>
      <c r="F762" s="1" t="s">
        <v>112</v>
      </c>
      <c r="G762" s="1">
        <v>977650</v>
      </c>
    </row>
    <row r="763" spans="1:7" x14ac:dyDescent="0.25">
      <c r="A763" s="1" t="str">
        <f t="shared" si="11"/>
        <v>21</v>
      </c>
      <c r="B7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63" s="1" t="s">
        <v>4425</v>
      </c>
      <c r="D763" s="1" t="s">
        <v>4426</v>
      </c>
      <c r="E763" s="1" t="s">
        <v>4427</v>
      </c>
      <c r="F763" s="1" t="s">
        <v>112</v>
      </c>
      <c r="G763" s="1">
        <v>890762</v>
      </c>
    </row>
    <row r="764" spans="1:7" x14ac:dyDescent="0.25">
      <c r="A764" s="1" t="str">
        <f t="shared" si="11"/>
        <v>21</v>
      </c>
      <c r="B7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64" s="1" t="s">
        <v>4428</v>
      </c>
      <c r="D764" s="1" t="s">
        <v>4429</v>
      </c>
      <c r="E764" s="1" t="s">
        <v>4430</v>
      </c>
      <c r="F764" s="1" t="s">
        <v>112</v>
      </c>
      <c r="G764" s="1">
        <v>627245</v>
      </c>
    </row>
    <row r="765" spans="1:7" x14ac:dyDescent="0.25">
      <c r="A765" s="1" t="str">
        <f t="shared" si="11"/>
        <v>21</v>
      </c>
      <c r="B7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65" s="1" t="s">
        <v>4431</v>
      </c>
      <c r="D765" s="1" t="s">
        <v>4432</v>
      </c>
      <c r="E765" s="1" t="s">
        <v>4433</v>
      </c>
      <c r="F765" s="1" t="s">
        <v>112</v>
      </c>
      <c r="G765" s="1">
        <v>596120</v>
      </c>
    </row>
    <row r="766" spans="1:7" x14ac:dyDescent="0.25">
      <c r="A766" s="1" t="str">
        <f t="shared" si="11"/>
        <v>21</v>
      </c>
      <c r="B7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66" s="1" t="s">
        <v>4434</v>
      </c>
      <c r="D766" s="1" t="s">
        <v>4435</v>
      </c>
      <c r="E766" s="1" t="s">
        <v>4436</v>
      </c>
      <c r="F766" s="1" t="s">
        <v>112</v>
      </c>
      <c r="G766" s="1">
        <v>895564</v>
      </c>
    </row>
    <row r="767" spans="1:7" x14ac:dyDescent="0.25">
      <c r="A767" s="1" t="str">
        <f t="shared" si="11"/>
        <v>21</v>
      </c>
      <c r="B7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67" s="1" t="s">
        <v>4437</v>
      </c>
      <c r="D767" s="1" t="s">
        <v>1375</v>
      </c>
      <c r="E767" s="1" t="s">
        <v>4438</v>
      </c>
      <c r="F767" s="1" t="s">
        <v>112</v>
      </c>
      <c r="G767" s="1">
        <v>773161</v>
      </c>
    </row>
    <row r="768" spans="1:7" x14ac:dyDescent="0.25">
      <c r="A768" s="1" t="str">
        <f t="shared" si="11"/>
        <v>21</v>
      </c>
      <c r="B7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68" s="1" t="s">
        <v>4439</v>
      </c>
      <c r="D768" s="1" t="s">
        <v>4440</v>
      </c>
      <c r="E768" s="1" t="s">
        <v>4441</v>
      </c>
      <c r="F768" s="1" t="s">
        <v>112</v>
      </c>
      <c r="G768" s="1">
        <v>622292</v>
      </c>
    </row>
    <row r="769" spans="1:10" x14ac:dyDescent="0.25">
      <c r="A769" s="1" t="str">
        <f t="shared" si="11"/>
        <v>21</v>
      </c>
      <c r="B7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69" s="1" t="s">
        <v>4442</v>
      </c>
      <c r="D769" s="1" t="s">
        <v>4443</v>
      </c>
      <c r="E769" s="1" t="s">
        <v>4444</v>
      </c>
      <c r="F769" s="1" t="s">
        <v>112</v>
      </c>
      <c r="G769" s="1">
        <v>636979</v>
      </c>
    </row>
    <row r="770" spans="1:10" x14ac:dyDescent="0.25">
      <c r="A770" s="1" t="str">
        <f t="shared" ref="A770:A833" si="12">IFERROR(LEFT(RIGHT(C770,LEN(C770)-SEARCH("@",C770)),SEARCH("/",RIGHT(C770,LEN(C770)-SEARCH("@",C770)-1))),"")</f>
        <v>21</v>
      </c>
      <c r="B7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70" s="1" t="s">
        <v>4445</v>
      </c>
      <c r="D770" s="1" t="s">
        <v>4082</v>
      </c>
      <c r="E770" s="1" t="s">
        <v>4446</v>
      </c>
      <c r="F770" s="1" t="s">
        <v>112</v>
      </c>
      <c r="G770" s="1">
        <v>563740</v>
      </c>
    </row>
    <row r="771" spans="1:10" x14ac:dyDescent="0.25">
      <c r="A771" s="1" t="str">
        <f t="shared" si="12"/>
        <v>21</v>
      </c>
      <c r="B7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71" s="1" t="s">
        <v>4447</v>
      </c>
      <c r="D771" s="1" t="s">
        <v>4448</v>
      </c>
      <c r="E771" s="1" t="s">
        <v>4449</v>
      </c>
      <c r="F771" s="1" t="s">
        <v>112</v>
      </c>
      <c r="G771" s="1">
        <v>886501</v>
      </c>
    </row>
    <row r="772" spans="1:10" x14ac:dyDescent="0.2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72" s="1" t="s">
        <v>112</v>
      </c>
    </row>
    <row r="773" spans="1:10" x14ac:dyDescent="0.2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73" s="1" t="s">
        <v>237</v>
      </c>
      <c r="D773" s="1" t="s">
        <v>112</v>
      </c>
      <c r="E773" s="1" t="s">
        <v>238</v>
      </c>
      <c r="F773" s="1" t="s">
        <v>239</v>
      </c>
      <c r="G773" s="1" t="s">
        <v>240</v>
      </c>
      <c r="H773" s="1" t="s">
        <v>241</v>
      </c>
      <c r="I773" s="1" t="s">
        <v>242</v>
      </c>
      <c r="J773" s="1" t="s">
        <v>243</v>
      </c>
    </row>
    <row r="774" spans="1:10" x14ac:dyDescent="0.25">
      <c r="A774" s="1" t="str">
        <f t="shared" si="12"/>
        <v>21</v>
      </c>
      <c r="B7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774" s="1" t="s">
        <v>4450</v>
      </c>
      <c r="D774" s="1" t="s">
        <v>112</v>
      </c>
      <c r="E774" s="1" t="s">
        <v>4451</v>
      </c>
      <c r="F774" s="1" t="s">
        <v>4452</v>
      </c>
      <c r="G774" s="1" t="s">
        <v>4453</v>
      </c>
      <c r="H774" s="1" t="s">
        <v>4454</v>
      </c>
      <c r="I774" s="1">
        <v>32</v>
      </c>
      <c r="J774" s="1">
        <v>32</v>
      </c>
    </row>
    <row r="775" spans="1:10" x14ac:dyDescent="0.2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75" s="1" t="s">
        <v>112</v>
      </c>
    </row>
    <row r="776" spans="1:10" x14ac:dyDescent="0.2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76" s="1" t="s">
        <v>112</v>
      </c>
    </row>
    <row r="777" spans="1:10" x14ac:dyDescent="0.2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77" s="1" t="s">
        <v>112</v>
      </c>
    </row>
    <row r="778" spans="1:10" x14ac:dyDescent="0.2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78" s="1" t="s">
        <v>112</v>
      </c>
    </row>
    <row r="779" spans="1:10" x14ac:dyDescent="0.2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79" s="1" t="s">
        <v>112</v>
      </c>
    </row>
    <row r="780" spans="1:10" x14ac:dyDescent="0.2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80" s="1" t="s">
        <v>249</v>
      </c>
      <c r="D780" s="1" t="s">
        <v>110</v>
      </c>
      <c r="E780" s="1" t="s">
        <v>111</v>
      </c>
      <c r="F780" s="1" t="s">
        <v>112</v>
      </c>
      <c r="G780" s="1" t="s">
        <v>113</v>
      </c>
    </row>
    <row r="781" spans="1:10" x14ac:dyDescent="0.25">
      <c r="A781" s="1" t="str">
        <f t="shared" si="12"/>
        <v>8</v>
      </c>
      <c r="B7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81" s="1" t="s">
        <v>4455</v>
      </c>
      <c r="D781" s="1" t="s">
        <v>354</v>
      </c>
      <c r="E781" s="1" t="s">
        <v>4456</v>
      </c>
      <c r="F781" s="1" t="s">
        <v>112</v>
      </c>
      <c r="G781" s="1">
        <v>303597</v>
      </c>
    </row>
    <row r="782" spans="1:10" x14ac:dyDescent="0.25">
      <c r="A782" s="1" t="str">
        <f t="shared" si="12"/>
        <v>8</v>
      </c>
      <c r="B7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82" s="1" t="s">
        <v>4457</v>
      </c>
      <c r="D782" s="1" t="s">
        <v>4458</v>
      </c>
      <c r="E782" s="1" t="s">
        <v>4459</v>
      </c>
      <c r="F782" s="1" t="s">
        <v>112</v>
      </c>
      <c r="G782" s="1">
        <v>461258</v>
      </c>
    </row>
    <row r="783" spans="1:10" x14ac:dyDescent="0.25">
      <c r="A783" s="1" t="str">
        <f t="shared" si="12"/>
        <v>8</v>
      </c>
      <c r="B7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83" s="1" t="s">
        <v>4460</v>
      </c>
      <c r="D783" s="1" t="s">
        <v>2498</v>
      </c>
      <c r="E783" s="1" t="s">
        <v>4461</v>
      </c>
      <c r="F783" s="1" t="s">
        <v>112</v>
      </c>
      <c r="G783" s="1">
        <v>543667</v>
      </c>
    </row>
    <row r="784" spans="1:10" x14ac:dyDescent="0.25">
      <c r="A784" s="1" t="str">
        <f t="shared" si="12"/>
        <v>8</v>
      </c>
      <c r="B7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84" s="1" t="s">
        <v>4462</v>
      </c>
    </row>
    <row r="785" spans="1:7" x14ac:dyDescent="0.25">
      <c r="A785" s="1" t="str">
        <f t="shared" si="12"/>
        <v>8</v>
      </c>
      <c r="B7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85" s="1" t="s">
        <v>4463</v>
      </c>
      <c r="D785" s="1" t="s">
        <v>1547</v>
      </c>
      <c r="E785" s="1" t="s">
        <v>4464</v>
      </c>
      <c r="F785" s="1" t="s">
        <v>112</v>
      </c>
      <c r="G785" s="1">
        <v>82907</v>
      </c>
    </row>
    <row r="786" spans="1:7" x14ac:dyDescent="0.25">
      <c r="A786" s="1" t="str">
        <f t="shared" si="12"/>
        <v>8</v>
      </c>
      <c r="B7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86" s="1" t="s">
        <v>4465</v>
      </c>
      <c r="D786" s="1" t="s">
        <v>3347</v>
      </c>
      <c r="E786" s="1" t="s">
        <v>4466</v>
      </c>
      <c r="F786" s="1" t="s">
        <v>112</v>
      </c>
      <c r="G786" s="1">
        <v>17434</v>
      </c>
    </row>
    <row r="787" spans="1:7" x14ac:dyDescent="0.25">
      <c r="A787" s="1" t="str">
        <f t="shared" si="12"/>
        <v>8</v>
      </c>
      <c r="B7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87" s="1" t="s">
        <v>4467</v>
      </c>
      <c r="D787" s="1" t="s">
        <v>2503</v>
      </c>
      <c r="E787" s="1" t="s">
        <v>4468</v>
      </c>
      <c r="F787" s="1" t="s">
        <v>112</v>
      </c>
      <c r="G787" s="1">
        <v>352935</v>
      </c>
    </row>
    <row r="788" spans="1:7" x14ac:dyDescent="0.25">
      <c r="A788" s="1" t="str">
        <f t="shared" si="12"/>
        <v>8</v>
      </c>
      <c r="B7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88" s="1" t="s">
        <v>4469</v>
      </c>
      <c r="D788" s="1" t="s">
        <v>1841</v>
      </c>
      <c r="E788" s="1" t="s">
        <v>4470</v>
      </c>
      <c r="F788" s="1" t="s">
        <v>112</v>
      </c>
      <c r="G788" s="1">
        <v>308810</v>
      </c>
    </row>
    <row r="789" spans="1:7" x14ac:dyDescent="0.25">
      <c r="A789" s="1" t="str">
        <f t="shared" si="12"/>
        <v>8</v>
      </c>
      <c r="B7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89" s="1" t="s">
        <v>4471</v>
      </c>
    </row>
    <row r="790" spans="1:7" x14ac:dyDescent="0.25">
      <c r="A790" s="1" t="str">
        <f t="shared" si="12"/>
        <v>8</v>
      </c>
      <c r="B7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90" s="1" t="s">
        <v>4472</v>
      </c>
      <c r="D790" s="1" t="s">
        <v>994</v>
      </c>
      <c r="E790" s="1" t="s">
        <v>4473</v>
      </c>
      <c r="F790" s="1" t="s">
        <v>112</v>
      </c>
      <c r="G790" s="1">
        <v>246602</v>
      </c>
    </row>
    <row r="791" spans="1:7" x14ac:dyDescent="0.25">
      <c r="A791" s="1" t="str">
        <f t="shared" si="12"/>
        <v>8</v>
      </c>
      <c r="B7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91" s="1" t="s">
        <v>4474</v>
      </c>
    </row>
    <row r="792" spans="1:7" x14ac:dyDescent="0.25">
      <c r="A792" s="1" t="str">
        <f t="shared" si="12"/>
        <v>8</v>
      </c>
      <c r="B7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92" s="1" t="s">
        <v>4475</v>
      </c>
      <c r="D792" s="1" t="s">
        <v>1477</v>
      </c>
      <c r="E792" s="1" t="s">
        <v>4476</v>
      </c>
      <c r="F792" s="1" t="s">
        <v>112</v>
      </c>
      <c r="G792" s="1">
        <v>3266</v>
      </c>
    </row>
    <row r="793" spans="1:7" x14ac:dyDescent="0.25">
      <c r="A793" s="1" t="str">
        <f t="shared" si="12"/>
        <v>8</v>
      </c>
      <c r="B7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3" s="1" t="s">
        <v>4477</v>
      </c>
      <c r="D793" s="1" t="s">
        <v>662</v>
      </c>
      <c r="E793" s="1" t="s">
        <v>4478</v>
      </c>
      <c r="F793" s="1" t="s">
        <v>112</v>
      </c>
      <c r="G793" s="1">
        <v>121841</v>
      </c>
    </row>
    <row r="794" spans="1:7" x14ac:dyDescent="0.25">
      <c r="A794" s="1" t="str">
        <f t="shared" si="12"/>
        <v>8</v>
      </c>
      <c r="B7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4" s="1" t="s">
        <v>4479</v>
      </c>
      <c r="D794" s="1" t="s">
        <v>4074</v>
      </c>
      <c r="E794" s="1" t="s">
        <v>4480</v>
      </c>
      <c r="F794" s="1" t="s">
        <v>112</v>
      </c>
      <c r="G794" s="1">
        <v>246127</v>
      </c>
    </row>
    <row r="795" spans="1:7" x14ac:dyDescent="0.25">
      <c r="A795" s="1" t="str">
        <f t="shared" si="12"/>
        <v>8</v>
      </c>
      <c r="B7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5" s="1" t="s">
        <v>4481</v>
      </c>
      <c r="D795" s="1" t="s">
        <v>4157</v>
      </c>
      <c r="E795" s="1" t="s">
        <v>4482</v>
      </c>
      <c r="F795" s="1" t="s">
        <v>112</v>
      </c>
      <c r="G795" s="1">
        <v>122533</v>
      </c>
    </row>
    <row r="796" spans="1:7" x14ac:dyDescent="0.25">
      <c r="A796" s="1" t="str">
        <f t="shared" si="12"/>
        <v>8</v>
      </c>
      <c r="B7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6" s="1" t="s">
        <v>4483</v>
      </c>
      <c r="D796" s="1" t="s">
        <v>4484</v>
      </c>
      <c r="E796" s="1" t="s">
        <v>4485</v>
      </c>
      <c r="F796" s="1" t="s">
        <v>112</v>
      </c>
      <c r="G796" s="1">
        <v>29244</v>
      </c>
    </row>
    <row r="797" spans="1:7" x14ac:dyDescent="0.25">
      <c r="A797" s="1" t="str">
        <f t="shared" si="12"/>
        <v>8</v>
      </c>
      <c r="B7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97" s="1" t="s">
        <v>4486</v>
      </c>
      <c r="D797" s="1" t="s">
        <v>303</v>
      </c>
      <c r="E797" s="1" t="s">
        <v>4487</v>
      </c>
      <c r="F797" s="1" t="s">
        <v>112</v>
      </c>
      <c r="G797" s="1">
        <v>3915</v>
      </c>
    </row>
    <row r="798" spans="1:7" x14ac:dyDescent="0.25">
      <c r="A798" s="1" t="str">
        <f t="shared" si="12"/>
        <v>8</v>
      </c>
      <c r="B7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98" s="1" t="s">
        <v>4488</v>
      </c>
      <c r="D798" s="1" t="s">
        <v>4489</v>
      </c>
      <c r="E798" s="1" t="s">
        <v>4490</v>
      </c>
      <c r="F798" s="1" t="s">
        <v>112</v>
      </c>
      <c r="G798" s="1">
        <v>391869</v>
      </c>
    </row>
    <row r="799" spans="1:7" x14ac:dyDescent="0.25">
      <c r="A799" s="1" t="str">
        <f t="shared" si="12"/>
        <v>8</v>
      </c>
      <c r="B7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99" s="1" t="s">
        <v>4491</v>
      </c>
      <c r="D799" s="1" t="s">
        <v>1824</v>
      </c>
      <c r="E799" s="1" t="s">
        <v>4492</v>
      </c>
      <c r="F799" s="1" t="s">
        <v>112</v>
      </c>
      <c r="G799" s="1">
        <v>19013</v>
      </c>
    </row>
    <row r="800" spans="1:7" x14ac:dyDescent="0.25">
      <c r="A800" s="1" t="str">
        <f t="shared" si="12"/>
        <v>8</v>
      </c>
      <c r="B8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0" s="1" t="s">
        <v>4493</v>
      </c>
      <c r="D800" s="1" t="s">
        <v>1094</v>
      </c>
      <c r="E800" s="1" t="s">
        <v>4494</v>
      </c>
      <c r="F800" s="1" t="s">
        <v>112</v>
      </c>
      <c r="G800" s="1">
        <v>282551</v>
      </c>
    </row>
    <row r="801" spans="1:10" x14ac:dyDescent="0.25">
      <c r="A801" s="1" t="str">
        <f t="shared" si="12"/>
        <v>8</v>
      </c>
      <c r="B8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01" s="1" t="s">
        <v>4495</v>
      </c>
      <c r="D801" s="1" t="s">
        <v>540</v>
      </c>
      <c r="E801" s="1" t="s">
        <v>4496</v>
      </c>
      <c r="F801" s="1" t="s">
        <v>112</v>
      </c>
      <c r="G801" s="1">
        <v>309913</v>
      </c>
    </row>
    <row r="802" spans="1:10" x14ac:dyDescent="0.25">
      <c r="A802" s="1" t="str">
        <f t="shared" si="12"/>
        <v>8</v>
      </c>
      <c r="B8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02" s="1" t="s">
        <v>4497</v>
      </c>
      <c r="D802" s="1" t="s">
        <v>4498</v>
      </c>
      <c r="E802" s="1" t="s">
        <v>4499</v>
      </c>
      <c r="F802" s="1" t="s">
        <v>112</v>
      </c>
      <c r="G802" s="1">
        <v>328126</v>
      </c>
    </row>
    <row r="803" spans="1:10" x14ac:dyDescent="0.25">
      <c r="A803" s="1" t="str">
        <f t="shared" si="12"/>
        <v>8</v>
      </c>
      <c r="B8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03" s="1" t="s">
        <v>4500</v>
      </c>
    </row>
    <row r="804" spans="1:10" x14ac:dyDescent="0.25">
      <c r="A804" s="1" t="str">
        <f t="shared" si="12"/>
        <v>8</v>
      </c>
      <c r="B8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04" s="1" t="s">
        <v>4501</v>
      </c>
      <c r="D804" s="1" t="s">
        <v>4502</v>
      </c>
      <c r="E804" s="1" t="s">
        <v>4503</v>
      </c>
      <c r="F804" s="1" t="s">
        <v>112</v>
      </c>
      <c r="G804" s="1">
        <v>17845</v>
      </c>
    </row>
    <row r="805" spans="1:10" x14ac:dyDescent="0.25">
      <c r="A805" s="1" t="str">
        <f t="shared" si="12"/>
        <v>8</v>
      </c>
      <c r="B8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05" s="1" t="s">
        <v>4504</v>
      </c>
      <c r="D805" s="1" t="s">
        <v>532</v>
      </c>
      <c r="E805" s="1" t="s">
        <v>4505</v>
      </c>
      <c r="F805" s="1" t="s">
        <v>112</v>
      </c>
      <c r="G805" s="1">
        <v>95885</v>
      </c>
    </row>
    <row r="806" spans="1:10" x14ac:dyDescent="0.25">
      <c r="A806" s="1" t="str">
        <f t="shared" si="12"/>
        <v>8</v>
      </c>
      <c r="B8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06" s="1" t="s">
        <v>4506</v>
      </c>
      <c r="D806" s="1" t="s">
        <v>291</v>
      </c>
      <c r="E806" s="1" t="s">
        <v>4507</v>
      </c>
      <c r="F806" s="1" t="s">
        <v>112</v>
      </c>
      <c r="G806" s="1">
        <v>234338</v>
      </c>
    </row>
    <row r="807" spans="1:10" x14ac:dyDescent="0.25">
      <c r="A807" s="1" t="str">
        <f t="shared" si="12"/>
        <v>8</v>
      </c>
      <c r="B8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07" s="1" t="s">
        <v>4508</v>
      </c>
      <c r="D807" s="1" t="s">
        <v>1603</v>
      </c>
      <c r="E807" s="1" t="s">
        <v>4509</v>
      </c>
      <c r="F807" s="1" t="s">
        <v>112</v>
      </c>
      <c r="G807" s="1">
        <v>296092</v>
      </c>
    </row>
    <row r="808" spans="1:10" x14ac:dyDescent="0.25">
      <c r="A808" s="1" t="str">
        <f t="shared" si="12"/>
        <v>8</v>
      </c>
      <c r="B8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08" s="1" t="s">
        <v>4510</v>
      </c>
      <c r="D808" s="1" t="s">
        <v>3955</v>
      </c>
      <c r="E808" s="1" t="s">
        <v>4511</v>
      </c>
      <c r="F808" s="1" t="s">
        <v>112</v>
      </c>
      <c r="G808" s="1">
        <v>393080</v>
      </c>
    </row>
    <row r="809" spans="1:10" x14ac:dyDescent="0.25">
      <c r="A809" s="1" t="str">
        <f t="shared" si="12"/>
        <v>8</v>
      </c>
      <c r="B8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09" s="1" t="s">
        <v>4512</v>
      </c>
      <c r="D809" s="1" t="s">
        <v>2438</v>
      </c>
      <c r="E809" s="1" t="s">
        <v>4513</v>
      </c>
      <c r="F809" s="1" t="s">
        <v>112</v>
      </c>
      <c r="G809" s="1">
        <v>275154</v>
      </c>
    </row>
    <row r="810" spans="1:10" x14ac:dyDescent="0.25">
      <c r="A810" s="1" t="str">
        <f t="shared" si="12"/>
        <v>8</v>
      </c>
      <c r="B8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10" s="1" t="s">
        <v>4514</v>
      </c>
      <c r="D810" s="1">
        <v>0</v>
      </c>
      <c r="E810" s="1">
        <v>0</v>
      </c>
      <c r="F810" s="1" t="s">
        <v>112</v>
      </c>
      <c r="G810" s="1">
        <v>0</v>
      </c>
    </row>
    <row r="811" spans="1:10" x14ac:dyDescent="0.25">
      <c r="A811" s="1" t="str">
        <f t="shared" si="12"/>
        <v>8</v>
      </c>
      <c r="B8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11" s="1" t="s">
        <v>4515</v>
      </c>
      <c r="D811" s="1" t="s">
        <v>1268</v>
      </c>
      <c r="E811" s="1" t="s">
        <v>4516</v>
      </c>
      <c r="F811" s="1" t="s">
        <v>112</v>
      </c>
      <c r="G811" s="1">
        <v>105056</v>
      </c>
    </row>
    <row r="812" spans="1:10" x14ac:dyDescent="0.25">
      <c r="A812" s="1" t="str">
        <f t="shared" si="12"/>
        <v>8</v>
      </c>
      <c r="B8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12" s="1" t="s">
        <v>4517</v>
      </c>
      <c r="D812" s="1" t="s">
        <v>625</v>
      </c>
      <c r="E812" s="1" t="s">
        <v>4518</v>
      </c>
      <c r="F812" s="1" t="s">
        <v>112</v>
      </c>
      <c r="G812" s="1">
        <v>157552</v>
      </c>
    </row>
    <row r="813" spans="1:10" x14ac:dyDescent="0.2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13" s="1" t="s">
        <v>112</v>
      </c>
    </row>
    <row r="814" spans="1:10" x14ac:dyDescent="0.2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14" s="1" t="s">
        <v>237</v>
      </c>
      <c r="D814" s="1" t="s">
        <v>112</v>
      </c>
      <c r="E814" s="1" t="s">
        <v>238</v>
      </c>
      <c r="F814" s="1" t="s">
        <v>239</v>
      </c>
      <c r="G814" s="1" t="s">
        <v>240</v>
      </c>
      <c r="H814" s="1" t="s">
        <v>241</v>
      </c>
      <c r="I814" s="1" t="s">
        <v>242</v>
      </c>
      <c r="J814" s="1" t="s">
        <v>243</v>
      </c>
    </row>
    <row r="815" spans="1:10" x14ac:dyDescent="0.25">
      <c r="A815" s="1" t="str">
        <f t="shared" si="12"/>
        <v>8</v>
      </c>
      <c r="B8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815" s="1" t="s">
        <v>4519</v>
      </c>
      <c r="D815" s="1" t="s">
        <v>112</v>
      </c>
      <c r="E815" s="1" t="s">
        <v>4520</v>
      </c>
      <c r="F815" s="1" t="s">
        <v>4521</v>
      </c>
      <c r="G815" s="1" t="s">
        <v>4522</v>
      </c>
      <c r="H815" s="1" t="s">
        <v>4523</v>
      </c>
      <c r="I815" s="1">
        <v>29</v>
      </c>
      <c r="J815" s="1">
        <v>32</v>
      </c>
    </row>
    <row r="816" spans="1:10" x14ac:dyDescent="0.2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16" s="1" t="s">
        <v>112</v>
      </c>
    </row>
    <row r="817" spans="1:7" x14ac:dyDescent="0.2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17" s="1" t="s">
        <v>112</v>
      </c>
    </row>
    <row r="818" spans="1:7" x14ac:dyDescent="0.2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18" s="1" t="s">
        <v>112</v>
      </c>
    </row>
    <row r="819" spans="1:7" x14ac:dyDescent="0.2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19" s="1" t="s">
        <v>112</v>
      </c>
    </row>
    <row r="820" spans="1:7" x14ac:dyDescent="0.2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20" s="1" t="s">
        <v>112</v>
      </c>
    </row>
    <row r="821" spans="1:7" x14ac:dyDescent="0.2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21" s="1" t="s">
        <v>249</v>
      </c>
      <c r="D821" s="1" t="s">
        <v>110</v>
      </c>
      <c r="E821" s="1" t="s">
        <v>111</v>
      </c>
      <c r="F821" s="1" t="s">
        <v>112</v>
      </c>
      <c r="G821" s="1" t="s">
        <v>113</v>
      </c>
    </row>
    <row r="822" spans="1:7" x14ac:dyDescent="0.25">
      <c r="A822" s="1" t="str">
        <f t="shared" si="12"/>
        <v>9</v>
      </c>
      <c r="B8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22" s="1" t="s">
        <v>4524</v>
      </c>
      <c r="D822" s="1" t="s">
        <v>1274</v>
      </c>
      <c r="E822" s="1" t="s">
        <v>4525</v>
      </c>
      <c r="F822" s="1" t="s">
        <v>112</v>
      </c>
      <c r="G822" s="1">
        <v>110118</v>
      </c>
    </row>
    <row r="823" spans="1:7" x14ac:dyDescent="0.25">
      <c r="A823" s="1" t="str">
        <f t="shared" si="12"/>
        <v>9</v>
      </c>
      <c r="B8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23" s="1" t="s">
        <v>4526</v>
      </c>
      <c r="D823" s="1" t="s">
        <v>372</v>
      </c>
      <c r="E823" s="1" t="s">
        <v>4527</v>
      </c>
      <c r="F823" s="1" t="s">
        <v>112</v>
      </c>
      <c r="G823" s="1">
        <v>136787</v>
      </c>
    </row>
    <row r="824" spans="1:7" x14ac:dyDescent="0.25">
      <c r="A824" s="1" t="str">
        <f t="shared" si="12"/>
        <v>9</v>
      </c>
      <c r="B8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24" s="1" t="s">
        <v>4528</v>
      </c>
      <c r="D824" s="1" t="s">
        <v>2913</v>
      </c>
      <c r="E824" s="1" t="s">
        <v>4529</v>
      </c>
      <c r="F824" s="1" t="s">
        <v>112</v>
      </c>
      <c r="G824" s="1">
        <v>245456</v>
      </c>
    </row>
    <row r="825" spans="1:7" x14ac:dyDescent="0.25">
      <c r="A825" s="1" t="str">
        <f t="shared" si="12"/>
        <v>9</v>
      </c>
      <c r="B8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25" s="1" t="s">
        <v>4530</v>
      </c>
    </row>
    <row r="826" spans="1:7" x14ac:dyDescent="0.25">
      <c r="A826" s="1" t="str">
        <f t="shared" si="12"/>
        <v>9</v>
      </c>
      <c r="B8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26" s="1" t="s">
        <v>4531</v>
      </c>
      <c r="D826" s="1" t="s">
        <v>1566</v>
      </c>
      <c r="E826" s="1" t="s">
        <v>4532</v>
      </c>
      <c r="F826" s="1" t="s">
        <v>112</v>
      </c>
      <c r="G826" s="1">
        <v>9885</v>
      </c>
    </row>
    <row r="827" spans="1:7" x14ac:dyDescent="0.25">
      <c r="A827" s="1" t="str">
        <f t="shared" si="12"/>
        <v>9</v>
      </c>
      <c r="B8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27" s="1" t="s">
        <v>4533</v>
      </c>
    </row>
    <row r="828" spans="1:7" x14ac:dyDescent="0.25">
      <c r="A828" s="1" t="str">
        <f t="shared" si="12"/>
        <v>9</v>
      </c>
      <c r="B8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28" s="1" t="s">
        <v>4534</v>
      </c>
    </row>
    <row r="829" spans="1:7" x14ac:dyDescent="0.25">
      <c r="A829" s="1" t="str">
        <f t="shared" si="12"/>
        <v>9</v>
      </c>
      <c r="B8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29" s="1" t="s">
        <v>4535</v>
      </c>
      <c r="D829" s="1" t="s">
        <v>4536</v>
      </c>
      <c r="E829" s="1" t="s">
        <v>4537</v>
      </c>
      <c r="F829" s="1" t="s">
        <v>112</v>
      </c>
      <c r="G829" s="1">
        <v>25372</v>
      </c>
    </row>
    <row r="830" spans="1:7" x14ac:dyDescent="0.25">
      <c r="A830" s="1" t="str">
        <f t="shared" si="12"/>
        <v>9</v>
      </c>
      <c r="B8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30" s="1" t="s">
        <v>4538</v>
      </c>
      <c r="D830" s="1" t="s">
        <v>2503</v>
      </c>
      <c r="E830" s="1" t="s">
        <v>4539</v>
      </c>
      <c r="F830" s="1" t="s">
        <v>112</v>
      </c>
      <c r="G830" s="1">
        <v>348349</v>
      </c>
    </row>
    <row r="831" spans="1:7" x14ac:dyDescent="0.25">
      <c r="A831" s="1" t="str">
        <f t="shared" si="12"/>
        <v>9</v>
      </c>
      <c r="B8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31" s="1" t="s">
        <v>4540</v>
      </c>
      <c r="D831" s="1" t="s">
        <v>586</v>
      </c>
      <c r="E831" s="1" t="s">
        <v>4541</v>
      </c>
      <c r="F831" s="1" t="s">
        <v>112</v>
      </c>
      <c r="G831" s="1">
        <v>292393</v>
      </c>
    </row>
    <row r="832" spans="1:7" x14ac:dyDescent="0.25">
      <c r="A832" s="1" t="str">
        <f t="shared" si="12"/>
        <v>9</v>
      </c>
      <c r="B8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32" s="1" t="s">
        <v>4542</v>
      </c>
    </row>
    <row r="833" spans="1:7" x14ac:dyDescent="0.25">
      <c r="A833" s="1" t="str">
        <f t="shared" si="12"/>
        <v>9</v>
      </c>
      <c r="B8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33" s="1" t="s">
        <v>4543</v>
      </c>
    </row>
    <row r="834" spans="1:7" x14ac:dyDescent="0.25">
      <c r="A834" s="1" t="str">
        <f t="shared" ref="A834:A897" si="13">IFERROR(LEFT(RIGHT(C834,LEN(C834)-SEARCH("@",C834)),SEARCH("/",RIGHT(C834,LEN(C834)-SEARCH("@",C834)-1))),"")</f>
        <v>9</v>
      </c>
      <c r="B8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834" s="1" t="s">
        <v>4544</v>
      </c>
      <c r="D834" s="1" t="s">
        <v>4545</v>
      </c>
      <c r="E834" s="1" t="s">
        <v>4546</v>
      </c>
      <c r="F834" s="1" t="s">
        <v>112</v>
      </c>
      <c r="G834" s="1">
        <v>464545</v>
      </c>
    </row>
    <row r="835" spans="1:7" x14ac:dyDescent="0.25">
      <c r="A835" s="1" t="str">
        <f t="shared" si="13"/>
        <v>9</v>
      </c>
      <c r="B8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835" s="1" t="s">
        <v>4547</v>
      </c>
      <c r="D835" s="1" t="s">
        <v>4548</v>
      </c>
      <c r="E835" s="1" t="s">
        <v>4549</v>
      </c>
      <c r="F835" s="1" t="s">
        <v>112</v>
      </c>
      <c r="G835" s="1">
        <v>419447</v>
      </c>
    </row>
    <row r="836" spans="1:7" x14ac:dyDescent="0.25">
      <c r="A836" s="1" t="str">
        <f t="shared" si="13"/>
        <v>9</v>
      </c>
      <c r="B8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836" s="1" t="s">
        <v>4550</v>
      </c>
      <c r="D836" s="1" t="s">
        <v>1841</v>
      </c>
      <c r="E836" s="1" t="s">
        <v>4551</v>
      </c>
      <c r="F836" s="1" t="s">
        <v>112</v>
      </c>
      <c r="G836" s="1">
        <v>362517</v>
      </c>
    </row>
    <row r="837" spans="1:7" x14ac:dyDescent="0.25">
      <c r="A837" s="1" t="str">
        <f t="shared" si="13"/>
        <v>9</v>
      </c>
      <c r="B8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837" s="1" t="s">
        <v>4552</v>
      </c>
      <c r="D837" s="1" t="s">
        <v>3338</v>
      </c>
      <c r="E837" s="1" t="s">
        <v>4553</v>
      </c>
      <c r="F837" s="1" t="s">
        <v>112</v>
      </c>
      <c r="G837" s="1">
        <v>606199</v>
      </c>
    </row>
    <row r="838" spans="1:7" x14ac:dyDescent="0.25">
      <c r="A838" s="1" t="str">
        <f t="shared" si="13"/>
        <v>9</v>
      </c>
      <c r="B8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38" s="1" t="s">
        <v>4554</v>
      </c>
      <c r="D838" s="1" t="s">
        <v>2470</v>
      </c>
      <c r="E838" s="1" t="s">
        <v>4555</v>
      </c>
      <c r="F838" s="1" t="s">
        <v>112</v>
      </c>
      <c r="G838" s="1">
        <v>292479</v>
      </c>
    </row>
    <row r="839" spans="1:7" x14ac:dyDescent="0.25">
      <c r="A839" s="1" t="str">
        <f t="shared" si="13"/>
        <v>9</v>
      </c>
      <c r="B8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39" s="1" t="s">
        <v>4556</v>
      </c>
    </row>
    <row r="840" spans="1:7" x14ac:dyDescent="0.25">
      <c r="A840" s="1" t="str">
        <f t="shared" si="13"/>
        <v>9</v>
      </c>
      <c r="B8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40" s="1" t="s">
        <v>4557</v>
      </c>
      <c r="D840" s="1" t="s">
        <v>1454</v>
      </c>
      <c r="E840" s="1" t="s">
        <v>4558</v>
      </c>
      <c r="F840" s="1" t="s">
        <v>112</v>
      </c>
      <c r="G840" s="1">
        <v>19726</v>
      </c>
    </row>
    <row r="841" spans="1:7" x14ac:dyDescent="0.25">
      <c r="A841" s="1" t="str">
        <f t="shared" si="13"/>
        <v>9</v>
      </c>
      <c r="B8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41" s="1" t="s">
        <v>4559</v>
      </c>
      <c r="D841" s="1" t="s">
        <v>4560</v>
      </c>
      <c r="E841" s="1" t="s">
        <v>4561</v>
      </c>
      <c r="F841" s="1" t="s">
        <v>112</v>
      </c>
      <c r="G841" s="1">
        <v>734616</v>
      </c>
    </row>
    <row r="842" spans="1:7" x14ac:dyDescent="0.25">
      <c r="A842" s="1" t="str">
        <f t="shared" si="13"/>
        <v>9</v>
      </c>
      <c r="B8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2" s="1" t="s">
        <v>4562</v>
      </c>
      <c r="D842" s="1" t="s">
        <v>4563</v>
      </c>
      <c r="E842" s="1" t="s">
        <v>4564</v>
      </c>
      <c r="F842" s="1" t="s">
        <v>112</v>
      </c>
      <c r="G842" s="1">
        <v>63246</v>
      </c>
    </row>
    <row r="843" spans="1:7" x14ac:dyDescent="0.25">
      <c r="A843" s="1" t="str">
        <f t="shared" si="13"/>
        <v>9</v>
      </c>
      <c r="B8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3" s="1" t="s">
        <v>4565</v>
      </c>
      <c r="D843" s="1" t="s">
        <v>493</v>
      </c>
      <c r="E843" s="1" t="s">
        <v>4566</v>
      </c>
      <c r="F843" s="1" t="s">
        <v>112</v>
      </c>
      <c r="G843" s="1">
        <v>105273</v>
      </c>
    </row>
    <row r="844" spans="1:7" x14ac:dyDescent="0.25">
      <c r="A844" s="1" t="str">
        <f t="shared" si="13"/>
        <v>9</v>
      </c>
      <c r="B8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4" s="1" t="s">
        <v>4567</v>
      </c>
      <c r="D844" s="1" t="s">
        <v>4568</v>
      </c>
      <c r="E844" s="1" t="s">
        <v>4569</v>
      </c>
      <c r="F844" s="1" t="s">
        <v>112</v>
      </c>
      <c r="G844" s="1">
        <v>77586</v>
      </c>
    </row>
    <row r="845" spans="1:7" x14ac:dyDescent="0.25">
      <c r="A845" s="1" t="str">
        <f t="shared" si="13"/>
        <v>9</v>
      </c>
      <c r="B8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5" s="1" t="s">
        <v>4570</v>
      </c>
      <c r="D845" s="1" t="s">
        <v>206</v>
      </c>
      <c r="E845" s="1" t="s">
        <v>4571</v>
      </c>
      <c r="F845" s="1" t="s">
        <v>112</v>
      </c>
      <c r="G845" s="1">
        <v>283438</v>
      </c>
    </row>
    <row r="846" spans="1:7" x14ac:dyDescent="0.25">
      <c r="A846" s="1" t="str">
        <f t="shared" si="13"/>
        <v>9</v>
      </c>
      <c r="B8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46" s="1" t="s">
        <v>4572</v>
      </c>
      <c r="D846" s="1" t="s">
        <v>4573</v>
      </c>
      <c r="E846" s="1" t="s">
        <v>4574</v>
      </c>
      <c r="F846" s="1" t="s">
        <v>112</v>
      </c>
      <c r="G846" s="1">
        <v>398963</v>
      </c>
    </row>
    <row r="847" spans="1:7" x14ac:dyDescent="0.25">
      <c r="A847" s="1" t="str">
        <f t="shared" si="13"/>
        <v>9</v>
      </c>
      <c r="B8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47" s="1" t="s">
        <v>4575</v>
      </c>
      <c r="D847" s="1" t="s">
        <v>4576</v>
      </c>
      <c r="E847" s="1" t="s">
        <v>4577</v>
      </c>
      <c r="F847" s="1" t="s">
        <v>112</v>
      </c>
      <c r="G847" s="1">
        <v>153399</v>
      </c>
    </row>
    <row r="848" spans="1:7" x14ac:dyDescent="0.25">
      <c r="A848" s="1" t="str">
        <f t="shared" si="13"/>
        <v>9</v>
      </c>
      <c r="B8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48" s="1" t="s">
        <v>4578</v>
      </c>
    </row>
    <row r="849" spans="1:10" x14ac:dyDescent="0.25">
      <c r="A849" s="1" t="str">
        <f t="shared" si="13"/>
        <v>9</v>
      </c>
      <c r="B8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49" s="1" t="s">
        <v>4579</v>
      </c>
    </row>
    <row r="850" spans="1:10" x14ac:dyDescent="0.25">
      <c r="A850" s="1" t="str">
        <f t="shared" si="13"/>
        <v>9</v>
      </c>
      <c r="B8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50" s="1" t="s">
        <v>4580</v>
      </c>
      <c r="D850" s="1" t="s">
        <v>551</v>
      </c>
      <c r="E850" s="1" t="s">
        <v>4581</v>
      </c>
      <c r="F850" s="1" t="s">
        <v>112</v>
      </c>
      <c r="G850" s="1">
        <v>2920</v>
      </c>
    </row>
    <row r="851" spans="1:10" x14ac:dyDescent="0.25">
      <c r="A851" s="1" t="str">
        <f t="shared" si="13"/>
        <v>9</v>
      </c>
      <c r="B8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51" s="1" t="s">
        <v>4582</v>
      </c>
      <c r="D851" s="1" t="s">
        <v>1043</v>
      </c>
      <c r="E851" s="1" t="s">
        <v>4583</v>
      </c>
      <c r="F851" s="1" t="s">
        <v>112</v>
      </c>
      <c r="G851" s="1">
        <v>57254</v>
      </c>
    </row>
    <row r="852" spans="1:10" x14ac:dyDescent="0.25">
      <c r="A852" s="1" t="str">
        <f t="shared" si="13"/>
        <v>9</v>
      </c>
      <c r="B8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52" s="1" t="s">
        <v>4584</v>
      </c>
      <c r="D852" s="1">
        <v>0</v>
      </c>
      <c r="E852" s="1">
        <v>0</v>
      </c>
      <c r="F852" s="1" t="s">
        <v>112</v>
      </c>
      <c r="G852" s="1">
        <v>0</v>
      </c>
    </row>
    <row r="853" spans="1:10" x14ac:dyDescent="0.25">
      <c r="A853" s="1" t="str">
        <f t="shared" si="13"/>
        <v>9</v>
      </c>
      <c r="B8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53" s="1" t="s">
        <v>4585</v>
      </c>
      <c r="D853" s="1" t="s">
        <v>549</v>
      </c>
      <c r="E853" s="1">
        <v>32</v>
      </c>
      <c r="F853" s="1" t="s">
        <v>112</v>
      </c>
      <c r="G853" s="1">
        <v>692</v>
      </c>
    </row>
    <row r="854" spans="1:10" x14ac:dyDescent="0.2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54" s="1" t="s">
        <v>112</v>
      </c>
    </row>
    <row r="855" spans="1:10" x14ac:dyDescent="0.2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55" s="1" t="s">
        <v>237</v>
      </c>
      <c r="D855" s="1" t="s">
        <v>112</v>
      </c>
      <c r="E855" s="1" t="s">
        <v>238</v>
      </c>
      <c r="F855" s="1" t="s">
        <v>239</v>
      </c>
      <c r="G855" s="1" t="s">
        <v>240</v>
      </c>
      <c r="H855" s="1" t="s">
        <v>241</v>
      </c>
      <c r="I855" s="1" t="s">
        <v>242</v>
      </c>
      <c r="J855" s="1" t="s">
        <v>243</v>
      </c>
    </row>
    <row r="856" spans="1:10" x14ac:dyDescent="0.25">
      <c r="A856" s="1" t="str">
        <f t="shared" si="13"/>
        <v>9</v>
      </c>
      <c r="B8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856" s="1" t="s">
        <v>4586</v>
      </c>
      <c r="D856" s="1" t="s">
        <v>112</v>
      </c>
      <c r="E856" s="1" t="s">
        <v>4587</v>
      </c>
      <c r="F856" s="1" t="s">
        <v>4588</v>
      </c>
      <c r="G856" s="1" t="s">
        <v>4589</v>
      </c>
      <c r="H856" s="1" t="s">
        <v>4590</v>
      </c>
      <c r="I856" s="1">
        <v>31</v>
      </c>
      <c r="J856" s="1">
        <v>32</v>
      </c>
    </row>
    <row r="857" spans="1:10" x14ac:dyDescent="0.2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57" s="1" t="s">
        <v>112</v>
      </c>
    </row>
    <row r="858" spans="1:10" x14ac:dyDescent="0.2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10" x14ac:dyDescent="0.2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10" x14ac:dyDescent="0.2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10" x14ac:dyDescent="0.2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10" x14ac:dyDescent="0.2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10" x14ac:dyDescent="0.2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10" x14ac:dyDescent="0.2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2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2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2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2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2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2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2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2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2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2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2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2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2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2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2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2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2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2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2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2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2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2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2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2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2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2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2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2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2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2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2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2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2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2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2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2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2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2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2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2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2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2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2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2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2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2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2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2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2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2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2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2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2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2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2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2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2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2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2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2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2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2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2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2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2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2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2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2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2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2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2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2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2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2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2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2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2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2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2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2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2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2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2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2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2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2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2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2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2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2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2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2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2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2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2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2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2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2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2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2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2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2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2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2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2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2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2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2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2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2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2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2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2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2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2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2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2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2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2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2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2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2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2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2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2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2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2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2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2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2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2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2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2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2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2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2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2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2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2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2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2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2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2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2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2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2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2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2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2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2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2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2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2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2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2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2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2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2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2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2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2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2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2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2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2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2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2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2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2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2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2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2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2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2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2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2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2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2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2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2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2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2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2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2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2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2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2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2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2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2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2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2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2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2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2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2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2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2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2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2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2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2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2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2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2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2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2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2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2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2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2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2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2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2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2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2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2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2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2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2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2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2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2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2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2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2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2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2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2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2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2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2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2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2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2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2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2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2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2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2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2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2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2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2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2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2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2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2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2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2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2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2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2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2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2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2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2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2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2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2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2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2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2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2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2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2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2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2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2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2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2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2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2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2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2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2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2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2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2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2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2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2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2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2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2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2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2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2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2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2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2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2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2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2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2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2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2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2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2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2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2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2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2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2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2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2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2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2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2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2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2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2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2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2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2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2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2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2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2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2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2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2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2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2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2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2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2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2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2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2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2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2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2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2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2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2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2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2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2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2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2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2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2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2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2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2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2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2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2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2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2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2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2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2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2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2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2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2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2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2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2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2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2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2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2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2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2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2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2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2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2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2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2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2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2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2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2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2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2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2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2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2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2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2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2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2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2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2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2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2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2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2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2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2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2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2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2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2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2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2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2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2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2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2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2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2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2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2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2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2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2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2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2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2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2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2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2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2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2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2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2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2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2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2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2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2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2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2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2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2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2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2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2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2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2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2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2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2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2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2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2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2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2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2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2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2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2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2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2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2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2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2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2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2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2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2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2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2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2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2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2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2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2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2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2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2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2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2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2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2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2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2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2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2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2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2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2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2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2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2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2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2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2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2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2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2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2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2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2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2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2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2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2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2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2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2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2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2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2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2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2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2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2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2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2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2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2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2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2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2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2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2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2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2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2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2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2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2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2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2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2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2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2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2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2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2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2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2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2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2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2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2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2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2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2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2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2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2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2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2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2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2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2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2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2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2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2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2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2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2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2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2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2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2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2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2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2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2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2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2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2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2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2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2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2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2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2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2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2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2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2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2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2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2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2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2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2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2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2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2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2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2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2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2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2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2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2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2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2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2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2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2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2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2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2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2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2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2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2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2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2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2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2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2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2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2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2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2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2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2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2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2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2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2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2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2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2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2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2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2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2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2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2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2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2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2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2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2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2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2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2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2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2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2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2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2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2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2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2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2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2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2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2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2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2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2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2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2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2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2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2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2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2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2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2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2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2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2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2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2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2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2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2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2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2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2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2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2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2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2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2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2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2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2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2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2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2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2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2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2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2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2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2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2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2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2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2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2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2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2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2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2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2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2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2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2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2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2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2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2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2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2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2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2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2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2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2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2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2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2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2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2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2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2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2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2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2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2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2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2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2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2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2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2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2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2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2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2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2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2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2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2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2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2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2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2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2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2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2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2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2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2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2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2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2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2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2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2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2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2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2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2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2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2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2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2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2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2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2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2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2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2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2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2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2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2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2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2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2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2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2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2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2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2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2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2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2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2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2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2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2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2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2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2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2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2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2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2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2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2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2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2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2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2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2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2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2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2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2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2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2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2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2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2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2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2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2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2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2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2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2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2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2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2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2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2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2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2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2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2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2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2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2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2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2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2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2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2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2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2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2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2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2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2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2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2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2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2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2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2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2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2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2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2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2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2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2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1" priority="1" operator="containsText" text="ERREUR">
      <formula>NOT(ISERROR(SEARCH("ERREUR",A1)))</formula>
    </cfRule>
    <cfRule type="containsText" dxfId="0"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74"/>
  <sheetViews>
    <sheetView showGridLines="0" tabSelected="1" topLeftCell="H1" zoomScale="70" zoomScaleNormal="70" zoomScaleSheetLayoutView="40" zoomScalePageLayoutView="30" workbookViewId="0">
      <selection activeCell="AC2" sqref="N1:AC1048576"/>
    </sheetView>
  </sheetViews>
  <sheetFormatPr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36" width="25.85546875" style="1" customWidth="1"/>
    <col min="37" max="37" width="25.85546875" style="1" bestFit="1" customWidth="1"/>
    <col min="38" max="16384" width="9.140625" style="1"/>
  </cols>
  <sheetData>
    <row r="1" spans="1:37" ht="27" thickBot="1" x14ac:dyDescent="0.45">
      <c r="A1" s="221" t="s">
        <v>43</v>
      </c>
      <c r="B1" s="222"/>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3"/>
    </row>
    <row r="2" spans="1:37" ht="15.75" thickBot="1" x14ac:dyDescent="0.3"/>
    <row r="3" spans="1:37" ht="15.75" thickBot="1" x14ac:dyDescent="0.3">
      <c r="A3" s="158" t="s">
        <v>22</v>
      </c>
      <c r="B3" s="231" t="s">
        <v>6</v>
      </c>
      <c r="C3" s="232"/>
      <c r="D3" s="232"/>
      <c r="E3" s="232"/>
      <c r="F3" s="232"/>
      <c r="G3" s="232"/>
      <c r="H3" s="232"/>
      <c r="I3" s="232"/>
      <c r="J3" s="232"/>
      <c r="K3" s="232"/>
      <c r="L3" s="232"/>
      <c r="M3" s="232"/>
      <c r="O3" s="231" t="s">
        <v>3</v>
      </c>
      <c r="P3" s="232"/>
      <c r="Q3" s="232"/>
      <c r="R3" s="232"/>
      <c r="S3" s="232"/>
      <c r="T3" s="232"/>
      <c r="U3" s="232"/>
      <c r="V3" s="232"/>
      <c r="W3" s="232"/>
      <c r="X3" s="232"/>
      <c r="Y3" s="232"/>
      <c r="Z3" s="232"/>
      <c r="AA3" s="232"/>
      <c r="AB3" s="232"/>
      <c r="AC3" s="232"/>
      <c r="AD3" s="232"/>
      <c r="AE3" s="232"/>
      <c r="AF3" s="232"/>
      <c r="AG3" s="232"/>
      <c r="AH3" s="232"/>
      <c r="AI3" s="232"/>
      <c r="AJ3" s="232"/>
      <c r="AK3" s="233"/>
    </row>
    <row r="4" spans="1:37"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Prochloraz-0,063mg/L</v>
      </c>
      <c r="J4" s="35" t="str">
        <f>'Page de garde'!A16</f>
        <v>Prochloraz-0,13mg/L</v>
      </c>
      <c r="K4" s="35" t="str">
        <f>'Page de garde'!A17</f>
        <v>Prochloraz-0,25mg/L</v>
      </c>
      <c r="L4" s="35" t="str">
        <f>'Page de garde'!A18</f>
        <v>Prochloraz-0,5mg/L</v>
      </c>
      <c r="M4" s="35" t="str">
        <f>'Page de garde'!A19</f>
        <v>Prochloraz-1mg/L</v>
      </c>
      <c r="N4" s="3"/>
      <c r="O4" s="36" t="str">
        <f>'Page de garde'!A36</f>
        <v>Testo -30µg/L</v>
      </c>
      <c r="P4" s="36" t="str">
        <f>'Page de garde'!A37</f>
        <v>Testo 30µg/L + EE2 -64ng/L</v>
      </c>
      <c r="Q4" s="36" t="str">
        <f>'Page de garde'!A38</f>
        <v>Testo 30µg/L + FAD-10mg/L</v>
      </c>
      <c r="R4" s="36" t="str">
        <f>'Page de garde'!A39</f>
        <v>Prochloraz-0.063mg/L + Testostérone</v>
      </c>
      <c r="S4" s="36" t="str">
        <f>'Page de garde'!A40</f>
        <v>Prochloraz-0.13mg/L + Testostérone</v>
      </c>
      <c r="T4" s="36" t="str">
        <f>'Page de garde'!A41</f>
        <v>Prochloraz-0.25mg/L + Testostérone</v>
      </c>
      <c r="U4" s="36" t="str">
        <f>'Page de garde'!A42</f>
        <v>Prochloraz-0.5mg/L + Testostérone</v>
      </c>
      <c r="V4" s="36" t="str">
        <f>'Page de garde'!A43</f>
        <v>Prochloraz-1mg/L + Testostérone</v>
      </c>
      <c r="W4" s="36" t="str">
        <f>'Page de garde'!A44</f>
        <v>0-00 + Testostérone</v>
      </c>
      <c r="X4" s="36" t="str">
        <f>'Page de garde'!A45</f>
        <v>0-00 + Testostérone</v>
      </c>
      <c r="Y4" s="36" t="str">
        <f>'Page de garde'!A46</f>
        <v>0-00 + Testostérone</v>
      </c>
      <c r="Z4" s="36" t="str">
        <f>'Page de garde'!A47</f>
        <v>0-00 + Testostérone</v>
      </c>
      <c r="AA4" s="36" t="str">
        <f>'Page de garde'!A48</f>
        <v>0-00 + Testostérone</v>
      </c>
      <c r="AB4" s="36" t="str">
        <f>'Page de garde'!A49</f>
        <v>0-00 + Testostérone</v>
      </c>
      <c r="AC4" s="36" t="str">
        <f>'Page de garde'!A50</f>
        <v>0-00 + Testostérone</v>
      </c>
      <c r="AD4" s="36" t="str">
        <f>'Page de garde'!A51</f>
        <v>0-00 + Testostérone</v>
      </c>
      <c r="AE4" s="36" t="str">
        <f>'Page de garde'!A52</f>
        <v>0-00 + Testostérone</v>
      </c>
      <c r="AF4" s="36" t="str">
        <f>'Page de garde'!A53</f>
        <v>0-00 + Testostérone</v>
      </c>
      <c r="AG4" s="36" t="str">
        <f>'Page de garde'!A54</f>
        <v>0-00 + Testostérone</v>
      </c>
      <c r="AH4" s="36" t="str">
        <f>'Page de garde'!A55</f>
        <v>0-00 + Testostérone</v>
      </c>
      <c r="AI4" s="36" t="str">
        <f>'Page de garde'!A56</f>
        <v>0-00 + Testostérone</v>
      </c>
      <c r="AJ4" s="36" t="str">
        <f>'Page de garde'!A57</f>
        <v>0-00 + Testostérone</v>
      </c>
      <c r="AK4" s="36" t="str">
        <f>'Page de garde'!A58</f>
        <v>0-00 + Testostérone</v>
      </c>
    </row>
    <row r="5" spans="1:37" x14ac:dyDescent="0.25">
      <c r="A5" s="234" t="s">
        <v>33</v>
      </c>
      <c r="B5" s="201">
        <v>3666.5</v>
      </c>
      <c r="C5" s="201">
        <v>49370</v>
      </c>
      <c r="D5" s="201">
        <v>21484</v>
      </c>
      <c r="E5" s="201">
        <v>1106066</v>
      </c>
      <c r="F5" s="201">
        <v>787480</v>
      </c>
      <c r="G5" s="201">
        <v>3538050.5</v>
      </c>
      <c r="H5" s="201">
        <v>5698055.25</v>
      </c>
      <c r="I5" s="201">
        <v>436174</v>
      </c>
      <c r="J5" s="201">
        <v>164120.33333333334</v>
      </c>
      <c r="K5" s="201">
        <v>86332</v>
      </c>
      <c r="L5" s="201">
        <v>495476</v>
      </c>
      <c r="M5" s="201">
        <v>473862.25</v>
      </c>
      <c r="N5" s="3"/>
      <c r="O5" s="201">
        <v>2591439.75</v>
      </c>
      <c r="P5" s="201">
        <v>3216019.25</v>
      </c>
      <c r="Q5" s="201">
        <v>68074.5</v>
      </c>
      <c r="R5" s="201"/>
      <c r="S5" s="201">
        <v>2140624</v>
      </c>
      <c r="T5" s="201">
        <v>1552566.75</v>
      </c>
      <c r="U5" s="201">
        <v>3161095.5</v>
      </c>
      <c r="V5" s="201">
        <v>577724</v>
      </c>
      <c r="W5" s="32"/>
      <c r="X5" s="32"/>
      <c r="Y5" s="32"/>
      <c r="Z5" s="32"/>
      <c r="AA5" s="32"/>
      <c r="AB5" s="32"/>
      <c r="AC5" s="32"/>
      <c r="AD5" s="32"/>
      <c r="AE5" s="32"/>
      <c r="AF5" s="32"/>
      <c r="AG5" s="32"/>
      <c r="AH5" s="32"/>
      <c r="AI5" s="32"/>
      <c r="AJ5" s="32"/>
      <c r="AK5" s="32"/>
    </row>
    <row r="6" spans="1:37" x14ac:dyDescent="0.25">
      <c r="A6" s="234"/>
      <c r="B6" s="201">
        <v>298476.5</v>
      </c>
      <c r="C6" s="201">
        <v>131482.5</v>
      </c>
      <c r="D6" s="201">
        <v>1047600.75</v>
      </c>
      <c r="E6" s="201">
        <v>132039.5</v>
      </c>
      <c r="F6" s="201">
        <v>2272631.25</v>
      </c>
      <c r="G6" s="201"/>
      <c r="H6" s="201">
        <v>6266007</v>
      </c>
      <c r="I6" s="201">
        <v>190521.5</v>
      </c>
      <c r="J6" s="201">
        <v>17628.5</v>
      </c>
      <c r="K6" s="201"/>
      <c r="L6" s="201">
        <v>167767</v>
      </c>
      <c r="M6" s="201">
        <v>380139.75</v>
      </c>
      <c r="N6" s="3"/>
      <c r="O6" s="201">
        <v>3532248</v>
      </c>
      <c r="P6" s="201">
        <v>1651945.25</v>
      </c>
      <c r="Q6" s="201">
        <v>310751.25</v>
      </c>
      <c r="R6" s="201">
        <v>613164.25</v>
      </c>
      <c r="S6" s="201">
        <v>542867.33333333337</v>
      </c>
      <c r="T6" s="201">
        <v>772901</v>
      </c>
      <c r="U6" s="201">
        <v>3128201.75</v>
      </c>
      <c r="V6" s="201">
        <v>1143356.3333333333</v>
      </c>
      <c r="W6" s="32"/>
      <c r="X6" s="32"/>
      <c r="Y6" s="32"/>
      <c r="Z6" s="32"/>
      <c r="AA6" s="32"/>
      <c r="AB6" s="32"/>
      <c r="AC6" s="32"/>
      <c r="AD6" s="32"/>
      <c r="AE6" s="32"/>
      <c r="AF6" s="32"/>
      <c r="AG6" s="32"/>
      <c r="AH6" s="32"/>
      <c r="AI6" s="32"/>
      <c r="AJ6" s="32"/>
      <c r="AK6" s="32"/>
    </row>
    <row r="7" spans="1:37" x14ac:dyDescent="0.25">
      <c r="A7" s="234"/>
      <c r="B7" s="201">
        <v>34716</v>
      </c>
      <c r="C7" s="201">
        <v>50889.75</v>
      </c>
      <c r="D7" s="201">
        <v>178760.25</v>
      </c>
      <c r="E7" s="201">
        <v>120040.5</v>
      </c>
      <c r="F7" s="201">
        <v>2983281.75</v>
      </c>
      <c r="G7" s="201">
        <v>4073774.5</v>
      </c>
      <c r="H7" s="201">
        <v>3651039.75</v>
      </c>
      <c r="I7" s="201">
        <v>124934</v>
      </c>
      <c r="J7" s="201">
        <v>320371</v>
      </c>
      <c r="K7" s="201">
        <v>381373</v>
      </c>
      <c r="L7" s="201">
        <v>251372</v>
      </c>
      <c r="M7" s="201">
        <v>569277.5</v>
      </c>
      <c r="N7" s="3"/>
      <c r="O7" s="201">
        <v>707876.25</v>
      </c>
      <c r="P7" s="201">
        <v>3973022.5</v>
      </c>
      <c r="Q7" s="201">
        <v>50911.25</v>
      </c>
      <c r="R7" s="201">
        <v>555153</v>
      </c>
      <c r="S7" s="201">
        <v>1293013.5</v>
      </c>
      <c r="T7" s="201">
        <v>134602.66666666666</v>
      </c>
      <c r="U7" s="201">
        <v>1767870.75</v>
      </c>
      <c r="V7" s="201">
        <v>1359401.25</v>
      </c>
      <c r="W7" s="32"/>
      <c r="X7" s="32"/>
      <c r="Y7" s="32"/>
      <c r="Z7" s="32"/>
      <c r="AA7" s="32"/>
      <c r="AB7" s="32"/>
      <c r="AC7" s="32"/>
      <c r="AD7" s="32"/>
      <c r="AE7" s="32"/>
      <c r="AF7" s="32"/>
      <c r="AG7" s="32"/>
      <c r="AH7" s="32"/>
      <c r="AI7" s="32"/>
      <c r="AJ7" s="32"/>
      <c r="AK7" s="32"/>
    </row>
    <row r="8" spans="1:37" x14ac:dyDescent="0.25">
      <c r="A8" s="234"/>
      <c r="B8" s="201">
        <v>278744.5</v>
      </c>
      <c r="C8" s="201">
        <v>75520.75</v>
      </c>
      <c r="D8" s="201">
        <v>283481</v>
      </c>
      <c r="E8" s="201">
        <v>92071</v>
      </c>
      <c r="F8" s="201">
        <v>412876.75</v>
      </c>
      <c r="G8" s="201">
        <v>3620125.25</v>
      </c>
      <c r="H8" s="201">
        <v>4963925.75</v>
      </c>
      <c r="I8" s="201">
        <v>129936.25</v>
      </c>
      <c r="J8" s="201">
        <v>463177</v>
      </c>
      <c r="K8" s="201">
        <v>248581.25</v>
      </c>
      <c r="L8" s="201">
        <v>268108</v>
      </c>
      <c r="M8" s="201">
        <v>343980</v>
      </c>
      <c r="N8" s="3"/>
      <c r="O8" s="201">
        <v>1279705.75</v>
      </c>
      <c r="P8" s="201">
        <v>2614167.5</v>
      </c>
      <c r="Q8" s="201">
        <v>176564.75</v>
      </c>
      <c r="R8" s="201">
        <v>558381.25</v>
      </c>
      <c r="S8" s="201">
        <v>1312718.5</v>
      </c>
      <c r="T8" s="201">
        <v>3169963.75</v>
      </c>
      <c r="U8" s="201">
        <v>2113089.25</v>
      </c>
      <c r="V8" s="201">
        <v>237555.75</v>
      </c>
      <c r="W8" s="32"/>
      <c r="X8" s="32"/>
      <c r="Y8" s="32"/>
      <c r="Z8" s="32"/>
      <c r="AA8" s="32"/>
      <c r="AB8" s="32"/>
      <c r="AC8" s="32"/>
      <c r="AD8" s="32"/>
      <c r="AE8" s="32"/>
      <c r="AF8" s="32"/>
      <c r="AG8" s="32"/>
      <c r="AH8" s="32"/>
      <c r="AI8" s="32"/>
      <c r="AJ8" s="32"/>
      <c r="AK8" s="32"/>
    </row>
    <row r="9" spans="1:37" x14ac:dyDescent="0.25">
      <c r="A9" s="234"/>
      <c r="B9" s="201">
        <v>70535</v>
      </c>
      <c r="C9" s="201">
        <v>973.5</v>
      </c>
      <c r="D9" s="201">
        <v>156081</v>
      </c>
      <c r="E9" s="201">
        <v>320657.75</v>
      </c>
      <c r="F9" s="201">
        <v>2598063.75</v>
      </c>
      <c r="G9" s="201">
        <v>1125738.5</v>
      </c>
      <c r="H9" s="201">
        <v>3947661.25</v>
      </c>
      <c r="I9" s="201">
        <v>174337</v>
      </c>
      <c r="J9" s="201">
        <v>348940.33333333331</v>
      </c>
      <c r="K9" s="201">
        <v>366989</v>
      </c>
      <c r="L9" s="201">
        <v>0</v>
      </c>
      <c r="M9" s="201">
        <v>524438.5</v>
      </c>
      <c r="N9" s="3"/>
      <c r="O9" s="201">
        <v>2362168.5</v>
      </c>
      <c r="P9" s="201">
        <v>4236809.75</v>
      </c>
      <c r="Q9" s="201">
        <v>431213.66666666669</v>
      </c>
      <c r="R9" s="201">
        <v>3625116.25</v>
      </c>
      <c r="S9" s="201">
        <v>1241707.5</v>
      </c>
      <c r="T9" s="201">
        <v>438962.25</v>
      </c>
      <c r="U9" s="201">
        <v>980499.25</v>
      </c>
      <c r="V9" s="201">
        <v>941873.75</v>
      </c>
      <c r="W9" s="32"/>
      <c r="X9" s="32"/>
      <c r="Y9" s="32"/>
      <c r="Z9" s="32"/>
      <c r="AA9" s="32"/>
      <c r="AB9" s="32"/>
      <c r="AC9" s="32"/>
      <c r="AD9" s="32"/>
      <c r="AE9" s="32"/>
      <c r="AF9" s="32"/>
      <c r="AG9" s="32"/>
      <c r="AH9" s="32"/>
      <c r="AI9" s="32"/>
      <c r="AJ9" s="32"/>
      <c r="AK9" s="32"/>
    </row>
    <row r="10" spans="1:37" x14ac:dyDescent="0.25">
      <c r="A10" s="234"/>
      <c r="B10" s="201">
        <v>143460.25</v>
      </c>
      <c r="C10" s="201"/>
      <c r="D10" s="201">
        <v>93171</v>
      </c>
      <c r="E10" s="201">
        <v>399006.75</v>
      </c>
      <c r="F10" s="201">
        <v>328223</v>
      </c>
      <c r="G10" s="201">
        <v>1974539</v>
      </c>
      <c r="H10" s="201"/>
      <c r="I10" s="201">
        <v>218628</v>
      </c>
      <c r="J10" s="201">
        <v>132385.75</v>
      </c>
      <c r="K10" s="201">
        <v>176586</v>
      </c>
      <c r="L10" s="201"/>
      <c r="M10" s="201">
        <v>242509</v>
      </c>
      <c r="N10" s="3"/>
      <c r="O10" s="201">
        <v>1878669.75</v>
      </c>
      <c r="P10" s="201"/>
      <c r="Q10" s="201">
        <v>370412</v>
      </c>
      <c r="R10" s="201">
        <v>232553.75</v>
      </c>
      <c r="S10" s="201">
        <v>77181</v>
      </c>
      <c r="T10" s="201">
        <v>892049.25</v>
      </c>
      <c r="U10" s="201">
        <v>1818403.6666666667</v>
      </c>
      <c r="V10" s="201">
        <v>923546</v>
      </c>
      <c r="W10" s="32"/>
      <c r="X10" s="32"/>
      <c r="Y10" s="32"/>
      <c r="Z10" s="32"/>
      <c r="AA10" s="32"/>
      <c r="AB10" s="32"/>
      <c r="AC10" s="32"/>
      <c r="AD10" s="32"/>
      <c r="AE10" s="32"/>
      <c r="AF10" s="32"/>
      <c r="AG10" s="32"/>
      <c r="AH10" s="32"/>
      <c r="AI10" s="32"/>
      <c r="AJ10" s="32"/>
      <c r="AK10" s="32"/>
    </row>
    <row r="11" spans="1:37" x14ac:dyDescent="0.25">
      <c r="A11" s="234"/>
      <c r="B11" s="201">
        <v>202969.75</v>
      </c>
      <c r="C11" s="201">
        <v>90153.666666666672</v>
      </c>
      <c r="D11" s="201">
        <v>244598</v>
      </c>
      <c r="E11" s="201">
        <v>700446.25</v>
      </c>
      <c r="F11" s="201">
        <v>1573683</v>
      </c>
      <c r="G11" s="201">
        <v>2736188.6666666665</v>
      </c>
      <c r="H11" s="201">
        <v>3210249.25</v>
      </c>
      <c r="I11" s="201">
        <v>254848.75</v>
      </c>
      <c r="J11" s="201">
        <v>276181</v>
      </c>
      <c r="K11" s="201">
        <v>144044.25</v>
      </c>
      <c r="L11" s="201">
        <v>294880.5</v>
      </c>
      <c r="M11" s="201"/>
      <c r="N11" s="3"/>
      <c r="O11" s="201">
        <v>1856688.75</v>
      </c>
      <c r="P11" s="201">
        <v>2351672.5</v>
      </c>
      <c r="Q11" s="201">
        <v>13464.5</v>
      </c>
      <c r="R11" s="201">
        <v>469693</v>
      </c>
      <c r="S11" s="201">
        <v>499958.75</v>
      </c>
      <c r="T11" s="201">
        <v>1676538.5</v>
      </c>
      <c r="U11" s="201">
        <v>1487190.25</v>
      </c>
      <c r="V11" s="201">
        <v>723022.5</v>
      </c>
      <c r="W11" s="32"/>
      <c r="X11" s="32"/>
      <c r="Y11" s="32"/>
      <c r="Z11" s="32"/>
      <c r="AA11" s="32"/>
      <c r="AB11" s="32"/>
      <c r="AC11" s="32"/>
      <c r="AD11" s="32"/>
      <c r="AE11" s="32"/>
      <c r="AF11" s="32"/>
      <c r="AG11" s="32"/>
      <c r="AH11" s="32"/>
      <c r="AI11" s="32"/>
      <c r="AJ11" s="32"/>
      <c r="AK11" s="32"/>
    </row>
    <row r="12" spans="1:37" x14ac:dyDescent="0.25">
      <c r="A12" s="234"/>
      <c r="B12" s="201">
        <v>517776.5</v>
      </c>
      <c r="C12" s="201">
        <v>191451.5</v>
      </c>
      <c r="D12" s="201">
        <v>78956.333333333328</v>
      </c>
      <c r="E12" s="201">
        <v>485012.5</v>
      </c>
      <c r="F12" s="201">
        <v>1624713.25</v>
      </c>
      <c r="G12" s="201">
        <v>2699113.25</v>
      </c>
      <c r="H12" s="201"/>
      <c r="I12" s="201">
        <v>134440.5</v>
      </c>
      <c r="J12" s="201">
        <v>15216.5</v>
      </c>
      <c r="K12" s="201">
        <v>225696.75</v>
      </c>
      <c r="L12" s="201"/>
      <c r="M12" s="201"/>
      <c r="N12" s="3"/>
      <c r="O12" s="201">
        <v>2110131.25</v>
      </c>
      <c r="P12" s="201">
        <v>1540102.5</v>
      </c>
      <c r="Q12" s="201">
        <v>185038.5</v>
      </c>
      <c r="R12" s="201">
        <v>473429.5</v>
      </c>
      <c r="S12" s="201">
        <v>2464299.5</v>
      </c>
      <c r="T12" s="201">
        <v>175148</v>
      </c>
      <c r="U12" s="201">
        <v>942796.33333333337</v>
      </c>
      <c r="V12" s="201">
        <v>677378</v>
      </c>
      <c r="W12" s="32"/>
      <c r="X12" s="32"/>
      <c r="Y12" s="32"/>
      <c r="Z12" s="32"/>
      <c r="AA12" s="32"/>
      <c r="AB12" s="32"/>
      <c r="AC12" s="32"/>
      <c r="AD12" s="32"/>
      <c r="AE12" s="32"/>
      <c r="AF12" s="32"/>
      <c r="AG12" s="32"/>
      <c r="AH12" s="32"/>
      <c r="AI12" s="32"/>
      <c r="AJ12" s="32"/>
      <c r="AK12" s="32"/>
    </row>
    <row r="13" spans="1:37" ht="16.5" x14ac:dyDescent="0.25">
      <c r="A13" s="234"/>
      <c r="B13" s="14"/>
      <c r="C13" s="13"/>
      <c r="D13" s="32"/>
      <c r="E13" s="32"/>
      <c r="F13" s="32"/>
      <c r="G13" s="32"/>
      <c r="H13" s="32"/>
      <c r="I13" s="32"/>
      <c r="J13" s="32"/>
      <c r="K13" s="13"/>
      <c r="L13" s="13"/>
      <c r="M13" s="13"/>
      <c r="N13" s="3"/>
      <c r="O13" s="201">
        <v>2247481.5</v>
      </c>
      <c r="P13" s="13"/>
      <c r="Q13" s="13"/>
      <c r="R13" s="32"/>
      <c r="S13" s="32"/>
      <c r="T13" s="32"/>
      <c r="U13" s="32"/>
      <c r="V13" s="32"/>
      <c r="W13" s="32"/>
      <c r="X13" s="32"/>
      <c r="Y13" s="32"/>
      <c r="Z13" s="32"/>
      <c r="AA13" s="32"/>
      <c r="AB13" s="32"/>
      <c r="AC13" s="32"/>
      <c r="AD13" s="32"/>
      <c r="AE13" s="32"/>
      <c r="AF13" s="32"/>
      <c r="AG13" s="32"/>
      <c r="AH13" s="32"/>
      <c r="AI13" s="32"/>
      <c r="AJ13" s="32"/>
      <c r="AK13" s="32"/>
    </row>
    <row r="14" spans="1:37" ht="16.5" x14ac:dyDescent="0.25">
      <c r="A14" s="234"/>
      <c r="B14" s="14"/>
      <c r="C14" s="32"/>
      <c r="D14" s="32"/>
      <c r="E14" s="32"/>
      <c r="F14" s="32"/>
      <c r="G14" s="32"/>
      <c r="H14" s="32"/>
      <c r="I14" s="32"/>
      <c r="J14" s="32"/>
      <c r="K14" s="13"/>
      <c r="L14" s="13"/>
      <c r="M14" s="13"/>
      <c r="N14" s="3"/>
      <c r="O14" s="201">
        <v>2257896</v>
      </c>
      <c r="P14" s="13"/>
      <c r="Q14" s="13"/>
      <c r="R14" s="32"/>
      <c r="S14" s="32"/>
      <c r="T14" s="32"/>
      <c r="U14" s="32"/>
      <c r="V14" s="32"/>
      <c r="W14" s="32"/>
      <c r="X14" s="32"/>
      <c r="Y14" s="32"/>
      <c r="Z14" s="32"/>
      <c r="AA14" s="32"/>
      <c r="AB14" s="32"/>
      <c r="AC14" s="32"/>
      <c r="AD14" s="32"/>
      <c r="AE14" s="32"/>
      <c r="AF14" s="32"/>
      <c r="AG14" s="32"/>
      <c r="AH14" s="32"/>
      <c r="AI14" s="32"/>
      <c r="AJ14" s="32"/>
      <c r="AK14" s="32"/>
    </row>
    <row r="15" spans="1:37" ht="16.5" x14ac:dyDescent="0.25">
      <c r="A15" s="234"/>
      <c r="B15" s="14"/>
      <c r="C15" s="32"/>
      <c r="D15" s="32"/>
      <c r="E15" s="32"/>
      <c r="F15" s="32"/>
      <c r="G15" s="32"/>
      <c r="H15" s="32"/>
      <c r="I15" s="32"/>
      <c r="J15" s="32"/>
      <c r="K15" s="13"/>
      <c r="L15" s="13"/>
      <c r="M15" s="13"/>
      <c r="N15" s="3"/>
      <c r="O15" s="201">
        <v>906465.75</v>
      </c>
      <c r="P15" s="13"/>
      <c r="Q15" s="13"/>
      <c r="R15" s="32"/>
      <c r="S15" s="32"/>
      <c r="T15" s="32"/>
      <c r="U15" s="32"/>
      <c r="V15" s="32"/>
      <c r="W15" s="32"/>
      <c r="X15" s="32"/>
      <c r="Y15" s="32"/>
      <c r="Z15" s="32"/>
      <c r="AA15" s="32"/>
      <c r="AB15" s="32"/>
      <c r="AC15" s="32"/>
      <c r="AD15" s="32"/>
      <c r="AE15" s="32"/>
      <c r="AF15" s="32"/>
      <c r="AG15" s="32"/>
      <c r="AH15" s="32"/>
      <c r="AI15" s="32"/>
      <c r="AJ15" s="32"/>
      <c r="AK15" s="32"/>
    </row>
    <row r="16" spans="1:37" ht="16.5" x14ac:dyDescent="0.25">
      <c r="A16" s="234"/>
      <c r="B16" s="14"/>
      <c r="C16" s="32"/>
      <c r="D16" s="32"/>
      <c r="E16" s="32"/>
      <c r="F16" s="32"/>
      <c r="G16" s="32"/>
      <c r="H16" s="32"/>
      <c r="I16" s="32"/>
      <c r="J16" s="32"/>
      <c r="K16" s="13"/>
      <c r="L16" s="13"/>
      <c r="M16" s="13"/>
      <c r="N16" s="3"/>
      <c r="O16" s="201">
        <v>1678723</v>
      </c>
      <c r="P16" s="13"/>
      <c r="Q16" s="13"/>
      <c r="R16" s="32"/>
      <c r="S16" s="32"/>
      <c r="T16" s="32"/>
      <c r="U16" s="32"/>
      <c r="V16" s="32"/>
      <c r="W16" s="32"/>
      <c r="X16" s="32"/>
      <c r="Y16" s="32"/>
      <c r="Z16" s="32"/>
      <c r="AA16" s="32"/>
      <c r="AB16" s="32"/>
      <c r="AC16" s="32"/>
      <c r="AD16" s="32"/>
      <c r="AE16" s="32"/>
      <c r="AF16" s="32"/>
      <c r="AG16" s="32"/>
      <c r="AH16" s="32"/>
      <c r="AI16" s="32"/>
      <c r="AJ16" s="32"/>
      <c r="AK16" s="32"/>
    </row>
    <row r="17" spans="1:37" ht="16.5" x14ac:dyDescent="0.25">
      <c r="A17" s="234"/>
      <c r="B17" s="14"/>
      <c r="C17" s="32"/>
      <c r="D17" s="32"/>
      <c r="E17" s="32"/>
      <c r="F17" s="32"/>
      <c r="G17" s="32"/>
      <c r="H17" s="32"/>
      <c r="I17" s="32"/>
      <c r="J17" s="32"/>
      <c r="K17" s="13"/>
      <c r="L17" s="13"/>
      <c r="M17" s="13"/>
      <c r="N17" s="3"/>
      <c r="O17" s="201">
        <v>1868649.75</v>
      </c>
      <c r="P17" s="13"/>
      <c r="Q17" s="13"/>
      <c r="R17" s="32"/>
      <c r="S17" s="32"/>
      <c r="T17" s="32"/>
      <c r="U17" s="32"/>
      <c r="V17" s="32"/>
      <c r="W17" s="32"/>
      <c r="X17" s="32"/>
      <c r="Y17" s="32"/>
      <c r="Z17" s="32"/>
      <c r="AA17" s="32"/>
      <c r="AB17" s="32"/>
      <c r="AC17" s="32"/>
      <c r="AD17" s="32"/>
      <c r="AE17" s="32"/>
      <c r="AF17" s="32"/>
      <c r="AG17" s="32"/>
      <c r="AH17" s="32"/>
      <c r="AI17" s="32"/>
      <c r="AJ17" s="32"/>
      <c r="AK17" s="32"/>
    </row>
    <row r="18" spans="1:37" ht="16.5" x14ac:dyDescent="0.25">
      <c r="A18" s="234"/>
      <c r="B18" s="14"/>
      <c r="C18" s="32"/>
      <c r="D18" s="32"/>
      <c r="E18" s="32"/>
      <c r="F18" s="32"/>
      <c r="G18" s="32"/>
      <c r="H18" s="32"/>
      <c r="I18" s="32"/>
      <c r="J18" s="32"/>
      <c r="K18" s="13"/>
      <c r="L18" s="13"/>
      <c r="M18" s="13"/>
      <c r="N18" s="3"/>
      <c r="O18" s="201">
        <v>964947.25</v>
      </c>
      <c r="P18" s="13"/>
      <c r="Q18" s="13"/>
      <c r="R18" s="32"/>
      <c r="S18" s="32"/>
      <c r="T18" s="32"/>
      <c r="U18" s="32"/>
      <c r="V18" s="32"/>
      <c r="W18" s="32"/>
      <c r="X18" s="32"/>
      <c r="Y18" s="32"/>
      <c r="Z18" s="32"/>
      <c r="AA18" s="32"/>
      <c r="AB18" s="32"/>
      <c r="AC18" s="32"/>
      <c r="AD18" s="32"/>
      <c r="AE18" s="32"/>
      <c r="AF18" s="32"/>
      <c r="AG18" s="32"/>
      <c r="AH18" s="32"/>
      <c r="AI18" s="32"/>
      <c r="AJ18" s="32"/>
      <c r="AK18" s="32"/>
    </row>
    <row r="19" spans="1:37" ht="16.5" x14ac:dyDescent="0.25">
      <c r="A19" s="234"/>
      <c r="B19" s="14"/>
      <c r="C19" s="32"/>
      <c r="D19" s="32"/>
      <c r="E19" s="32"/>
      <c r="F19" s="32"/>
      <c r="G19" s="32"/>
      <c r="H19" s="32"/>
      <c r="I19" s="32"/>
      <c r="J19" s="32"/>
      <c r="K19" s="13"/>
      <c r="L19" s="13"/>
      <c r="M19" s="13"/>
      <c r="N19" s="3"/>
      <c r="O19" s="201">
        <v>811647.33333333337</v>
      </c>
      <c r="P19" s="13"/>
      <c r="Q19" s="13"/>
      <c r="R19" s="32"/>
      <c r="S19" s="32"/>
      <c r="T19" s="32"/>
      <c r="U19" s="32"/>
      <c r="V19" s="32"/>
      <c r="W19" s="32"/>
      <c r="X19" s="32"/>
      <c r="Y19" s="32"/>
      <c r="Z19" s="32"/>
      <c r="AA19" s="32"/>
      <c r="AB19" s="32"/>
      <c r="AC19" s="32"/>
      <c r="AD19" s="32"/>
      <c r="AE19" s="32"/>
      <c r="AF19" s="32"/>
      <c r="AG19" s="32"/>
      <c r="AH19" s="32"/>
      <c r="AI19" s="32"/>
      <c r="AJ19" s="32"/>
      <c r="AK19" s="32"/>
    </row>
    <row r="20" spans="1:37" ht="16.5" x14ac:dyDescent="0.25">
      <c r="A20" s="234"/>
      <c r="B20" s="14"/>
      <c r="C20" s="32"/>
      <c r="D20" s="32"/>
      <c r="E20" s="32"/>
      <c r="F20" s="32"/>
      <c r="G20" s="32"/>
      <c r="H20" s="32"/>
      <c r="I20" s="32"/>
      <c r="J20" s="32"/>
      <c r="K20" s="13"/>
      <c r="L20" s="13"/>
      <c r="M20" s="13"/>
      <c r="N20" s="3"/>
      <c r="O20" s="201">
        <v>241460.25</v>
      </c>
      <c r="P20" s="13"/>
      <c r="Q20" s="13"/>
      <c r="R20" s="32"/>
      <c r="S20" s="32"/>
      <c r="T20" s="32"/>
      <c r="U20" s="32"/>
      <c r="V20" s="32"/>
      <c r="W20" s="32"/>
      <c r="X20" s="32"/>
      <c r="Y20" s="32"/>
      <c r="Z20" s="32"/>
      <c r="AA20" s="32"/>
      <c r="AB20" s="32"/>
      <c r="AC20" s="32"/>
      <c r="AD20" s="32"/>
      <c r="AE20" s="32"/>
      <c r="AF20" s="32"/>
      <c r="AG20" s="32"/>
      <c r="AH20" s="32"/>
      <c r="AI20" s="32"/>
      <c r="AJ20" s="32"/>
      <c r="AK20" s="32"/>
    </row>
    <row r="21" spans="1:37" x14ac:dyDescent="0.25">
      <c r="A21" s="3"/>
      <c r="B21" s="7"/>
      <c r="C21" s="7"/>
      <c r="D21" s="7"/>
      <c r="E21" s="7"/>
      <c r="F21" s="7"/>
      <c r="G21" s="7"/>
      <c r="H21" s="7"/>
      <c r="I21" s="7"/>
      <c r="J21" s="7"/>
      <c r="N21" s="3"/>
      <c r="O21" s="7"/>
      <c r="R21" s="7"/>
      <c r="S21" s="7"/>
      <c r="T21" s="7"/>
      <c r="U21" s="7"/>
      <c r="V21" s="7"/>
      <c r="W21" s="7"/>
      <c r="X21" s="7"/>
      <c r="Y21" s="7"/>
      <c r="Z21" s="7"/>
      <c r="AA21" s="7"/>
      <c r="AB21" s="7"/>
      <c r="AC21" s="7"/>
      <c r="AD21" s="7"/>
      <c r="AE21" s="7"/>
      <c r="AF21" s="7"/>
      <c r="AG21" s="7"/>
      <c r="AH21" s="7"/>
      <c r="AI21" s="7"/>
      <c r="AJ21" s="7"/>
      <c r="AK21" s="7"/>
    </row>
    <row r="22" spans="1:37" x14ac:dyDescent="0.25">
      <c r="A22" s="3" t="str">
        <f>A4</f>
        <v>Noms des groupes</v>
      </c>
      <c r="B22" s="3" t="str">
        <f t="shared" ref="B22:AK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Prochloraz-0,063mg/L</v>
      </c>
      <c r="J22" s="3" t="str">
        <f t="shared" si="0"/>
        <v>Prochloraz-0,13mg/L</v>
      </c>
      <c r="K22" s="3" t="str">
        <f t="shared" si="0"/>
        <v>Prochloraz-0,25mg/L</v>
      </c>
      <c r="L22" s="3" t="str">
        <f t="shared" si="0"/>
        <v>Prochloraz-0,5mg/L</v>
      </c>
      <c r="M22" s="3" t="str">
        <f t="shared" si="0"/>
        <v>Prochloraz-1mg/L</v>
      </c>
      <c r="N22" s="3" t="s">
        <v>41</v>
      </c>
      <c r="O22" s="3" t="str">
        <f t="shared" si="0"/>
        <v>Testo -30µg/L</v>
      </c>
      <c r="P22" s="3" t="str">
        <f t="shared" si="0"/>
        <v>Testo 30µg/L + EE2 -64ng/L</v>
      </c>
      <c r="Q22" s="3" t="str">
        <f t="shared" si="0"/>
        <v>Testo 30µg/L + FAD-10mg/L</v>
      </c>
      <c r="R22" s="3" t="str">
        <f t="shared" si="0"/>
        <v>Prochloraz-0.063mg/L + Testostérone</v>
      </c>
      <c r="S22" s="3" t="str">
        <f t="shared" si="0"/>
        <v>Prochloraz-0.13mg/L + Testostérone</v>
      </c>
      <c r="T22" s="3" t="str">
        <f t="shared" si="0"/>
        <v>Prochloraz-0.25mg/L + Testostérone</v>
      </c>
      <c r="U22" s="3" t="str">
        <f t="shared" si="0"/>
        <v>Prochloraz-0.5mg/L + Testostérone</v>
      </c>
      <c r="V22" s="3" t="str">
        <f t="shared" si="0"/>
        <v>Prochloraz-1mg/L + Testostérone</v>
      </c>
      <c r="W22" s="3" t="str">
        <f t="shared" si="0"/>
        <v>0-00 + Testostérone</v>
      </c>
      <c r="X22" s="3" t="str">
        <f t="shared" si="0"/>
        <v>0-00 + Testostérone</v>
      </c>
      <c r="Y22" s="3" t="str">
        <f t="shared" si="0"/>
        <v>0-00 + Testostérone</v>
      </c>
      <c r="Z22" s="3" t="str">
        <f t="shared" si="0"/>
        <v>0-00 + Testostérone</v>
      </c>
      <c r="AA22" s="3" t="str">
        <f t="shared" si="0"/>
        <v>0-00 + Testostérone</v>
      </c>
      <c r="AB22" s="3" t="str">
        <f t="shared" si="0"/>
        <v>0-00 + Testostérone</v>
      </c>
      <c r="AC22" s="3" t="str">
        <f t="shared" si="0"/>
        <v>0-00 + Testostérone</v>
      </c>
      <c r="AD22" s="3" t="str">
        <f t="shared" si="0"/>
        <v>0-00 + Testostérone</v>
      </c>
      <c r="AE22" s="3" t="str">
        <f t="shared" si="0"/>
        <v>0-00 + Testostérone</v>
      </c>
      <c r="AF22" s="3" t="str">
        <f t="shared" si="0"/>
        <v>0-00 + Testostérone</v>
      </c>
      <c r="AG22" s="3" t="str">
        <f t="shared" si="0"/>
        <v>0-00 + Testostérone</v>
      </c>
      <c r="AH22" s="3" t="str">
        <f t="shared" si="0"/>
        <v>0-00 + Testostérone</v>
      </c>
      <c r="AI22" s="3" t="str">
        <f t="shared" si="0"/>
        <v>0-00 + Testostérone</v>
      </c>
      <c r="AJ22" s="3" t="str">
        <f t="shared" si="0"/>
        <v>0-00 + Testostérone</v>
      </c>
      <c r="AK22" s="3" t="str">
        <f t="shared" si="0"/>
        <v>0-00 + Testostérone</v>
      </c>
    </row>
    <row r="23" spans="1:37" x14ac:dyDescent="0.25">
      <c r="A23" s="5" t="s">
        <v>0</v>
      </c>
      <c r="B23" s="5">
        <f t="shared" ref="B23:J23" si="1">AVERAGE(B5:B20)</f>
        <v>193793.125</v>
      </c>
      <c r="C23" s="5">
        <f t="shared" si="1"/>
        <v>84263.095238095251</v>
      </c>
      <c r="D23" s="5">
        <f t="shared" si="1"/>
        <v>263016.54166666669</v>
      </c>
      <c r="E23" s="5">
        <f t="shared" si="1"/>
        <v>419417.53125</v>
      </c>
      <c r="F23" s="5">
        <f t="shared" si="1"/>
        <v>1572619.09375</v>
      </c>
      <c r="G23" s="5">
        <f t="shared" si="1"/>
        <v>2823932.8095238097</v>
      </c>
      <c r="H23" s="5">
        <f t="shared" si="1"/>
        <v>4622823.041666667</v>
      </c>
      <c r="I23" s="5">
        <f t="shared" si="1"/>
        <v>207977.5</v>
      </c>
      <c r="J23" s="5">
        <f t="shared" si="1"/>
        <v>217252.55208333334</v>
      </c>
      <c r="K23" s="5"/>
      <c r="L23" s="5">
        <f>AVERAGE(L5:L20)</f>
        <v>246267.25</v>
      </c>
      <c r="M23" s="5"/>
      <c r="N23" s="5" t="s">
        <v>0</v>
      </c>
      <c r="O23" s="5">
        <f>AVERAGE(O5:O20)</f>
        <v>1706012.4270833333</v>
      </c>
      <c r="P23" s="5">
        <f>AVERAGE(P5:P20)</f>
        <v>2797677.0357142859</v>
      </c>
      <c r="Q23" s="5">
        <f>AVERAGE(Q5:Q20)</f>
        <v>200803.80208333334</v>
      </c>
      <c r="R23" s="5">
        <f>AVERAGE(R5:R20)</f>
        <v>932498.71428571432</v>
      </c>
      <c r="S23" s="5">
        <f>AVERAGE(S5:S20)</f>
        <v>1196546.2604166667</v>
      </c>
      <c r="T23" s="5">
        <f t="shared" ref="T23:AK23" si="2">AVERAGE(T5:T20)</f>
        <v>1101591.5208333333</v>
      </c>
      <c r="U23" s="5">
        <f t="shared" si="2"/>
        <v>1924893.34375</v>
      </c>
      <c r="V23" s="5">
        <f t="shared" si="2"/>
        <v>822982.19791666663</v>
      </c>
      <c r="W23" s="5" t="e">
        <f t="shared" si="2"/>
        <v>#DIV/0!</v>
      </c>
      <c r="X23" s="5" t="e">
        <f t="shared" si="2"/>
        <v>#DIV/0!</v>
      </c>
      <c r="Y23" s="5" t="e">
        <f t="shared" si="2"/>
        <v>#DIV/0!</v>
      </c>
      <c r="Z23" s="5" t="e">
        <f t="shared" si="2"/>
        <v>#DIV/0!</v>
      </c>
      <c r="AA23" s="5" t="e">
        <f t="shared" si="2"/>
        <v>#DIV/0!</v>
      </c>
      <c r="AB23" s="5" t="e">
        <f t="shared" si="2"/>
        <v>#DIV/0!</v>
      </c>
      <c r="AC23" s="5" t="e">
        <f t="shared" si="2"/>
        <v>#DIV/0!</v>
      </c>
      <c r="AD23" s="5" t="e">
        <f t="shared" si="2"/>
        <v>#DIV/0!</v>
      </c>
      <c r="AE23" s="5" t="e">
        <f t="shared" si="2"/>
        <v>#DIV/0!</v>
      </c>
      <c r="AF23" s="5" t="e">
        <f t="shared" si="2"/>
        <v>#DIV/0!</v>
      </c>
      <c r="AG23" s="5" t="e">
        <f t="shared" si="2"/>
        <v>#DIV/0!</v>
      </c>
      <c r="AH23" s="5" t="e">
        <f t="shared" si="2"/>
        <v>#DIV/0!</v>
      </c>
      <c r="AI23" s="5" t="e">
        <f t="shared" si="2"/>
        <v>#DIV/0!</v>
      </c>
      <c r="AJ23" s="5" t="e">
        <f t="shared" si="2"/>
        <v>#DIV/0!</v>
      </c>
      <c r="AK23" s="5" t="e">
        <f t="shared" si="2"/>
        <v>#DIV/0!</v>
      </c>
    </row>
    <row r="24" spans="1:37" x14ac:dyDescent="0.25">
      <c r="A24" s="3" t="s">
        <v>1</v>
      </c>
      <c r="B24" s="3">
        <f t="shared" ref="B24:J24" si="3">STDEV(B5:B20)</f>
        <v>170043.86482610891</v>
      </c>
      <c r="C24" s="3">
        <f t="shared" si="3"/>
        <v>62046.513031339739</v>
      </c>
      <c r="D24" s="3">
        <f t="shared" si="3"/>
        <v>328617.9689145615</v>
      </c>
      <c r="E24" s="3">
        <f t="shared" si="3"/>
        <v>347296.6097310317</v>
      </c>
      <c r="F24" s="3">
        <f t="shared" si="3"/>
        <v>1003152.5423983022</v>
      </c>
      <c r="G24" s="3">
        <f t="shared" si="3"/>
        <v>1027505.3481593763</v>
      </c>
      <c r="H24" s="3">
        <f t="shared" si="3"/>
        <v>1213927.4943905268</v>
      </c>
      <c r="I24" s="3">
        <f t="shared" si="3"/>
        <v>102966.52367092423</v>
      </c>
      <c r="J24" s="3">
        <f t="shared" si="3"/>
        <v>161519.665925596</v>
      </c>
      <c r="K24" s="3"/>
      <c r="L24" s="3">
        <f>STDEV(L5:L20)</f>
        <v>162346.03392622501</v>
      </c>
      <c r="M24" s="3"/>
      <c r="N24" s="3" t="s">
        <v>1</v>
      </c>
      <c r="O24" s="3">
        <f>STDEV(O5:O20)</f>
        <v>844658.20210869843</v>
      </c>
      <c r="P24" s="3">
        <f>STDEV(P5:P20)</f>
        <v>1061001.1758748337</v>
      </c>
      <c r="Q24" s="3">
        <f>STDEV(Q5:Q20)</f>
        <v>155820.87843948463</v>
      </c>
      <c r="R24" s="3">
        <f>STDEV(R5:R20)</f>
        <v>1193689.936331837</v>
      </c>
      <c r="S24" s="3">
        <f>STDEV(S5:S20)</f>
        <v>818433.29386815382</v>
      </c>
      <c r="T24" s="3">
        <f t="shared" ref="T24:AK24" si="4">STDEV(T5:T20)</f>
        <v>1013938.1763525617</v>
      </c>
      <c r="U24" s="3">
        <f t="shared" si="4"/>
        <v>853190.60653267626</v>
      </c>
      <c r="V24" s="3">
        <f t="shared" si="4"/>
        <v>348199.75768277491</v>
      </c>
      <c r="W24" s="3" t="e">
        <f t="shared" si="4"/>
        <v>#DIV/0!</v>
      </c>
      <c r="X24" s="3" t="e">
        <f t="shared" si="4"/>
        <v>#DIV/0!</v>
      </c>
      <c r="Y24" s="3" t="e">
        <f t="shared" si="4"/>
        <v>#DIV/0!</v>
      </c>
      <c r="Z24" s="3" t="e">
        <f t="shared" si="4"/>
        <v>#DIV/0!</v>
      </c>
      <c r="AA24" s="3" t="e">
        <f t="shared" si="4"/>
        <v>#DIV/0!</v>
      </c>
      <c r="AB24" s="3" t="e">
        <f t="shared" si="4"/>
        <v>#DIV/0!</v>
      </c>
      <c r="AC24" s="3" t="e">
        <f t="shared" si="4"/>
        <v>#DIV/0!</v>
      </c>
      <c r="AD24" s="3" t="e">
        <f t="shared" si="4"/>
        <v>#DIV/0!</v>
      </c>
      <c r="AE24" s="3" t="e">
        <f t="shared" si="4"/>
        <v>#DIV/0!</v>
      </c>
      <c r="AF24" s="3" t="e">
        <f t="shared" si="4"/>
        <v>#DIV/0!</v>
      </c>
      <c r="AG24" s="3" t="e">
        <f t="shared" si="4"/>
        <v>#DIV/0!</v>
      </c>
      <c r="AH24" s="3" t="e">
        <f t="shared" si="4"/>
        <v>#DIV/0!</v>
      </c>
      <c r="AI24" s="3" t="e">
        <f t="shared" si="4"/>
        <v>#DIV/0!</v>
      </c>
      <c r="AJ24" s="3" t="e">
        <f t="shared" si="4"/>
        <v>#DIV/0!</v>
      </c>
      <c r="AK24" s="3" t="e">
        <f t="shared" si="4"/>
        <v>#DIV/0!</v>
      </c>
    </row>
    <row r="25" spans="1:37" ht="15.75" thickBot="1" x14ac:dyDescent="0.3"/>
    <row r="26" spans="1:37" ht="15.75" thickBot="1" x14ac:dyDescent="0.3">
      <c r="B26" s="231" t="s">
        <v>6</v>
      </c>
      <c r="C26" s="232"/>
      <c r="D26" s="232"/>
      <c r="E26" s="232"/>
      <c r="F26" s="232"/>
      <c r="G26" s="232"/>
      <c r="H26" s="232"/>
      <c r="I26" s="232"/>
      <c r="J26" s="232"/>
      <c r="K26" s="232"/>
      <c r="L26" s="232"/>
      <c r="M26" s="232"/>
      <c r="O26" s="231" t="s">
        <v>3</v>
      </c>
      <c r="P26" s="232"/>
      <c r="Q26" s="232"/>
      <c r="R26" s="232"/>
      <c r="S26" s="232"/>
      <c r="T26" s="232"/>
      <c r="U26" s="232"/>
      <c r="V26" s="232"/>
      <c r="W26" s="232"/>
      <c r="X26" s="232"/>
      <c r="Y26" s="232"/>
      <c r="Z26" s="232"/>
      <c r="AA26" s="232"/>
      <c r="AB26" s="232"/>
      <c r="AC26" s="232"/>
      <c r="AD26" s="232"/>
      <c r="AE26" s="232"/>
      <c r="AF26" s="232"/>
      <c r="AG26" s="232"/>
      <c r="AH26" s="232"/>
      <c r="AI26" s="232"/>
      <c r="AJ26" s="232"/>
      <c r="AK26" s="233"/>
    </row>
    <row r="27" spans="1:37"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Prochloraz-0,063mg/L</v>
      </c>
      <c r="J27" s="35" t="str">
        <f t="shared" si="5"/>
        <v>Prochloraz-0,13mg/L</v>
      </c>
      <c r="K27" s="35" t="str">
        <f t="shared" si="5"/>
        <v>Prochloraz-0,25mg/L</v>
      </c>
      <c r="L27" s="35" t="str">
        <f t="shared" si="5"/>
        <v>Prochloraz-0,5mg/L</v>
      </c>
      <c r="M27" s="35" t="str">
        <f t="shared" si="5"/>
        <v>Prochloraz-1mg/L</v>
      </c>
      <c r="N27" s="3"/>
      <c r="O27" s="36" t="str">
        <f>O4</f>
        <v>Testo -30µg/L</v>
      </c>
      <c r="P27" s="36" t="str">
        <f t="shared" ref="P27:AK27" si="6">P4</f>
        <v>Testo 30µg/L + EE2 -64ng/L</v>
      </c>
      <c r="Q27" s="36" t="str">
        <f t="shared" si="6"/>
        <v>Testo 30µg/L + FAD-10mg/L</v>
      </c>
      <c r="R27" s="36" t="str">
        <f t="shared" si="6"/>
        <v>Prochloraz-0.063mg/L + Testostérone</v>
      </c>
      <c r="S27" s="36" t="str">
        <f t="shared" si="6"/>
        <v>Prochloraz-0.13mg/L + Testostérone</v>
      </c>
      <c r="T27" s="36" t="str">
        <f t="shared" si="6"/>
        <v>Prochloraz-0.25mg/L + Testostérone</v>
      </c>
      <c r="U27" s="36" t="str">
        <f t="shared" si="6"/>
        <v>Prochloraz-0.5mg/L + Testostérone</v>
      </c>
      <c r="V27" s="36" t="str">
        <f t="shared" si="6"/>
        <v>Prochloraz-1mg/L + Testostérone</v>
      </c>
      <c r="W27" s="36" t="str">
        <f t="shared" si="6"/>
        <v>0-00 + Testostérone</v>
      </c>
      <c r="X27" s="36" t="str">
        <f t="shared" si="6"/>
        <v>0-00 + Testostérone</v>
      </c>
      <c r="Y27" s="36" t="str">
        <f t="shared" si="6"/>
        <v>0-00 + Testostérone</v>
      </c>
      <c r="Z27" s="36" t="str">
        <f t="shared" si="6"/>
        <v>0-00 + Testostérone</v>
      </c>
      <c r="AA27" s="36" t="str">
        <f t="shared" si="6"/>
        <v>0-00 + Testostérone</v>
      </c>
      <c r="AB27" s="36" t="str">
        <f t="shared" si="6"/>
        <v>0-00 + Testostérone</v>
      </c>
      <c r="AC27" s="36" t="str">
        <f t="shared" si="6"/>
        <v>0-00 + Testostérone</v>
      </c>
      <c r="AD27" s="36" t="str">
        <f t="shared" si="6"/>
        <v>0-00 + Testostérone</v>
      </c>
      <c r="AE27" s="36" t="str">
        <f t="shared" si="6"/>
        <v>0-00 + Testostérone</v>
      </c>
      <c r="AF27" s="36" t="str">
        <f t="shared" si="6"/>
        <v>0-00 + Testostérone</v>
      </c>
      <c r="AG27" s="36" t="str">
        <f t="shared" si="6"/>
        <v>0-00 + Testostérone</v>
      </c>
      <c r="AH27" s="36" t="str">
        <f t="shared" si="6"/>
        <v>0-00 + Testostérone</v>
      </c>
      <c r="AI27" s="36" t="str">
        <f t="shared" si="6"/>
        <v>0-00 + Testostérone</v>
      </c>
      <c r="AJ27" s="36" t="str">
        <f t="shared" si="6"/>
        <v>0-00 + Testostérone</v>
      </c>
      <c r="AK27" s="36" t="str">
        <f t="shared" si="6"/>
        <v>0-00 + Testostérone</v>
      </c>
    </row>
    <row r="28" spans="1:37" x14ac:dyDescent="0.25">
      <c r="A28" s="235" t="s">
        <v>34</v>
      </c>
      <c r="B28" s="11">
        <f>IF(B5="","",(B5/$O$23))</f>
        <v>2.1491637117019096E-3</v>
      </c>
      <c r="C28" s="11">
        <f>IF(C5="","",(C5/$O$23))</f>
        <v>2.8938827886737566E-2</v>
      </c>
      <c r="D28" s="11">
        <f>IF(D5="","",(D5/$O$23))</f>
        <v>1.2593108736452701E-2</v>
      </c>
      <c r="E28" s="11">
        <f>IF(E5="","",(E5/$O$23))</f>
        <v>0.64833408153478367</v>
      </c>
      <c r="F28" s="11">
        <f>IF(F5="","",(F5/$O$23))</f>
        <v>0.46159101041620615</v>
      </c>
      <c r="G28" s="11">
        <f>IF(G5="","",(G5/$O$23))</f>
        <v>2.073871470003763</v>
      </c>
      <c r="H28" s="11">
        <f>IF(H5="","",(H5/$O$23))</f>
        <v>3.3399846094565806</v>
      </c>
      <c r="I28" s="11">
        <f>IF(I5="","",(I5/$O$23))</f>
        <v>0.25566871206542174</v>
      </c>
      <c r="J28" s="11">
        <f>IF(J5="","",(J5/$O$23))</f>
        <v>9.6201135893200965E-2</v>
      </c>
      <c r="K28" s="11">
        <f>IF(K5="","",(K5/$O$23))</f>
        <v>5.0604555177594233E-2</v>
      </c>
      <c r="L28" s="11">
        <f>IF(L5="","",(L5/$O$23))</f>
        <v>0.29042930293719227</v>
      </c>
      <c r="M28" s="11">
        <f>IF(M5="","",(M5/$O$23))</f>
        <v>0.27776013965509838</v>
      </c>
      <c r="N28" s="6"/>
      <c r="O28" s="11">
        <f t="shared" ref="O28:AK39" si="7">IF(O5="","",(O5/$O$23))</f>
        <v>1.5190040288454572</v>
      </c>
      <c r="P28" s="11">
        <f t="shared" si="7"/>
        <v>1.8851089235605596</v>
      </c>
      <c r="Q28" s="11">
        <f t="shared" si="7"/>
        <v>3.9902698784195188E-2</v>
      </c>
      <c r="R28" s="11" t="str">
        <f t="shared" si="7"/>
        <v/>
      </c>
      <c r="S28" s="11">
        <f t="shared" si="7"/>
        <v>1.2547528763666136</v>
      </c>
      <c r="T28" s="11">
        <f t="shared" si="7"/>
        <v>0.91005594411426993</v>
      </c>
      <c r="U28" s="11">
        <f t="shared" si="7"/>
        <v>1.8529146973473896</v>
      </c>
      <c r="V28" s="11">
        <f t="shared" si="7"/>
        <v>0.33863997168396948</v>
      </c>
      <c r="W28" s="11" t="str">
        <f t="shared" si="7"/>
        <v/>
      </c>
      <c r="X28" s="11" t="str">
        <f t="shared" si="7"/>
        <v/>
      </c>
      <c r="Y28" s="11" t="str">
        <f t="shared" si="7"/>
        <v/>
      </c>
      <c r="Z28" s="11" t="str">
        <f t="shared" si="7"/>
        <v/>
      </c>
      <c r="AA28" s="11" t="str">
        <f t="shared" si="7"/>
        <v/>
      </c>
      <c r="AB28" s="11" t="str">
        <f t="shared" si="7"/>
        <v/>
      </c>
      <c r="AC28" s="11" t="str">
        <f t="shared" si="7"/>
        <v/>
      </c>
      <c r="AD28" s="11" t="str">
        <f t="shared" si="7"/>
        <v/>
      </c>
      <c r="AE28" s="11" t="str">
        <f t="shared" si="7"/>
        <v/>
      </c>
      <c r="AF28" s="11" t="str">
        <f t="shared" si="7"/>
        <v/>
      </c>
      <c r="AG28" s="11" t="str">
        <f t="shared" si="7"/>
        <v/>
      </c>
      <c r="AH28" s="11" t="str">
        <f t="shared" si="7"/>
        <v/>
      </c>
      <c r="AI28" s="11" t="str">
        <f t="shared" si="7"/>
        <v/>
      </c>
      <c r="AJ28" s="11" t="str">
        <f t="shared" si="7"/>
        <v/>
      </c>
      <c r="AK28" s="11" t="str">
        <f t="shared" si="7"/>
        <v/>
      </c>
    </row>
    <row r="29" spans="1:37" x14ac:dyDescent="0.25">
      <c r="A29" s="235"/>
      <c r="B29" s="11">
        <f>IF(B6="","",(B6/$O$23))</f>
        <v>0.17495564232804992</v>
      </c>
      <c r="C29" s="11">
        <f>IF(C6="","",(C6/$O$23))</f>
        <v>7.707007165521515E-2</v>
      </c>
      <c r="D29" s="11">
        <f>IF(D6="","",(D6/$O$23))</f>
        <v>0.61406396188509593</v>
      </c>
      <c r="E29" s="11">
        <f>IF(E6="","",(E6/$O$23))</f>
        <v>7.7396564001435783E-2</v>
      </c>
      <c r="F29" s="11">
        <f>IF(F6="","",(F6/$O$23))</f>
        <v>1.3321305366370519</v>
      </c>
      <c r="G29" s="11" t="str">
        <f>IF(G6="","",(G6/$O$23))</f>
        <v/>
      </c>
      <c r="H29" s="11">
        <f>IF(H6="","",(H6/$O$23))</f>
        <v>3.6728964575672025</v>
      </c>
      <c r="I29" s="11">
        <f>IF(I6="","",(I6/$O$23))</f>
        <v>0.1116765018679982</v>
      </c>
      <c r="J29" s="11">
        <f>IF(J6="","",(J6/$O$23))</f>
        <v>1.0333160368672335E-2</v>
      </c>
      <c r="K29" s="11" t="str">
        <f>IF(K6="","",(K6/$O$23))</f>
        <v/>
      </c>
      <c r="L29" s="11">
        <f>IF(L6="","",(L6/$O$23))</f>
        <v>9.8338674054573652E-2</v>
      </c>
      <c r="M29" s="11">
        <f>IF(M6="","",(M6/$O$23))</f>
        <v>0.22282355272751561</v>
      </c>
      <c r="N29" s="6"/>
      <c r="O29" s="11">
        <f t="shared" si="7"/>
        <v>2.0704702638297143</v>
      </c>
      <c r="P29" s="11">
        <f t="shared" si="7"/>
        <v>0.96830786445338579</v>
      </c>
      <c r="Q29" s="11">
        <f t="shared" si="7"/>
        <v>0.18215063681058449</v>
      </c>
      <c r="R29" s="11">
        <f t="shared" si="7"/>
        <v>0.3594137066447341</v>
      </c>
      <c r="S29" s="11">
        <f t="shared" si="7"/>
        <v>0.31820831121461463</v>
      </c>
      <c r="T29" s="11">
        <f t="shared" si="7"/>
        <v>0.45304535168092669</v>
      </c>
      <c r="U29" s="11">
        <f t="shared" si="7"/>
        <v>1.8336336244326767</v>
      </c>
      <c r="V29" s="11">
        <f t="shared" si="7"/>
        <v>0.670192265415124</v>
      </c>
      <c r="W29" s="11" t="str">
        <f t="shared" si="7"/>
        <v/>
      </c>
      <c r="X29" s="11" t="str">
        <f t="shared" si="7"/>
        <v/>
      </c>
      <c r="Y29" s="11" t="str">
        <f t="shared" si="7"/>
        <v/>
      </c>
      <c r="Z29" s="11" t="str">
        <f t="shared" si="7"/>
        <v/>
      </c>
      <c r="AA29" s="11" t="str">
        <f t="shared" si="7"/>
        <v/>
      </c>
      <c r="AB29" s="11" t="str">
        <f t="shared" si="7"/>
        <v/>
      </c>
      <c r="AC29" s="11" t="str">
        <f t="shared" si="7"/>
        <v/>
      </c>
      <c r="AD29" s="11" t="str">
        <f t="shared" si="7"/>
        <v/>
      </c>
      <c r="AE29" s="11" t="str">
        <f t="shared" si="7"/>
        <v/>
      </c>
      <c r="AF29" s="11" t="str">
        <f t="shared" si="7"/>
        <v/>
      </c>
      <c r="AG29" s="11" t="str">
        <f t="shared" si="7"/>
        <v/>
      </c>
      <c r="AH29" s="11" t="str">
        <f t="shared" si="7"/>
        <v/>
      </c>
      <c r="AI29" s="11" t="str">
        <f t="shared" si="7"/>
        <v/>
      </c>
      <c r="AJ29" s="11" t="str">
        <f t="shared" si="7"/>
        <v/>
      </c>
      <c r="AK29" s="11" t="str">
        <f t="shared" si="7"/>
        <v/>
      </c>
    </row>
    <row r="30" spans="1:37" x14ac:dyDescent="0.25">
      <c r="A30" s="235"/>
      <c r="B30" s="11">
        <f>IF(B7="","",(B7/$O$23))</f>
        <v>2.0349206986347606E-2</v>
      </c>
      <c r="C30" s="11">
        <f>IF(C7="","",(C7/$O$23))</f>
        <v>2.9829647892426633E-2</v>
      </c>
      <c r="D30" s="11">
        <f>IF(D7="","",(D7/$O$23))</f>
        <v>0.10478250167592017</v>
      </c>
      <c r="E30" s="11">
        <f>IF(E7="","",(E7/$O$23))</f>
        <v>7.0363203745957476E-2</v>
      </c>
      <c r="F30" s="11">
        <f>IF(F7="","",(F7/$O$23))</f>
        <v>1.7486869981951638</v>
      </c>
      <c r="G30" s="11">
        <f>IF(G7="","",(G7/$O$23))</f>
        <v>2.3878926292258531</v>
      </c>
      <c r="H30" s="11">
        <f>IF(H7="","",(H7/$O$23))</f>
        <v>2.1401014975265817</v>
      </c>
      <c r="I30" s="11">
        <f>IF(I7="","",(I7/$O$23))</f>
        <v>7.3231588478867141E-2</v>
      </c>
      <c r="J30" s="11">
        <f>IF(J7="","",(J7/$O$23))</f>
        <v>0.18778937064820742</v>
      </c>
      <c r="K30" s="11">
        <f>IF(K7="","",(K7/$O$23))</f>
        <v>0.22354643726248258</v>
      </c>
      <c r="L30" s="11">
        <f>IF(L7="","",(L7/$O$23))</f>
        <v>0.14734476490875015</v>
      </c>
      <c r="M30" s="11">
        <f>IF(M7="","",(M7/$O$23))</f>
        <v>0.3336889526492251</v>
      </c>
      <c r="N30" s="6"/>
      <c r="O30" s="11">
        <f t="shared" si="7"/>
        <v>0.41493030107067475</v>
      </c>
      <c r="P30" s="11">
        <f t="shared" si="7"/>
        <v>2.3288356151030141</v>
      </c>
      <c r="Q30" s="11">
        <f t="shared" si="7"/>
        <v>2.9842250379758312E-2</v>
      </c>
      <c r="R30" s="11">
        <f t="shared" si="7"/>
        <v>0.3254097046345153</v>
      </c>
      <c r="S30" s="11">
        <f t="shared" si="7"/>
        <v>0.7579156396947162</v>
      </c>
      <c r="T30" s="11">
        <f t="shared" si="7"/>
        <v>7.8898995417512136E-2</v>
      </c>
      <c r="U30" s="11">
        <f t="shared" si="7"/>
        <v>1.0362590107402805</v>
      </c>
      <c r="V30" s="11">
        <f t="shared" si="7"/>
        <v>0.79682962938557633</v>
      </c>
      <c r="W30" s="11" t="str">
        <f t="shared" si="7"/>
        <v/>
      </c>
      <c r="X30" s="11" t="str">
        <f t="shared" si="7"/>
        <v/>
      </c>
      <c r="Y30" s="11" t="str">
        <f t="shared" si="7"/>
        <v/>
      </c>
      <c r="Z30" s="11" t="str">
        <f t="shared" si="7"/>
        <v/>
      </c>
      <c r="AA30" s="11" t="str">
        <f t="shared" si="7"/>
        <v/>
      </c>
      <c r="AB30" s="11" t="str">
        <f t="shared" si="7"/>
        <v/>
      </c>
      <c r="AC30" s="11" t="str">
        <f t="shared" si="7"/>
        <v/>
      </c>
      <c r="AD30" s="11" t="str">
        <f t="shared" si="7"/>
        <v/>
      </c>
      <c r="AE30" s="11" t="str">
        <f t="shared" si="7"/>
        <v/>
      </c>
      <c r="AF30" s="11" t="str">
        <f t="shared" si="7"/>
        <v/>
      </c>
      <c r="AG30" s="11" t="str">
        <f t="shared" si="7"/>
        <v/>
      </c>
      <c r="AH30" s="11" t="str">
        <f t="shared" si="7"/>
        <v/>
      </c>
      <c r="AI30" s="11" t="str">
        <f t="shared" si="7"/>
        <v/>
      </c>
      <c r="AJ30" s="11" t="str">
        <f t="shared" si="7"/>
        <v/>
      </c>
      <c r="AK30" s="11" t="str">
        <f t="shared" si="7"/>
        <v/>
      </c>
    </row>
    <row r="31" spans="1:37" x14ac:dyDescent="0.25">
      <c r="A31" s="235"/>
      <c r="B31" s="11">
        <f>IF(B8="","",(B8/$O$23))</f>
        <v>0.16338948976857848</v>
      </c>
      <c r="C31" s="11">
        <f>IF(C8="","",(C8/$O$23))</f>
        <v>4.4267409076915856E-2</v>
      </c>
      <c r="D31" s="11">
        <f>IF(D8="","",(D8/$O$23))</f>
        <v>0.16616584703585682</v>
      </c>
      <c r="E31" s="11">
        <f>IF(E8="","",(E8/$O$23))</f>
        <v>5.3968540051849589E-2</v>
      </c>
      <c r="F31" s="11">
        <f>IF(F8="","",(F8/$O$23))</f>
        <v>0.24201274471714754</v>
      </c>
      <c r="G31" s="11">
        <f>IF(G8="","",(G8/$O$23))</f>
        <v>2.1219805861491352</v>
      </c>
      <c r="H31" s="11">
        <f>IF(H8="","",(H8/$O$23))</f>
        <v>2.9096656455700765</v>
      </c>
      <c r="I31" s="11">
        <f>IF(I8="","",(I8/$O$23))</f>
        <v>7.6163718351187029E-2</v>
      </c>
      <c r="J31" s="11">
        <f>IF(J8="","",(J8/$O$23))</f>
        <v>0.27149684999180562</v>
      </c>
      <c r="K31" s="11">
        <f>IF(K8="","",(K8/$O$23))</f>
        <v>0.1457089327449885</v>
      </c>
      <c r="L31" s="11">
        <f>IF(L8="","",(L8/$O$23))</f>
        <v>0.15715477551260756</v>
      </c>
      <c r="M31" s="11">
        <f>IF(M8="","",(M8/$O$23))</f>
        <v>0.2016280740627909</v>
      </c>
      <c r="N31" s="6"/>
      <c r="O31" s="11">
        <f t="shared" si="7"/>
        <v>0.75011513965805976</v>
      </c>
      <c r="P31" s="11">
        <f t="shared" si="7"/>
        <v>1.5323261768199923</v>
      </c>
      <c r="Q31" s="11">
        <f t="shared" si="7"/>
        <v>0.10349558256258551</v>
      </c>
      <c r="R31" s="11">
        <f t="shared" si="7"/>
        <v>0.32730198276142153</v>
      </c>
      <c r="S31" s="11">
        <f t="shared" si="7"/>
        <v>0.76946596587474791</v>
      </c>
      <c r="T31" s="11">
        <f t="shared" si="7"/>
        <v>1.8581129302906054</v>
      </c>
      <c r="U31" s="11">
        <f t="shared" si="7"/>
        <v>1.2386130466895962</v>
      </c>
      <c r="V31" s="11">
        <f t="shared" si="7"/>
        <v>0.13924620139264446</v>
      </c>
      <c r="W31" s="11" t="str">
        <f t="shared" si="7"/>
        <v/>
      </c>
      <c r="X31" s="11" t="str">
        <f t="shared" si="7"/>
        <v/>
      </c>
      <c r="Y31" s="11" t="str">
        <f t="shared" si="7"/>
        <v/>
      </c>
      <c r="Z31" s="11" t="str">
        <f t="shared" si="7"/>
        <v/>
      </c>
      <c r="AA31" s="11" t="str">
        <f t="shared" si="7"/>
        <v/>
      </c>
      <c r="AB31" s="11" t="str">
        <f t="shared" si="7"/>
        <v/>
      </c>
      <c r="AC31" s="11" t="str">
        <f t="shared" si="7"/>
        <v/>
      </c>
      <c r="AD31" s="11" t="str">
        <f t="shared" si="7"/>
        <v/>
      </c>
      <c r="AE31" s="11" t="str">
        <f t="shared" si="7"/>
        <v/>
      </c>
      <c r="AF31" s="11" t="str">
        <f t="shared" si="7"/>
        <v/>
      </c>
      <c r="AG31" s="11" t="str">
        <f t="shared" si="7"/>
        <v/>
      </c>
      <c r="AH31" s="11" t="str">
        <f t="shared" si="7"/>
        <v/>
      </c>
      <c r="AI31" s="11" t="str">
        <f t="shared" si="7"/>
        <v/>
      </c>
      <c r="AJ31" s="11" t="str">
        <f t="shared" si="7"/>
        <v/>
      </c>
      <c r="AK31" s="11" t="str">
        <f t="shared" si="7"/>
        <v/>
      </c>
    </row>
    <row r="32" spans="1:37" x14ac:dyDescent="0.25">
      <c r="A32" s="235"/>
      <c r="B32" s="11">
        <f>IF(B9="","",(B9/$O$23))</f>
        <v>4.134495088092028E-2</v>
      </c>
      <c r="C32" s="11">
        <f>IF(C9="","",(C9/$O$23))</f>
        <v>5.7062890313427223E-4</v>
      </c>
      <c r="D32" s="11">
        <f>IF(D9="","",(D9/$O$23))</f>
        <v>9.1488782568156485E-2</v>
      </c>
      <c r="E32" s="11">
        <f>IF(E9="","",(E9/$O$23))</f>
        <v>0.18795745265947988</v>
      </c>
      <c r="F32" s="11">
        <f>IF(F9="","",(F9/$O$23))</f>
        <v>1.5228867672680164</v>
      </c>
      <c r="G32" s="11">
        <f>IF(G9="","",(G9/$O$23))</f>
        <v>0.65986535744326746</v>
      </c>
      <c r="H32" s="11">
        <f>IF(H9="","",(H9/$O$23))</f>
        <v>2.3139698089708989</v>
      </c>
      <c r="I32" s="11">
        <f>IF(I9="","",(I9/$O$23))</f>
        <v>0.10218975971825332</v>
      </c>
      <c r="J32" s="11">
        <f>IF(J9="","",(J9/$O$23))</f>
        <v>0.20453563396949903</v>
      </c>
      <c r="K32" s="11">
        <f>IF(K9="","",(K9/$O$23))</f>
        <v>0.21511508015649042</v>
      </c>
      <c r="L32" s="11">
        <f>IF(L9="","",(L9/$O$23))</f>
        <v>0</v>
      </c>
      <c r="M32" s="11">
        <f>IF(M9="","",(M9/$O$23))</f>
        <v>0.30740602569736314</v>
      </c>
      <c r="N32" s="6"/>
      <c r="O32" s="11">
        <f t="shared" si="7"/>
        <v>1.3846138882109185</v>
      </c>
      <c r="P32" s="11">
        <f t="shared" si="7"/>
        <v>2.4834577302836056</v>
      </c>
      <c r="Q32" s="11">
        <f t="shared" si="7"/>
        <v>0.25276115215871359</v>
      </c>
      <c r="R32" s="11">
        <f t="shared" si="7"/>
        <v>2.1249061216966885</v>
      </c>
      <c r="S32" s="11">
        <f t="shared" si="7"/>
        <v>0.7278420017859264</v>
      </c>
      <c r="T32" s="11">
        <f t="shared" si="7"/>
        <v>0.2573030788236797</v>
      </c>
      <c r="U32" s="11">
        <f t="shared" si="7"/>
        <v>0.57473159892293435</v>
      </c>
      <c r="V32" s="11">
        <f t="shared" si="7"/>
        <v>0.55209079080992673</v>
      </c>
      <c r="W32" s="11" t="str">
        <f t="shared" si="7"/>
        <v/>
      </c>
      <c r="X32" s="11" t="str">
        <f t="shared" si="7"/>
        <v/>
      </c>
      <c r="Y32" s="11" t="str">
        <f t="shared" si="7"/>
        <v/>
      </c>
      <c r="Z32" s="11" t="str">
        <f t="shared" si="7"/>
        <v/>
      </c>
      <c r="AA32" s="11" t="str">
        <f t="shared" si="7"/>
        <v/>
      </c>
      <c r="AB32" s="11" t="str">
        <f t="shared" si="7"/>
        <v/>
      </c>
      <c r="AC32" s="11" t="str">
        <f t="shared" si="7"/>
        <v/>
      </c>
      <c r="AD32" s="11" t="str">
        <f t="shared" si="7"/>
        <v/>
      </c>
      <c r="AE32" s="11" t="str">
        <f t="shared" si="7"/>
        <v/>
      </c>
      <c r="AF32" s="11" t="str">
        <f t="shared" si="7"/>
        <v/>
      </c>
      <c r="AG32" s="11" t="str">
        <f t="shared" si="7"/>
        <v/>
      </c>
      <c r="AH32" s="11" t="str">
        <f t="shared" si="7"/>
        <v/>
      </c>
      <c r="AI32" s="11" t="str">
        <f t="shared" si="7"/>
        <v/>
      </c>
      <c r="AJ32" s="11" t="str">
        <f t="shared" si="7"/>
        <v/>
      </c>
      <c r="AK32" s="11" t="str">
        <f t="shared" si="7"/>
        <v/>
      </c>
    </row>
    <row r="33" spans="1:37" x14ac:dyDescent="0.25">
      <c r="A33" s="235"/>
      <c r="B33" s="11">
        <f>IF(B10="","",(B10/$O$23))</f>
        <v>8.4090975963912143E-2</v>
      </c>
      <c r="C33" s="11" t="str">
        <f>IF(C10="","",(C10/$O$23))</f>
        <v/>
      </c>
      <c r="D33" s="11">
        <f>IF(D10="","",(D10/$O$23))</f>
        <v>5.4613318473470236E-2</v>
      </c>
      <c r="E33" s="11">
        <f>IF(E10="","",(E10/$O$23))</f>
        <v>0.23388267498271265</v>
      </c>
      <c r="F33" s="11">
        <f>IF(F10="","",(F10/$O$23))</f>
        <v>0.1923919162541759</v>
      </c>
      <c r="G33" s="11">
        <f>IF(G10="","",(G10/$O$23))</f>
        <v>1.1574001271349181</v>
      </c>
      <c r="H33" s="11" t="str">
        <f>IF(H10="","",(H10/$O$23))</f>
        <v/>
      </c>
      <c r="I33" s="11">
        <f>IF(I10="","",(I10/$O$23))</f>
        <v>0.12815146978370792</v>
      </c>
      <c r="J33" s="11">
        <f>IF(J10="","",(J10/$O$23))</f>
        <v>7.7599522663695922E-2</v>
      </c>
      <c r="K33" s="11">
        <f>IF(K10="","",(K10/$O$23))</f>
        <v>0.10350803850936681</v>
      </c>
      <c r="L33" s="11" t="str">
        <f>IF(L10="","",(L10/$O$23))</f>
        <v/>
      </c>
      <c r="M33" s="11">
        <f>IF(M10="","",(M10/$O$23))</f>
        <v>0.14214960931709217</v>
      </c>
      <c r="N33" s="6"/>
      <c r="O33" s="11">
        <f t="shared" si="7"/>
        <v>1.1012051965013225</v>
      </c>
      <c r="P33" s="11" t="str">
        <f t="shared" si="7"/>
        <v/>
      </c>
      <c r="Q33" s="11">
        <f t="shared" si="7"/>
        <v>0.21712151337213359</v>
      </c>
      <c r="R33" s="11">
        <f t="shared" si="7"/>
        <v>0.13631421806087493</v>
      </c>
      <c r="S33" s="11">
        <f t="shared" si="7"/>
        <v>4.5240584871911932E-2</v>
      </c>
      <c r="T33" s="11">
        <f t="shared" si="7"/>
        <v>0.52288555220261956</v>
      </c>
      <c r="U33" s="11">
        <f t="shared" si="7"/>
        <v>1.0658794964204816</v>
      </c>
      <c r="V33" s="11">
        <f t="shared" si="7"/>
        <v>0.54134775652187428</v>
      </c>
      <c r="W33" s="11" t="str">
        <f t="shared" si="7"/>
        <v/>
      </c>
      <c r="X33" s="11" t="str">
        <f t="shared" si="7"/>
        <v/>
      </c>
      <c r="Y33" s="11" t="str">
        <f t="shared" si="7"/>
        <v/>
      </c>
      <c r="Z33" s="11" t="str">
        <f t="shared" si="7"/>
        <v/>
      </c>
      <c r="AA33" s="11" t="str">
        <f t="shared" si="7"/>
        <v/>
      </c>
      <c r="AB33" s="11" t="str">
        <f t="shared" si="7"/>
        <v/>
      </c>
      <c r="AC33" s="11" t="str">
        <f t="shared" si="7"/>
        <v/>
      </c>
      <c r="AD33" s="11" t="str">
        <f t="shared" si="7"/>
        <v/>
      </c>
      <c r="AE33" s="11" t="str">
        <f t="shared" si="7"/>
        <v/>
      </c>
      <c r="AF33" s="11" t="str">
        <f t="shared" si="7"/>
        <v/>
      </c>
      <c r="AG33" s="11" t="str">
        <f t="shared" si="7"/>
        <v/>
      </c>
      <c r="AH33" s="11" t="str">
        <f t="shared" si="7"/>
        <v/>
      </c>
      <c r="AI33" s="11" t="str">
        <f t="shared" si="7"/>
        <v/>
      </c>
      <c r="AJ33" s="11" t="str">
        <f t="shared" si="7"/>
        <v/>
      </c>
      <c r="AK33" s="11" t="str">
        <f t="shared" si="7"/>
        <v/>
      </c>
    </row>
    <row r="34" spans="1:37" x14ac:dyDescent="0.25">
      <c r="A34" s="235"/>
      <c r="B34" s="11">
        <f>IF(B11="","",(B11/$O$23))</f>
        <v>0.11897319549248839</v>
      </c>
      <c r="C34" s="11">
        <f>IF(C11="","",(C11/$O$23))</f>
        <v>5.2844671724224759E-2</v>
      </c>
      <c r="D34" s="11">
        <f>IF(D11="","",(D11/$O$23))</f>
        <v>0.14337410215596991</v>
      </c>
      <c r="E34" s="11">
        <f>IF(E11="","",(E11/$O$23))</f>
        <v>0.41057511591372803</v>
      </c>
      <c r="F34" s="11">
        <f>IF(F11="","",(F11/$O$23))</f>
        <v>0.92243349170113087</v>
      </c>
      <c r="G34" s="11">
        <f>IF(G11="","",(G11/$O$23))</f>
        <v>1.6038503724996678</v>
      </c>
      <c r="H34" s="11">
        <f>IF(H11="","",(H11/$O$23))</f>
        <v>1.8817267676580585</v>
      </c>
      <c r="I34" s="11">
        <f>IF(I11="","",(I11/$O$23))</f>
        <v>0.14938270434272249</v>
      </c>
      <c r="J34" s="11">
        <f>IF(J11="","",(J11/$O$23))</f>
        <v>0.16188686296510163</v>
      </c>
      <c r="K34" s="11">
        <f>IF(K11="","",(K11/$O$23))</f>
        <v>8.4433294689572558E-2</v>
      </c>
      <c r="L34" s="11">
        <f>IF(L11="","",(L11/$O$23))</f>
        <v>0.17284780305155187</v>
      </c>
      <c r="M34" s="11" t="str">
        <f>IF(M11="","",(M11/$O$23))</f>
        <v/>
      </c>
      <c r="N34" s="6"/>
      <c r="O34" s="11">
        <f t="shared" si="7"/>
        <v>1.0883207651507374</v>
      </c>
      <c r="P34" s="11">
        <f t="shared" si="7"/>
        <v>1.3784615297442544</v>
      </c>
      <c r="Q34" s="11">
        <f t="shared" si="7"/>
        <v>7.892380961737451E-3</v>
      </c>
      <c r="R34" s="11">
        <f t="shared" si="7"/>
        <v>0.27531628289660576</v>
      </c>
      <c r="S34" s="11">
        <f t="shared" si="7"/>
        <v>0.29305692154584673</v>
      </c>
      <c r="T34" s="11">
        <f t="shared" si="7"/>
        <v>0.98272349801476944</v>
      </c>
      <c r="U34" s="11">
        <f t="shared" si="7"/>
        <v>0.87173471094964983</v>
      </c>
      <c r="V34" s="11">
        <f t="shared" si="7"/>
        <v>0.42380846031473995</v>
      </c>
      <c r="W34" s="11" t="str">
        <f t="shared" si="7"/>
        <v/>
      </c>
      <c r="X34" s="11" t="str">
        <f t="shared" si="7"/>
        <v/>
      </c>
      <c r="Y34" s="11" t="str">
        <f t="shared" si="7"/>
        <v/>
      </c>
      <c r="Z34" s="11" t="str">
        <f t="shared" si="7"/>
        <v/>
      </c>
      <c r="AA34" s="11" t="str">
        <f t="shared" si="7"/>
        <v/>
      </c>
      <c r="AB34" s="11" t="str">
        <f t="shared" si="7"/>
        <v/>
      </c>
      <c r="AC34" s="11" t="str">
        <f t="shared" si="7"/>
        <v/>
      </c>
      <c r="AD34" s="11" t="str">
        <f t="shared" si="7"/>
        <v/>
      </c>
      <c r="AE34" s="11" t="str">
        <f t="shared" si="7"/>
        <v/>
      </c>
      <c r="AF34" s="11" t="str">
        <f t="shared" si="7"/>
        <v/>
      </c>
      <c r="AG34" s="11" t="str">
        <f t="shared" si="7"/>
        <v/>
      </c>
      <c r="AH34" s="11" t="str">
        <f t="shared" si="7"/>
        <v/>
      </c>
      <c r="AI34" s="11" t="str">
        <f t="shared" si="7"/>
        <v/>
      </c>
      <c r="AJ34" s="11" t="str">
        <f t="shared" si="7"/>
        <v/>
      </c>
      <c r="AK34" s="11" t="str">
        <f t="shared" si="7"/>
        <v/>
      </c>
    </row>
    <row r="35" spans="1:37" x14ac:dyDescent="0.25">
      <c r="A35" s="235"/>
      <c r="B35" s="11">
        <f>IF(B12="","",(B12/$O$23))</f>
        <v>0.30350101311114791</v>
      </c>
      <c r="C35" s="11">
        <f>IF(C12="","",(C12/$O$23))</f>
        <v>0.11222163271536838</v>
      </c>
      <c r="D35" s="11">
        <f>IF(D12="","",(D12/$O$23))</f>
        <v>4.6281218166927554E-2</v>
      </c>
      <c r="E35" s="11">
        <f>IF(E12="","",(E12/$O$23))</f>
        <v>0.28429599474207623</v>
      </c>
      <c r="F35" s="11">
        <f>IF(F12="","",(F12/$O$23))</f>
        <v>0.9523454953828645</v>
      </c>
      <c r="G35" s="11">
        <f>IF(G12="","",(G12/$O$23))</f>
        <v>1.5821181646457942</v>
      </c>
      <c r="H35" s="11" t="str">
        <f>IF(H12="","",(H12/$O$23))</f>
        <v/>
      </c>
      <c r="I35" s="11">
        <f>IF(I12="","",(I12/$O$23))</f>
        <v>7.8803939447173219E-2</v>
      </c>
      <c r="J35" s="11">
        <f>IF(J12="","",(J12/$O$23))</f>
        <v>8.9193371387186991E-3</v>
      </c>
      <c r="K35" s="11">
        <f>IF(K12="","",(K12/$O$23))</f>
        <v>0.13229490384537243</v>
      </c>
      <c r="L35" s="11" t="str">
        <f>IF(L12="","",(L12/$O$23))</f>
        <v/>
      </c>
      <c r="M35" s="11" t="str">
        <f>IF(M12="","",(M12/$O$23))</f>
        <v/>
      </c>
      <c r="N35" s="6"/>
      <c r="O35" s="11">
        <f t="shared" si="7"/>
        <v>1.2368791788976381</v>
      </c>
      <c r="P35" s="11">
        <f t="shared" si="7"/>
        <v>0.90274987189455624</v>
      </c>
      <c r="Q35" s="11">
        <f t="shared" si="7"/>
        <v>0.10846257451732001</v>
      </c>
      <c r="R35" s="11">
        <f t="shared" si="7"/>
        <v>0.27750647796241079</v>
      </c>
      <c r="S35" s="11">
        <f t="shared" si="7"/>
        <v>1.4444792200095895</v>
      </c>
      <c r="T35" s="11">
        <f t="shared" si="7"/>
        <v>0.10266513726364819</v>
      </c>
      <c r="U35" s="11">
        <f t="shared" si="7"/>
        <v>0.5526315742876361</v>
      </c>
      <c r="V35" s="11">
        <f t="shared" si="7"/>
        <v>0.3970533797095912</v>
      </c>
      <c r="W35" s="11" t="str">
        <f t="shared" si="7"/>
        <v/>
      </c>
      <c r="X35" s="11" t="str">
        <f t="shared" si="7"/>
        <v/>
      </c>
      <c r="Y35" s="11" t="str">
        <f t="shared" si="7"/>
        <v/>
      </c>
      <c r="Z35" s="11" t="str">
        <f t="shared" si="7"/>
        <v/>
      </c>
      <c r="AA35" s="11" t="str">
        <f t="shared" si="7"/>
        <v/>
      </c>
      <c r="AB35" s="11" t="str">
        <f t="shared" si="7"/>
        <v/>
      </c>
      <c r="AC35" s="11" t="str">
        <f t="shared" si="7"/>
        <v/>
      </c>
      <c r="AD35" s="11" t="str">
        <f t="shared" si="7"/>
        <v/>
      </c>
      <c r="AE35" s="11" t="str">
        <f t="shared" si="7"/>
        <v/>
      </c>
      <c r="AF35" s="11" t="str">
        <f t="shared" si="7"/>
        <v/>
      </c>
      <c r="AG35" s="11" t="str">
        <f t="shared" si="7"/>
        <v/>
      </c>
      <c r="AH35" s="11" t="str">
        <f t="shared" si="7"/>
        <v/>
      </c>
      <c r="AI35" s="11" t="str">
        <f t="shared" si="7"/>
        <v/>
      </c>
      <c r="AJ35" s="11" t="str">
        <f t="shared" si="7"/>
        <v/>
      </c>
      <c r="AK35" s="11" t="str">
        <f t="shared" si="7"/>
        <v/>
      </c>
    </row>
    <row r="36" spans="1:37" x14ac:dyDescent="0.25">
      <c r="A36" s="235"/>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si="7"/>
        <v>1.3173887038105483</v>
      </c>
      <c r="P36" s="11" t="str">
        <f t="shared" si="7"/>
        <v/>
      </c>
      <c r="Q36" s="11" t="str">
        <f t="shared" si="7"/>
        <v/>
      </c>
      <c r="R36" s="11" t="str">
        <f t="shared" si="7"/>
        <v/>
      </c>
      <c r="S36" s="11" t="str">
        <f t="shared" si="7"/>
        <v/>
      </c>
      <c r="T36" s="11" t="str">
        <f t="shared" si="7"/>
        <v/>
      </c>
      <c r="U36" s="11" t="str">
        <f t="shared" si="7"/>
        <v/>
      </c>
      <c r="V36" s="11" t="str">
        <f t="shared" si="7"/>
        <v/>
      </c>
      <c r="W36" s="11" t="str">
        <f t="shared" si="7"/>
        <v/>
      </c>
      <c r="X36" s="11" t="str">
        <f t="shared" si="7"/>
        <v/>
      </c>
      <c r="Y36" s="11" t="str">
        <f t="shared" si="7"/>
        <v/>
      </c>
      <c r="Z36" s="11" t="str">
        <f t="shared" si="7"/>
        <v/>
      </c>
      <c r="AA36" s="11" t="str">
        <f t="shared" si="7"/>
        <v/>
      </c>
      <c r="AB36" s="11" t="str">
        <f t="shared" si="7"/>
        <v/>
      </c>
      <c r="AC36" s="11" t="str">
        <f t="shared" si="7"/>
        <v/>
      </c>
      <c r="AD36" s="11" t="str">
        <f t="shared" si="7"/>
        <v/>
      </c>
      <c r="AE36" s="11" t="str">
        <f t="shared" si="7"/>
        <v/>
      </c>
      <c r="AF36" s="11" t="str">
        <f t="shared" si="7"/>
        <v/>
      </c>
      <c r="AG36" s="11" t="str">
        <f t="shared" si="7"/>
        <v/>
      </c>
      <c r="AH36" s="11" t="str">
        <f t="shared" si="7"/>
        <v/>
      </c>
      <c r="AI36" s="11" t="str">
        <f t="shared" si="7"/>
        <v/>
      </c>
      <c r="AJ36" s="11" t="str">
        <f t="shared" si="7"/>
        <v/>
      </c>
      <c r="AK36" s="11" t="str">
        <f t="shared" si="7"/>
        <v/>
      </c>
    </row>
    <row r="37" spans="1:37" x14ac:dyDescent="0.25">
      <c r="A37" s="235"/>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7"/>
        <v>1.3234932900577923</v>
      </c>
      <c r="P37" s="11" t="str">
        <f t="shared" si="7"/>
        <v/>
      </c>
      <c r="Q37" s="11" t="str">
        <f t="shared" si="7"/>
        <v/>
      </c>
      <c r="R37" s="11" t="str">
        <f t="shared" si="7"/>
        <v/>
      </c>
      <c r="S37" s="11" t="str">
        <f t="shared" si="7"/>
        <v/>
      </c>
      <c r="T37" s="11" t="str">
        <f t="shared" si="7"/>
        <v/>
      </c>
      <c r="U37" s="11" t="str">
        <f t="shared" si="7"/>
        <v/>
      </c>
      <c r="V37" s="11" t="str">
        <f t="shared" si="7"/>
        <v/>
      </c>
      <c r="W37" s="11" t="str">
        <f t="shared" si="7"/>
        <v/>
      </c>
      <c r="X37" s="11" t="str">
        <f t="shared" si="7"/>
        <v/>
      </c>
      <c r="Y37" s="11" t="str">
        <f t="shared" si="7"/>
        <v/>
      </c>
      <c r="Z37" s="11" t="str">
        <f t="shared" si="7"/>
        <v/>
      </c>
      <c r="AA37" s="11" t="str">
        <f t="shared" si="7"/>
        <v/>
      </c>
      <c r="AB37" s="11" t="str">
        <f t="shared" si="7"/>
        <v/>
      </c>
      <c r="AC37" s="11" t="str">
        <f t="shared" si="7"/>
        <v/>
      </c>
      <c r="AD37" s="11" t="str">
        <f t="shared" si="7"/>
        <v/>
      </c>
      <c r="AE37" s="11" t="str">
        <f t="shared" si="7"/>
        <v/>
      </c>
      <c r="AF37" s="11" t="str">
        <f t="shared" si="7"/>
        <v/>
      </c>
      <c r="AG37" s="11" t="str">
        <f t="shared" si="7"/>
        <v/>
      </c>
      <c r="AH37" s="11" t="str">
        <f t="shared" si="7"/>
        <v/>
      </c>
      <c r="AI37" s="11" t="str">
        <f t="shared" si="7"/>
        <v/>
      </c>
      <c r="AJ37" s="11" t="str">
        <f t="shared" si="7"/>
        <v/>
      </c>
      <c r="AK37" s="11" t="str">
        <f t="shared" si="7"/>
        <v/>
      </c>
    </row>
    <row r="38" spans="1:37" x14ac:dyDescent="0.25">
      <c r="A38" s="235"/>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si="7"/>
        <v>0.53133595958015967</v>
      </c>
      <c r="P38" s="11" t="str">
        <f t="shared" si="7"/>
        <v/>
      </c>
      <c r="Q38" s="11" t="str">
        <f t="shared" si="7"/>
        <v/>
      </c>
      <c r="R38" s="11" t="str">
        <f t="shared" si="7"/>
        <v/>
      </c>
      <c r="S38" s="11" t="str">
        <f t="shared" si="7"/>
        <v/>
      </c>
      <c r="T38" s="11" t="str">
        <f t="shared" si="7"/>
        <v/>
      </c>
      <c r="U38" s="11" t="str">
        <f t="shared" si="7"/>
        <v/>
      </c>
      <c r="V38" s="11" t="str">
        <f t="shared" si="7"/>
        <v/>
      </c>
      <c r="W38" s="11" t="str">
        <f t="shared" si="7"/>
        <v/>
      </c>
      <c r="X38" s="11" t="str">
        <f t="shared" si="7"/>
        <v/>
      </c>
      <c r="Y38" s="11" t="str">
        <f t="shared" si="7"/>
        <v/>
      </c>
      <c r="Z38" s="11" t="str">
        <f t="shared" si="7"/>
        <v/>
      </c>
      <c r="AA38" s="11" t="str">
        <f t="shared" si="7"/>
        <v/>
      </c>
      <c r="AB38" s="11" t="str">
        <f t="shared" si="7"/>
        <v/>
      </c>
      <c r="AC38" s="11" t="str">
        <f t="shared" si="7"/>
        <v/>
      </c>
      <c r="AD38" s="11" t="str">
        <f t="shared" si="7"/>
        <v/>
      </c>
      <c r="AE38" s="11" t="str">
        <f t="shared" si="7"/>
        <v/>
      </c>
      <c r="AF38" s="11" t="str">
        <f t="shared" si="7"/>
        <v/>
      </c>
      <c r="AG38" s="11" t="str">
        <f t="shared" si="7"/>
        <v/>
      </c>
      <c r="AH38" s="11" t="str">
        <f t="shared" si="7"/>
        <v/>
      </c>
      <c r="AI38" s="11" t="str">
        <f t="shared" si="7"/>
        <v/>
      </c>
      <c r="AJ38" s="11" t="str">
        <f t="shared" si="7"/>
        <v/>
      </c>
      <c r="AK38" s="11" t="str">
        <f t="shared" si="7"/>
        <v/>
      </c>
    </row>
    <row r="39" spans="1:37" x14ac:dyDescent="0.25">
      <c r="A39" s="235"/>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si="7"/>
        <v>0.9840039693438879</v>
      </c>
      <c r="P39" s="11" t="str">
        <f t="shared" si="7"/>
        <v/>
      </c>
      <c r="Q39" s="11" t="str">
        <f t="shared" ref="Q39:AK39" si="8">IF(Q16="","",(Q16/$O$23))</f>
        <v/>
      </c>
      <c r="R39" s="11" t="str">
        <f t="shared" si="8"/>
        <v/>
      </c>
      <c r="S39" s="11" t="str">
        <f t="shared" si="8"/>
        <v/>
      </c>
      <c r="T39" s="11" t="str">
        <f t="shared" si="8"/>
        <v/>
      </c>
      <c r="U39" s="11" t="str">
        <f t="shared" si="8"/>
        <v/>
      </c>
      <c r="V39" s="11" t="str">
        <f t="shared" si="8"/>
        <v/>
      </c>
      <c r="W39" s="11" t="str">
        <f t="shared" si="8"/>
        <v/>
      </c>
      <c r="X39" s="11" t="str">
        <f t="shared" si="8"/>
        <v/>
      </c>
      <c r="Y39" s="11" t="str">
        <f t="shared" si="8"/>
        <v/>
      </c>
      <c r="Z39" s="11" t="str">
        <f t="shared" si="8"/>
        <v/>
      </c>
      <c r="AA39" s="11" t="str">
        <f t="shared" si="8"/>
        <v/>
      </c>
      <c r="AB39" s="11" t="str">
        <f t="shared" si="8"/>
        <v/>
      </c>
      <c r="AC39" s="11" t="str">
        <f t="shared" si="8"/>
        <v/>
      </c>
      <c r="AD39" s="11" t="str">
        <f t="shared" si="8"/>
        <v/>
      </c>
      <c r="AE39" s="11" t="str">
        <f t="shared" si="8"/>
        <v/>
      </c>
      <c r="AF39" s="11" t="str">
        <f t="shared" si="8"/>
        <v/>
      </c>
      <c r="AG39" s="11" t="str">
        <f t="shared" si="8"/>
        <v/>
      </c>
      <c r="AH39" s="11" t="str">
        <f t="shared" si="8"/>
        <v/>
      </c>
      <c r="AI39" s="11" t="str">
        <f t="shared" si="8"/>
        <v/>
      </c>
      <c r="AJ39" s="11" t="str">
        <f t="shared" si="8"/>
        <v/>
      </c>
      <c r="AK39" s="11" t="str">
        <f t="shared" si="8"/>
        <v/>
      </c>
    </row>
    <row r="40" spans="1:37" x14ac:dyDescent="0.25">
      <c r="A40" s="235"/>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AK43" si="9">IF(O17="","",(O17/$O$23))</f>
        <v>1.0953318512425598</v>
      </c>
      <c r="P40" s="11" t="str">
        <f t="shared" si="9"/>
        <v/>
      </c>
      <c r="Q40" s="11" t="str">
        <f t="shared" si="9"/>
        <v/>
      </c>
      <c r="R40" s="11" t="str">
        <f t="shared" si="9"/>
        <v/>
      </c>
      <c r="S40" s="11" t="str">
        <f t="shared" si="9"/>
        <v/>
      </c>
      <c r="T40" s="11" t="str">
        <f t="shared" si="9"/>
        <v/>
      </c>
      <c r="U40" s="11" t="str">
        <f t="shared" si="9"/>
        <v/>
      </c>
      <c r="V40" s="11" t="str">
        <f t="shared" si="9"/>
        <v/>
      </c>
      <c r="W40" s="11" t="str">
        <f t="shared" si="9"/>
        <v/>
      </c>
      <c r="X40" s="11" t="str">
        <f t="shared" si="9"/>
        <v/>
      </c>
      <c r="Y40" s="11" t="str">
        <f t="shared" si="9"/>
        <v/>
      </c>
      <c r="Z40" s="11" t="str">
        <f t="shared" si="9"/>
        <v/>
      </c>
      <c r="AA40" s="11" t="str">
        <f t="shared" si="9"/>
        <v/>
      </c>
      <c r="AB40" s="11" t="str">
        <f t="shared" si="9"/>
        <v/>
      </c>
      <c r="AC40" s="11" t="str">
        <f t="shared" si="9"/>
        <v/>
      </c>
      <c r="AD40" s="11" t="str">
        <f t="shared" si="9"/>
        <v/>
      </c>
      <c r="AE40" s="11" t="str">
        <f t="shared" si="9"/>
        <v/>
      </c>
      <c r="AF40" s="11" t="str">
        <f t="shared" si="9"/>
        <v/>
      </c>
      <c r="AG40" s="11" t="str">
        <f t="shared" si="9"/>
        <v/>
      </c>
      <c r="AH40" s="11" t="str">
        <f t="shared" si="9"/>
        <v/>
      </c>
      <c r="AI40" s="11" t="str">
        <f t="shared" si="9"/>
        <v/>
      </c>
      <c r="AJ40" s="11" t="str">
        <f t="shared" si="9"/>
        <v/>
      </c>
      <c r="AK40" s="11" t="str">
        <f t="shared" si="9"/>
        <v/>
      </c>
    </row>
    <row r="41" spans="1:37" x14ac:dyDescent="0.25">
      <c r="A41" s="235"/>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si="9"/>
        <v>0.56561560436562131</v>
      </c>
      <c r="P41" s="11" t="str">
        <f t="shared" si="9"/>
        <v/>
      </c>
      <c r="Q41" s="11" t="str">
        <f t="shared" si="9"/>
        <v/>
      </c>
      <c r="R41" s="11" t="str">
        <f t="shared" si="9"/>
        <v/>
      </c>
      <c r="S41" s="11" t="str">
        <f t="shared" si="9"/>
        <v/>
      </c>
      <c r="T41" s="11" t="str">
        <f t="shared" si="9"/>
        <v/>
      </c>
      <c r="U41" s="11" t="str">
        <f t="shared" si="9"/>
        <v/>
      </c>
      <c r="V41" s="11" t="str">
        <f t="shared" si="9"/>
        <v/>
      </c>
      <c r="W41" s="11" t="str">
        <f t="shared" si="9"/>
        <v/>
      </c>
      <c r="X41" s="11" t="str">
        <f t="shared" si="9"/>
        <v/>
      </c>
      <c r="Y41" s="11" t="str">
        <f t="shared" si="9"/>
        <v/>
      </c>
      <c r="Z41" s="11" t="str">
        <f t="shared" si="9"/>
        <v/>
      </c>
      <c r="AA41" s="11" t="str">
        <f t="shared" si="9"/>
        <v/>
      </c>
      <c r="AB41" s="11" t="str">
        <f t="shared" si="9"/>
        <v/>
      </c>
      <c r="AC41" s="11" t="str">
        <f t="shared" si="9"/>
        <v/>
      </c>
      <c r="AD41" s="11" t="str">
        <f t="shared" si="9"/>
        <v/>
      </c>
      <c r="AE41" s="11" t="str">
        <f t="shared" si="9"/>
        <v/>
      </c>
      <c r="AF41" s="11" t="str">
        <f t="shared" si="9"/>
        <v/>
      </c>
      <c r="AG41" s="11" t="str">
        <f t="shared" si="9"/>
        <v/>
      </c>
      <c r="AH41" s="11" t="str">
        <f t="shared" si="9"/>
        <v/>
      </c>
      <c r="AI41" s="11" t="str">
        <f t="shared" si="9"/>
        <v/>
      </c>
      <c r="AJ41" s="11" t="str">
        <f t="shared" si="9"/>
        <v/>
      </c>
      <c r="AK41" s="11" t="str">
        <f t="shared" si="9"/>
        <v/>
      </c>
    </row>
    <row r="42" spans="1:37" x14ac:dyDescent="0.25">
      <c r="A42" s="235"/>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si="9"/>
        <v>0.47575698772661223</v>
      </c>
      <c r="P42" s="11" t="str">
        <f t="shared" si="9"/>
        <v/>
      </c>
      <c r="Q42" s="11" t="str">
        <f t="shared" si="9"/>
        <v/>
      </c>
      <c r="R42" s="11" t="str">
        <f t="shared" si="9"/>
        <v/>
      </c>
      <c r="S42" s="11" t="str">
        <f t="shared" si="9"/>
        <v/>
      </c>
      <c r="T42" s="11" t="str">
        <f t="shared" si="9"/>
        <v/>
      </c>
      <c r="U42" s="11" t="str">
        <f t="shared" si="9"/>
        <v/>
      </c>
      <c r="V42" s="11" t="str">
        <f t="shared" si="9"/>
        <v/>
      </c>
      <c r="W42" s="11" t="str">
        <f t="shared" si="9"/>
        <v/>
      </c>
      <c r="X42" s="11" t="str">
        <f t="shared" si="9"/>
        <v/>
      </c>
      <c r="Y42" s="11" t="str">
        <f t="shared" si="9"/>
        <v/>
      </c>
      <c r="Z42" s="11" t="str">
        <f t="shared" si="9"/>
        <v/>
      </c>
      <c r="AA42" s="11" t="str">
        <f t="shared" si="9"/>
        <v/>
      </c>
      <c r="AB42" s="11" t="str">
        <f t="shared" si="9"/>
        <v/>
      </c>
      <c r="AC42" s="11" t="str">
        <f t="shared" si="9"/>
        <v/>
      </c>
      <c r="AD42" s="11" t="str">
        <f t="shared" si="9"/>
        <v/>
      </c>
      <c r="AE42" s="11" t="str">
        <f t="shared" si="9"/>
        <v/>
      </c>
      <c r="AF42" s="11" t="str">
        <f t="shared" si="9"/>
        <v/>
      </c>
      <c r="AG42" s="11" t="str">
        <f t="shared" si="9"/>
        <v/>
      </c>
      <c r="AH42" s="11" t="str">
        <f t="shared" si="9"/>
        <v/>
      </c>
      <c r="AI42" s="11" t="str">
        <f t="shared" si="9"/>
        <v/>
      </c>
      <c r="AJ42" s="11" t="str">
        <f t="shared" si="9"/>
        <v/>
      </c>
      <c r="AK42" s="11" t="str">
        <f t="shared" si="9"/>
        <v/>
      </c>
    </row>
    <row r="43" spans="1:37" x14ac:dyDescent="0.25">
      <c r="A43" s="235"/>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si="9"/>
        <v>0.14153487170829701</v>
      </c>
      <c r="P43" s="11" t="str">
        <f t="shared" si="9"/>
        <v/>
      </c>
      <c r="Q43" s="11" t="str">
        <f t="shared" si="9"/>
        <v/>
      </c>
      <c r="R43" s="11" t="str">
        <f t="shared" si="9"/>
        <v/>
      </c>
      <c r="S43" s="11" t="str">
        <f t="shared" si="9"/>
        <v/>
      </c>
      <c r="T43" s="11" t="str">
        <f t="shared" si="9"/>
        <v/>
      </c>
      <c r="U43" s="11" t="str">
        <f t="shared" si="9"/>
        <v/>
      </c>
      <c r="V43" s="11" t="str">
        <f t="shared" si="9"/>
        <v/>
      </c>
      <c r="W43" s="11" t="str">
        <f t="shared" si="9"/>
        <v/>
      </c>
      <c r="X43" s="11" t="str">
        <f t="shared" si="9"/>
        <v/>
      </c>
      <c r="Y43" s="11" t="str">
        <f t="shared" si="9"/>
        <v/>
      </c>
      <c r="Z43" s="11" t="str">
        <f t="shared" si="9"/>
        <v/>
      </c>
      <c r="AA43" s="11" t="str">
        <f t="shared" si="9"/>
        <v/>
      </c>
      <c r="AB43" s="11" t="str">
        <f t="shared" si="9"/>
        <v/>
      </c>
      <c r="AC43" s="11" t="str">
        <f t="shared" si="9"/>
        <v/>
      </c>
      <c r="AD43" s="11" t="str">
        <f t="shared" si="9"/>
        <v/>
      </c>
      <c r="AE43" s="11" t="str">
        <f t="shared" si="9"/>
        <v/>
      </c>
      <c r="AF43" s="11" t="str">
        <f t="shared" si="9"/>
        <v/>
      </c>
      <c r="AG43" s="11" t="str">
        <f t="shared" si="9"/>
        <v/>
      </c>
      <c r="AH43" s="11" t="str">
        <f t="shared" si="9"/>
        <v/>
      </c>
      <c r="AI43" s="11" t="str">
        <f t="shared" si="9"/>
        <v/>
      </c>
      <c r="AJ43" s="11" t="str">
        <f t="shared" si="9"/>
        <v/>
      </c>
      <c r="AK43" s="11" t="str">
        <f t="shared" si="9"/>
        <v/>
      </c>
    </row>
    <row r="44" spans="1:37" x14ac:dyDescent="0.25">
      <c r="A44" s="7"/>
      <c r="B44" s="3"/>
      <c r="C44" s="3"/>
      <c r="D44" s="3"/>
      <c r="E44" s="3"/>
      <c r="F44" s="3"/>
      <c r="G44" s="3"/>
      <c r="H44" s="3"/>
      <c r="I44" s="3"/>
      <c r="J44" s="3"/>
      <c r="K44" s="3"/>
      <c r="L44" s="3"/>
      <c r="M44" s="3"/>
      <c r="N44" s="7"/>
      <c r="O44" s="3"/>
      <c r="P44" s="3"/>
      <c r="Q44" s="3"/>
      <c r="R44" s="3"/>
      <c r="S44" s="3"/>
      <c r="T44" s="3"/>
      <c r="U44" s="3"/>
      <c r="V44" s="3"/>
      <c r="W44" s="3"/>
      <c r="X44" s="3"/>
      <c r="Y44" s="3"/>
      <c r="Z44" s="3"/>
      <c r="AA44" s="3"/>
      <c r="AB44" s="3"/>
      <c r="AC44" s="3"/>
      <c r="AD44" s="3"/>
      <c r="AE44" s="3"/>
      <c r="AF44" s="3"/>
      <c r="AG44" s="3"/>
      <c r="AH44" s="3"/>
      <c r="AI44" s="3"/>
      <c r="AJ44" s="3"/>
      <c r="AK44" s="3"/>
    </row>
    <row r="45" spans="1:37" x14ac:dyDescent="0.25">
      <c r="A45" s="7" t="str">
        <f>A4</f>
        <v>Noms des groupes</v>
      </c>
      <c r="B45" s="7" t="str">
        <f t="shared" ref="B45:AK45" si="10">B4</f>
        <v>Témoin solvant</v>
      </c>
      <c r="C45" s="7" t="str">
        <f t="shared" si="10"/>
        <v>EE2-33.8ng/L</v>
      </c>
      <c r="D45" s="7" t="str">
        <f t="shared" si="10"/>
        <v>EE2-50.6ng/L</v>
      </c>
      <c r="E45" s="7" t="str">
        <f t="shared" si="10"/>
        <v>EE2-76ng/L</v>
      </c>
      <c r="F45" s="7" t="str">
        <f t="shared" si="10"/>
        <v>EE2-114ng/L</v>
      </c>
      <c r="G45" s="7" t="str">
        <f t="shared" si="10"/>
        <v>EE2-170.9ng/L</v>
      </c>
      <c r="H45" s="7" t="str">
        <f t="shared" si="10"/>
        <v>EE2-488ng/L</v>
      </c>
      <c r="I45" s="7" t="str">
        <f t="shared" si="10"/>
        <v>Prochloraz-0,063mg/L</v>
      </c>
      <c r="J45" s="7" t="str">
        <f t="shared" si="10"/>
        <v>Prochloraz-0,13mg/L</v>
      </c>
      <c r="K45" s="7" t="str">
        <f t="shared" si="10"/>
        <v>Prochloraz-0,25mg/L</v>
      </c>
      <c r="L45" s="7" t="str">
        <f t="shared" si="10"/>
        <v>Prochloraz-0,5mg/L</v>
      </c>
      <c r="M45" s="7" t="str">
        <f t="shared" si="10"/>
        <v>Prochloraz-1mg/L</v>
      </c>
      <c r="N45" s="7"/>
      <c r="O45" s="7" t="str">
        <f t="shared" si="10"/>
        <v>Testo -30µg/L</v>
      </c>
      <c r="P45" s="7" t="str">
        <f t="shared" si="10"/>
        <v>Testo 30µg/L + EE2 -64ng/L</v>
      </c>
      <c r="Q45" s="7" t="str">
        <f t="shared" si="10"/>
        <v>Testo 30µg/L + FAD-10mg/L</v>
      </c>
      <c r="R45" s="7" t="str">
        <f t="shared" si="10"/>
        <v>Prochloraz-0.063mg/L + Testostérone</v>
      </c>
      <c r="S45" s="7" t="str">
        <f t="shared" si="10"/>
        <v>Prochloraz-0.13mg/L + Testostérone</v>
      </c>
      <c r="T45" s="7" t="str">
        <f t="shared" si="10"/>
        <v>Prochloraz-0.25mg/L + Testostérone</v>
      </c>
      <c r="U45" s="7" t="str">
        <f t="shared" si="10"/>
        <v>Prochloraz-0.5mg/L + Testostérone</v>
      </c>
      <c r="V45" s="7" t="str">
        <f t="shared" si="10"/>
        <v>Prochloraz-1mg/L + Testostérone</v>
      </c>
      <c r="W45" s="7" t="str">
        <f t="shared" si="10"/>
        <v>0-00 + Testostérone</v>
      </c>
      <c r="X45" s="7" t="str">
        <f t="shared" si="10"/>
        <v>0-00 + Testostérone</v>
      </c>
      <c r="Y45" s="7" t="str">
        <f t="shared" si="10"/>
        <v>0-00 + Testostérone</v>
      </c>
      <c r="Z45" s="7" t="str">
        <f t="shared" si="10"/>
        <v>0-00 + Testostérone</v>
      </c>
      <c r="AA45" s="7" t="str">
        <f t="shared" si="10"/>
        <v>0-00 + Testostérone</v>
      </c>
      <c r="AB45" s="7" t="str">
        <f t="shared" si="10"/>
        <v>0-00 + Testostérone</v>
      </c>
      <c r="AC45" s="7" t="str">
        <f t="shared" si="10"/>
        <v>0-00 + Testostérone</v>
      </c>
      <c r="AD45" s="7" t="str">
        <f t="shared" si="10"/>
        <v>0-00 + Testostérone</v>
      </c>
      <c r="AE45" s="7" t="str">
        <f t="shared" si="10"/>
        <v>0-00 + Testostérone</v>
      </c>
      <c r="AF45" s="7" t="str">
        <f t="shared" si="10"/>
        <v>0-00 + Testostérone</v>
      </c>
      <c r="AG45" s="7" t="str">
        <f t="shared" si="10"/>
        <v>0-00 + Testostérone</v>
      </c>
      <c r="AH45" s="7" t="str">
        <f t="shared" si="10"/>
        <v>0-00 + Testostérone</v>
      </c>
      <c r="AI45" s="7" t="str">
        <f t="shared" si="10"/>
        <v>0-00 + Testostérone</v>
      </c>
      <c r="AJ45" s="7" t="str">
        <f t="shared" si="10"/>
        <v>0-00 + Testostérone</v>
      </c>
      <c r="AK45" s="7" t="str">
        <f t="shared" si="10"/>
        <v>0-00 + Testostérone</v>
      </c>
    </row>
    <row r="46" spans="1:37" x14ac:dyDescent="0.25">
      <c r="A46" s="8" t="s">
        <v>0</v>
      </c>
      <c r="B46" s="10">
        <f t="shared" ref="B46:H46" si="11">AVERAGE(B28:B43)</f>
        <v>0.11359420478039334</v>
      </c>
      <c r="C46" s="10">
        <f t="shared" si="11"/>
        <v>4.9391841407717518E-2</v>
      </c>
      <c r="D46" s="10">
        <f t="shared" si="11"/>
        <v>0.15417035508723126</v>
      </c>
      <c r="E46" s="10">
        <f t="shared" si="11"/>
        <v>0.24584670345400292</v>
      </c>
      <c r="F46" s="10">
        <f t="shared" si="11"/>
        <v>0.92180987007146975</v>
      </c>
      <c r="G46" s="10">
        <f t="shared" si="11"/>
        <v>1.6552826724431999</v>
      </c>
      <c r="H46" s="10">
        <f t="shared" si="11"/>
        <v>2.7097241311248994</v>
      </c>
      <c r="I46" s="10">
        <f>AVERAGE(I28:I43)</f>
        <v>0.12190854925691638</v>
      </c>
      <c r="J46" s="9">
        <f>AVERAGE(J28:J43)</f>
        <v>0.12734523420486271</v>
      </c>
      <c r="K46" s="9">
        <f t="shared" ref="K46:M46" si="12">AVERAGE(K28:K43)</f>
        <v>0.13645874891226681</v>
      </c>
      <c r="L46" s="9">
        <f t="shared" si="12"/>
        <v>0.14435255341077927</v>
      </c>
      <c r="M46" s="9">
        <f t="shared" si="12"/>
        <v>0.24757605901818092</v>
      </c>
      <c r="N46" s="8" t="s">
        <v>0</v>
      </c>
      <c r="O46" s="10">
        <f t="shared" ref="O46:AK46" si="13">AVERAGE(O28:O43)</f>
        <v>1.0000000000000002</v>
      </c>
      <c r="P46" s="10">
        <f t="shared" si="13"/>
        <v>1.6398925302656242</v>
      </c>
      <c r="Q46" s="10">
        <f t="shared" si="13"/>
        <v>0.11770359869337851</v>
      </c>
      <c r="R46" s="10">
        <f t="shared" si="13"/>
        <v>0.5465954992367501</v>
      </c>
      <c r="S46" s="10">
        <f t="shared" si="13"/>
        <v>0.70137019017049596</v>
      </c>
      <c r="T46" s="10">
        <f t="shared" si="13"/>
        <v>0.64571131097600387</v>
      </c>
      <c r="U46" s="10">
        <f t="shared" si="13"/>
        <v>1.1282997199738305</v>
      </c>
      <c r="V46" s="10">
        <f t="shared" si="13"/>
        <v>0.48240105690418078</v>
      </c>
      <c r="W46" s="10" t="e">
        <f t="shared" si="13"/>
        <v>#DIV/0!</v>
      </c>
      <c r="X46" s="10" t="e">
        <f t="shared" si="13"/>
        <v>#DIV/0!</v>
      </c>
      <c r="Y46" s="10" t="e">
        <f t="shared" si="13"/>
        <v>#DIV/0!</v>
      </c>
      <c r="Z46" s="10" t="e">
        <f t="shared" si="13"/>
        <v>#DIV/0!</v>
      </c>
      <c r="AA46" s="10" t="e">
        <f t="shared" si="13"/>
        <v>#DIV/0!</v>
      </c>
      <c r="AB46" s="10" t="e">
        <f t="shared" si="13"/>
        <v>#DIV/0!</v>
      </c>
      <c r="AC46" s="10" t="e">
        <f t="shared" si="13"/>
        <v>#DIV/0!</v>
      </c>
      <c r="AD46" s="10" t="e">
        <f t="shared" si="13"/>
        <v>#DIV/0!</v>
      </c>
      <c r="AE46" s="10" t="e">
        <f t="shared" si="13"/>
        <v>#DIV/0!</v>
      </c>
      <c r="AF46" s="10" t="e">
        <f t="shared" si="13"/>
        <v>#DIV/0!</v>
      </c>
      <c r="AG46" s="10" t="e">
        <f t="shared" si="13"/>
        <v>#DIV/0!</v>
      </c>
      <c r="AH46" s="10" t="e">
        <f t="shared" si="13"/>
        <v>#DIV/0!</v>
      </c>
      <c r="AI46" s="10" t="e">
        <f t="shared" si="13"/>
        <v>#DIV/0!</v>
      </c>
      <c r="AJ46" s="10" t="e">
        <f t="shared" si="13"/>
        <v>#DIV/0!</v>
      </c>
      <c r="AK46" s="10" t="e">
        <f t="shared" si="13"/>
        <v>#DIV/0!</v>
      </c>
    </row>
    <row r="47" spans="1:37" x14ac:dyDescent="0.25">
      <c r="A47" s="8" t="s">
        <v>1</v>
      </c>
      <c r="B47" s="8">
        <f t="shared" ref="B47:M47" si="14">STDEV(B28:B43)</f>
        <v>9.9673286153502808E-2</v>
      </c>
      <c r="C47" s="8">
        <f t="shared" si="14"/>
        <v>3.6369320672192847E-2</v>
      </c>
      <c r="D47" s="8">
        <f t="shared" si="14"/>
        <v>0.19262343210264879</v>
      </c>
      <c r="E47" s="8">
        <f t="shared" si="14"/>
        <v>0.20357214532416024</v>
      </c>
      <c r="F47" s="8">
        <f t="shared" si="14"/>
        <v>0.58801010266574172</v>
      </c>
      <c r="G47" s="8">
        <f t="shared" si="14"/>
        <v>0.60228479690270442</v>
      </c>
      <c r="H47" s="8">
        <f t="shared" si="14"/>
        <v>0.71155841254093743</v>
      </c>
      <c r="I47" s="8">
        <f t="shared" si="14"/>
        <v>6.0355084193003117E-2</v>
      </c>
      <c r="J47" s="8">
        <f t="shared" si="14"/>
        <v>9.4676722960181744E-2</v>
      </c>
      <c r="K47" s="8">
        <f t="shared" si="14"/>
        <v>6.4597893668743425E-2</v>
      </c>
      <c r="L47" s="8">
        <f t="shared" si="14"/>
        <v>9.5161108646657541E-2</v>
      </c>
      <c r="M47" s="8">
        <f t="shared" si="14"/>
        <v>7.1756218228033325E-2</v>
      </c>
      <c r="N47" s="8" t="s">
        <v>1</v>
      </c>
      <c r="O47" s="8">
        <f t="shared" ref="O47:AK47" si="15">STDEV(O28:O43)</f>
        <v>0.49510671124052641</v>
      </c>
      <c r="P47" s="8">
        <f t="shared" si="15"/>
        <v>0.62191878501656817</v>
      </c>
      <c r="Q47" s="8">
        <f t="shared" si="15"/>
        <v>9.133630914159413E-2</v>
      </c>
      <c r="R47" s="8">
        <f t="shared" si="15"/>
        <v>0.69969592095681077</v>
      </c>
      <c r="S47" s="8">
        <f t="shared" si="15"/>
        <v>0.47973466129281345</v>
      </c>
      <c r="T47" s="8">
        <f t="shared" si="15"/>
        <v>0.59433223360865595</v>
      </c>
      <c r="U47" s="8">
        <f t="shared" si="15"/>
        <v>0.50010808420154684</v>
      </c>
      <c r="V47" s="8">
        <f t="shared" si="15"/>
        <v>0.20410153651581023</v>
      </c>
      <c r="W47" s="8" t="e">
        <f t="shared" si="15"/>
        <v>#DIV/0!</v>
      </c>
      <c r="X47" s="8" t="e">
        <f t="shared" si="15"/>
        <v>#DIV/0!</v>
      </c>
      <c r="Y47" s="8" t="e">
        <f t="shared" si="15"/>
        <v>#DIV/0!</v>
      </c>
      <c r="Z47" s="8" t="e">
        <f t="shared" si="15"/>
        <v>#DIV/0!</v>
      </c>
      <c r="AA47" s="8" t="e">
        <f t="shared" si="15"/>
        <v>#DIV/0!</v>
      </c>
      <c r="AB47" s="8" t="e">
        <f t="shared" si="15"/>
        <v>#DIV/0!</v>
      </c>
      <c r="AC47" s="8" t="e">
        <f t="shared" si="15"/>
        <v>#DIV/0!</v>
      </c>
      <c r="AD47" s="8" t="e">
        <f t="shared" si="15"/>
        <v>#DIV/0!</v>
      </c>
      <c r="AE47" s="8" t="e">
        <f t="shared" si="15"/>
        <v>#DIV/0!</v>
      </c>
      <c r="AF47" s="8" t="e">
        <f t="shared" si="15"/>
        <v>#DIV/0!</v>
      </c>
      <c r="AG47" s="8" t="e">
        <f t="shared" si="15"/>
        <v>#DIV/0!</v>
      </c>
      <c r="AH47" s="8" t="e">
        <f t="shared" si="15"/>
        <v>#DIV/0!</v>
      </c>
      <c r="AI47" s="8" t="e">
        <f t="shared" si="15"/>
        <v>#DIV/0!</v>
      </c>
      <c r="AJ47" s="8" t="e">
        <f t="shared" si="15"/>
        <v>#DIV/0!</v>
      </c>
      <c r="AK47" s="8" t="e">
        <f t="shared" si="15"/>
        <v>#DIV/0!</v>
      </c>
    </row>
    <row r="48" spans="1:37" x14ac:dyDescent="0.25">
      <c r="A48" s="8" t="s">
        <v>2</v>
      </c>
      <c r="B48" s="8">
        <f t="shared" ref="B48:M48" si="16" xml:space="preserve"> B47/SQRT(COUNT(B28:B43))</f>
        <v>3.5239828271144524E-2</v>
      </c>
      <c r="C48" s="8">
        <f t="shared" si="16"/>
        <v>1.3746311121568962E-2</v>
      </c>
      <c r="D48" s="8">
        <f t="shared" si="16"/>
        <v>6.8102667527604729E-2</v>
      </c>
      <c r="E48" s="8">
        <f t="shared" si="16"/>
        <v>7.1973622209703506E-2</v>
      </c>
      <c r="F48" s="8">
        <f t="shared" si="16"/>
        <v>0.20789296550057199</v>
      </c>
      <c r="G48" s="8">
        <f t="shared" si="16"/>
        <v>0.22764225586280012</v>
      </c>
      <c r="H48" s="8">
        <f t="shared" si="16"/>
        <v>0.29049250548501793</v>
      </c>
      <c r="I48" s="8">
        <f t="shared" si="16"/>
        <v>2.1338744655978754E-2</v>
      </c>
      <c r="J48" s="8">
        <f t="shared" si="16"/>
        <v>3.3473276412832306E-2</v>
      </c>
      <c r="K48" s="8">
        <f t="shared" si="16"/>
        <v>2.4415708838012702E-2</v>
      </c>
      <c r="L48" s="8">
        <f t="shared" si="16"/>
        <v>3.8849359923643877E-2</v>
      </c>
      <c r="M48" s="8">
        <f t="shared" si="16"/>
        <v>2.9294353421746494E-2</v>
      </c>
      <c r="N48" s="8" t="s">
        <v>2</v>
      </c>
      <c r="O48" s="8">
        <f t="shared" ref="O48:AK48" si="17" xml:space="preserve"> O47/SQRT(COUNT(O28:O43))</f>
        <v>0.1237766778101316</v>
      </c>
      <c r="P48" s="8">
        <f t="shared" si="17"/>
        <v>0.23506320583332604</v>
      </c>
      <c r="Q48" s="8">
        <f t="shared" si="17"/>
        <v>3.2292261781286025E-2</v>
      </c>
      <c r="R48" s="8">
        <f t="shared" si="17"/>
        <v>0.2644602000311469</v>
      </c>
      <c r="S48" s="8">
        <f t="shared" si="17"/>
        <v>0.16961181608518996</v>
      </c>
      <c r="T48" s="8">
        <f t="shared" si="17"/>
        <v>0.21012817633121395</v>
      </c>
      <c r="U48" s="8">
        <f t="shared" si="17"/>
        <v>0.17681490883256332</v>
      </c>
      <c r="V48" s="8">
        <f t="shared" si="17"/>
        <v>7.2160790260461571E-2</v>
      </c>
      <c r="W48" s="8" t="e">
        <f t="shared" si="17"/>
        <v>#DIV/0!</v>
      </c>
      <c r="X48" s="8" t="e">
        <f t="shared" si="17"/>
        <v>#DIV/0!</v>
      </c>
      <c r="Y48" s="8" t="e">
        <f t="shared" si="17"/>
        <v>#DIV/0!</v>
      </c>
      <c r="Z48" s="8" t="e">
        <f t="shared" si="17"/>
        <v>#DIV/0!</v>
      </c>
      <c r="AA48" s="8" t="e">
        <f t="shared" si="17"/>
        <v>#DIV/0!</v>
      </c>
      <c r="AB48" s="8" t="e">
        <f t="shared" si="17"/>
        <v>#DIV/0!</v>
      </c>
      <c r="AC48" s="8" t="e">
        <f t="shared" si="17"/>
        <v>#DIV/0!</v>
      </c>
      <c r="AD48" s="8" t="e">
        <f t="shared" si="17"/>
        <v>#DIV/0!</v>
      </c>
      <c r="AE48" s="8" t="e">
        <f t="shared" si="17"/>
        <v>#DIV/0!</v>
      </c>
      <c r="AF48" s="8" t="e">
        <f t="shared" si="17"/>
        <v>#DIV/0!</v>
      </c>
      <c r="AG48" s="8" t="e">
        <f t="shared" si="17"/>
        <v>#DIV/0!</v>
      </c>
      <c r="AH48" s="8" t="e">
        <f t="shared" si="17"/>
        <v>#DIV/0!</v>
      </c>
      <c r="AI48" s="8" t="e">
        <f t="shared" si="17"/>
        <v>#DIV/0!</v>
      </c>
      <c r="AJ48" s="8" t="e">
        <f t="shared" si="17"/>
        <v>#DIV/0!</v>
      </c>
      <c r="AK48" s="8" t="e">
        <f t="shared" si="17"/>
        <v>#DIV/0!</v>
      </c>
    </row>
    <row r="49" spans="1:37"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224" t="s">
        <v>44</v>
      </c>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6"/>
    </row>
    <row r="51" spans="1:37" ht="15.75" thickBot="1" x14ac:dyDescent="0.3"/>
    <row r="52" spans="1:37" x14ac:dyDescent="0.25">
      <c r="A52" s="45" t="str">
        <f t="shared" ref="A52:H52" si="18">A27</f>
        <v>Noms des groupes</v>
      </c>
      <c r="B52" s="46" t="str">
        <f t="shared" si="18"/>
        <v>Témoin solvant</v>
      </c>
      <c r="C52" s="46" t="str">
        <f t="shared" si="18"/>
        <v>EE2-33.8ng/L</v>
      </c>
      <c r="D52" s="46" t="str">
        <f t="shared" si="18"/>
        <v>EE2-50.6ng/L</v>
      </c>
      <c r="E52" s="46" t="str">
        <f t="shared" si="18"/>
        <v>EE2-76ng/L</v>
      </c>
      <c r="F52" s="46" t="str">
        <f t="shared" si="18"/>
        <v>EE2-114ng/L</v>
      </c>
      <c r="G52" s="46" t="str">
        <f t="shared" si="18"/>
        <v>EE2-170.9ng/L</v>
      </c>
      <c r="H52" s="46" t="str">
        <f t="shared" si="18"/>
        <v>EE2-488ng/L</v>
      </c>
      <c r="I52" s="46" t="str">
        <f>I4</f>
        <v>Prochloraz-0,063mg/L</v>
      </c>
      <c r="J52" s="46" t="str">
        <f>J4</f>
        <v>Prochloraz-0,13mg/L</v>
      </c>
      <c r="K52" s="46" t="str">
        <f t="shared" ref="K52:M52" si="19">K4</f>
        <v>Prochloraz-0,25mg/L</v>
      </c>
      <c r="L52" s="46" t="str">
        <f t="shared" si="19"/>
        <v>Prochloraz-0,5mg/L</v>
      </c>
      <c r="M52" s="46" t="str">
        <f t="shared" si="19"/>
        <v>Prochloraz-1mg/L</v>
      </c>
      <c r="N52" s="47"/>
      <c r="O52" s="46" t="str">
        <f>O27</f>
        <v>Testo -30µg/L</v>
      </c>
      <c r="P52" s="46" t="str">
        <f>P27</f>
        <v>Testo 30µg/L + EE2 -64ng/L</v>
      </c>
      <c r="Q52" s="46" t="str">
        <f>Q27</f>
        <v>Testo 30µg/L + FAD-10mg/L</v>
      </c>
      <c r="R52" s="46" t="str">
        <f>R27</f>
        <v>Prochloraz-0.063mg/L + Testostérone</v>
      </c>
      <c r="S52" s="46" t="str">
        <f t="shared" ref="S52:AK52" si="20">S27</f>
        <v>Prochloraz-0.13mg/L + Testostérone</v>
      </c>
      <c r="T52" s="46" t="str">
        <f t="shared" si="20"/>
        <v>Prochloraz-0.25mg/L + Testostérone</v>
      </c>
      <c r="U52" s="46" t="str">
        <f t="shared" si="20"/>
        <v>Prochloraz-0.5mg/L + Testostérone</v>
      </c>
      <c r="V52" s="46" t="str">
        <f t="shared" si="20"/>
        <v>Prochloraz-1mg/L + Testostérone</v>
      </c>
      <c r="W52" s="46" t="str">
        <f t="shared" si="20"/>
        <v>0-00 + Testostérone</v>
      </c>
      <c r="X52" s="46" t="str">
        <f t="shared" si="20"/>
        <v>0-00 + Testostérone</v>
      </c>
      <c r="Y52" s="46" t="str">
        <f t="shared" si="20"/>
        <v>0-00 + Testostérone</v>
      </c>
      <c r="Z52" s="46" t="str">
        <f t="shared" si="20"/>
        <v>0-00 + Testostérone</v>
      </c>
      <c r="AA52" s="46" t="str">
        <f t="shared" si="20"/>
        <v>0-00 + Testostérone</v>
      </c>
      <c r="AB52" s="46" t="str">
        <f t="shared" si="20"/>
        <v>0-00 + Testostérone</v>
      </c>
      <c r="AC52" s="46" t="str">
        <f t="shared" si="20"/>
        <v>0-00 + Testostérone</v>
      </c>
      <c r="AD52" s="46" t="str">
        <f t="shared" si="20"/>
        <v>0-00 + Testostérone</v>
      </c>
      <c r="AE52" s="46" t="str">
        <f t="shared" si="20"/>
        <v>0-00 + Testostérone</v>
      </c>
      <c r="AF52" s="46" t="str">
        <f t="shared" si="20"/>
        <v>0-00 + Testostérone</v>
      </c>
      <c r="AG52" s="46" t="str">
        <f t="shared" si="20"/>
        <v>0-00 + Testostérone</v>
      </c>
      <c r="AH52" s="46" t="str">
        <f t="shared" si="20"/>
        <v>0-00 + Testostérone</v>
      </c>
      <c r="AI52" s="46" t="str">
        <f t="shared" si="20"/>
        <v>0-00 + Testostérone</v>
      </c>
      <c r="AJ52" s="46" t="str">
        <f t="shared" si="20"/>
        <v>0-00 + Testostérone</v>
      </c>
      <c r="AK52" s="46" t="str">
        <f t="shared" si="20"/>
        <v>0-00 + Testostérone</v>
      </c>
    </row>
    <row r="53" spans="1:37" s="3" customFormat="1" x14ac:dyDescent="0.25">
      <c r="A53" s="64" t="s">
        <v>32</v>
      </c>
      <c r="B53" s="145">
        <f t="shared" ref="B53:AK53" si="21">B46</f>
        <v>0.11359420478039334</v>
      </c>
      <c r="C53" s="145">
        <f t="shared" si="21"/>
        <v>4.9391841407717518E-2</v>
      </c>
      <c r="D53" s="145">
        <f t="shared" si="21"/>
        <v>0.15417035508723126</v>
      </c>
      <c r="E53" s="145">
        <f t="shared" si="21"/>
        <v>0.24584670345400292</v>
      </c>
      <c r="F53" s="145">
        <f t="shared" si="21"/>
        <v>0.92180987007146975</v>
      </c>
      <c r="G53" s="145">
        <f t="shared" si="21"/>
        <v>1.6552826724431999</v>
      </c>
      <c r="H53" s="145">
        <f t="shared" si="21"/>
        <v>2.7097241311248994</v>
      </c>
      <c r="I53" s="145">
        <f t="shared" si="21"/>
        <v>0.12190854925691638</v>
      </c>
      <c r="J53" s="145">
        <f t="shared" si="21"/>
        <v>0.12734523420486271</v>
      </c>
      <c r="K53" s="145">
        <f t="shared" si="21"/>
        <v>0.13645874891226681</v>
      </c>
      <c r="L53" s="145">
        <f t="shared" si="21"/>
        <v>0.14435255341077927</v>
      </c>
      <c r="M53" s="145">
        <f t="shared" si="21"/>
        <v>0.24757605901818092</v>
      </c>
      <c r="N53" s="145"/>
      <c r="O53" s="145">
        <f t="shared" si="21"/>
        <v>1.0000000000000002</v>
      </c>
      <c r="P53" s="145">
        <f t="shared" si="21"/>
        <v>1.6398925302656242</v>
      </c>
      <c r="Q53" s="145">
        <f t="shared" si="21"/>
        <v>0.11770359869337851</v>
      </c>
      <c r="R53" s="145">
        <f t="shared" si="21"/>
        <v>0.5465954992367501</v>
      </c>
      <c r="S53" s="145">
        <f t="shared" si="21"/>
        <v>0.70137019017049596</v>
      </c>
      <c r="T53" s="145">
        <f t="shared" si="21"/>
        <v>0.64571131097600387</v>
      </c>
      <c r="U53" s="145">
        <f t="shared" si="21"/>
        <v>1.1282997199738305</v>
      </c>
      <c r="V53" s="145">
        <f t="shared" si="21"/>
        <v>0.48240105690418078</v>
      </c>
      <c r="W53" s="145" t="e">
        <f t="shared" si="21"/>
        <v>#DIV/0!</v>
      </c>
      <c r="X53" s="145" t="e">
        <f t="shared" si="21"/>
        <v>#DIV/0!</v>
      </c>
      <c r="Y53" s="145" t="e">
        <f t="shared" si="21"/>
        <v>#DIV/0!</v>
      </c>
      <c r="Z53" s="145" t="e">
        <f t="shared" si="21"/>
        <v>#DIV/0!</v>
      </c>
      <c r="AA53" s="145" t="e">
        <f t="shared" si="21"/>
        <v>#DIV/0!</v>
      </c>
      <c r="AB53" s="145" t="e">
        <f t="shared" si="21"/>
        <v>#DIV/0!</v>
      </c>
      <c r="AC53" s="145" t="e">
        <f t="shared" si="21"/>
        <v>#DIV/0!</v>
      </c>
      <c r="AD53" s="145" t="e">
        <f t="shared" si="21"/>
        <v>#DIV/0!</v>
      </c>
      <c r="AE53" s="145" t="e">
        <f t="shared" si="21"/>
        <v>#DIV/0!</v>
      </c>
      <c r="AF53" s="145" t="e">
        <f t="shared" si="21"/>
        <v>#DIV/0!</v>
      </c>
      <c r="AG53" s="145" t="e">
        <f t="shared" si="21"/>
        <v>#DIV/0!</v>
      </c>
      <c r="AH53" s="145" t="e">
        <f t="shared" si="21"/>
        <v>#DIV/0!</v>
      </c>
      <c r="AI53" s="145" t="e">
        <f t="shared" si="21"/>
        <v>#DIV/0!</v>
      </c>
      <c r="AJ53" s="145" t="e">
        <f t="shared" si="21"/>
        <v>#DIV/0!</v>
      </c>
      <c r="AK53" s="145" t="e">
        <f t="shared" si="21"/>
        <v>#DIV/0!</v>
      </c>
    </row>
    <row r="54" spans="1:37" s="3" customFormat="1" x14ac:dyDescent="0.25">
      <c r="A54" s="64" t="s">
        <v>2</v>
      </c>
      <c r="B54" s="145">
        <f t="shared" ref="B54:AK54" si="22">B48</f>
        <v>3.5239828271144524E-2</v>
      </c>
      <c r="C54" s="145">
        <f t="shared" si="22"/>
        <v>1.3746311121568962E-2</v>
      </c>
      <c r="D54" s="145">
        <f t="shared" si="22"/>
        <v>6.8102667527604729E-2</v>
      </c>
      <c r="E54" s="145">
        <f t="shared" si="22"/>
        <v>7.1973622209703506E-2</v>
      </c>
      <c r="F54" s="145">
        <f t="shared" si="22"/>
        <v>0.20789296550057199</v>
      </c>
      <c r="G54" s="145">
        <f t="shared" si="22"/>
        <v>0.22764225586280012</v>
      </c>
      <c r="H54" s="145">
        <f t="shared" si="22"/>
        <v>0.29049250548501793</v>
      </c>
      <c r="I54" s="145">
        <f t="shared" si="22"/>
        <v>2.1338744655978754E-2</v>
      </c>
      <c r="J54" s="145">
        <f t="shared" si="22"/>
        <v>3.3473276412832306E-2</v>
      </c>
      <c r="K54" s="145">
        <f t="shared" si="22"/>
        <v>2.4415708838012702E-2</v>
      </c>
      <c r="L54" s="145">
        <f t="shared" si="22"/>
        <v>3.8849359923643877E-2</v>
      </c>
      <c r="M54" s="145">
        <f t="shared" si="22"/>
        <v>2.9294353421746494E-2</v>
      </c>
      <c r="N54" s="145"/>
      <c r="O54" s="145">
        <f t="shared" si="22"/>
        <v>0.1237766778101316</v>
      </c>
      <c r="P54" s="145">
        <f t="shared" si="22"/>
        <v>0.23506320583332604</v>
      </c>
      <c r="Q54" s="145">
        <f t="shared" si="22"/>
        <v>3.2292261781286025E-2</v>
      </c>
      <c r="R54" s="145">
        <f t="shared" si="22"/>
        <v>0.2644602000311469</v>
      </c>
      <c r="S54" s="145">
        <f t="shared" si="22"/>
        <v>0.16961181608518996</v>
      </c>
      <c r="T54" s="145">
        <f t="shared" si="22"/>
        <v>0.21012817633121395</v>
      </c>
      <c r="U54" s="145">
        <f t="shared" si="22"/>
        <v>0.17681490883256332</v>
      </c>
      <c r="V54" s="145">
        <f t="shared" si="22"/>
        <v>7.2160790260461571E-2</v>
      </c>
      <c r="W54" s="145" t="e">
        <f t="shared" si="22"/>
        <v>#DIV/0!</v>
      </c>
      <c r="X54" s="145" t="e">
        <f t="shared" si="22"/>
        <v>#DIV/0!</v>
      </c>
      <c r="Y54" s="145" t="e">
        <f t="shared" si="22"/>
        <v>#DIV/0!</v>
      </c>
      <c r="Z54" s="145" t="e">
        <f t="shared" si="22"/>
        <v>#DIV/0!</v>
      </c>
      <c r="AA54" s="145" t="e">
        <f t="shared" si="22"/>
        <v>#DIV/0!</v>
      </c>
      <c r="AB54" s="145" t="e">
        <f t="shared" si="22"/>
        <v>#DIV/0!</v>
      </c>
      <c r="AC54" s="145" t="e">
        <f t="shared" si="22"/>
        <v>#DIV/0!</v>
      </c>
      <c r="AD54" s="145" t="e">
        <f t="shared" si="22"/>
        <v>#DIV/0!</v>
      </c>
      <c r="AE54" s="145" t="e">
        <f t="shared" si="22"/>
        <v>#DIV/0!</v>
      </c>
      <c r="AF54" s="145" t="e">
        <f t="shared" si="22"/>
        <v>#DIV/0!</v>
      </c>
      <c r="AG54" s="145" t="e">
        <f t="shared" si="22"/>
        <v>#DIV/0!</v>
      </c>
      <c r="AH54" s="145" t="e">
        <f t="shared" si="22"/>
        <v>#DIV/0!</v>
      </c>
      <c r="AI54" s="145" t="e">
        <f t="shared" si="22"/>
        <v>#DIV/0!</v>
      </c>
      <c r="AJ54" s="145" t="e">
        <f t="shared" si="22"/>
        <v>#DIV/0!</v>
      </c>
      <c r="AK54" s="145" t="e">
        <f t="shared" si="22"/>
        <v>#DIV/0!</v>
      </c>
    </row>
    <row r="55" spans="1:37" s="3" customFormat="1" x14ac:dyDescent="0.25">
      <c r="A55" s="64" t="s">
        <v>79</v>
      </c>
      <c r="B55" s="145">
        <f>(B53*100/$B53)-100</f>
        <v>0</v>
      </c>
      <c r="C55" s="145">
        <f t="shared" ref="C55:M55" si="23">(C53*100/$B53)-100</f>
        <v>-56.519048217992648</v>
      </c>
      <c r="D55" s="145">
        <f t="shared" si="23"/>
        <v>35.72026441426479</v>
      </c>
      <c r="E55" s="145">
        <f t="shared" si="23"/>
        <v>116.42539241265652</v>
      </c>
      <c r="F55" s="145">
        <f t="shared" si="23"/>
        <v>711.49374816573095</v>
      </c>
      <c r="G55" s="145">
        <f t="shared" si="23"/>
        <v>1357.1893659921163</v>
      </c>
      <c r="H55" s="145">
        <f t="shared" si="23"/>
        <v>2285.4422295252557</v>
      </c>
      <c r="I55" s="145">
        <f t="shared" si="23"/>
        <v>7.3193385988279971</v>
      </c>
      <c r="J55" s="145">
        <f t="shared" si="23"/>
        <v>12.105396970781769</v>
      </c>
      <c r="K55" s="145">
        <f t="shared" si="23"/>
        <v>20.128266381261696</v>
      </c>
      <c r="L55" s="145">
        <f t="shared" si="23"/>
        <v>27.077392451357611</v>
      </c>
      <c r="M55" s="145">
        <f t="shared" si="23"/>
        <v>117.94779011553342</v>
      </c>
      <c r="N55" s="145"/>
      <c r="O55" s="145">
        <f>(O53*100/$O53)-100</f>
        <v>0</v>
      </c>
      <c r="P55" s="145">
        <f t="shared" ref="P55:AK55" si="24">(P53*100/$O53)-100</f>
        <v>63.98925302656238</v>
      </c>
      <c r="Q55" s="145">
        <f t="shared" si="24"/>
        <v>-88.229640130662148</v>
      </c>
      <c r="R55" s="145">
        <f t="shared" si="24"/>
        <v>-45.340450076325006</v>
      </c>
      <c r="S55" s="145">
        <f t="shared" si="24"/>
        <v>-29.862980982950418</v>
      </c>
      <c r="T55" s="145">
        <f t="shared" si="24"/>
        <v>-35.428868902399628</v>
      </c>
      <c r="U55" s="145">
        <f t="shared" si="24"/>
        <v>12.829971997383026</v>
      </c>
      <c r="V55" s="145">
        <f t="shared" si="24"/>
        <v>-51.759894309581938</v>
      </c>
      <c r="W55" s="145" t="e">
        <f t="shared" si="24"/>
        <v>#DIV/0!</v>
      </c>
      <c r="X55" s="145" t="e">
        <f t="shared" si="24"/>
        <v>#DIV/0!</v>
      </c>
      <c r="Y55" s="145" t="e">
        <f t="shared" si="24"/>
        <v>#DIV/0!</v>
      </c>
      <c r="Z55" s="145" t="e">
        <f t="shared" si="24"/>
        <v>#DIV/0!</v>
      </c>
      <c r="AA55" s="145" t="e">
        <f t="shared" si="24"/>
        <v>#DIV/0!</v>
      </c>
      <c r="AB55" s="145" t="e">
        <f t="shared" si="24"/>
        <v>#DIV/0!</v>
      </c>
      <c r="AC55" s="145" t="e">
        <f t="shared" si="24"/>
        <v>#DIV/0!</v>
      </c>
      <c r="AD55" s="145" t="e">
        <f t="shared" si="24"/>
        <v>#DIV/0!</v>
      </c>
      <c r="AE55" s="145" t="e">
        <f t="shared" si="24"/>
        <v>#DIV/0!</v>
      </c>
      <c r="AF55" s="145" t="e">
        <f t="shared" si="24"/>
        <v>#DIV/0!</v>
      </c>
      <c r="AG55" s="145" t="e">
        <f t="shared" si="24"/>
        <v>#DIV/0!</v>
      </c>
      <c r="AH55" s="145" t="e">
        <f t="shared" si="24"/>
        <v>#DIV/0!</v>
      </c>
      <c r="AI55" s="145" t="e">
        <f t="shared" si="24"/>
        <v>#DIV/0!</v>
      </c>
      <c r="AJ55" s="145" t="e">
        <f t="shared" si="24"/>
        <v>#DIV/0!</v>
      </c>
      <c r="AK55" s="145" t="e">
        <f t="shared" si="24"/>
        <v>#DIV/0!</v>
      </c>
    </row>
    <row r="56" spans="1:37" s="3" customFormat="1" x14ac:dyDescent="0.25">
      <c r="A56" s="64" t="s">
        <v>81</v>
      </c>
      <c r="B56" s="145" t="e">
        <f ca="1">[1]!SWTEST(B28:B43)</f>
        <v>#NAME?</v>
      </c>
      <c r="C56" s="145" t="e">
        <f ca="1">[1]!SWTEST(C28:C43)</f>
        <v>#NAME?</v>
      </c>
      <c r="D56" s="145" t="e">
        <f ca="1">[1]!SWTEST(D28:D43)</f>
        <v>#NAME?</v>
      </c>
      <c r="E56" s="145" t="e">
        <f ca="1">[1]!SWTEST(E28:E43)</f>
        <v>#NAME?</v>
      </c>
      <c r="F56" s="145" t="e">
        <f ca="1">[1]!SWTEST(F28:F43)</f>
        <v>#NAME?</v>
      </c>
      <c r="G56" s="145" t="e">
        <f ca="1">[1]!SWTEST(G28:G43)</f>
        <v>#NAME?</v>
      </c>
      <c r="H56" s="145" t="e">
        <f ca="1">[1]!SWTEST(H28:H43)</f>
        <v>#NAME?</v>
      </c>
      <c r="I56" s="145" t="e">
        <f ca="1">[1]!SWTEST(I28:I43)</f>
        <v>#NAME?</v>
      </c>
      <c r="J56" s="145" t="e">
        <f ca="1">[1]!SWTEST(J28:J43)</f>
        <v>#NAME?</v>
      </c>
      <c r="K56" s="145" t="e">
        <f ca="1">[1]!SWTEST(K28:K43)</f>
        <v>#NAME?</v>
      </c>
      <c r="L56" s="145" t="e">
        <f ca="1">[1]!SWTEST(L28:L43)</f>
        <v>#NAME?</v>
      </c>
      <c r="M56" s="145" t="e">
        <f ca="1">[1]!SWTEST(M28:M43)</f>
        <v>#NAME?</v>
      </c>
      <c r="N56" s="145"/>
      <c r="O56" s="145" t="e">
        <f ca="1">[1]!SWTEST(O28:O43)</f>
        <v>#NAME?</v>
      </c>
      <c r="P56" s="145" t="e">
        <f ca="1">[1]!SWTEST(P28:P43)</f>
        <v>#NAME?</v>
      </c>
      <c r="Q56" s="145" t="e">
        <f ca="1">[1]!SWTEST(Q28:Q43)</f>
        <v>#NAME?</v>
      </c>
      <c r="R56" s="145" t="e">
        <f ca="1">[1]!SWTEST(R28:R43)</f>
        <v>#NAME?</v>
      </c>
      <c r="S56" s="145" t="e">
        <f ca="1">[1]!SWTEST(S28:S43)</f>
        <v>#NAME?</v>
      </c>
      <c r="T56" s="145" t="e">
        <f ca="1">[1]!SWTEST(T28:T43)</f>
        <v>#NAME?</v>
      </c>
      <c r="U56" s="145" t="e">
        <f ca="1">[1]!SWTEST(U28:U43)</f>
        <v>#NAME?</v>
      </c>
      <c r="V56" s="145" t="e">
        <f ca="1">[1]!SWTEST(V28:V43)</f>
        <v>#NAME?</v>
      </c>
      <c r="W56" s="145" t="e">
        <f ca="1">[1]!SWTEST(W28:W43)</f>
        <v>#NAME?</v>
      </c>
      <c r="X56" s="145" t="e">
        <f ca="1">[1]!SWTEST(X28:X43)</f>
        <v>#NAME?</v>
      </c>
      <c r="Y56" s="145" t="e">
        <f ca="1">[1]!SWTEST(Y28:Y43)</f>
        <v>#NAME?</v>
      </c>
      <c r="Z56" s="145" t="e">
        <f ca="1">[1]!SWTEST(Z28:Z43)</f>
        <v>#NAME?</v>
      </c>
      <c r="AA56" s="145" t="e">
        <f ca="1">[1]!SWTEST(AA28:AA43)</f>
        <v>#NAME?</v>
      </c>
      <c r="AB56" s="145" t="e">
        <f ca="1">[1]!SWTEST(AB28:AB43)</f>
        <v>#NAME?</v>
      </c>
      <c r="AC56" s="145" t="e">
        <f ca="1">[1]!SWTEST(AC28:AC43)</f>
        <v>#NAME?</v>
      </c>
      <c r="AD56" s="145" t="e">
        <f ca="1">[1]!SWTEST(AD28:AD43)</f>
        <v>#NAME?</v>
      </c>
      <c r="AE56" s="145" t="e">
        <f ca="1">[1]!SWTEST(AE28:AE43)</f>
        <v>#NAME?</v>
      </c>
      <c r="AF56" s="145" t="e">
        <f ca="1">[1]!SWTEST(AF28:AF43)</f>
        <v>#NAME?</v>
      </c>
      <c r="AG56" s="145" t="e">
        <f ca="1">[1]!SWTEST(AG28:AG43)</f>
        <v>#NAME?</v>
      </c>
      <c r="AH56" s="145" t="e">
        <f ca="1">[1]!SWTEST(AH28:AH43)</f>
        <v>#NAME?</v>
      </c>
      <c r="AI56" s="145" t="e">
        <f ca="1">[1]!SWTEST(AI28:AI43)</f>
        <v>#NAME?</v>
      </c>
      <c r="AJ56" s="145" t="e">
        <f ca="1">[1]!SWTEST(AJ28:AJ43)</f>
        <v>#NAME?</v>
      </c>
      <c r="AK56" s="145" t="e">
        <f ca="1">[1]!SWTEST(AK28:AK43)</f>
        <v>#NAME?</v>
      </c>
    </row>
    <row r="57" spans="1:37" s="3" customFormat="1" x14ac:dyDescent="0.25">
      <c r="A57" s="64" t="s">
        <v>85</v>
      </c>
      <c r="B57" s="145" t="e">
        <f ca="1">IF(B56&gt;0.05,"Oui","Non")</f>
        <v>#NAME?</v>
      </c>
      <c r="C57" s="145" t="e">
        <f t="shared" ref="C57:AK57" ca="1" si="25">IF(C56&gt;0.05,"Oui","Non")</f>
        <v>#NAME?</v>
      </c>
      <c r="D57" s="145" t="e">
        <f t="shared" ca="1" si="25"/>
        <v>#NAME?</v>
      </c>
      <c r="E57" s="145" t="e">
        <f t="shared" ca="1" si="25"/>
        <v>#NAME?</v>
      </c>
      <c r="F57" s="145" t="e">
        <f t="shared" ca="1" si="25"/>
        <v>#NAME?</v>
      </c>
      <c r="G57" s="145" t="e">
        <f t="shared" ca="1" si="25"/>
        <v>#NAME?</v>
      </c>
      <c r="H57" s="145" t="e">
        <f t="shared" ca="1" si="25"/>
        <v>#NAME?</v>
      </c>
      <c r="I57" s="145" t="e">
        <f t="shared" ca="1" si="25"/>
        <v>#NAME?</v>
      </c>
      <c r="J57" s="145" t="e">
        <f t="shared" ca="1" si="25"/>
        <v>#NAME?</v>
      </c>
      <c r="K57" s="145" t="e">
        <f t="shared" ca="1" si="25"/>
        <v>#NAME?</v>
      </c>
      <c r="L57" s="145" t="e">
        <f t="shared" ca="1" si="25"/>
        <v>#NAME?</v>
      </c>
      <c r="M57" s="145" t="e">
        <f t="shared" ca="1" si="25"/>
        <v>#NAME?</v>
      </c>
      <c r="N57" s="145"/>
      <c r="O57" s="145" t="e">
        <f t="shared" ca="1" si="25"/>
        <v>#NAME?</v>
      </c>
      <c r="P57" s="145" t="e">
        <f t="shared" ca="1" si="25"/>
        <v>#NAME?</v>
      </c>
      <c r="Q57" s="145" t="e">
        <f t="shared" ca="1" si="25"/>
        <v>#NAME?</v>
      </c>
      <c r="R57" s="145" t="e">
        <f t="shared" ca="1" si="25"/>
        <v>#NAME?</v>
      </c>
      <c r="S57" s="145" t="e">
        <f t="shared" ca="1" si="25"/>
        <v>#NAME?</v>
      </c>
      <c r="T57" s="145" t="e">
        <f t="shared" ca="1" si="25"/>
        <v>#NAME?</v>
      </c>
      <c r="U57" s="145" t="e">
        <f t="shared" ca="1" si="25"/>
        <v>#NAME?</v>
      </c>
      <c r="V57" s="145" t="e">
        <f t="shared" ca="1" si="25"/>
        <v>#NAME?</v>
      </c>
      <c r="W57" s="145" t="e">
        <f t="shared" ca="1" si="25"/>
        <v>#NAME?</v>
      </c>
      <c r="X57" s="145" t="e">
        <f t="shared" ca="1" si="25"/>
        <v>#NAME?</v>
      </c>
      <c r="Y57" s="145" t="e">
        <f t="shared" ca="1" si="25"/>
        <v>#NAME?</v>
      </c>
      <c r="Z57" s="145" t="e">
        <f t="shared" ca="1" si="25"/>
        <v>#NAME?</v>
      </c>
      <c r="AA57" s="145" t="e">
        <f t="shared" ca="1" si="25"/>
        <v>#NAME?</v>
      </c>
      <c r="AB57" s="145" t="e">
        <f t="shared" ca="1" si="25"/>
        <v>#NAME?</v>
      </c>
      <c r="AC57" s="145" t="e">
        <f t="shared" ca="1" si="25"/>
        <v>#NAME?</v>
      </c>
      <c r="AD57" s="145" t="e">
        <f t="shared" ca="1" si="25"/>
        <v>#NAME?</v>
      </c>
      <c r="AE57" s="145" t="e">
        <f t="shared" ca="1" si="25"/>
        <v>#NAME?</v>
      </c>
      <c r="AF57" s="145" t="e">
        <f t="shared" ca="1" si="25"/>
        <v>#NAME?</v>
      </c>
      <c r="AG57" s="145" t="e">
        <f t="shared" ca="1" si="25"/>
        <v>#NAME?</v>
      </c>
      <c r="AH57" s="145" t="e">
        <f t="shared" ca="1" si="25"/>
        <v>#NAME?</v>
      </c>
      <c r="AI57" s="145" t="e">
        <f t="shared" ca="1" si="25"/>
        <v>#NAME?</v>
      </c>
      <c r="AJ57" s="145" t="e">
        <f t="shared" ca="1" si="25"/>
        <v>#NAME?</v>
      </c>
      <c r="AK57" s="145" t="e">
        <f t="shared" ca="1" si="25"/>
        <v>#NAME?</v>
      </c>
    </row>
    <row r="58" spans="1:37" s="3" customFormat="1" x14ac:dyDescent="0.25">
      <c r="A58" s="64"/>
      <c r="B58" s="145"/>
      <c r="C58" s="145"/>
      <c r="D58" s="145"/>
      <c r="E58" s="145"/>
      <c r="F58" s="145"/>
      <c r="G58" s="145"/>
      <c r="H58" s="145"/>
      <c r="I58" s="145"/>
      <c r="J58" s="145"/>
      <c r="K58" s="145"/>
      <c r="L58" s="145"/>
      <c r="M58" s="145"/>
      <c r="N58" s="152"/>
      <c r="O58" s="153"/>
      <c r="P58" s="145"/>
      <c r="Q58" s="145"/>
      <c r="R58" s="145"/>
      <c r="S58" s="145"/>
      <c r="T58" s="145"/>
      <c r="U58" s="145"/>
      <c r="V58" s="145"/>
      <c r="W58" s="145"/>
      <c r="X58" s="145"/>
      <c r="Y58" s="145"/>
      <c r="Z58" s="145"/>
      <c r="AA58" s="145"/>
      <c r="AB58" s="145"/>
      <c r="AC58" s="145"/>
      <c r="AD58" s="145"/>
      <c r="AE58" s="154"/>
      <c r="AF58" s="154"/>
      <c r="AG58" s="154"/>
      <c r="AH58" s="154"/>
      <c r="AI58" s="154"/>
      <c r="AJ58" s="154"/>
      <c r="AK58" s="155"/>
    </row>
    <row r="59" spans="1:37" s="3" customFormat="1" x14ac:dyDescent="0.25">
      <c r="A59" s="64" t="s">
        <v>82</v>
      </c>
      <c r="B59" s="156"/>
      <c r="C59" s="156" t="e">
        <f t="shared" ref="C59:O59" ca="1" si="26">IF($B57="Non",IF(C57="Non","MW",IF(C57="Oui","MW","")),IF($B57="Oui",IF(C57="Oui","T-Test Welch",IF(C57="Non","MW",""))))</f>
        <v>#NAME?</v>
      </c>
      <c r="D59" s="156" t="e">
        <f t="shared" ca="1" si="26"/>
        <v>#NAME?</v>
      </c>
      <c r="E59" s="156" t="e">
        <f t="shared" ca="1" si="26"/>
        <v>#NAME?</v>
      </c>
      <c r="F59" s="156" t="e">
        <f t="shared" ca="1" si="26"/>
        <v>#NAME?</v>
      </c>
      <c r="G59" s="156" t="e">
        <f t="shared" ca="1" si="26"/>
        <v>#NAME?</v>
      </c>
      <c r="H59" s="156" t="e">
        <f t="shared" ca="1" si="26"/>
        <v>#NAME?</v>
      </c>
      <c r="I59" s="156" t="e">
        <f t="shared" ca="1" si="26"/>
        <v>#NAME?</v>
      </c>
      <c r="J59" s="156" t="e">
        <f t="shared" ca="1" si="26"/>
        <v>#NAME?</v>
      </c>
      <c r="K59" s="156" t="e">
        <f t="shared" ca="1" si="26"/>
        <v>#NAME?</v>
      </c>
      <c r="L59" s="156" t="e">
        <f t="shared" ca="1" si="26"/>
        <v>#NAME?</v>
      </c>
      <c r="M59" s="156" t="e">
        <f t="shared" ca="1" si="26"/>
        <v>#NAME?</v>
      </c>
      <c r="N59" s="156"/>
      <c r="O59" s="156" t="e">
        <f t="shared" ca="1" si="26"/>
        <v>#NAME?</v>
      </c>
      <c r="P59" s="156" t="e">
        <f ca="1">IF($O57="Non",IF(P57="Non","MW",IF(P57="Oui","MW","")),IF($O57="Oui",IF(P57="Oui","T-Test Welch",IF(P57="Non","MW",""))))</f>
        <v>#NAME?</v>
      </c>
      <c r="Q59" s="156" t="e">
        <f t="shared" ref="Q59:AK59" ca="1" si="27">IF($O57="Non",IF(Q57="Non","MW",IF(Q57="Oui","MW","")),IF($O57="Oui",IF(Q57="Oui","T-Test Welch",IF(Q57="Non","MW",""))))</f>
        <v>#NAME?</v>
      </c>
      <c r="R59" s="156" t="e">
        <f t="shared" ca="1" si="27"/>
        <v>#NAME?</v>
      </c>
      <c r="S59" s="156" t="e">
        <f t="shared" ca="1" si="27"/>
        <v>#NAME?</v>
      </c>
      <c r="T59" s="156" t="e">
        <f t="shared" ca="1" si="27"/>
        <v>#NAME?</v>
      </c>
      <c r="U59" s="156" t="e">
        <f t="shared" ca="1" si="27"/>
        <v>#NAME?</v>
      </c>
      <c r="V59" s="156" t="e">
        <f t="shared" ca="1" si="27"/>
        <v>#NAME?</v>
      </c>
      <c r="W59" s="156" t="e">
        <f t="shared" ca="1" si="27"/>
        <v>#NAME?</v>
      </c>
      <c r="X59" s="156" t="e">
        <f t="shared" ca="1" si="27"/>
        <v>#NAME?</v>
      </c>
      <c r="Y59" s="156" t="e">
        <f t="shared" ca="1" si="27"/>
        <v>#NAME?</v>
      </c>
      <c r="Z59" s="156" t="e">
        <f t="shared" ca="1" si="27"/>
        <v>#NAME?</v>
      </c>
      <c r="AA59" s="156" t="e">
        <f t="shared" ca="1" si="27"/>
        <v>#NAME?</v>
      </c>
      <c r="AB59" s="156" t="e">
        <f t="shared" ca="1" si="27"/>
        <v>#NAME?</v>
      </c>
      <c r="AC59" s="156" t="e">
        <f t="shared" ca="1" si="27"/>
        <v>#NAME?</v>
      </c>
      <c r="AD59" s="156" t="e">
        <f t="shared" ca="1" si="27"/>
        <v>#NAME?</v>
      </c>
      <c r="AE59" s="156" t="e">
        <f t="shared" ca="1" si="27"/>
        <v>#NAME?</v>
      </c>
      <c r="AF59" s="156" t="e">
        <f t="shared" ca="1" si="27"/>
        <v>#NAME?</v>
      </c>
      <c r="AG59" s="156" t="e">
        <f t="shared" ca="1" si="27"/>
        <v>#NAME?</v>
      </c>
      <c r="AH59" s="156" t="e">
        <f t="shared" ca="1" si="27"/>
        <v>#NAME?</v>
      </c>
      <c r="AI59" s="156" t="e">
        <f t="shared" ca="1" si="27"/>
        <v>#NAME?</v>
      </c>
      <c r="AJ59" s="156" t="e">
        <f t="shared" ca="1" si="27"/>
        <v>#NAME?</v>
      </c>
      <c r="AK59" s="156" t="e">
        <f t="shared" ca="1" si="27"/>
        <v>#NAME?</v>
      </c>
    </row>
    <row r="60" spans="1:37" s="3" customFormat="1" x14ac:dyDescent="0.25">
      <c r="A60" s="64" t="s">
        <v>83</v>
      </c>
      <c r="B60" s="157"/>
      <c r="C60" s="157" t="e">
        <f ca="1">IF(C59="MW",[1]!MTEST($B28:$B43,C28:C43,2), IF(C59="T-Test Welch",_xlfn.T.TEST($B28:$B43,C28:C43,2,3),""))</f>
        <v>#NAME?</v>
      </c>
      <c r="D60" s="157" t="e">
        <f ca="1">IF(D59="MW",[1]!MTEST($B28:$B43,D28:D43,2), IF(D59="T-Test Welch",_xlfn.T.TEST($B28:$B43,D28:D43,2,3),""))</f>
        <v>#NAME?</v>
      </c>
      <c r="E60" s="157" t="e">
        <f ca="1">IF(E59="MW",[1]!MTEST($B28:$B43,E28:E43,2), IF(E59="T-Test Welch",_xlfn.T.TEST($B28:$B43,E28:E43,2,3),""))</f>
        <v>#NAME?</v>
      </c>
      <c r="F60" s="157" t="e">
        <f ca="1">IF(F59="MW",[1]!MTEST($B28:$B43,F28:F43,2), IF(F59="T-Test Welch",_xlfn.T.TEST($B28:$B43,F28:F43,2,3),""))</f>
        <v>#NAME?</v>
      </c>
      <c r="G60" s="157" t="e">
        <f ca="1">IF(G59="MW",[1]!MTEST($B28:$B43,G28:G43,2), IF(G59="T-Test Welch",_xlfn.T.TEST($B28:$B43,G28:G43,2,3),""))</f>
        <v>#NAME?</v>
      </c>
      <c r="H60" s="157" t="e">
        <f ca="1">IF(H59="MW",[1]!MTEST($B28:$B43,H28:H43,2), IF(H59="T-Test Welch",_xlfn.T.TEST($B28:$B43,H28:H43,2,3),""))</f>
        <v>#NAME?</v>
      </c>
      <c r="I60" s="157" t="e">
        <f ca="1">IF(I59="MW",[1]!MTEST($B28:$B43,I28:I43,2), IF(I59="T-Test Welch",_xlfn.T.TEST($B28:$B43,I28:I43,2,3),""))</f>
        <v>#NAME?</v>
      </c>
      <c r="J60" s="157" t="e">
        <f ca="1">IF(J59="MW",[1]!MTEST($B28:$B43,J28:J43,2), IF(J59="T-Test Welch",_xlfn.T.TEST($B28:$B43,J28:J43,2,3),""))</f>
        <v>#NAME?</v>
      </c>
      <c r="K60" s="157" t="e">
        <f ca="1">IF(K59="MW",[1]!MTEST($B28:$B43,K28:K43,2), IF(K59="T-Test Welch",_xlfn.T.TEST($B28:$B43,K28:K43,2,3),""))</f>
        <v>#NAME?</v>
      </c>
      <c r="L60" s="157" t="e">
        <f ca="1">IF(L59="MW",[1]!MTEST($B28:$B43,L28:L43,2), IF(L59="T-Test Welch",_xlfn.T.TEST($B28:$B43,L28:L43,2,3),""))</f>
        <v>#NAME?</v>
      </c>
      <c r="M60" s="157" t="e">
        <f ca="1">IF(M59="MW",[1]!MTEST($B28:$B43,M28:M43,2), IF(M59="T-Test Welch",_xlfn.T.TEST($B28:$B43,M28:M43,2,3),""))</f>
        <v>#NAME?</v>
      </c>
      <c r="N60" s="157"/>
      <c r="O60" s="157" t="e">
        <f ca="1">IF(O59="MW",[1]!MTEST($B28:$B43,O28:O43,2), IF(O59="T-Test Welch",_xlfn.T.TEST($B28:$B43,O28:O43,2,3),""))</f>
        <v>#NAME?</v>
      </c>
      <c r="P60" s="157" t="e">
        <f ca="1">IF(P59="MW",[1]!MTEST($O28:$O43,P28:P43,2), IF(P59="T-Test Welch",_xlfn.T.TEST($O28:$O43,P28:P43,2,3),""))</f>
        <v>#NAME?</v>
      </c>
      <c r="Q60" s="157" t="e">
        <f ca="1">IF(Q59="MW",[1]!MTEST($O28:$O43,Q28:Q43,2), IF(Q59="T-Test Welch",_xlfn.T.TEST($O28:$O43,Q28:Q43,2,3),""))</f>
        <v>#NAME?</v>
      </c>
      <c r="R60" s="157" t="e">
        <f ca="1">IF(R59="MW",[1]!MTEST($O28:$O43,R28:R43,2), IF(R59="T-Test Welch",_xlfn.T.TEST($O28:$O43,R28:R43,2,3),""))</f>
        <v>#NAME?</v>
      </c>
      <c r="S60" s="157" t="e">
        <f ca="1">IF(S59="MW",[1]!MTEST($O28:$O43,S28:S43,2), IF(S59="T-Test Welch",_xlfn.T.TEST($O28:$O43,S28:S43,2,3),""))</f>
        <v>#NAME?</v>
      </c>
      <c r="T60" s="157" t="e">
        <f ca="1">IF(T59="MW",[1]!MTEST($O28:$O43,T28:T43,2), IF(T59="T-Test Welch",_xlfn.T.TEST($O28:$O43,T28:T43,2,3),""))</f>
        <v>#NAME?</v>
      </c>
      <c r="U60" s="157" t="e">
        <f ca="1">IF(U59="MW",[1]!MTEST($O28:$O43,U28:U43,2), IF(U59="T-Test Welch",_xlfn.T.TEST($O28:$O43,U28:U43,2,3),""))</f>
        <v>#NAME?</v>
      </c>
      <c r="V60" s="157" t="e">
        <f ca="1">IF(V59="MW",[1]!MTEST($O28:$O43,V28:V43,2), IF(V59="T-Test Welch",_xlfn.T.TEST($O28:$O43,V28:V43,2,3),""))</f>
        <v>#NAME?</v>
      </c>
      <c r="W60" s="157" t="e">
        <f ca="1">IF(W59="MW",[1]!MTEST($O28:$O43,W28:W43,2), IF(W59="T-Test Welch",_xlfn.T.TEST($O28:$O43,W28:W43,2,3),""))</f>
        <v>#NAME?</v>
      </c>
      <c r="X60" s="157" t="e">
        <f ca="1">IF(X59="MW",[1]!MTEST($O28:$O43,X28:X43,2), IF(X59="T-Test Welch",_xlfn.T.TEST($O28:$O43,X28:X43,2,3),""))</f>
        <v>#NAME?</v>
      </c>
      <c r="Y60" s="157" t="e">
        <f ca="1">IF(Y59="MW",[1]!MTEST($O28:$O43,Y28:Y43,2), IF(Y59="T-Test Welch",_xlfn.T.TEST($O28:$O43,Y28:Y43,2,3),""))</f>
        <v>#NAME?</v>
      </c>
      <c r="Z60" s="157" t="e">
        <f ca="1">IF(Z59="MW",[1]!MTEST($O28:$O43,Z28:Z43,2), IF(Z59="T-Test Welch",_xlfn.T.TEST($O28:$O43,Z28:Z43,2,3),""))</f>
        <v>#NAME?</v>
      </c>
      <c r="AA60" s="157" t="e">
        <f ca="1">IF(AA59="MW",[1]!MTEST($O28:$O43,AA28:AA43,2), IF(AA59="T-Test Welch",_xlfn.T.TEST($O28:$O43,AA28:AA43,2,3),""))</f>
        <v>#NAME?</v>
      </c>
      <c r="AB60" s="157" t="e">
        <f ca="1">IF(AB59="MW",[1]!MTEST($O28:$O43,AB28:AB43,2), IF(AB59="T-Test Welch",_xlfn.T.TEST($O28:$O43,AB28:AB43,2,3),""))</f>
        <v>#NAME?</v>
      </c>
      <c r="AC60" s="157" t="e">
        <f ca="1">IF(AC59="MW",[1]!MTEST($O28:$O43,AC28:AC43,2), IF(AC59="T-Test Welch",_xlfn.T.TEST($O28:$O43,AC28:AC43,2,3),""))</f>
        <v>#NAME?</v>
      </c>
      <c r="AD60" s="157" t="e">
        <f ca="1">IF(AD59="MW",[1]!MTEST($O28:$O43,AD28:AD43,2), IF(AD59="T-Test Welch",_xlfn.T.TEST($O28:$O43,AD28:AD43,2,3),""))</f>
        <v>#NAME?</v>
      </c>
      <c r="AE60" s="157" t="e">
        <f ca="1">IF(AE59="MW",[1]!MTEST($O28:$O43,AE28:AE43,2), IF(AE59="T-Test Welch",_xlfn.T.TEST($O28:$O43,AE28:AE43,2,3),""))</f>
        <v>#NAME?</v>
      </c>
      <c r="AF60" s="157" t="e">
        <f ca="1">IF(AF59="MW",[1]!MTEST($O28:$O43,AF28:AF43,2), IF(AF59="T-Test Welch",_xlfn.T.TEST($O28:$O43,AF28:AF43,2,3),""))</f>
        <v>#NAME?</v>
      </c>
      <c r="AG60" s="157" t="e">
        <f ca="1">IF(AG59="MW",[1]!MTEST($O28:$O43,AG28:AG43,2), IF(AG59="T-Test Welch",_xlfn.T.TEST($O28:$O43,AG28:AG43,2,3),""))</f>
        <v>#NAME?</v>
      </c>
      <c r="AH60" s="157" t="e">
        <f ca="1">IF(AH59="MW",[1]!MTEST($O28:$O43,AH28:AH43,2), IF(AH59="T-Test Welch",_xlfn.T.TEST($O28:$O43,AH28:AH43,2,3),""))</f>
        <v>#NAME?</v>
      </c>
      <c r="AI60" s="157" t="e">
        <f ca="1">IF(AI59="MW",[1]!MTEST($O28:$O43,AI28:AI43,2), IF(AI59="T-Test Welch",_xlfn.T.TEST($O28:$O43,AI28:AI43,2,3),""))</f>
        <v>#NAME?</v>
      </c>
      <c r="AJ60" s="157" t="e">
        <f ca="1">IF(AJ59="MW",[1]!MTEST($O28:$O43,AJ28:AJ43,2), IF(AJ59="T-Test Welch",_xlfn.T.TEST($O28:$O43,AJ28:AJ43,2,3),""))</f>
        <v>#NAME?</v>
      </c>
      <c r="AK60" s="157" t="e">
        <f ca="1">IF(AK59="MW",[1]!MTEST($O28:$O43,AK28:AK43,2), IF(AK59="T-Test Welch",_xlfn.T.TEST($O28:$O43,AK28:AK43,2,3),""))</f>
        <v>#NAME?</v>
      </c>
    </row>
    <row r="61" spans="1:37" s="3" customFormat="1" ht="15.75" thickBot="1" x14ac:dyDescent="0.3">
      <c r="A61" s="65" t="s">
        <v>84</v>
      </c>
      <c r="B61" s="146"/>
      <c r="C61" s="146" t="e">
        <f t="shared" ref="C61:O61" ca="1" si="28">IF(C60&gt;0.05,"NS",IF(C60&gt;0.01,"*",IF(C60&gt;0.001,"**","***")))</f>
        <v>#NAME?</v>
      </c>
      <c r="D61" s="146" t="e">
        <f t="shared" ca="1" si="28"/>
        <v>#NAME?</v>
      </c>
      <c r="E61" s="146" t="e">
        <f t="shared" ca="1" si="28"/>
        <v>#NAME?</v>
      </c>
      <c r="F61" s="146" t="e">
        <f t="shared" ca="1" si="28"/>
        <v>#NAME?</v>
      </c>
      <c r="G61" s="146" t="e">
        <f t="shared" ca="1" si="28"/>
        <v>#NAME?</v>
      </c>
      <c r="H61" s="146" t="e">
        <f t="shared" ca="1" si="28"/>
        <v>#NAME?</v>
      </c>
      <c r="I61" s="146" t="e">
        <f t="shared" ca="1" si="28"/>
        <v>#NAME?</v>
      </c>
      <c r="J61" s="146" t="e">
        <f t="shared" ca="1" si="28"/>
        <v>#NAME?</v>
      </c>
      <c r="K61" s="146" t="e">
        <f t="shared" ca="1" si="28"/>
        <v>#NAME?</v>
      </c>
      <c r="L61" s="146" t="e">
        <f t="shared" ca="1" si="28"/>
        <v>#NAME?</v>
      </c>
      <c r="M61" s="146" t="e">
        <f t="shared" ca="1" si="28"/>
        <v>#NAME?</v>
      </c>
      <c r="N61" s="146"/>
      <c r="O61" s="146" t="e">
        <f t="shared" ca="1" si="28"/>
        <v>#NAME?</v>
      </c>
      <c r="P61" s="146" t="e">
        <f ca="1">IF(P60&gt;0.05,"NS",IF(P60&gt;0.01,"*",IF(P60&gt;0.001,"**","***")))</f>
        <v>#NAME?</v>
      </c>
      <c r="Q61" s="146" t="e">
        <f t="shared" ref="Q61:AK61" ca="1" si="29">IF(Q60&gt;0.05,"NS",IF(Q60&gt;0.01,"*",IF(Q60&gt;0.001,"**","***")))</f>
        <v>#NAME?</v>
      </c>
      <c r="R61" s="146" t="e">
        <f t="shared" ca="1" si="29"/>
        <v>#NAME?</v>
      </c>
      <c r="S61" s="146" t="e">
        <f t="shared" ca="1" si="29"/>
        <v>#NAME?</v>
      </c>
      <c r="T61" s="146" t="e">
        <f t="shared" ca="1" si="29"/>
        <v>#NAME?</v>
      </c>
      <c r="U61" s="146" t="e">
        <f t="shared" ca="1" si="29"/>
        <v>#NAME?</v>
      </c>
      <c r="V61" s="146" t="e">
        <f t="shared" ca="1" si="29"/>
        <v>#NAME?</v>
      </c>
      <c r="W61" s="146" t="e">
        <f t="shared" ca="1" si="29"/>
        <v>#NAME?</v>
      </c>
      <c r="X61" s="146" t="e">
        <f t="shared" ca="1" si="29"/>
        <v>#NAME?</v>
      </c>
      <c r="Y61" s="146" t="e">
        <f t="shared" ca="1" si="29"/>
        <v>#NAME?</v>
      </c>
      <c r="Z61" s="146" t="e">
        <f t="shared" ca="1" si="29"/>
        <v>#NAME?</v>
      </c>
      <c r="AA61" s="146" t="e">
        <f t="shared" ca="1" si="29"/>
        <v>#NAME?</v>
      </c>
      <c r="AB61" s="146" t="e">
        <f t="shared" ca="1" si="29"/>
        <v>#NAME?</v>
      </c>
      <c r="AC61" s="146" t="e">
        <f t="shared" ca="1" si="29"/>
        <v>#NAME?</v>
      </c>
      <c r="AD61" s="146" t="e">
        <f t="shared" ca="1" si="29"/>
        <v>#NAME?</v>
      </c>
      <c r="AE61" s="146" t="e">
        <f t="shared" ca="1" si="29"/>
        <v>#NAME?</v>
      </c>
      <c r="AF61" s="146" t="e">
        <f t="shared" ca="1" si="29"/>
        <v>#NAME?</v>
      </c>
      <c r="AG61" s="146" t="e">
        <f t="shared" ca="1" si="29"/>
        <v>#NAME?</v>
      </c>
      <c r="AH61" s="146" t="e">
        <f t="shared" ca="1" si="29"/>
        <v>#NAME?</v>
      </c>
      <c r="AI61" s="146" t="e">
        <f t="shared" ca="1" si="29"/>
        <v>#NAME?</v>
      </c>
      <c r="AJ61" s="146" t="e">
        <f t="shared" ca="1" si="29"/>
        <v>#NAME?</v>
      </c>
      <c r="AK61" s="146" t="e">
        <f t="shared" ca="1" si="29"/>
        <v>#NAME?</v>
      </c>
    </row>
    <row r="63" spans="1:37" x14ac:dyDescent="0.25">
      <c r="A63" s="2" t="s">
        <v>39</v>
      </c>
    </row>
    <row r="64" spans="1:37" x14ac:dyDescent="0.25">
      <c r="A64" s="1" t="s">
        <v>23</v>
      </c>
      <c r="B64" s="1">
        <f>B46+(3*B47)</f>
        <v>0.41261406324090177</v>
      </c>
    </row>
    <row r="65" spans="1:37" x14ac:dyDescent="0.25">
      <c r="A65" s="1" t="s">
        <v>24</v>
      </c>
      <c r="B65" s="1">
        <f>B46+(10*B47)</f>
        <v>1.1103270663154214</v>
      </c>
    </row>
    <row r="66" spans="1:37" ht="15.75" thickBot="1" x14ac:dyDescent="0.3"/>
    <row r="67" spans="1:37" ht="27" thickBot="1" x14ac:dyDescent="0.45">
      <c r="A67" s="224" t="s">
        <v>45</v>
      </c>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c r="AD67" s="225"/>
      <c r="AE67" s="225"/>
      <c r="AF67" s="225"/>
      <c r="AG67" s="225"/>
      <c r="AH67" s="225"/>
      <c r="AI67" s="225"/>
      <c r="AJ67" s="225"/>
      <c r="AK67" s="226"/>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0" name="Plage1"/>
    <protectedRange sqref="B51:J51" name="Plage2_1"/>
    <protectedRange sqref="O5:O20 B5:J20" name="Plage1_1"/>
  </protectedRanges>
  <mergeCells count="9">
    <mergeCell ref="A28:A43"/>
    <mergeCell ref="A50:AK50"/>
    <mergeCell ref="A67:AK67"/>
    <mergeCell ref="A1:AK1"/>
    <mergeCell ref="B3:M3"/>
    <mergeCell ref="O3:AK3"/>
    <mergeCell ref="A5:A20"/>
    <mergeCell ref="B26:M26"/>
    <mergeCell ref="O26:AK26"/>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94"/>
  <sheetViews>
    <sheetView showGridLines="0" topLeftCell="N66" zoomScale="55" zoomScaleNormal="55" workbookViewId="0">
      <selection activeCell="B94" sqref="B94:V94"/>
    </sheetView>
  </sheetViews>
  <sheetFormatPr defaultColWidth="11.42578125" defaultRowHeight="15" x14ac:dyDescent="0.25"/>
  <cols>
    <col min="1" max="1" width="42.85546875" customWidth="1"/>
    <col min="2" max="2" width="14" bestFit="1" customWidth="1"/>
    <col min="3" max="13" width="22.7109375" bestFit="1" customWidth="1"/>
    <col min="14" max="14" width="8.42578125" customWidth="1"/>
    <col min="15" max="15" width="22.7109375" customWidth="1"/>
    <col min="18" max="30" width="29.140625" customWidth="1"/>
    <col min="31" max="36" width="29.140625" style="1" customWidth="1"/>
    <col min="37" max="37" width="29.140625" customWidth="1"/>
  </cols>
  <sheetData>
    <row r="1" spans="1:37" s="1" customFormat="1" ht="21.75" thickBot="1" x14ac:dyDescent="0.3">
      <c r="A1" s="37" t="s">
        <v>8</v>
      </c>
      <c r="B1" s="57" t="e">
        <f>'Page de garde'!#REF!</f>
        <v>#REF!</v>
      </c>
      <c r="C1" s="38"/>
      <c r="D1" s="38"/>
      <c r="E1" s="38"/>
      <c r="F1" s="38"/>
      <c r="G1" s="38"/>
      <c r="H1" s="58"/>
      <c r="I1" s="57"/>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60"/>
    </row>
    <row r="2" spans="1:37" ht="15.75" thickBot="1" x14ac:dyDescent="0.3">
      <c r="A2" s="1"/>
      <c r="B2" s="1"/>
      <c r="C2" s="1"/>
      <c r="D2" s="1"/>
      <c r="E2" s="1"/>
      <c r="F2" s="1"/>
      <c r="G2" s="1"/>
      <c r="H2" s="1"/>
      <c r="I2" s="1"/>
      <c r="J2" s="1"/>
      <c r="K2" s="1"/>
      <c r="L2" s="1"/>
      <c r="M2" s="1"/>
    </row>
    <row r="3" spans="1:37" s="33" customFormat="1" ht="15.75" thickBot="1" x14ac:dyDescent="0.3">
      <c r="B3" s="231" t="s">
        <v>6</v>
      </c>
      <c r="C3" s="232"/>
      <c r="D3" s="232"/>
      <c r="E3" s="232"/>
      <c r="F3" s="232"/>
      <c r="G3" s="232"/>
      <c r="H3" s="232"/>
      <c r="I3" s="232"/>
      <c r="J3" s="232"/>
      <c r="K3" s="232"/>
      <c r="L3" s="232"/>
      <c r="M3" s="232"/>
      <c r="N3" s="75"/>
      <c r="O3" s="231" t="s">
        <v>3</v>
      </c>
      <c r="P3" s="232"/>
      <c r="Q3" s="232"/>
      <c r="R3" s="232"/>
      <c r="S3" s="232"/>
      <c r="T3" s="232"/>
      <c r="U3" s="232"/>
      <c r="V3" s="232"/>
      <c r="W3" s="232"/>
      <c r="X3" s="232"/>
      <c r="Y3" s="232"/>
      <c r="Z3" s="232"/>
      <c r="AA3" s="232"/>
      <c r="AB3" s="232"/>
      <c r="AC3" s="232"/>
      <c r="AD3" s="232"/>
      <c r="AE3" s="232"/>
      <c r="AF3" s="232"/>
      <c r="AG3" s="232"/>
      <c r="AH3" s="232"/>
      <c r="AI3" s="232"/>
      <c r="AJ3" s="232"/>
      <c r="AK3" s="233"/>
    </row>
    <row r="4" spans="1:37" x14ac:dyDescent="0.2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Prochloraz-0,063mg/L</v>
      </c>
      <c r="J4" s="35" t="str">
        <f>'R1'!J4</f>
        <v>Prochloraz-0,13mg/L</v>
      </c>
      <c r="K4" s="35" t="str">
        <f>'R1'!K4</f>
        <v>Prochloraz-0,25mg/L</v>
      </c>
      <c r="L4" s="35" t="str">
        <f>'R1'!L4</f>
        <v>Prochloraz-0,5mg/L</v>
      </c>
      <c r="M4" s="35" t="str">
        <f>'R1'!M4</f>
        <v>Prochloraz-1mg/L</v>
      </c>
      <c r="O4" s="35" t="str">
        <f>'R1'!O4</f>
        <v>Testo -30µg/L</v>
      </c>
      <c r="P4" s="35" t="str">
        <f>'R1'!P4</f>
        <v>Testo 30µg/L + EE2 -64ng/L</v>
      </c>
      <c r="Q4" s="35" t="str">
        <f>'R1'!Q4</f>
        <v>Testo 30µg/L + FAD-10mg/L</v>
      </c>
      <c r="R4" s="35" t="str">
        <f>'R1'!R4</f>
        <v>Prochloraz-0.063mg/L + Testostérone</v>
      </c>
      <c r="S4" s="35" t="str">
        <f>'R1'!S4</f>
        <v>Prochloraz-0.13mg/L + Testostérone</v>
      </c>
      <c r="T4" s="35" t="str">
        <f>'R1'!T4</f>
        <v>Prochloraz-0.25mg/L + Testostérone</v>
      </c>
      <c r="U4" s="35" t="str">
        <f>'R1'!U4</f>
        <v>Prochloraz-0.5mg/L + Testostérone</v>
      </c>
      <c r="V4" s="35" t="str">
        <f>'R1'!V4</f>
        <v>Prochloraz-1mg/L + Testostérone</v>
      </c>
      <c r="W4" s="35" t="str">
        <f>'R1'!W4</f>
        <v>0-00 + Testostérone</v>
      </c>
      <c r="X4" s="35" t="str">
        <f>'R1'!X4</f>
        <v>0-00 + Testostérone</v>
      </c>
      <c r="Y4" s="35" t="str">
        <f>'R1'!Y4</f>
        <v>0-00 + Testostérone</v>
      </c>
      <c r="Z4" s="35" t="str">
        <f>'R1'!Z4</f>
        <v>0-00 + Testostérone</v>
      </c>
      <c r="AA4" s="35" t="str">
        <f>'R1'!AA4</f>
        <v>0-00 + Testostérone</v>
      </c>
      <c r="AB4" s="35" t="str">
        <f>'R1'!AB4</f>
        <v>0-00 + Testostérone</v>
      </c>
      <c r="AC4" s="35" t="str">
        <f>'R1'!AC4</f>
        <v>0-00 + Testostérone</v>
      </c>
      <c r="AD4" s="35" t="str">
        <f>'R1'!AD4</f>
        <v>0-00 + Testostérone</v>
      </c>
      <c r="AE4" s="35" t="str">
        <f>'R1'!AE4</f>
        <v>0-00 + Testostérone</v>
      </c>
      <c r="AF4" s="35" t="str">
        <f>'R1'!AF4</f>
        <v>0-00 + Testostérone</v>
      </c>
      <c r="AG4" s="35" t="str">
        <f>'R1'!AG4</f>
        <v>0-00 + Testostérone</v>
      </c>
      <c r="AH4" s="35" t="str">
        <f>'R1'!AH4</f>
        <v>0-00 + Testostérone</v>
      </c>
      <c r="AI4" s="35" t="str">
        <f>'R1'!AI4</f>
        <v>0-00 + Testostérone</v>
      </c>
      <c r="AJ4" s="35" t="str">
        <f>'R1'!AJ4</f>
        <v>0-00 + Testostérone</v>
      </c>
      <c r="AK4" s="35" t="str">
        <f>'R1'!AK4</f>
        <v>0-00 + Testostérone</v>
      </c>
    </row>
    <row r="5" spans="1:37" s="1" customFormat="1" x14ac:dyDescent="0.25">
      <c r="A5" s="34"/>
      <c r="B5" s="35"/>
      <c r="C5" s="200" t="s">
        <v>165</v>
      </c>
      <c r="D5" s="35"/>
      <c r="E5" s="35"/>
      <c r="F5" s="35"/>
      <c r="G5" s="35"/>
      <c r="H5" s="35"/>
      <c r="I5" s="35"/>
      <c r="J5" s="35"/>
      <c r="K5" s="35"/>
      <c r="L5" s="35"/>
      <c r="M5" s="35"/>
      <c r="O5" s="35"/>
      <c r="P5" s="35"/>
      <c r="Q5" s="35"/>
      <c r="R5" s="35"/>
      <c r="S5" s="35"/>
      <c r="T5" s="35"/>
      <c r="U5" s="35"/>
      <c r="V5" s="35"/>
      <c r="W5" s="35"/>
      <c r="X5" s="35"/>
      <c r="Y5" s="35"/>
      <c r="Z5" s="35"/>
      <c r="AA5" s="35"/>
      <c r="AB5" s="35"/>
      <c r="AC5" s="35"/>
      <c r="AD5" s="35"/>
      <c r="AE5" s="35"/>
      <c r="AF5" s="35"/>
      <c r="AG5" s="35"/>
      <c r="AH5" s="35"/>
      <c r="AI5" s="35"/>
      <c r="AJ5" s="35"/>
      <c r="AK5" s="35"/>
    </row>
    <row r="6" spans="1:37" s="1" customFormat="1" x14ac:dyDescent="0.25">
      <c r="A6" s="74" t="s">
        <v>4</v>
      </c>
      <c r="B6" s="55">
        <f>'R1'!B28</f>
        <v>0.28883449711217046</v>
      </c>
      <c r="C6" s="55">
        <f>'R1'!C28</f>
        <v>0.34313222944839611</v>
      </c>
      <c r="D6" s="55">
        <f>'R1'!D28</f>
        <v>0.20867401586296927</v>
      </c>
      <c r="E6" s="55">
        <f>'R1'!E28</f>
        <v>0.79232806662530919</v>
      </c>
      <c r="F6" s="55">
        <f>'R1'!F28</f>
        <v>3.9109972293801056</v>
      </c>
      <c r="G6" s="55">
        <f>'R1'!G28</f>
        <v>4.2083867233606442</v>
      </c>
      <c r="H6" s="55">
        <f>'R1'!H28</f>
        <v>5.7100040972523658</v>
      </c>
      <c r="I6" s="55">
        <f>'R1'!I28</f>
        <v>0.2455139567887544</v>
      </c>
      <c r="J6" s="55">
        <f>'R1'!J28</f>
        <v>2.6240370925454278E-2</v>
      </c>
      <c r="K6" s="55">
        <f>'R1'!K28</f>
        <v>0.60193522334093741</v>
      </c>
      <c r="L6" s="55">
        <f>'R1'!L28</f>
        <v>0.29282453480416976</v>
      </c>
      <c r="M6" s="55">
        <f>'R1'!M28</f>
        <v>0.36699078279574909</v>
      </c>
      <c r="N6"/>
      <c r="O6" s="55">
        <f>'R1'!O28</f>
        <v>2.3276597907392858</v>
      </c>
      <c r="P6" s="55">
        <f>'R1'!P28</f>
        <v>7.0241167709430057</v>
      </c>
      <c r="Q6" s="55">
        <f>'R1'!Q28</f>
        <v>6.9075003944842353E-2</v>
      </c>
      <c r="R6" s="55">
        <f>'R1'!R28</f>
        <v>2.9313424909143975</v>
      </c>
      <c r="S6" s="55" t="str">
        <f>'R1'!S28</f>
        <v/>
      </c>
      <c r="T6" s="55">
        <f>'R1'!T28</f>
        <v>5.4604904672160082</v>
      </c>
      <c r="U6" s="55">
        <f>'R1'!U28</f>
        <v>6.7913690076575287E-2</v>
      </c>
      <c r="V6" s="55">
        <f>'R1'!V28</f>
        <v>1.6899667911340834</v>
      </c>
      <c r="W6" s="55" t="str">
        <f>'R1'!W28</f>
        <v/>
      </c>
      <c r="X6" s="55" t="str">
        <f>'R1'!X28</f>
        <v/>
      </c>
      <c r="Y6" s="55" t="str">
        <f>'R1'!Y28</f>
        <v/>
      </c>
      <c r="Z6" s="55" t="str">
        <f>'R1'!Z28</f>
        <v/>
      </c>
      <c r="AA6" s="55" t="str">
        <f>'R1'!AA28</f>
        <v/>
      </c>
      <c r="AB6" s="55" t="str">
        <f>'R1'!AB28</f>
        <v/>
      </c>
      <c r="AC6" s="55" t="str">
        <f>'R1'!AC28</f>
        <v/>
      </c>
      <c r="AD6" s="55" t="str">
        <f>'R1'!AD28</f>
        <v/>
      </c>
      <c r="AE6" s="55" t="str">
        <f>'R1'!AE28</f>
        <v/>
      </c>
      <c r="AF6" s="55" t="str">
        <f>'R1'!AF28</f>
        <v/>
      </c>
      <c r="AG6" s="55" t="str">
        <f>'R1'!AG28</f>
        <v/>
      </c>
      <c r="AH6" s="55" t="str">
        <f>'R1'!AH28</f>
        <v/>
      </c>
      <c r="AI6" s="55" t="str">
        <f>'R1'!AI28</f>
        <v/>
      </c>
      <c r="AJ6" s="55" t="str">
        <f>'R1'!AJ28</f>
        <v/>
      </c>
      <c r="AK6" s="55" t="str">
        <f>'R1'!AK28</f>
        <v/>
      </c>
    </row>
    <row r="7" spans="1:37" s="1" customFormat="1" x14ac:dyDescent="0.25">
      <c r="A7" s="236" t="s">
        <v>34</v>
      </c>
      <c r="B7" s="55">
        <f>'R1'!B29</f>
        <v>0.29836268509653779</v>
      </c>
      <c r="C7" s="55">
        <f>'R1'!C29</f>
        <v>5.3731987571479185E-2</v>
      </c>
      <c r="D7" s="55">
        <f>'R1'!D29</f>
        <v>0.13499413401139909</v>
      </c>
      <c r="E7" s="55">
        <f>'R1'!E29</f>
        <v>2.5293367873078503</v>
      </c>
      <c r="F7" s="55">
        <f>'R1'!F29</f>
        <v>2.2373360925078187</v>
      </c>
      <c r="G7" s="55">
        <f>'R1'!G29</f>
        <v>0.63045899152653828</v>
      </c>
      <c r="H7" s="55">
        <f>'R1'!H29</f>
        <v>5.1668225918785016</v>
      </c>
      <c r="I7" s="55">
        <f>'R1'!I29</f>
        <v>0.14477972898118635</v>
      </c>
      <c r="J7" s="55">
        <f>'R1'!J29</f>
        <v>0.17358086351738675</v>
      </c>
      <c r="K7" s="55">
        <f>'R1'!K29</f>
        <v>0.53502386046516393</v>
      </c>
      <c r="L7" s="55">
        <f>'R1'!L29</f>
        <v>0.26424180619499238</v>
      </c>
      <c r="M7" s="55">
        <f>'R1'!M29</f>
        <v>0.4691350135733624</v>
      </c>
      <c r="N7"/>
      <c r="O7" s="55">
        <f>'R1'!O29</f>
        <v>9.9692211294397551E-2</v>
      </c>
      <c r="P7" s="55">
        <f>'R1'!P29</f>
        <v>5.6731141432046366</v>
      </c>
      <c r="Q7" s="55">
        <f>'R1'!Q29</f>
        <v>0.183157688115755</v>
      </c>
      <c r="R7" s="55">
        <f>'R1'!R29</f>
        <v>1.4719137089806176</v>
      </c>
      <c r="S7" s="55">
        <f>'R1'!S29</f>
        <v>1.4269753129876996</v>
      </c>
      <c r="T7" s="55">
        <f>'R1'!T29</f>
        <v>6.1912367803044832</v>
      </c>
      <c r="U7" s="55">
        <f>'R1'!U29</f>
        <v>1.1370084086740739</v>
      </c>
      <c r="V7" s="55">
        <f>'R1'!V29</f>
        <v>9.5504415294526593E-2</v>
      </c>
      <c r="W7" s="55" t="str">
        <f>'R1'!W29</f>
        <v/>
      </c>
      <c r="X7" s="55" t="str">
        <f>'R1'!X29</f>
        <v/>
      </c>
      <c r="Y7" s="55" t="str">
        <f>'R1'!Y29</f>
        <v/>
      </c>
      <c r="Z7" s="55" t="str">
        <f>'R1'!Z29</f>
        <v/>
      </c>
      <c r="AA7" s="55" t="str">
        <f>'R1'!AA29</f>
        <v/>
      </c>
      <c r="AB7" s="55" t="str">
        <f>'R1'!AB29</f>
        <v/>
      </c>
      <c r="AC7" s="55" t="str">
        <f>'R1'!AC29</f>
        <v/>
      </c>
      <c r="AD7" s="55" t="str">
        <f>'R1'!AD29</f>
        <v/>
      </c>
      <c r="AE7" s="55" t="str">
        <f>'R1'!AE29</f>
        <v/>
      </c>
      <c r="AF7" s="55" t="str">
        <f>'R1'!AF29</f>
        <v/>
      </c>
      <c r="AG7" s="55" t="str">
        <f>'R1'!AG29</f>
        <v/>
      </c>
      <c r="AH7" s="55" t="str">
        <f>'R1'!AH29</f>
        <v/>
      </c>
      <c r="AI7" s="55" t="str">
        <f>'R1'!AI29</f>
        <v/>
      </c>
      <c r="AJ7" s="55" t="str">
        <f>'R1'!AJ29</f>
        <v/>
      </c>
      <c r="AK7" s="55" t="str">
        <f>'R1'!AK29</f>
        <v/>
      </c>
    </row>
    <row r="8" spans="1:37" s="1" customFormat="1" x14ac:dyDescent="0.25">
      <c r="A8" s="237"/>
      <c r="B8" s="55">
        <f>'R1'!B30</f>
        <v>0.57688576120453372</v>
      </c>
      <c r="C8" s="55">
        <f>'R1'!C30</f>
        <v>0.2181521907253923</v>
      </c>
      <c r="D8" s="55">
        <f>'R1'!D30</f>
        <v>0.27663771906148893</v>
      </c>
      <c r="E8" s="55">
        <f>'R1'!E30</f>
        <v>0.38998626566257655</v>
      </c>
      <c r="F8" s="55">
        <f>'R1'!F30</f>
        <v>3.9713281960323501</v>
      </c>
      <c r="G8" s="55">
        <f>'R1'!G30</f>
        <v>4.3719881337062114</v>
      </c>
      <c r="H8" s="55">
        <f>'R1'!H30</f>
        <v>7.1525711157152063</v>
      </c>
      <c r="I8" s="55">
        <f>'R1'!I30</f>
        <v>0.239638562050248</v>
      </c>
      <c r="J8" s="55">
        <f>'R1'!J30</f>
        <v>0.10832658678750286</v>
      </c>
      <c r="K8" s="55">
        <f>'R1'!K30</f>
        <v>0.36871761201077202</v>
      </c>
      <c r="L8" s="55">
        <f>'R1'!L30</f>
        <v>7.3084312748049593E-2</v>
      </c>
      <c r="M8" s="55">
        <f>'R1'!M30</f>
        <v>0.21870302332075167</v>
      </c>
      <c r="N8"/>
      <c r="O8" s="55">
        <f>'R1'!O30</f>
        <v>2.0381898057932353</v>
      </c>
      <c r="P8" s="55">
        <f>'R1'!P30</f>
        <v>5.4581687571514363</v>
      </c>
      <c r="Q8" s="55">
        <f>'R1'!Q30</f>
        <v>0.12077687171776459</v>
      </c>
      <c r="R8" s="55">
        <f>'R1'!R30</f>
        <v>3.6065999334596062</v>
      </c>
      <c r="S8" s="55">
        <f>'R1'!S30</f>
        <v>2.8691243318717214</v>
      </c>
      <c r="T8" s="55">
        <f>'R1'!T30</f>
        <v>3.9592401621091993</v>
      </c>
      <c r="U8" s="55">
        <f>'R1'!U30</f>
        <v>0.49010496500144429</v>
      </c>
      <c r="V8" s="55">
        <f>'R1'!V30</f>
        <v>0.24279489476451471</v>
      </c>
      <c r="W8" s="55" t="str">
        <f>'R1'!W30</f>
        <v/>
      </c>
      <c r="X8" s="55" t="str">
        <f>'R1'!X30</f>
        <v/>
      </c>
      <c r="Y8" s="55" t="str">
        <f>'R1'!Y30</f>
        <v/>
      </c>
      <c r="Z8" s="55" t="str">
        <f>'R1'!Z30</f>
        <v/>
      </c>
      <c r="AA8" s="55" t="str">
        <f>'R1'!AA30</f>
        <v/>
      </c>
      <c r="AB8" s="55" t="str">
        <f>'R1'!AB30</f>
        <v/>
      </c>
      <c r="AC8" s="55" t="str">
        <f>'R1'!AC30</f>
        <v/>
      </c>
      <c r="AD8" s="55" t="str">
        <f>'R1'!AD30</f>
        <v/>
      </c>
      <c r="AE8" s="55" t="str">
        <f>'R1'!AE30</f>
        <v/>
      </c>
      <c r="AF8" s="55" t="str">
        <f>'R1'!AF30</f>
        <v/>
      </c>
      <c r="AG8" s="55" t="str">
        <f>'R1'!AG30</f>
        <v/>
      </c>
      <c r="AH8" s="55" t="str">
        <f>'R1'!AH30</f>
        <v/>
      </c>
      <c r="AI8" s="55" t="str">
        <f>'R1'!AI30</f>
        <v/>
      </c>
      <c r="AJ8" s="55" t="str">
        <f>'R1'!AJ30</f>
        <v/>
      </c>
      <c r="AK8" s="55" t="str">
        <f>'R1'!AK30</f>
        <v/>
      </c>
    </row>
    <row r="9" spans="1:37" s="1" customFormat="1" x14ac:dyDescent="0.25">
      <c r="A9" s="237"/>
      <c r="B9" s="55">
        <f>'R1'!B31</f>
        <v>0.2941051460275334</v>
      </c>
      <c r="C9" s="55">
        <f>'R1'!C31</f>
        <v>0.23521217134018388</v>
      </c>
      <c r="D9" s="55">
        <f>'R1'!D31</f>
        <v>0.27045444537963714</v>
      </c>
      <c r="E9" s="55">
        <f>'R1'!E31</f>
        <v>3.7062026717376813</v>
      </c>
      <c r="F9" s="55">
        <f>'R1'!F31</f>
        <v>3.074364878087815</v>
      </c>
      <c r="G9" s="55">
        <f>'R1'!G31</f>
        <v>5.3896888634741336</v>
      </c>
      <c r="H9" s="55">
        <f>'R1'!H31</f>
        <v>5.8743651105647112</v>
      </c>
      <c r="I9" s="55">
        <f>'R1'!I31</f>
        <v>0.33362423024719895</v>
      </c>
      <c r="J9" s="55">
        <f>'R1'!J31</f>
        <v>3.1778521217822271E-2</v>
      </c>
      <c r="K9" s="55">
        <f>'R1'!K31</f>
        <v>0.12872184614920601</v>
      </c>
      <c r="L9" s="55">
        <f>'R1'!L31</f>
        <v>0.36018257450758373</v>
      </c>
      <c r="M9" s="55">
        <f>'R1'!M31</f>
        <v>0.22649887605832239</v>
      </c>
      <c r="N9"/>
      <c r="O9" s="55">
        <f>'R1'!O31</f>
        <v>1.458704050501568</v>
      </c>
      <c r="P9" s="55">
        <f>'R1'!P31</f>
        <v>4.8032161832796465</v>
      </c>
      <c r="Q9" s="55">
        <f>'R1'!Q31</f>
        <v>7.5734549375118157E-2</v>
      </c>
      <c r="R9" s="55">
        <f>'R1'!R31</f>
        <v>2.3457627055392098</v>
      </c>
      <c r="S9" s="55">
        <f>'R1'!S31</f>
        <v>1.3670013207287826</v>
      </c>
      <c r="T9" s="55">
        <f>'R1'!T31</f>
        <v>2.6957623331173388</v>
      </c>
      <c r="U9" s="55">
        <f>'R1'!U31</f>
        <v>1.2199090584026471</v>
      </c>
      <c r="V9" s="55">
        <f>'R1'!V31</f>
        <v>0.12022626854039578</v>
      </c>
      <c r="W9" s="55" t="str">
        <f>'R1'!W31</f>
        <v/>
      </c>
      <c r="X9" s="55" t="str">
        <f>'R1'!X31</f>
        <v/>
      </c>
      <c r="Y9" s="55" t="str">
        <f>'R1'!Y31</f>
        <v/>
      </c>
      <c r="Z9" s="55" t="str">
        <f>'R1'!Z31</f>
        <v/>
      </c>
      <c r="AA9" s="55" t="str">
        <f>'R1'!AA31</f>
        <v/>
      </c>
      <c r="AB9" s="55" t="str">
        <f>'R1'!AB31</f>
        <v/>
      </c>
      <c r="AC9" s="55" t="str">
        <f>'R1'!AC31</f>
        <v/>
      </c>
      <c r="AD9" s="55" t="str">
        <f>'R1'!AD31</f>
        <v/>
      </c>
      <c r="AE9" s="55" t="str">
        <f>'R1'!AE31</f>
        <v/>
      </c>
      <c r="AF9" s="55" t="str">
        <f>'R1'!AF31</f>
        <v/>
      </c>
      <c r="AG9" s="55" t="str">
        <f>'R1'!AG31</f>
        <v/>
      </c>
      <c r="AH9" s="55" t="str">
        <f>'R1'!AH31</f>
        <v/>
      </c>
      <c r="AI9" s="55" t="str">
        <f>'R1'!AI31</f>
        <v/>
      </c>
      <c r="AJ9" s="55" t="str">
        <f>'R1'!AJ31</f>
        <v/>
      </c>
      <c r="AK9" s="55" t="str">
        <f>'R1'!AK31</f>
        <v/>
      </c>
    </row>
    <row r="10" spans="1:37" s="1" customFormat="1" x14ac:dyDescent="0.25">
      <c r="A10" s="237"/>
      <c r="B10" s="55">
        <f>'R1'!B32</f>
        <v>0.40893206215985622</v>
      </c>
      <c r="C10" s="55" t="str">
        <f>'R1'!C32</f>
        <v/>
      </c>
      <c r="D10" s="55">
        <f>'R1'!D32</f>
        <v>0.16897598561065891</v>
      </c>
      <c r="E10" s="55">
        <f>'R1'!E32</f>
        <v>0.29884859240056577</v>
      </c>
      <c r="F10" s="55">
        <f>'R1'!F32</f>
        <v>4.1561932128339292</v>
      </c>
      <c r="G10" s="55">
        <f>'R1'!G32</f>
        <v>6.4298732445719207</v>
      </c>
      <c r="H10" s="55">
        <f>'R1'!H32</f>
        <v>5.8144507669833434</v>
      </c>
      <c r="I10" s="55">
        <f>'R1'!I32</f>
        <v>0.33913209736481165</v>
      </c>
      <c r="J10" s="55">
        <f>'R1'!J32</f>
        <v>0.24553414557192457</v>
      </c>
      <c r="K10" s="55">
        <f>'R1'!K32</f>
        <v>0.28619481371266808</v>
      </c>
      <c r="L10" s="55">
        <f>'R1'!L32</f>
        <v>0.2245139516039078</v>
      </c>
      <c r="M10" s="55">
        <f>'R1'!M32</f>
        <v>0.5105894679614793</v>
      </c>
      <c r="N10"/>
      <c r="O10" s="55">
        <f>'R1'!O32</f>
        <v>0.46433100085081952</v>
      </c>
      <c r="P10" s="55">
        <f>'R1'!P32</f>
        <v>2.5820269877841495</v>
      </c>
      <c r="Q10" s="55">
        <f>'R1'!Q32</f>
        <v>0.38222459620560079</v>
      </c>
      <c r="R10" s="55">
        <f>'R1'!R32</f>
        <v>0.40042707841343267</v>
      </c>
      <c r="S10" s="55">
        <f>'R1'!S32</f>
        <v>2.9760321978055373</v>
      </c>
      <c r="T10" s="55">
        <f>'R1'!T32</f>
        <v>4.0897776222357791</v>
      </c>
      <c r="U10" s="55">
        <f>'R1'!U32</f>
        <v>0.63551995239851999</v>
      </c>
      <c r="V10" s="55">
        <f>'R1'!V32</f>
        <v>1.394720061185472</v>
      </c>
      <c r="W10" s="55" t="str">
        <f>'R1'!W32</f>
        <v/>
      </c>
      <c r="X10" s="55" t="str">
        <f>'R1'!X32</f>
        <v/>
      </c>
      <c r="Y10" s="55" t="str">
        <f>'R1'!Y32</f>
        <v/>
      </c>
      <c r="Z10" s="55" t="str">
        <f>'R1'!Z32</f>
        <v/>
      </c>
      <c r="AA10" s="55" t="str">
        <f>'R1'!AA32</f>
        <v/>
      </c>
      <c r="AB10" s="55" t="str">
        <f>'R1'!AB32</f>
        <v/>
      </c>
      <c r="AC10" s="55" t="str">
        <f>'R1'!AC32</f>
        <v/>
      </c>
      <c r="AD10" s="55" t="str">
        <f>'R1'!AD32</f>
        <v/>
      </c>
      <c r="AE10" s="55" t="str">
        <f>'R1'!AE32</f>
        <v/>
      </c>
      <c r="AF10" s="55" t="str">
        <f>'R1'!AF32</f>
        <v/>
      </c>
      <c r="AG10" s="55" t="str">
        <f>'R1'!AG32</f>
        <v/>
      </c>
      <c r="AH10" s="55" t="str">
        <f>'R1'!AH32</f>
        <v/>
      </c>
      <c r="AI10" s="55" t="str">
        <f>'R1'!AI32</f>
        <v/>
      </c>
      <c r="AJ10" s="55" t="str">
        <f>'R1'!AJ32</f>
        <v/>
      </c>
      <c r="AK10" s="55" t="str">
        <f>'R1'!AK32</f>
        <v/>
      </c>
    </row>
    <row r="11" spans="1:37" s="1" customFormat="1" x14ac:dyDescent="0.25">
      <c r="A11" s="237"/>
      <c r="B11" s="55">
        <f>'R1'!B33</f>
        <v>0.17214195388052958</v>
      </c>
      <c r="C11" s="55">
        <f>'R1'!C33</f>
        <v>0.7546447851661876</v>
      </c>
      <c r="D11" s="55">
        <f>'R1'!D33</f>
        <v>0.17650869591304544</v>
      </c>
      <c r="E11" s="55">
        <f>'R1'!E33</f>
        <v>0.17790768681954336</v>
      </c>
      <c r="F11" s="55">
        <f>'R1'!F33</f>
        <v>2.0239778201133838</v>
      </c>
      <c r="G11" s="55">
        <f>'R1'!G33</f>
        <v>4.157393986596575</v>
      </c>
      <c r="H11" s="55">
        <f>'R1'!H33</f>
        <v>5.5408799076197992</v>
      </c>
      <c r="I11" s="55">
        <f>'R1'!I33</f>
        <v>0.63608569716326635</v>
      </c>
      <c r="J11" s="55">
        <f>'R1'!J33</f>
        <v>0.35629210422349189</v>
      </c>
      <c r="K11" s="55">
        <f>'R1'!K33</f>
        <v>0.13407095601734406</v>
      </c>
      <c r="L11" s="55">
        <f>'R1'!L33</f>
        <v>0.38688958162585807</v>
      </c>
      <c r="M11" s="55">
        <f>'R1'!M33</f>
        <v>0.19741968691755071</v>
      </c>
      <c r="N11"/>
      <c r="O11" s="55">
        <f>'R1'!O33</f>
        <v>2.8204840471829602</v>
      </c>
      <c r="P11" s="55">
        <f>'R1'!P33</f>
        <v>4.1185493912691866</v>
      </c>
      <c r="Q11" s="55">
        <f>'R1'!Q33</f>
        <v>4.422398837028204E-2</v>
      </c>
      <c r="R11" s="55">
        <f>'R1'!R33</f>
        <v>1.3558456415193094</v>
      </c>
      <c r="S11" s="55">
        <f>'R1'!S33</f>
        <v>1.9969633928877455</v>
      </c>
      <c r="T11" s="55">
        <f>'R1'!T33</f>
        <v>2.1502682943985256</v>
      </c>
      <c r="U11" s="55">
        <f>'R1'!U33</f>
        <v>1.8740669283551017</v>
      </c>
      <c r="V11" s="55">
        <f>'R1'!V33</f>
        <v>0.2170702554818626</v>
      </c>
      <c r="W11" s="55" t="str">
        <f>'R1'!W33</f>
        <v/>
      </c>
      <c r="X11" s="55" t="str">
        <f>'R1'!X33</f>
        <v/>
      </c>
      <c r="Y11" s="55" t="str">
        <f>'R1'!Y33</f>
        <v/>
      </c>
      <c r="Z11" s="55" t="str">
        <f>'R1'!Z33</f>
        <v/>
      </c>
      <c r="AA11" s="55" t="str">
        <f>'R1'!AA33</f>
        <v/>
      </c>
      <c r="AB11" s="55" t="str">
        <f>'R1'!AB33</f>
        <v/>
      </c>
      <c r="AC11" s="55" t="str">
        <f>'R1'!AC33</f>
        <v/>
      </c>
      <c r="AD11" s="55" t="str">
        <f>'R1'!AD33</f>
        <v/>
      </c>
      <c r="AE11" s="55" t="str">
        <f>'R1'!AE33</f>
        <v/>
      </c>
      <c r="AF11" s="55" t="str">
        <f>'R1'!AF33</f>
        <v/>
      </c>
      <c r="AG11" s="55" t="str">
        <f>'R1'!AG33</f>
        <v/>
      </c>
      <c r="AH11" s="55" t="str">
        <f>'R1'!AH33</f>
        <v/>
      </c>
      <c r="AI11" s="55" t="str">
        <f>'R1'!AI33</f>
        <v/>
      </c>
      <c r="AJ11" s="55" t="str">
        <f>'R1'!AJ33</f>
        <v/>
      </c>
      <c r="AK11" s="55" t="str">
        <f>'R1'!AK33</f>
        <v/>
      </c>
    </row>
    <row r="12" spans="1:37" s="1" customFormat="1" x14ac:dyDescent="0.25">
      <c r="A12" s="237"/>
      <c r="B12" s="55">
        <f>'R1'!B34</f>
        <v>0.14327153511117693</v>
      </c>
      <c r="C12" s="55">
        <f>'R1'!C34</f>
        <v>0.25444657566960116</v>
      </c>
      <c r="D12" s="55">
        <f>'R1'!D34</f>
        <v>0.91745722704218369</v>
      </c>
      <c r="E12" s="55">
        <f>'R1'!E34</f>
        <v>1.7004172394405435</v>
      </c>
      <c r="F12" s="55">
        <f>'R1'!F34</f>
        <v>3.7501990774613172</v>
      </c>
      <c r="G12" s="55" t="str">
        <f>'R1'!G34</f>
        <v/>
      </c>
      <c r="H12" s="55">
        <f>'R1'!H34</f>
        <v>7.192884445018227</v>
      </c>
      <c r="I12" s="55">
        <f>'R1'!I34</f>
        <v>7.595249646615998E-2</v>
      </c>
      <c r="J12" s="55">
        <f>'R1'!J34</f>
        <v>0.27362041364950779</v>
      </c>
      <c r="K12" s="55">
        <f>'R1'!K34</f>
        <v>0.25510133461468887</v>
      </c>
      <c r="L12" s="55">
        <f>'R1'!L34</f>
        <v>0.26151264977916755</v>
      </c>
      <c r="M12" s="55">
        <f>'R1'!M34</f>
        <v>0.4119787330746304</v>
      </c>
      <c r="N12"/>
      <c r="O12" s="55">
        <f>'R1'!O34</f>
        <v>3.4170433187508627E-2</v>
      </c>
      <c r="P12" s="55">
        <f>'R1'!P34</f>
        <v>5.0502383339384105</v>
      </c>
      <c r="Q12" s="55">
        <f>'R1'!Q34</f>
        <v>0.11727847677955749</v>
      </c>
      <c r="R12" s="55" t="str">
        <f>'R1'!R34</f>
        <v/>
      </c>
      <c r="S12" s="55">
        <f>'R1'!S34</f>
        <v>0.15430745812957256</v>
      </c>
      <c r="T12" s="55">
        <f>'R1'!T34</f>
        <v>4.3874162641540764</v>
      </c>
      <c r="U12" s="55">
        <f>'R1'!U34</f>
        <v>0.24810408590229352</v>
      </c>
      <c r="V12" s="55">
        <f>'R1'!V34</f>
        <v>0.31711026444996476</v>
      </c>
      <c r="W12" s="55" t="str">
        <f>'R1'!W34</f>
        <v/>
      </c>
      <c r="X12" s="55" t="str">
        <f>'R1'!X34</f>
        <v/>
      </c>
      <c r="Y12" s="55" t="str">
        <f>'R1'!Y34</f>
        <v/>
      </c>
      <c r="Z12" s="55" t="str">
        <f>'R1'!Z34</f>
        <v/>
      </c>
      <c r="AA12" s="55" t="str">
        <f>'R1'!AA34</f>
        <v/>
      </c>
      <c r="AB12" s="55" t="str">
        <f>'R1'!AB34</f>
        <v/>
      </c>
      <c r="AC12" s="55" t="str">
        <f>'R1'!AC34</f>
        <v/>
      </c>
      <c r="AD12" s="55" t="str">
        <f>'R1'!AD34</f>
        <v/>
      </c>
      <c r="AE12" s="55" t="str">
        <f>'R1'!AE34</f>
        <v/>
      </c>
      <c r="AF12" s="55" t="str">
        <f>'R1'!AF34</f>
        <v/>
      </c>
      <c r="AG12" s="55" t="str">
        <f>'R1'!AG34</f>
        <v/>
      </c>
      <c r="AH12" s="55" t="str">
        <f>'R1'!AH34</f>
        <v/>
      </c>
      <c r="AI12" s="55" t="str">
        <f>'R1'!AI34</f>
        <v/>
      </c>
      <c r="AJ12" s="55" t="str">
        <f>'R1'!AJ34</f>
        <v/>
      </c>
      <c r="AK12" s="55" t="str">
        <f>'R1'!AK34</f>
        <v/>
      </c>
    </row>
    <row r="13" spans="1:37" s="1" customFormat="1" x14ac:dyDescent="0.25">
      <c r="A13" s="237"/>
      <c r="B13" s="55">
        <f>'R1'!B35</f>
        <v>0.11436073877548392</v>
      </c>
      <c r="C13" s="55">
        <f>'R1'!C35</f>
        <v>9.2665597079209197E-2</v>
      </c>
      <c r="D13" s="55">
        <f>'R1'!D35</f>
        <v>0.21267368911057261</v>
      </c>
      <c r="E13" s="55">
        <f>'R1'!E35</f>
        <v>3.1219929706021796</v>
      </c>
      <c r="F13" s="55">
        <f>'R1'!F35</f>
        <v>3.656233139211555</v>
      </c>
      <c r="G13" s="55">
        <f>'R1'!G35</f>
        <v>2.0104013222674126</v>
      </c>
      <c r="H13" s="55">
        <f>'R1'!H35</f>
        <v>5.385322121441618</v>
      </c>
      <c r="I13" s="55">
        <f>'R1'!I35</f>
        <v>0.3291290141399637</v>
      </c>
      <c r="J13" s="55">
        <f>'R1'!J35</f>
        <v>0.33950926054130931</v>
      </c>
      <c r="K13" s="55">
        <f>'R1'!K35</f>
        <v>8.5837658843854761E-2</v>
      </c>
      <c r="L13" s="55">
        <f>'R1'!L35</f>
        <v>0.37720309522799716</v>
      </c>
      <c r="M13" s="55">
        <f>'R1'!M35</f>
        <v>0.61342837641453973</v>
      </c>
      <c r="N13"/>
      <c r="O13" s="55">
        <f>'R1'!O35</f>
        <v>0.66722918938318998</v>
      </c>
      <c r="P13" s="55">
        <f>'R1'!P35</f>
        <v>4.6462786773061753</v>
      </c>
      <c r="Q13" s="55">
        <f>'R1'!Q35</f>
        <v>0.27217140962106556</v>
      </c>
      <c r="R13" s="55">
        <f>'R1'!R35</f>
        <v>1.314132403637829</v>
      </c>
      <c r="S13" s="55">
        <f>'R1'!S35</f>
        <v>0.75426762198969</v>
      </c>
      <c r="T13" s="55">
        <f>'R1'!T35</f>
        <v>3.8674972841880639</v>
      </c>
      <c r="U13" s="55">
        <f>'R1'!U35</f>
        <v>3.7445604420890795E-2</v>
      </c>
      <c r="V13" s="55">
        <f>'R1'!V35</f>
        <v>3.2141726603773613</v>
      </c>
      <c r="W13" s="55" t="str">
        <f>'R1'!W35</f>
        <v/>
      </c>
      <c r="X13" s="55" t="str">
        <f>'R1'!X35</f>
        <v/>
      </c>
      <c r="Y13" s="55" t="str">
        <f>'R1'!Y35</f>
        <v/>
      </c>
      <c r="Z13" s="55" t="str">
        <f>'R1'!Z35</f>
        <v/>
      </c>
      <c r="AA13" s="55" t="str">
        <f>'R1'!AA35</f>
        <v/>
      </c>
      <c r="AB13" s="55" t="str">
        <f>'R1'!AB35</f>
        <v/>
      </c>
      <c r="AC13" s="55" t="str">
        <f>'R1'!AC35</f>
        <v/>
      </c>
      <c r="AD13" s="55" t="str">
        <f>'R1'!AD35</f>
        <v/>
      </c>
      <c r="AE13" s="55" t="str">
        <f>'R1'!AE35</f>
        <v/>
      </c>
      <c r="AF13" s="55" t="str">
        <f>'R1'!AF35</f>
        <v/>
      </c>
      <c r="AG13" s="55" t="str">
        <f>'R1'!AG35</f>
        <v/>
      </c>
      <c r="AH13" s="55" t="str">
        <f>'R1'!AH35</f>
        <v/>
      </c>
      <c r="AI13" s="55" t="str">
        <f>'R1'!AI35</f>
        <v/>
      </c>
      <c r="AJ13" s="55" t="str">
        <f>'R1'!AJ35</f>
        <v/>
      </c>
      <c r="AK13" s="55" t="str">
        <f>'R1'!AK35</f>
        <v/>
      </c>
    </row>
    <row r="14" spans="1:37" s="1" customFormat="1" x14ac:dyDescent="0.25">
      <c r="A14" s="237"/>
      <c r="B14" s="55" t="str">
        <f>'R1'!B36</f>
        <v/>
      </c>
      <c r="C14" s="55" t="str">
        <f>'R1'!C36</f>
        <v/>
      </c>
      <c r="D14" s="55" t="str">
        <f>'R1'!D36</f>
        <v/>
      </c>
      <c r="E14" s="55" t="str">
        <f>'R1'!E36</f>
        <v/>
      </c>
      <c r="F14" s="55" t="str">
        <f>'R1'!F36</f>
        <v/>
      </c>
      <c r="G14" s="55" t="str">
        <f>'R1'!G36</f>
        <v/>
      </c>
      <c r="H14" s="55" t="str">
        <f>'R1'!H36</f>
        <v/>
      </c>
      <c r="I14" s="55" t="str">
        <f>'R1'!I36</f>
        <v/>
      </c>
      <c r="J14" s="55" t="str">
        <f>'R1'!J36</f>
        <v/>
      </c>
      <c r="K14" s="55" t="str">
        <f>'R1'!K36</f>
        <v/>
      </c>
      <c r="L14" s="55" t="str">
        <f>'R1'!L36</f>
        <v/>
      </c>
      <c r="M14" s="55" t="str">
        <f>'R1'!M36</f>
        <v/>
      </c>
      <c r="N14"/>
      <c r="O14" s="55">
        <f>'R1'!O36</f>
        <v>9.591094397381722E-2</v>
      </c>
      <c r="P14" s="55" t="str">
        <f>'R1'!P36</f>
        <v/>
      </c>
      <c r="Q14" s="55" t="str">
        <f>'R1'!Q36</f>
        <v/>
      </c>
      <c r="R14" s="55" t="str">
        <f>'R1'!R36</f>
        <v/>
      </c>
      <c r="S14" s="55" t="str">
        <f>'R1'!S36</f>
        <v/>
      </c>
      <c r="T14" s="55" t="str">
        <f>'R1'!T36</f>
        <v/>
      </c>
      <c r="U14" s="55" t="str">
        <f>'R1'!U36</f>
        <v/>
      </c>
      <c r="V14" s="55" t="str">
        <f>'R1'!V36</f>
        <v/>
      </c>
      <c r="W14" s="55" t="str">
        <f>'R1'!W36</f>
        <v/>
      </c>
      <c r="X14" s="55" t="str">
        <f>'R1'!X36</f>
        <v/>
      </c>
      <c r="Y14" s="55" t="str">
        <f>'R1'!Y36</f>
        <v/>
      </c>
      <c r="Z14" s="55" t="str">
        <f>'R1'!Z36</f>
        <v/>
      </c>
      <c r="AA14" s="55" t="str">
        <f>'R1'!AA36</f>
        <v/>
      </c>
      <c r="AB14" s="55" t="str">
        <f>'R1'!AB36</f>
        <v/>
      </c>
      <c r="AC14" s="55" t="str">
        <f>'R1'!AC36</f>
        <v/>
      </c>
      <c r="AD14" s="55" t="str">
        <f>'R1'!AD36</f>
        <v/>
      </c>
      <c r="AE14" s="55" t="str">
        <f>'R1'!AE36</f>
        <v/>
      </c>
      <c r="AF14" s="55" t="str">
        <f>'R1'!AF36</f>
        <v/>
      </c>
      <c r="AG14" s="55" t="str">
        <f>'R1'!AG36</f>
        <v/>
      </c>
      <c r="AH14" s="55" t="str">
        <f>'R1'!AH36</f>
        <v/>
      </c>
      <c r="AI14" s="55" t="str">
        <f>'R1'!AI36</f>
        <v/>
      </c>
      <c r="AJ14" s="55" t="str">
        <f>'R1'!AJ36</f>
        <v/>
      </c>
      <c r="AK14" s="55" t="str">
        <f>'R1'!AK36</f>
        <v/>
      </c>
    </row>
    <row r="15" spans="1:37" s="1" customFormat="1" x14ac:dyDescent="0.25">
      <c r="A15" s="237"/>
      <c r="B15" s="55" t="str">
        <f>'R1'!B37</f>
        <v/>
      </c>
      <c r="C15" s="55" t="str">
        <f>'R1'!C37</f>
        <v/>
      </c>
      <c r="D15" s="55" t="str">
        <f>'R1'!D37</f>
        <v/>
      </c>
      <c r="E15" s="55" t="str">
        <f>'R1'!E37</f>
        <v/>
      </c>
      <c r="F15" s="55" t="str">
        <f>'R1'!F37</f>
        <v/>
      </c>
      <c r="G15" s="55" t="str">
        <f>'R1'!G37</f>
        <v/>
      </c>
      <c r="H15" s="55" t="str">
        <f>'R1'!H37</f>
        <v/>
      </c>
      <c r="I15" s="55" t="str">
        <f>'R1'!I37</f>
        <v/>
      </c>
      <c r="J15" s="55" t="str">
        <f>'R1'!J37</f>
        <v/>
      </c>
      <c r="K15" s="55" t="str">
        <f>'R1'!K37</f>
        <v/>
      </c>
      <c r="L15" s="55" t="str">
        <f>'R1'!L37</f>
        <v/>
      </c>
      <c r="M15" s="55" t="str">
        <f>'R1'!M37</f>
        <v/>
      </c>
      <c r="N15"/>
      <c r="O15" s="55">
        <f>'R1'!O37</f>
        <v>9.2824354328683883E-2</v>
      </c>
      <c r="P15" s="55" t="str">
        <f>'R1'!P37</f>
        <v/>
      </c>
      <c r="Q15" s="55" t="str">
        <f>'R1'!Q37</f>
        <v/>
      </c>
      <c r="R15" s="55" t="str">
        <f>'R1'!R37</f>
        <v/>
      </c>
      <c r="S15" s="55" t="str">
        <f>'R1'!S37</f>
        <v/>
      </c>
      <c r="T15" s="55" t="str">
        <f>'R1'!T37</f>
        <v/>
      </c>
      <c r="U15" s="55" t="str">
        <f>'R1'!U37</f>
        <v/>
      </c>
      <c r="V15" s="55" t="str">
        <f>'R1'!V37</f>
        <v/>
      </c>
      <c r="W15" s="55" t="str">
        <f>'R1'!W37</f>
        <v/>
      </c>
      <c r="X15" s="55" t="str">
        <f>'R1'!X37</f>
        <v/>
      </c>
      <c r="Y15" s="55" t="str">
        <f>'R1'!Y37</f>
        <v/>
      </c>
      <c r="Z15" s="55" t="str">
        <f>'R1'!Z37</f>
        <v/>
      </c>
      <c r="AA15" s="55" t="str">
        <f>'R1'!AA37</f>
        <v/>
      </c>
      <c r="AB15" s="55" t="str">
        <f>'R1'!AB37</f>
        <v/>
      </c>
      <c r="AC15" s="55" t="str">
        <f>'R1'!AC37</f>
        <v/>
      </c>
      <c r="AD15" s="55" t="str">
        <f>'R1'!AD37</f>
        <v/>
      </c>
      <c r="AE15" s="55" t="str">
        <f>'R1'!AE37</f>
        <v/>
      </c>
      <c r="AF15" s="55" t="str">
        <f>'R1'!AF37</f>
        <v/>
      </c>
      <c r="AG15" s="55" t="str">
        <f>'R1'!AG37</f>
        <v/>
      </c>
      <c r="AH15" s="55" t="str">
        <f>'R1'!AH37</f>
        <v/>
      </c>
      <c r="AI15" s="55" t="str">
        <f>'R1'!AI37</f>
        <v/>
      </c>
      <c r="AJ15" s="55" t="str">
        <f>'R1'!AJ37</f>
        <v/>
      </c>
      <c r="AK15" s="55" t="str">
        <f>'R1'!AK37</f>
        <v/>
      </c>
    </row>
    <row r="16" spans="1:37" s="1" customFormat="1" x14ac:dyDescent="0.25">
      <c r="A16" s="237"/>
      <c r="B16" s="55" t="str">
        <f>'R1'!B38</f>
        <v/>
      </c>
      <c r="C16" s="55" t="str">
        <f>'R1'!C38</f>
        <v/>
      </c>
      <c r="D16" s="55" t="str">
        <f>'R1'!D38</f>
        <v/>
      </c>
      <c r="E16" s="55" t="str">
        <f>'R1'!E38</f>
        <v/>
      </c>
      <c r="F16" s="55" t="str">
        <f>'R1'!F38</f>
        <v/>
      </c>
      <c r="G16" s="55" t="str">
        <f>'R1'!G38</f>
        <v/>
      </c>
      <c r="H16" s="55" t="str">
        <f>'R1'!H38</f>
        <v/>
      </c>
      <c r="I16" s="55" t="str">
        <f>'R1'!I38</f>
        <v/>
      </c>
      <c r="J16" s="55" t="str">
        <f>'R1'!J38</f>
        <v/>
      </c>
      <c r="K16" s="55" t="str">
        <f>'R1'!K38</f>
        <v/>
      </c>
      <c r="L16" s="55" t="str">
        <f>'R1'!L38</f>
        <v/>
      </c>
      <c r="M16" s="55" t="str">
        <f>'R1'!M38</f>
        <v/>
      </c>
      <c r="N16"/>
      <c r="O16" s="55">
        <f>'R1'!O38</f>
        <v>2.4395496977563269</v>
      </c>
      <c r="P16" s="55" t="str">
        <f>'R1'!P38</f>
        <v/>
      </c>
      <c r="Q16" s="55" t="str">
        <f>'R1'!Q38</f>
        <v/>
      </c>
      <c r="R16" s="55" t="str">
        <f>'R1'!R38</f>
        <v/>
      </c>
      <c r="S16" s="55" t="str">
        <f>'R1'!S38</f>
        <v/>
      </c>
      <c r="T16" s="55" t="str">
        <f>'R1'!T38</f>
        <v/>
      </c>
      <c r="U16" s="55" t="str">
        <f>'R1'!U38</f>
        <v/>
      </c>
      <c r="V16" s="55" t="str">
        <f>'R1'!V38</f>
        <v/>
      </c>
      <c r="W16" s="55" t="str">
        <f>'R1'!W38</f>
        <v/>
      </c>
      <c r="X16" s="55" t="str">
        <f>'R1'!X38</f>
        <v/>
      </c>
      <c r="Y16" s="55" t="str">
        <f>'R1'!Y38</f>
        <v/>
      </c>
      <c r="Z16" s="55" t="str">
        <f>'R1'!Z38</f>
        <v/>
      </c>
      <c r="AA16" s="55" t="str">
        <f>'R1'!AA38</f>
        <v/>
      </c>
      <c r="AB16" s="55" t="str">
        <f>'R1'!AB38</f>
        <v/>
      </c>
      <c r="AC16" s="55" t="str">
        <f>'R1'!AC38</f>
        <v/>
      </c>
      <c r="AD16" s="55" t="str">
        <f>'R1'!AD38</f>
        <v/>
      </c>
      <c r="AE16" s="55" t="str">
        <f>'R1'!AE38</f>
        <v/>
      </c>
      <c r="AF16" s="55" t="str">
        <f>'R1'!AF38</f>
        <v/>
      </c>
      <c r="AG16" s="55" t="str">
        <f>'R1'!AG38</f>
        <v/>
      </c>
      <c r="AH16" s="55" t="str">
        <f>'R1'!AH38</f>
        <v/>
      </c>
      <c r="AI16" s="55" t="str">
        <f>'R1'!AI38</f>
        <v/>
      </c>
      <c r="AJ16" s="55" t="str">
        <f>'R1'!AJ38</f>
        <v/>
      </c>
      <c r="AK16" s="55" t="str">
        <f>'R1'!AK38</f>
        <v/>
      </c>
    </row>
    <row r="17" spans="1:37" s="1" customFormat="1" x14ac:dyDescent="0.25">
      <c r="A17" s="237"/>
      <c r="B17" s="55" t="str">
        <f>'R1'!B39</f>
        <v/>
      </c>
      <c r="C17" s="55" t="str">
        <f>'R1'!C39</f>
        <v/>
      </c>
      <c r="D17" s="55" t="str">
        <f>'R1'!D39</f>
        <v/>
      </c>
      <c r="E17" s="55" t="str">
        <f>'R1'!E39</f>
        <v/>
      </c>
      <c r="F17" s="55" t="str">
        <f>'R1'!F39</f>
        <v/>
      </c>
      <c r="G17" s="55" t="str">
        <f>'R1'!G39</f>
        <v/>
      </c>
      <c r="H17" s="55" t="str">
        <f>'R1'!H39</f>
        <v/>
      </c>
      <c r="I17" s="55" t="str">
        <f>'R1'!I39</f>
        <v/>
      </c>
      <c r="J17" s="55" t="str">
        <f>'R1'!J39</f>
        <v/>
      </c>
      <c r="K17" s="55" t="str">
        <f>'R1'!K39</f>
        <v/>
      </c>
      <c r="L17" s="55" t="str">
        <f>'R1'!L39</f>
        <v/>
      </c>
      <c r="M17" s="55" t="str">
        <f>'R1'!M39</f>
        <v/>
      </c>
      <c r="N17"/>
      <c r="O17" s="55" t="str">
        <f>'R1'!O39</f>
        <v/>
      </c>
      <c r="P17" s="55" t="str">
        <f>'R1'!P39</f>
        <v/>
      </c>
      <c r="Q17" s="55" t="str">
        <f>'R1'!Q39</f>
        <v/>
      </c>
      <c r="R17" s="55" t="str">
        <f>'R1'!R39</f>
        <v/>
      </c>
      <c r="S17" s="55" t="str">
        <f>'R1'!S39</f>
        <v/>
      </c>
      <c r="T17" s="55" t="str">
        <f>'R1'!T39</f>
        <v/>
      </c>
      <c r="U17" s="55" t="str">
        <f>'R1'!U39</f>
        <v/>
      </c>
      <c r="V17" s="55" t="str">
        <f>'R1'!V39</f>
        <v/>
      </c>
      <c r="W17" s="55" t="str">
        <f>'R1'!W39</f>
        <v/>
      </c>
      <c r="X17" s="55" t="str">
        <f>'R1'!X39</f>
        <v/>
      </c>
      <c r="Y17" s="55" t="str">
        <f>'R1'!Y39</f>
        <v/>
      </c>
      <c r="Z17" s="55" t="str">
        <f>'R1'!Z39</f>
        <v/>
      </c>
      <c r="AA17" s="55" t="str">
        <f>'R1'!AA39</f>
        <v/>
      </c>
      <c r="AB17" s="55" t="str">
        <f>'R1'!AB39</f>
        <v/>
      </c>
      <c r="AC17" s="55" t="str">
        <f>'R1'!AC39</f>
        <v/>
      </c>
      <c r="AD17" s="55" t="str">
        <f>'R1'!AD39</f>
        <v/>
      </c>
      <c r="AE17" s="55" t="str">
        <f>'R1'!AE39</f>
        <v/>
      </c>
      <c r="AF17" s="55" t="str">
        <f>'R1'!AF39</f>
        <v/>
      </c>
      <c r="AG17" s="55" t="str">
        <f>'R1'!AG39</f>
        <v/>
      </c>
      <c r="AH17" s="55" t="str">
        <f>'R1'!AH39</f>
        <v/>
      </c>
      <c r="AI17" s="55" t="str">
        <f>'R1'!AI39</f>
        <v/>
      </c>
      <c r="AJ17" s="55" t="str">
        <f>'R1'!AJ39</f>
        <v/>
      </c>
      <c r="AK17" s="55" t="str">
        <f>'R1'!AK39</f>
        <v/>
      </c>
    </row>
    <row r="18" spans="1:37" s="1" customFormat="1" x14ac:dyDescent="0.25">
      <c r="A18" s="237"/>
      <c r="B18" s="55" t="str">
        <f>'R1'!B40</f>
        <v/>
      </c>
      <c r="C18" s="55" t="str">
        <f>'R1'!C40</f>
        <v/>
      </c>
      <c r="D18" s="55" t="str">
        <f>'R1'!D40</f>
        <v/>
      </c>
      <c r="E18" s="55" t="str">
        <f>'R1'!E40</f>
        <v/>
      </c>
      <c r="F18" s="55" t="str">
        <f>'R1'!F40</f>
        <v/>
      </c>
      <c r="G18" s="55" t="str">
        <f>'R1'!G40</f>
        <v/>
      </c>
      <c r="H18" s="55" t="str">
        <f>'R1'!H40</f>
        <v/>
      </c>
      <c r="I18" s="55" t="str">
        <f>'R1'!I40</f>
        <v/>
      </c>
      <c r="J18" s="55" t="str">
        <f>'R1'!J40</f>
        <v/>
      </c>
      <c r="K18" s="55" t="str">
        <f>'R1'!K40</f>
        <v/>
      </c>
      <c r="L18" s="55" t="str">
        <f>'R1'!L40</f>
        <v/>
      </c>
      <c r="M18" s="55" t="str">
        <f>'R1'!M40</f>
        <v/>
      </c>
      <c r="N18"/>
      <c r="O18" s="55">
        <f>'R1'!O40</f>
        <v>0.5212289566921694</v>
      </c>
      <c r="P18" s="55" t="str">
        <f>'R1'!P40</f>
        <v/>
      </c>
      <c r="Q18" s="55" t="str">
        <f>'R1'!Q40</f>
        <v/>
      </c>
      <c r="R18" s="55" t="str">
        <f>'R1'!R40</f>
        <v/>
      </c>
      <c r="S18" s="55" t="str">
        <f>'R1'!S40</f>
        <v/>
      </c>
      <c r="T18" s="55" t="str">
        <f>'R1'!T40</f>
        <v/>
      </c>
      <c r="U18" s="55" t="str">
        <f>'R1'!U40</f>
        <v/>
      </c>
      <c r="V18" s="55" t="str">
        <f>'R1'!V40</f>
        <v/>
      </c>
      <c r="W18" s="55" t="str">
        <f>'R1'!W40</f>
        <v/>
      </c>
      <c r="X18" s="55" t="str">
        <f>'R1'!X40</f>
        <v/>
      </c>
      <c r="Y18" s="55" t="str">
        <f>'R1'!Y40</f>
        <v/>
      </c>
      <c r="Z18" s="55" t="str">
        <f>'R1'!Z40</f>
        <v/>
      </c>
      <c r="AA18" s="55" t="str">
        <f>'R1'!AA40</f>
        <v/>
      </c>
      <c r="AB18" s="55" t="str">
        <f>'R1'!AB40</f>
        <v/>
      </c>
      <c r="AC18" s="55" t="str">
        <f>'R1'!AC40</f>
        <v/>
      </c>
      <c r="AD18" s="55" t="str">
        <f>'R1'!AD40</f>
        <v/>
      </c>
      <c r="AE18" s="55" t="str">
        <f>'R1'!AE40</f>
        <v/>
      </c>
      <c r="AF18" s="55" t="str">
        <f>'R1'!AF40</f>
        <v/>
      </c>
      <c r="AG18" s="55" t="str">
        <f>'R1'!AG40</f>
        <v/>
      </c>
      <c r="AH18" s="55" t="str">
        <f>'R1'!AH40</f>
        <v/>
      </c>
      <c r="AI18" s="55" t="str">
        <f>'R1'!AI40</f>
        <v/>
      </c>
      <c r="AJ18" s="55" t="str">
        <f>'R1'!AJ40</f>
        <v/>
      </c>
      <c r="AK18" s="55" t="str">
        <f>'R1'!AK40</f>
        <v/>
      </c>
    </row>
    <row r="19" spans="1:37" s="1" customFormat="1" x14ac:dyDescent="0.25">
      <c r="A19" s="237"/>
      <c r="B19" s="55" t="str">
        <f>'R1'!B41</f>
        <v/>
      </c>
      <c r="C19" s="55" t="str">
        <f>'R1'!C41</f>
        <v/>
      </c>
      <c r="D19" s="55" t="str">
        <f>'R1'!D41</f>
        <v/>
      </c>
      <c r="E19" s="55" t="str">
        <f>'R1'!E41</f>
        <v/>
      </c>
      <c r="F19" s="55" t="str">
        <f>'R1'!F41</f>
        <v/>
      </c>
      <c r="G19" s="55" t="str">
        <f>'R1'!G41</f>
        <v/>
      </c>
      <c r="H19" s="55" t="str">
        <f>'R1'!H41</f>
        <v/>
      </c>
      <c r="I19" s="55" t="str">
        <f>'R1'!I41</f>
        <v/>
      </c>
      <c r="J19" s="55" t="str">
        <f>'R1'!J41</f>
        <v/>
      </c>
      <c r="K19" s="55" t="str">
        <f>'R1'!K41</f>
        <v/>
      </c>
      <c r="L19" s="55" t="str">
        <f>'R1'!L41</f>
        <v/>
      </c>
      <c r="M19" s="55" t="str">
        <f>'R1'!M41</f>
        <v/>
      </c>
      <c r="N19"/>
      <c r="O19" s="55">
        <f>'R1'!O41</f>
        <v>0.73005163541302831</v>
      </c>
      <c r="P19" s="55" t="str">
        <f>'R1'!P41</f>
        <v/>
      </c>
      <c r="Q19" s="55" t="str">
        <f>'R1'!Q41</f>
        <v/>
      </c>
      <c r="R19" s="55" t="str">
        <f>'R1'!R41</f>
        <v/>
      </c>
      <c r="S19" s="55" t="str">
        <f>'R1'!S41</f>
        <v/>
      </c>
      <c r="T19" s="55" t="str">
        <f>'R1'!T41</f>
        <v/>
      </c>
      <c r="U19" s="55" t="str">
        <f>'R1'!U41</f>
        <v/>
      </c>
      <c r="V19" s="55" t="str">
        <f>'R1'!V41</f>
        <v/>
      </c>
      <c r="W19" s="55" t="str">
        <f>'R1'!W41</f>
        <v/>
      </c>
      <c r="X19" s="55" t="str">
        <f>'R1'!X41</f>
        <v/>
      </c>
      <c r="Y19" s="55" t="str">
        <f>'R1'!Y41</f>
        <v/>
      </c>
      <c r="Z19" s="55" t="str">
        <f>'R1'!Z41</f>
        <v/>
      </c>
      <c r="AA19" s="55" t="str">
        <f>'R1'!AA41</f>
        <v/>
      </c>
      <c r="AB19" s="55" t="str">
        <f>'R1'!AB41</f>
        <v/>
      </c>
      <c r="AC19" s="55" t="str">
        <f>'R1'!AC41</f>
        <v/>
      </c>
      <c r="AD19" s="55" t="str">
        <f>'R1'!AD41</f>
        <v/>
      </c>
      <c r="AE19" s="55" t="str">
        <f>'R1'!AE41</f>
        <v/>
      </c>
      <c r="AF19" s="55" t="str">
        <f>'R1'!AF41</f>
        <v/>
      </c>
      <c r="AG19" s="55" t="str">
        <f>'R1'!AG41</f>
        <v/>
      </c>
      <c r="AH19" s="55" t="str">
        <f>'R1'!AH41</f>
        <v/>
      </c>
      <c r="AI19" s="55" t="str">
        <f>'R1'!AI41</f>
        <v/>
      </c>
      <c r="AJ19" s="55" t="str">
        <f>'R1'!AJ41</f>
        <v/>
      </c>
      <c r="AK19" s="55" t="str">
        <f>'R1'!AK41</f>
        <v/>
      </c>
    </row>
    <row r="20" spans="1:37" s="1" customFormat="1" x14ac:dyDescent="0.25">
      <c r="A20" s="237"/>
      <c r="B20" s="55" t="str">
        <f>'R1'!B42</f>
        <v/>
      </c>
      <c r="C20" s="55" t="str">
        <f>'R1'!C42</f>
        <v/>
      </c>
      <c r="D20" s="55" t="str">
        <f>'R1'!D42</f>
        <v/>
      </c>
      <c r="E20" s="55" t="str">
        <f>'R1'!E42</f>
        <v/>
      </c>
      <c r="F20" s="55" t="str">
        <f>'R1'!F42</f>
        <v/>
      </c>
      <c r="G20" s="55" t="str">
        <f>'R1'!G42</f>
        <v/>
      </c>
      <c r="H20" s="55" t="str">
        <f>'R1'!H42</f>
        <v/>
      </c>
      <c r="I20" s="55" t="str">
        <f>'R1'!I42</f>
        <v/>
      </c>
      <c r="J20" s="55" t="str">
        <f>'R1'!J42</f>
        <v/>
      </c>
      <c r="K20" s="55" t="str">
        <f>'R1'!K42</f>
        <v/>
      </c>
      <c r="L20" s="55" t="str">
        <f>'R1'!L42</f>
        <v/>
      </c>
      <c r="M20" s="55" t="str">
        <f>'R1'!M42</f>
        <v/>
      </c>
      <c r="N20"/>
      <c r="O20" s="55">
        <f>'R1'!O42</f>
        <v>0.2553197405417118</v>
      </c>
      <c r="P20" s="55" t="str">
        <f>'R1'!P42</f>
        <v/>
      </c>
      <c r="Q20" s="55" t="str">
        <f>'R1'!Q42</f>
        <v/>
      </c>
      <c r="R20" s="55" t="str">
        <f>'R1'!R42</f>
        <v/>
      </c>
      <c r="S20" s="55" t="str">
        <f>'R1'!S42</f>
        <v/>
      </c>
      <c r="T20" s="55" t="str">
        <f>'R1'!T42</f>
        <v/>
      </c>
      <c r="U20" s="55" t="str">
        <f>'R1'!U42</f>
        <v/>
      </c>
      <c r="V20" s="55" t="str">
        <f>'R1'!V42</f>
        <v/>
      </c>
      <c r="W20" s="55" t="str">
        <f>'R1'!W42</f>
        <v/>
      </c>
      <c r="X20" s="55" t="str">
        <f>'R1'!X42</f>
        <v/>
      </c>
      <c r="Y20" s="55" t="str">
        <f>'R1'!Y42</f>
        <v/>
      </c>
      <c r="Z20" s="55" t="str">
        <f>'R1'!Z42</f>
        <v/>
      </c>
      <c r="AA20" s="55" t="str">
        <f>'R1'!AA42</f>
        <v/>
      </c>
      <c r="AB20" s="55" t="str">
        <f>'R1'!AB42</f>
        <v/>
      </c>
      <c r="AC20" s="55" t="str">
        <f>'R1'!AC42</f>
        <v/>
      </c>
      <c r="AD20" s="55" t="str">
        <f>'R1'!AD42</f>
        <v/>
      </c>
      <c r="AE20" s="55" t="str">
        <f>'R1'!AE42</f>
        <v/>
      </c>
      <c r="AF20" s="55" t="str">
        <f>'R1'!AF42</f>
        <v/>
      </c>
      <c r="AG20" s="55" t="str">
        <f>'R1'!AG42</f>
        <v/>
      </c>
      <c r="AH20" s="55" t="str">
        <f>'R1'!AH42</f>
        <v/>
      </c>
      <c r="AI20" s="55" t="str">
        <f>'R1'!AI42</f>
        <v/>
      </c>
      <c r="AJ20" s="55" t="str">
        <f>'R1'!AJ42</f>
        <v/>
      </c>
      <c r="AK20" s="55" t="str">
        <f>'R1'!AK42</f>
        <v/>
      </c>
    </row>
    <row r="21" spans="1:37" s="1" customFormat="1" x14ac:dyDescent="0.25">
      <c r="A21" s="238"/>
      <c r="B21" s="55" t="str">
        <f>'R1'!B43</f>
        <v/>
      </c>
      <c r="C21" s="55" t="str">
        <f>'R1'!C43</f>
        <v/>
      </c>
      <c r="D21" s="55" t="str">
        <f>'R1'!D43</f>
        <v/>
      </c>
      <c r="E21" s="55" t="str">
        <f>'R1'!E43</f>
        <v/>
      </c>
      <c r="F21" s="55" t="str">
        <f>'R1'!F43</f>
        <v/>
      </c>
      <c r="G21" s="55" t="str">
        <f>'R1'!G43</f>
        <v/>
      </c>
      <c r="H21" s="55" t="str">
        <f>'R1'!H43</f>
        <v/>
      </c>
      <c r="I21" s="55" t="str">
        <f>'R1'!I43</f>
        <v/>
      </c>
      <c r="J21" s="55" t="str">
        <f>'R1'!J43</f>
        <v/>
      </c>
      <c r="K21" s="55" t="str">
        <f>'R1'!K43</f>
        <v/>
      </c>
      <c r="L21" s="55" t="str">
        <f>'R1'!L43</f>
        <v/>
      </c>
      <c r="M21" s="55" t="str">
        <f>'R1'!M43</f>
        <v/>
      </c>
      <c r="N21"/>
      <c r="O21" s="55">
        <f>'R1'!O43</f>
        <v>0.95465414236129631</v>
      </c>
      <c r="P21" s="55" t="str">
        <f>'R1'!P43</f>
        <v/>
      </c>
      <c r="Q21" s="55" t="str">
        <f>'R1'!Q43</f>
        <v/>
      </c>
      <c r="R21" s="55" t="str">
        <f>'R1'!R43</f>
        <v/>
      </c>
      <c r="S21" s="55" t="str">
        <f>'R1'!S43</f>
        <v/>
      </c>
      <c r="T21" s="55" t="str">
        <f>'R1'!T43</f>
        <v/>
      </c>
      <c r="U21" s="55" t="str">
        <f>'R1'!U43</f>
        <v/>
      </c>
      <c r="V21" s="55" t="str">
        <f>'R1'!V43</f>
        <v/>
      </c>
      <c r="W21" s="55" t="str">
        <f>'R1'!W43</f>
        <v/>
      </c>
      <c r="X21" s="55" t="str">
        <f>'R1'!X43</f>
        <v/>
      </c>
      <c r="Y21" s="55" t="str">
        <f>'R1'!Y43</f>
        <v/>
      </c>
      <c r="Z21" s="55" t="str">
        <f>'R1'!Z43</f>
        <v/>
      </c>
      <c r="AA21" s="55" t="str">
        <f>'R1'!AA43</f>
        <v/>
      </c>
      <c r="AB21" s="55" t="str">
        <f>'R1'!AB43</f>
        <v/>
      </c>
      <c r="AC21" s="55" t="str">
        <f>'R1'!AC43</f>
        <v/>
      </c>
      <c r="AD21" s="55" t="str">
        <f>'R1'!AD43</f>
        <v/>
      </c>
      <c r="AE21" s="55" t="str">
        <f>'R1'!AE43</f>
        <v/>
      </c>
      <c r="AF21" s="55" t="str">
        <f>'R1'!AF43</f>
        <v/>
      </c>
      <c r="AG21" s="55" t="str">
        <f>'R1'!AG43</f>
        <v/>
      </c>
      <c r="AH21" s="55" t="str">
        <f>'R1'!AH43</f>
        <v/>
      </c>
      <c r="AI21" s="55" t="str">
        <f>'R1'!AI43</f>
        <v/>
      </c>
      <c r="AJ21" s="55" t="str">
        <f>'R1'!AJ43</f>
        <v/>
      </c>
      <c r="AK21" s="55" t="str">
        <f>'R1'!AK43</f>
        <v/>
      </c>
    </row>
    <row r="22" spans="1:37" x14ac:dyDescent="0.25">
      <c r="A22" s="39" t="s">
        <v>5</v>
      </c>
      <c r="B22" s="56">
        <f>'R2'!B28</f>
        <v>0.1012728845511065</v>
      </c>
      <c r="C22" s="56">
        <f>'R2'!C28</f>
        <v>0.23524711423225086</v>
      </c>
      <c r="D22" s="56">
        <f>'R2'!D28</f>
        <v>0.11007265100731135</v>
      </c>
      <c r="E22" s="56">
        <f>'R2'!E28</f>
        <v>0.10538860447697554</v>
      </c>
      <c r="F22" s="56">
        <f>'R2'!F28</f>
        <v>0.69084555707551987</v>
      </c>
      <c r="G22" s="56">
        <f>'R2'!G28</f>
        <v>1.4556036404535522</v>
      </c>
      <c r="H22" s="56">
        <f>'R2'!H28</f>
        <v>2.4591646195797012</v>
      </c>
      <c r="I22" s="56">
        <f>'R2'!I28</f>
        <v>0.12339533483466393</v>
      </c>
      <c r="J22" s="56">
        <f>'R2'!J28</f>
        <v>7.8948548909272165E-2</v>
      </c>
      <c r="K22" s="56">
        <f>'R2'!K28</f>
        <v>0.13666974067186152</v>
      </c>
      <c r="L22" s="56">
        <f>'R2'!L28</f>
        <v>0.34070393734419491</v>
      </c>
      <c r="M22" s="56">
        <f>'R2'!M28</f>
        <v>9.4787454121064235E-2</v>
      </c>
      <c r="O22" s="56">
        <f>'R2'!O28</f>
        <v>0.52146266242619221</v>
      </c>
      <c r="P22" s="56">
        <f>'R2'!P28</f>
        <v>2.1663414452675736</v>
      </c>
      <c r="Q22" s="56">
        <f>'R2'!Q28</f>
        <v>0.17347500660155643</v>
      </c>
      <c r="R22" s="56">
        <f>'R2'!R28</f>
        <v>1.0354212507028093</v>
      </c>
      <c r="S22" s="56">
        <f>'R2'!S28</f>
        <v>0.5718980821014098</v>
      </c>
      <c r="T22" s="56">
        <f>'R2'!T28</f>
        <v>0.19072603391174023</v>
      </c>
      <c r="U22" s="56">
        <f>'R2'!U28</f>
        <v>0.68971453245078962</v>
      </c>
      <c r="V22" s="56">
        <f>'R2'!V28</f>
        <v>0.63024066615761942</v>
      </c>
      <c r="W22" s="56" t="str">
        <f>'R2'!W28</f>
        <v/>
      </c>
      <c r="X22" s="56" t="str">
        <f>'R2'!X28</f>
        <v/>
      </c>
      <c r="Y22" s="56" t="str">
        <f>'R2'!Y28</f>
        <v/>
      </c>
      <c r="Z22" s="56" t="str">
        <f>'R2'!Z28</f>
        <v/>
      </c>
      <c r="AA22" s="56" t="str">
        <f>'R2'!AA28</f>
        <v/>
      </c>
      <c r="AB22" s="56" t="str">
        <f>'R2'!AB28</f>
        <v/>
      </c>
      <c r="AC22" s="56" t="str">
        <f>'R2'!AC28</f>
        <v/>
      </c>
      <c r="AD22" s="56" t="str">
        <f>'R2'!AD28</f>
        <v/>
      </c>
      <c r="AE22" s="56" t="str">
        <f>'R2'!AE28</f>
        <v/>
      </c>
      <c r="AF22" s="56" t="str">
        <f>'R2'!AF28</f>
        <v/>
      </c>
      <c r="AG22" s="56" t="str">
        <f>'R2'!AG28</f>
        <v/>
      </c>
      <c r="AH22" s="56" t="str">
        <f>'R2'!AH28</f>
        <v/>
      </c>
      <c r="AI22" s="56" t="str">
        <f>'R2'!AI28</f>
        <v/>
      </c>
      <c r="AJ22" s="56" t="str">
        <f>'R2'!AJ28</f>
        <v/>
      </c>
      <c r="AK22" s="56" t="str">
        <f>'R2'!AK28</f>
        <v/>
      </c>
    </row>
    <row r="23" spans="1:37" x14ac:dyDescent="0.25">
      <c r="A23" s="236" t="s">
        <v>34</v>
      </c>
      <c r="B23" s="56">
        <f>'R2'!B29</f>
        <v>0.11161183547772804</v>
      </c>
      <c r="C23" s="56">
        <f>'R2'!C29</f>
        <v>0.13890201140567293</v>
      </c>
      <c r="D23" s="56">
        <f>'R2'!D29</f>
        <v>6.8007616527558851E-2</v>
      </c>
      <c r="E23" s="56">
        <f>'R2'!E29</f>
        <v>0.10011530642421503</v>
      </c>
      <c r="F23" s="56">
        <f>'R2'!F29</f>
        <v>0.65547750248818171</v>
      </c>
      <c r="G23" s="56">
        <f>'R2'!G29</f>
        <v>1.4670010860105329</v>
      </c>
      <c r="H23" s="56">
        <f>'R2'!H29</f>
        <v>1.8488560860956664</v>
      </c>
      <c r="I23" s="56">
        <f>'R2'!I29</f>
        <v>0.17430602477188514</v>
      </c>
      <c r="J23" s="56">
        <f>'R2'!J29</f>
        <v>0.10264905637668841</v>
      </c>
      <c r="K23" s="56">
        <f>'R2'!K29</f>
        <v>0.13404633680260911</v>
      </c>
      <c r="L23" s="56">
        <f>'R2'!L29</f>
        <v>0.1617781961904462</v>
      </c>
      <c r="M23" s="56">
        <f>'R2'!M29</f>
        <v>6.7702827234766935E-2</v>
      </c>
      <c r="O23" s="56">
        <f>'R2'!O29</f>
        <v>1.3506406794296719</v>
      </c>
      <c r="P23" s="56">
        <f>'R2'!P29</f>
        <v>1.2045364133356546</v>
      </c>
      <c r="Q23" s="56">
        <f>'R2'!Q29</f>
        <v>7.625346322176553E-2</v>
      </c>
      <c r="R23" s="56">
        <f>'R2'!R29</f>
        <v>0.82799815298835666</v>
      </c>
      <c r="S23" s="56">
        <f>'R2'!S29</f>
        <v>0.31402085623108433</v>
      </c>
      <c r="T23" s="56">
        <f>'R2'!T29</f>
        <v>0.74777075377959135</v>
      </c>
      <c r="U23" s="56">
        <f>'R2'!U29</f>
        <v>0.60136415178473079</v>
      </c>
      <c r="V23" s="56">
        <f>'R2'!V29</f>
        <v>1.143262785370738</v>
      </c>
      <c r="W23" s="56" t="str">
        <f>'R2'!W29</f>
        <v/>
      </c>
      <c r="X23" s="56" t="str">
        <f>'R2'!X29</f>
        <v/>
      </c>
      <c r="Y23" s="56" t="str">
        <f>'R2'!Y29</f>
        <v/>
      </c>
      <c r="Z23" s="56" t="str">
        <f>'R2'!Z29</f>
        <v/>
      </c>
      <c r="AA23" s="56" t="str">
        <f>'R2'!AA29</f>
        <v/>
      </c>
      <c r="AB23" s="56" t="str">
        <f>'R2'!AB29</f>
        <v/>
      </c>
      <c r="AC23" s="56" t="str">
        <f>'R2'!AC29</f>
        <v/>
      </c>
      <c r="AD23" s="56" t="str">
        <f>'R2'!AD29</f>
        <v/>
      </c>
      <c r="AE23" s="56" t="str">
        <f>'R2'!AE29</f>
        <v/>
      </c>
      <c r="AF23" s="56" t="str">
        <f>'R2'!AF29</f>
        <v/>
      </c>
      <c r="AG23" s="56" t="str">
        <f>'R2'!AG29</f>
        <v/>
      </c>
      <c r="AH23" s="56" t="str">
        <f>'R2'!AH29</f>
        <v/>
      </c>
      <c r="AI23" s="56" t="str">
        <f>'R2'!AI29</f>
        <v/>
      </c>
      <c r="AJ23" s="56" t="str">
        <f>'R2'!AJ29</f>
        <v/>
      </c>
      <c r="AK23" s="56" t="str">
        <f>'R2'!AK29</f>
        <v/>
      </c>
    </row>
    <row r="24" spans="1:37" x14ac:dyDescent="0.25">
      <c r="A24" s="237"/>
      <c r="B24" s="56">
        <f>'R2'!B30</f>
        <v>0.1142563951438241</v>
      </c>
      <c r="C24" s="56">
        <f>'R2'!C30</f>
        <v>9.4060568403952938E-2</v>
      </c>
      <c r="D24" s="56">
        <f>'R2'!D30</f>
        <v>0.2493294819451585</v>
      </c>
      <c r="E24" s="56">
        <f>'R2'!E30</f>
        <v>0.38040786338099514</v>
      </c>
      <c r="F24" s="56">
        <f>'R2'!F30</f>
        <v>0.30162642217889912</v>
      </c>
      <c r="G24" s="56">
        <f>'R2'!G30</f>
        <v>1.6494079703970039</v>
      </c>
      <c r="H24" s="56">
        <f>'R2'!H30</f>
        <v>2.0836837176956147</v>
      </c>
      <c r="I24" s="56">
        <f>'R2'!I30</f>
        <v>0.11458417025241692</v>
      </c>
      <c r="J24" s="56">
        <f>'R2'!J30</f>
        <v>0.12957401836199381</v>
      </c>
      <c r="K24" s="56">
        <f>'R2'!K30</f>
        <v>0.14272631357168905</v>
      </c>
      <c r="L24" s="56">
        <f>'R2'!L30</f>
        <v>0.15674593569437167</v>
      </c>
      <c r="M24" s="56">
        <f>'R2'!M30</f>
        <v>0.15182314095377455</v>
      </c>
      <c r="O24" s="56">
        <f>'R2'!O30</f>
        <v>0.69542178559653112</v>
      </c>
      <c r="P24" s="56">
        <f>'R2'!P30</f>
        <v>1.7673668511461331</v>
      </c>
      <c r="Q24" s="56">
        <f>'R2'!Q30</f>
        <v>0.12817831904328855</v>
      </c>
      <c r="R24" s="56">
        <f>'R2'!R30</f>
        <v>1.1725242052249136</v>
      </c>
      <c r="S24" s="56">
        <f>'R2'!S30</f>
        <v>0.84915817856105291</v>
      </c>
      <c r="T24" s="56">
        <f>'R2'!T30</f>
        <v>1.0561600559758</v>
      </c>
      <c r="U24" s="56">
        <f>'R2'!U30</f>
        <v>1.0726893801922808</v>
      </c>
      <c r="V24" s="56">
        <f>'R2'!V30</f>
        <v>0.58284513155844253</v>
      </c>
      <c r="W24" s="56" t="str">
        <f>'R2'!W30</f>
        <v/>
      </c>
      <c r="X24" s="56" t="str">
        <f>'R2'!X30</f>
        <v/>
      </c>
      <c r="Y24" s="56" t="str">
        <f>'R2'!Y30</f>
        <v/>
      </c>
      <c r="Z24" s="56" t="str">
        <f>'R2'!Z30</f>
        <v/>
      </c>
      <c r="AA24" s="56" t="str">
        <f>'R2'!AA30</f>
        <v/>
      </c>
      <c r="AB24" s="56" t="str">
        <f>'R2'!AB30</f>
        <v/>
      </c>
      <c r="AC24" s="56" t="str">
        <f>'R2'!AC30</f>
        <v/>
      </c>
      <c r="AD24" s="56" t="str">
        <f>'R2'!AD30</f>
        <v/>
      </c>
      <c r="AE24" s="56" t="str">
        <f>'R2'!AE30</f>
        <v/>
      </c>
      <c r="AF24" s="56" t="str">
        <f>'R2'!AF30</f>
        <v/>
      </c>
      <c r="AG24" s="56" t="str">
        <f>'R2'!AG30</f>
        <v/>
      </c>
      <c r="AH24" s="56" t="str">
        <f>'R2'!AH30</f>
        <v/>
      </c>
      <c r="AI24" s="56" t="str">
        <f>'R2'!AI30</f>
        <v/>
      </c>
      <c r="AJ24" s="56" t="str">
        <f>'R2'!AJ30</f>
        <v/>
      </c>
      <c r="AK24" s="56" t="str">
        <f>'R2'!AK30</f>
        <v/>
      </c>
    </row>
    <row r="25" spans="1:37" x14ac:dyDescent="0.25">
      <c r="A25" s="237"/>
      <c r="B25" s="56">
        <f>'R2'!B31</f>
        <v>0.14918445776289593</v>
      </c>
      <c r="C25" s="56">
        <f>'R2'!C31</f>
        <v>0.14669417379853839</v>
      </c>
      <c r="D25" s="56">
        <f>'R2'!D31</f>
        <v>3.5492947912989424E-2</v>
      </c>
      <c r="E25" s="56">
        <f>'R2'!E31</f>
        <v>7.1196049078668402E-2</v>
      </c>
      <c r="F25" s="56">
        <f>'R2'!F31</f>
        <v>0.60877853920842173</v>
      </c>
      <c r="G25" s="56">
        <f>'R2'!G31</f>
        <v>1.8397349909123881</v>
      </c>
      <c r="H25" s="56">
        <f>'R2'!H31</f>
        <v>2.3882513667572325</v>
      </c>
      <c r="I25" s="56">
        <f>'R2'!I31</f>
        <v>0.21828750468191999</v>
      </c>
      <c r="J25" s="56">
        <f>'R2'!J31</f>
        <v>0.10405939827735608</v>
      </c>
      <c r="K25" s="56">
        <f>'R2'!K31</f>
        <v>0.17958901973784566</v>
      </c>
      <c r="L25" s="56">
        <f>'R2'!L31</f>
        <v>0.29794565377067561</v>
      </c>
      <c r="M25" s="56">
        <f>'R2'!M31</f>
        <v>9.0263121097801519E-2</v>
      </c>
      <c r="O25" s="56">
        <f>'R2'!O31</f>
        <v>1.1790406767135642</v>
      </c>
      <c r="P25" s="56">
        <f>'R2'!P31</f>
        <v>1.4597606998514847</v>
      </c>
      <c r="Q25" s="56">
        <f>'R2'!Q31</f>
        <v>0.13036566560654805</v>
      </c>
      <c r="R25" s="56">
        <f>'R2'!R31</f>
        <v>1.0603922360722315</v>
      </c>
      <c r="S25" s="56">
        <f>'R2'!S31</f>
        <v>0.14925111128204968</v>
      </c>
      <c r="T25" s="56">
        <f>'R2'!T31</f>
        <v>9.6971343576798152E-2</v>
      </c>
      <c r="U25" s="56">
        <f>'R2'!U31</f>
        <v>0.88865625784395819</v>
      </c>
      <c r="V25" s="56">
        <f>'R2'!V31</f>
        <v>0.57091733289793523</v>
      </c>
      <c r="W25" s="56" t="str">
        <f>'R2'!W31</f>
        <v/>
      </c>
      <c r="X25" s="56" t="str">
        <f>'R2'!X31</f>
        <v/>
      </c>
      <c r="Y25" s="56" t="str">
        <f>'R2'!Y31</f>
        <v/>
      </c>
      <c r="Z25" s="56" t="str">
        <f>'R2'!Z31</f>
        <v/>
      </c>
      <c r="AA25" s="56" t="str">
        <f>'R2'!AA31</f>
        <v/>
      </c>
      <c r="AB25" s="56" t="str">
        <f>'R2'!AB31</f>
        <v/>
      </c>
      <c r="AC25" s="56" t="str">
        <f>'R2'!AC31</f>
        <v/>
      </c>
      <c r="AD25" s="56" t="str">
        <f>'R2'!AD31</f>
        <v/>
      </c>
      <c r="AE25" s="56" t="str">
        <f>'R2'!AE31</f>
        <v/>
      </c>
      <c r="AF25" s="56" t="str">
        <f>'R2'!AF31</f>
        <v/>
      </c>
      <c r="AG25" s="56" t="str">
        <f>'R2'!AG31</f>
        <v/>
      </c>
      <c r="AH25" s="56" t="str">
        <f>'R2'!AH31</f>
        <v/>
      </c>
      <c r="AI25" s="56" t="str">
        <f>'R2'!AI31</f>
        <v/>
      </c>
      <c r="AJ25" s="56" t="str">
        <f>'R2'!AJ31</f>
        <v/>
      </c>
      <c r="AK25" s="56" t="str">
        <f>'R2'!AK31</f>
        <v/>
      </c>
    </row>
    <row r="26" spans="1:37" x14ac:dyDescent="0.25">
      <c r="A26" s="237"/>
      <c r="B26" s="56">
        <f>'R2'!B32</f>
        <v>0.11703503468491878</v>
      </c>
      <c r="C26" s="56">
        <f>'R2'!C32</f>
        <v>0.13683909641029329</v>
      </c>
      <c r="D26" s="56">
        <f>'R2'!D32</f>
        <v>0.1705622871854631</v>
      </c>
      <c r="E26" s="56">
        <f>'R2'!E32</f>
        <v>4.7100750868200605E-2</v>
      </c>
      <c r="F26" s="56">
        <f>'R2'!F32</f>
        <v>0.94102629676322014</v>
      </c>
      <c r="G26" s="56">
        <f>'R2'!G32</f>
        <v>1.8520278151669705</v>
      </c>
      <c r="H26" s="56">
        <f>'R2'!H32</f>
        <v>1.9790199465439713</v>
      </c>
      <c r="I26" s="56">
        <f>'R2'!I32</f>
        <v>5.5685034414912016E-2</v>
      </c>
      <c r="J26" s="56">
        <f>'R2'!J32</f>
        <v>0.15483648224887039</v>
      </c>
      <c r="K26" s="56">
        <f>'R2'!K32</f>
        <v>0.17715728179829718</v>
      </c>
      <c r="L26" s="56">
        <f>'R2'!L32</f>
        <v>0.17300350331084613</v>
      </c>
      <c r="M26" s="56">
        <f>'R2'!M32</f>
        <v>0.18161195623143578</v>
      </c>
      <c r="O26" s="56">
        <f>'R2'!O32</f>
        <v>0.797207148364802</v>
      </c>
      <c r="P26" s="56">
        <f>'R2'!P32</f>
        <v>2.4533424312791952</v>
      </c>
      <c r="Q26" s="56">
        <f>'R2'!Q32</f>
        <v>0.11054787266323368</v>
      </c>
      <c r="R26" s="56">
        <f>'R2'!R32</f>
        <v>0.82172976693816657</v>
      </c>
      <c r="S26" s="56">
        <f>'R2'!S32</f>
        <v>0.84440887836670198</v>
      </c>
      <c r="T26" s="56">
        <f>'R2'!T32</f>
        <v>0.73393879973643383</v>
      </c>
      <c r="U26" s="56">
        <f>'R2'!U32</f>
        <v>1.0101534036924396</v>
      </c>
      <c r="V26" s="56">
        <f>'R2'!V32</f>
        <v>1.0537246239740801</v>
      </c>
      <c r="W26" s="56" t="str">
        <f>'R2'!W32</f>
        <v/>
      </c>
      <c r="X26" s="56" t="str">
        <f>'R2'!X32</f>
        <v/>
      </c>
      <c r="Y26" s="56" t="str">
        <f>'R2'!Y32</f>
        <v/>
      </c>
      <c r="Z26" s="56" t="str">
        <f>'R2'!Z32</f>
        <v/>
      </c>
      <c r="AA26" s="56" t="str">
        <f>'R2'!AA32</f>
        <v/>
      </c>
      <c r="AB26" s="56" t="str">
        <f>'R2'!AB32</f>
        <v/>
      </c>
      <c r="AC26" s="56" t="str">
        <f>'R2'!AC32</f>
        <v/>
      </c>
      <c r="AD26" s="56" t="str">
        <f>'R2'!AD32</f>
        <v/>
      </c>
      <c r="AE26" s="56" t="str">
        <f>'R2'!AE32</f>
        <v/>
      </c>
      <c r="AF26" s="56" t="str">
        <f>'R2'!AF32</f>
        <v/>
      </c>
      <c r="AG26" s="56" t="str">
        <f>'R2'!AG32</f>
        <v/>
      </c>
      <c r="AH26" s="56" t="str">
        <f>'R2'!AH32</f>
        <v/>
      </c>
      <c r="AI26" s="56" t="str">
        <f>'R2'!AI32</f>
        <v/>
      </c>
      <c r="AJ26" s="56" t="str">
        <f>'R2'!AJ32</f>
        <v/>
      </c>
      <c r="AK26" s="56" t="str">
        <f>'R2'!AK32</f>
        <v/>
      </c>
    </row>
    <row r="27" spans="1:37" x14ac:dyDescent="0.25">
      <c r="A27" s="237"/>
      <c r="B27" s="56">
        <f>'R2'!B33</f>
        <v>0.12977269571891131</v>
      </c>
      <c r="C27" s="56">
        <f>'R2'!C33</f>
        <v>4.0921994431748904E-2</v>
      </c>
      <c r="D27" s="56">
        <f>'R2'!D33</f>
        <v>0.1351156219829952</v>
      </c>
      <c r="E27" s="56">
        <f>'R2'!E33</f>
        <v>0.3642907916422381</v>
      </c>
      <c r="F27" s="56">
        <f>'R2'!F33</f>
        <v>0.81518725474151144</v>
      </c>
      <c r="G27" s="56">
        <f>'R2'!G33</f>
        <v>1.2973532250307429</v>
      </c>
      <c r="H27" s="56">
        <f>'R2'!H33</f>
        <v>1.804513961214625</v>
      </c>
      <c r="I27" s="56">
        <f>'R2'!I33</f>
        <v>7.9626968287663857E-2</v>
      </c>
      <c r="J27" s="56">
        <f>'R2'!J33</f>
        <v>0.1147058798797494</v>
      </c>
      <c r="K27" s="56">
        <f>'R2'!K33</f>
        <v>7.4813896914774525E-2</v>
      </c>
      <c r="L27" s="56">
        <f>'R2'!L33</f>
        <v>0.18679735504694869</v>
      </c>
      <c r="M27" s="56">
        <f>'R2'!M33</f>
        <v>0.29364927476219105</v>
      </c>
      <c r="O27" s="56">
        <f>'R2'!O33</f>
        <v>1.4105799246473207</v>
      </c>
      <c r="P27" s="56">
        <f>'R2'!P33</f>
        <v>2.1528862855659017</v>
      </c>
      <c r="Q27" s="56">
        <f>'R2'!Q33</f>
        <v>0.17508987074040624</v>
      </c>
      <c r="R27" s="56">
        <f>'R2'!R33</f>
        <v>0.25589774807393906</v>
      </c>
      <c r="S27" s="56">
        <f>'R2'!S33</f>
        <v>1.710566195373624</v>
      </c>
      <c r="T27" s="56">
        <f>'R2'!T33</f>
        <v>0.58851105738364107</v>
      </c>
      <c r="U27" s="56">
        <f>'R2'!U33</f>
        <v>1.134284683202599</v>
      </c>
      <c r="V27" s="56">
        <f>'R2'!V33</f>
        <v>0.6763776313446852</v>
      </c>
      <c r="W27" s="56" t="str">
        <f>'R2'!W33</f>
        <v/>
      </c>
      <c r="X27" s="56" t="str">
        <f>'R2'!X33</f>
        <v/>
      </c>
      <c r="Y27" s="56" t="str">
        <f>'R2'!Y33</f>
        <v/>
      </c>
      <c r="Z27" s="56" t="str">
        <f>'R2'!Z33</f>
        <v/>
      </c>
      <c r="AA27" s="56" t="str">
        <f>'R2'!AA33</f>
        <v/>
      </c>
      <c r="AB27" s="56" t="str">
        <f>'R2'!AB33</f>
        <v/>
      </c>
      <c r="AC27" s="56" t="str">
        <f>'R2'!AC33</f>
        <v/>
      </c>
      <c r="AD27" s="56" t="str">
        <f>'R2'!AD33</f>
        <v/>
      </c>
      <c r="AE27" s="56" t="str">
        <f>'R2'!AE33</f>
        <v/>
      </c>
      <c r="AF27" s="56" t="str">
        <f>'R2'!AF33</f>
        <v/>
      </c>
      <c r="AG27" s="56" t="str">
        <f>'R2'!AG33</f>
        <v/>
      </c>
      <c r="AH27" s="56" t="str">
        <f>'R2'!AH33</f>
        <v/>
      </c>
      <c r="AI27" s="56" t="str">
        <f>'R2'!AI33</f>
        <v/>
      </c>
      <c r="AJ27" s="56" t="str">
        <f>'R2'!AJ33</f>
        <v/>
      </c>
      <c r="AK27" s="56" t="str">
        <f>'R2'!AK33</f>
        <v/>
      </c>
    </row>
    <row r="28" spans="1:37" x14ac:dyDescent="0.25">
      <c r="A28" s="237"/>
      <c r="B28" s="56">
        <f>'R2'!B34</f>
        <v>0.19763490229394309</v>
      </c>
      <c r="C28" s="56">
        <f>'R2'!C34</f>
        <v>0.11313805427598381</v>
      </c>
      <c r="D28" s="56">
        <f>'R2'!D34</f>
        <v>0.12375958880719964</v>
      </c>
      <c r="E28" s="56">
        <f>'R2'!E34</f>
        <v>0.15188989654569882</v>
      </c>
      <c r="F28" s="56">
        <f>'R2'!F34</f>
        <v>0.39847583740099934</v>
      </c>
      <c r="G28" s="56">
        <f>'R2'!G34</f>
        <v>1.319104932429924</v>
      </c>
      <c r="H28" s="56">
        <f>'R2'!H34</f>
        <v>1.8351931718514127</v>
      </c>
      <c r="I28" s="56">
        <f>'R2'!I34</f>
        <v>0.23644843783222508</v>
      </c>
      <c r="J28" s="56">
        <f>'R2'!J34</f>
        <v>0.26918725825087053</v>
      </c>
      <c r="K28" s="56">
        <f>'R2'!K34</f>
        <v>0.13580796700365161</v>
      </c>
      <c r="L28" s="56">
        <f>'R2'!L34</f>
        <v>0.12579805494373414</v>
      </c>
      <c r="M28" s="56">
        <f>'R2'!M34</f>
        <v>0.20395553988142651</v>
      </c>
      <c r="O28" s="56">
        <f>'R2'!O34</f>
        <v>0.97551413410483578</v>
      </c>
      <c r="P28" s="56">
        <f>'R2'!P34</f>
        <v>1.659535630688636</v>
      </c>
      <c r="Q28" s="56">
        <f>'R2'!Q34</f>
        <v>0.11346188014047888</v>
      </c>
      <c r="R28" s="56">
        <f>'R2'!R34</f>
        <v>1.0800940306027549</v>
      </c>
      <c r="S28" s="56">
        <f>'R2'!S34</f>
        <v>1.1172185534253118</v>
      </c>
      <c r="T28" s="56">
        <f>'R2'!T34</f>
        <v>0.37518650092600014</v>
      </c>
      <c r="U28" s="56">
        <f>'R2'!U34</f>
        <v>0.89583529097700798</v>
      </c>
      <c r="V28" s="56">
        <f>'R2'!V34</f>
        <v>1.0681957285426253</v>
      </c>
      <c r="W28" s="56" t="str">
        <f>'R2'!W34</f>
        <v/>
      </c>
      <c r="X28" s="56" t="str">
        <f>'R2'!X34</f>
        <v/>
      </c>
      <c r="Y28" s="56" t="str">
        <f>'R2'!Y34</f>
        <v/>
      </c>
      <c r="Z28" s="56" t="str">
        <f>'R2'!Z34</f>
        <v/>
      </c>
      <c r="AA28" s="56" t="str">
        <f>'R2'!AA34</f>
        <v/>
      </c>
      <c r="AB28" s="56" t="str">
        <f>'R2'!AB34</f>
        <v/>
      </c>
      <c r="AC28" s="56" t="str">
        <f>'R2'!AC34</f>
        <v/>
      </c>
      <c r="AD28" s="56" t="str">
        <f>'R2'!AD34</f>
        <v/>
      </c>
      <c r="AE28" s="56" t="str">
        <f>'R2'!AE34</f>
        <v/>
      </c>
      <c r="AF28" s="56" t="str">
        <f>'R2'!AF34</f>
        <v/>
      </c>
      <c r="AG28" s="56" t="str">
        <f>'R2'!AG34</f>
        <v/>
      </c>
      <c r="AH28" s="56" t="str">
        <f>'R2'!AH34</f>
        <v/>
      </c>
      <c r="AI28" s="56" t="str">
        <f>'R2'!AI34</f>
        <v/>
      </c>
      <c r="AJ28" s="56" t="str">
        <f>'R2'!AJ34</f>
        <v/>
      </c>
      <c r="AK28" s="56" t="str">
        <f>'R2'!AK34</f>
        <v/>
      </c>
    </row>
    <row r="29" spans="1:37" x14ac:dyDescent="0.25">
      <c r="A29" s="237"/>
      <c r="B29" s="56">
        <f>'R2'!B35</f>
        <v>0.10218632648363529</v>
      </c>
      <c r="C29" s="56">
        <f>'R2'!C35</f>
        <v>7.5214362417806518E-2</v>
      </c>
      <c r="D29" s="56">
        <f>'R2'!D35</f>
        <v>6.0567855514327744E-2</v>
      </c>
      <c r="E29" s="56">
        <f>'R2'!E35</f>
        <v>0.18077478939183489</v>
      </c>
      <c r="F29" s="56">
        <f>'R2'!F35</f>
        <v>0.41691914758005366</v>
      </c>
      <c r="G29" s="56">
        <f>'R2'!G35</f>
        <v>0.93277845235907597</v>
      </c>
      <c r="H29" s="56">
        <f>'R2'!H35</f>
        <v>2.4767866631834683</v>
      </c>
      <c r="I29" s="56">
        <f>'R2'!I35</f>
        <v>0.23182691087383669</v>
      </c>
      <c r="J29" s="56">
        <f>'R2'!J35</f>
        <v>0.14166057177462263</v>
      </c>
      <c r="K29" s="56">
        <f>'R2'!K35</f>
        <v>0.14127858144305591</v>
      </c>
      <c r="L29" s="56">
        <f>'R2'!L35</f>
        <v>0.2512789697894427</v>
      </c>
      <c r="M29" s="56">
        <f>'R2'!M35</f>
        <v>0.14444689593715557</v>
      </c>
      <c r="O29" s="56">
        <f>'R2'!O35</f>
        <v>0.75133491619900883</v>
      </c>
      <c r="P29" s="56">
        <f>'R2'!P35</f>
        <v>1.5801375241343167</v>
      </c>
      <c r="Q29" s="56">
        <f>'R2'!Q35</f>
        <v>8.9547712491614292E-2</v>
      </c>
      <c r="R29" s="56">
        <f>'R2'!R35</f>
        <v>8.8542854671862833E-2</v>
      </c>
      <c r="S29" s="56">
        <f>'R2'!S35</f>
        <v>0.74408381239905519</v>
      </c>
      <c r="T29" s="56">
        <f>'R2'!T35</f>
        <v>0.45848766364940474</v>
      </c>
      <c r="U29" s="56">
        <f>'R2'!U35</f>
        <v>0.20062337428759139</v>
      </c>
      <c r="V29" s="56">
        <f>'R2'!V35</f>
        <v>0.2931087654179968</v>
      </c>
      <c r="W29" s="56" t="str">
        <f>'R2'!W35</f>
        <v/>
      </c>
      <c r="X29" s="56" t="str">
        <f>'R2'!X35</f>
        <v/>
      </c>
      <c r="Y29" s="56" t="str">
        <f>'R2'!Y35</f>
        <v/>
      </c>
      <c r="Z29" s="56" t="str">
        <f>'R2'!Z35</f>
        <v/>
      </c>
      <c r="AA29" s="56" t="str">
        <f>'R2'!AA35</f>
        <v/>
      </c>
      <c r="AB29" s="56" t="str">
        <f>'R2'!AB35</f>
        <v/>
      </c>
      <c r="AC29" s="56" t="str">
        <f>'R2'!AC35</f>
        <v/>
      </c>
      <c r="AD29" s="56" t="str">
        <f>'R2'!AD35</f>
        <v/>
      </c>
      <c r="AE29" s="56" t="str">
        <f>'R2'!AE35</f>
        <v/>
      </c>
      <c r="AF29" s="56" t="str">
        <f>'R2'!AF35</f>
        <v/>
      </c>
      <c r="AG29" s="56" t="str">
        <f>'R2'!AG35</f>
        <v/>
      </c>
      <c r="AH29" s="56" t="str">
        <f>'R2'!AH35</f>
        <v/>
      </c>
      <c r="AI29" s="56" t="str">
        <f>'R2'!AI35</f>
        <v/>
      </c>
      <c r="AJ29" s="56" t="str">
        <f>'R2'!AJ35</f>
        <v/>
      </c>
      <c r="AK29" s="56" t="str">
        <f>'R2'!AK35</f>
        <v/>
      </c>
    </row>
    <row r="30" spans="1:37" x14ac:dyDescent="0.25">
      <c r="A30" s="237"/>
      <c r="B30" s="56" t="str">
        <f>'R2'!B36</f>
        <v/>
      </c>
      <c r="C30" s="56" t="str">
        <f>'R2'!C36</f>
        <v/>
      </c>
      <c r="D30" s="56" t="str">
        <f>'R2'!D36</f>
        <v/>
      </c>
      <c r="E30" s="56" t="str">
        <f>'R2'!E36</f>
        <v/>
      </c>
      <c r="F30" s="56" t="str">
        <f>'R2'!F36</f>
        <v/>
      </c>
      <c r="G30" s="56" t="str">
        <f>'R2'!G36</f>
        <v/>
      </c>
      <c r="H30" s="56" t="str">
        <f>'R2'!H36</f>
        <v/>
      </c>
      <c r="I30" s="56" t="str">
        <f>'R2'!I36</f>
        <v/>
      </c>
      <c r="J30" s="56" t="str">
        <f>'R2'!J36</f>
        <v/>
      </c>
      <c r="K30" s="56" t="str">
        <f>'R2'!K36</f>
        <v/>
      </c>
      <c r="L30" s="56" t="str">
        <f>'R2'!L36</f>
        <v/>
      </c>
      <c r="M30" s="56" t="str">
        <f>'R2'!M36</f>
        <v/>
      </c>
      <c r="O30" s="56" t="str">
        <f>'R2'!O36</f>
        <v/>
      </c>
      <c r="P30" s="56" t="str">
        <f>'R2'!P36</f>
        <v/>
      </c>
      <c r="Q30" s="56" t="str">
        <f>'R2'!Q36</f>
        <v/>
      </c>
      <c r="R30" s="56" t="str">
        <f>'R2'!R36</f>
        <v/>
      </c>
      <c r="S30" s="56" t="str">
        <f>'R2'!S36</f>
        <v/>
      </c>
      <c r="T30" s="56" t="str">
        <f>'R2'!T36</f>
        <v/>
      </c>
      <c r="U30" s="56" t="str">
        <f>'R2'!U36</f>
        <v/>
      </c>
      <c r="V30" s="56" t="str">
        <f>'R2'!V36</f>
        <v/>
      </c>
      <c r="W30" s="56" t="str">
        <f>'R2'!W36</f>
        <v/>
      </c>
      <c r="X30" s="56" t="str">
        <f>'R2'!X36</f>
        <v/>
      </c>
      <c r="Y30" s="56" t="str">
        <f>'R2'!Y36</f>
        <v/>
      </c>
      <c r="Z30" s="56" t="str">
        <f>'R2'!Z36</f>
        <v/>
      </c>
      <c r="AA30" s="56" t="str">
        <f>'R2'!AA36</f>
        <v/>
      </c>
      <c r="AB30" s="56" t="str">
        <f>'R2'!AB36</f>
        <v/>
      </c>
      <c r="AC30" s="56" t="str">
        <f>'R2'!AC36</f>
        <v/>
      </c>
      <c r="AD30" s="56" t="str">
        <f>'R2'!AD36</f>
        <v/>
      </c>
      <c r="AE30" s="56" t="str">
        <f>'R2'!AE36</f>
        <v/>
      </c>
      <c r="AF30" s="56" t="str">
        <f>'R2'!AF36</f>
        <v/>
      </c>
      <c r="AG30" s="56" t="str">
        <f>'R2'!AG36</f>
        <v/>
      </c>
      <c r="AH30" s="56" t="str">
        <f>'R2'!AH36</f>
        <v/>
      </c>
      <c r="AI30" s="56" t="str">
        <f>'R2'!AI36</f>
        <v/>
      </c>
      <c r="AJ30" s="56" t="str">
        <f>'R2'!AJ36</f>
        <v/>
      </c>
      <c r="AK30" s="56" t="str">
        <f>'R2'!AK36</f>
        <v/>
      </c>
    </row>
    <row r="31" spans="1:37" s="1" customFormat="1" x14ac:dyDescent="0.25">
      <c r="A31" s="237"/>
      <c r="B31" s="56" t="str">
        <f>'R2'!B37</f>
        <v/>
      </c>
      <c r="C31" s="56" t="str">
        <f>'R2'!C37</f>
        <v/>
      </c>
      <c r="D31" s="56" t="str">
        <f>'R2'!D37</f>
        <v/>
      </c>
      <c r="E31" s="56" t="str">
        <f>'R2'!E37</f>
        <v/>
      </c>
      <c r="F31" s="56" t="str">
        <f>'R2'!F37</f>
        <v/>
      </c>
      <c r="G31" s="56" t="str">
        <f>'R2'!G37</f>
        <v/>
      </c>
      <c r="H31" s="56" t="str">
        <f>'R2'!H37</f>
        <v/>
      </c>
      <c r="I31" s="56" t="str">
        <f>'R2'!I37</f>
        <v/>
      </c>
      <c r="J31" s="56" t="str">
        <f>'R2'!J37</f>
        <v/>
      </c>
      <c r="K31" s="56" t="str">
        <f>'R2'!K37</f>
        <v/>
      </c>
      <c r="L31" s="56" t="str">
        <f>'R2'!L37</f>
        <v/>
      </c>
      <c r="M31" s="56" t="str">
        <f>'R2'!M37</f>
        <v/>
      </c>
      <c r="N31"/>
      <c r="O31" s="56">
        <f>'R2'!O37</f>
        <v>1.437627774957428</v>
      </c>
      <c r="P31" s="56" t="str">
        <f>'R2'!P37</f>
        <v/>
      </c>
      <c r="Q31" s="56" t="str">
        <f>'R2'!Q37</f>
        <v/>
      </c>
      <c r="R31" s="56" t="str">
        <f>'R2'!R37</f>
        <v/>
      </c>
      <c r="S31" s="56" t="str">
        <f>'R2'!S37</f>
        <v/>
      </c>
      <c r="T31" s="56" t="str">
        <f>'R2'!T37</f>
        <v/>
      </c>
      <c r="U31" s="56" t="str">
        <f>'R2'!U37</f>
        <v/>
      </c>
      <c r="V31" s="56" t="str">
        <f>'R2'!V37</f>
        <v/>
      </c>
      <c r="W31" s="56" t="str">
        <f>'R2'!W37</f>
        <v/>
      </c>
      <c r="X31" s="56" t="str">
        <f>'R2'!X37</f>
        <v/>
      </c>
      <c r="Y31" s="56" t="str">
        <f>'R2'!Y37</f>
        <v/>
      </c>
      <c r="Z31" s="56" t="str">
        <f>'R2'!Z37</f>
        <v/>
      </c>
      <c r="AA31" s="56" t="str">
        <f>'R2'!AA37</f>
        <v/>
      </c>
      <c r="AB31" s="56" t="str">
        <f>'R2'!AB37</f>
        <v/>
      </c>
      <c r="AC31" s="56" t="str">
        <f>'R2'!AC37</f>
        <v/>
      </c>
      <c r="AD31" s="56" t="str">
        <f>'R2'!AD37</f>
        <v/>
      </c>
      <c r="AE31" s="56" t="str">
        <f>'R2'!AE37</f>
        <v/>
      </c>
      <c r="AF31" s="56" t="str">
        <f>'R2'!AF37</f>
        <v/>
      </c>
      <c r="AG31" s="56" t="str">
        <f>'R2'!AG37</f>
        <v/>
      </c>
      <c r="AH31" s="56" t="str">
        <f>'R2'!AH37</f>
        <v/>
      </c>
      <c r="AI31" s="56" t="str">
        <f>'R2'!AI37</f>
        <v/>
      </c>
      <c r="AJ31" s="56" t="str">
        <f>'R2'!AJ37</f>
        <v/>
      </c>
      <c r="AK31" s="56" t="str">
        <f>'R2'!AK37</f>
        <v/>
      </c>
    </row>
    <row r="32" spans="1:37" s="1" customFormat="1" x14ac:dyDescent="0.25">
      <c r="A32" s="237"/>
      <c r="B32" s="56" t="str">
        <f>'R2'!B38</f>
        <v/>
      </c>
      <c r="C32" s="56" t="str">
        <f>'R2'!C38</f>
        <v/>
      </c>
      <c r="D32" s="56" t="str">
        <f>'R2'!D38</f>
        <v/>
      </c>
      <c r="E32" s="56" t="str">
        <f>'R2'!E38</f>
        <v/>
      </c>
      <c r="F32" s="56" t="str">
        <f>'R2'!F38</f>
        <v/>
      </c>
      <c r="G32" s="56" t="str">
        <f>'R2'!G38</f>
        <v/>
      </c>
      <c r="H32" s="56" t="str">
        <f>'R2'!H38</f>
        <v/>
      </c>
      <c r="I32" s="56" t="str">
        <f>'R2'!I38</f>
        <v/>
      </c>
      <c r="J32" s="56" t="str">
        <f>'R2'!J38</f>
        <v/>
      </c>
      <c r="K32" s="56" t="str">
        <f>'R2'!K38</f>
        <v/>
      </c>
      <c r="L32" s="56" t="str">
        <f>'R2'!L38</f>
        <v/>
      </c>
      <c r="M32" s="56" t="str">
        <f>'R2'!M38</f>
        <v/>
      </c>
      <c r="N32"/>
      <c r="O32" s="56">
        <f>'R2'!O38</f>
        <v>0.85846058050297858</v>
      </c>
      <c r="P32" s="56" t="str">
        <f>'R2'!P38</f>
        <v/>
      </c>
      <c r="Q32" s="56" t="str">
        <f>'R2'!Q38</f>
        <v/>
      </c>
      <c r="R32" s="56" t="str">
        <f>'R2'!R38</f>
        <v/>
      </c>
      <c r="S32" s="56" t="str">
        <f>'R2'!S38</f>
        <v/>
      </c>
      <c r="T32" s="56" t="str">
        <f>'R2'!T38</f>
        <v/>
      </c>
      <c r="U32" s="56" t="str">
        <f>'R2'!U38</f>
        <v/>
      </c>
      <c r="V32" s="56" t="str">
        <f>'R2'!V38</f>
        <v/>
      </c>
      <c r="W32" s="56" t="str">
        <f>'R2'!W38</f>
        <v/>
      </c>
      <c r="X32" s="56" t="str">
        <f>'R2'!X38</f>
        <v/>
      </c>
      <c r="Y32" s="56" t="str">
        <f>'R2'!Y38</f>
        <v/>
      </c>
      <c r="Z32" s="56" t="str">
        <f>'R2'!Z38</f>
        <v/>
      </c>
      <c r="AA32" s="56" t="str">
        <f>'R2'!AA38</f>
        <v/>
      </c>
      <c r="AB32" s="56" t="str">
        <f>'R2'!AB38</f>
        <v/>
      </c>
      <c r="AC32" s="56" t="str">
        <f>'R2'!AC38</f>
        <v/>
      </c>
      <c r="AD32" s="56" t="str">
        <f>'R2'!AD38</f>
        <v/>
      </c>
      <c r="AE32" s="56" t="str">
        <f>'R2'!AE38</f>
        <v/>
      </c>
      <c r="AF32" s="56" t="str">
        <f>'R2'!AF38</f>
        <v/>
      </c>
      <c r="AG32" s="56" t="str">
        <f>'R2'!AG38</f>
        <v/>
      </c>
      <c r="AH32" s="56" t="str">
        <f>'R2'!AH38</f>
        <v/>
      </c>
      <c r="AI32" s="56" t="str">
        <f>'R2'!AI38</f>
        <v/>
      </c>
      <c r="AJ32" s="56" t="str">
        <f>'R2'!AJ38</f>
        <v/>
      </c>
      <c r="AK32" s="56" t="str">
        <f>'R2'!AK38</f>
        <v/>
      </c>
    </row>
    <row r="33" spans="1:37" s="1" customFormat="1" x14ac:dyDescent="0.25">
      <c r="A33" s="237"/>
      <c r="B33" s="56" t="str">
        <f>'R2'!B39</f>
        <v/>
      </c>
      <c r="C33" s="56" t="str">
        <f>'R2'!C39</f>
        <v/>
      </c>
      <c r="D33" s="56" t="str">
        <f>'R2'!D39</f>
        <v/>
      </c>
      <c r="E33" s="56" t="str">
        <f>'R2'!E39</f>
        <v/>
      </c>
      <c r="F33" s="56" t="str">
        <f>'R2'!F39</f>
        <v/>
      </c>
      <c r="G33" s="56" t="str">
        <f>'R2'!G39</f>
        <v/>
      </c>
      <c r="H33" s="56" t="str">
        <f>'R2'!H39</f>
        <v/>
      </c>
      <c r="I33" s="56" t="str">
        <f>'R2'!I39</f>
        <v/>
      </c>
      <c r="J33" s="56" t="str">
        <f>'R2'!J39</f>
        <v/>
      </c>
      <c r="K33" s="56" t="str">
        <f>'R2'!K39</f>
        <v/>
      </c>
      <c r="L33" s="56" t="str">
        <f>'R2'!L39</f>
        <v/>
      </c>
      <c r="M33" s="56" t="str">
        <f>'R2'!M39</f>
        <v/>
      </c>
      <c r="N33"/>
      <c r="O33" s="56">
        <f>'R2'!O39</f>
        <v>1.6951446158992816</v>
      </c>
      <c r="P33" s="56" t="str">
        <f>'R2'!P39</f>
        <v/>
      </c>
      <c r="Q33" s="56" t="str">
        <f>'R2'!Q39</f>
        <v/>
      </c>
      <c r="R33" s="56" t="str">
        <f>'R2'!R39</f>
        <v/>
      </c>
      <c r="S33" s="56" t="str">
        <f>'R2'!S39</f>
        <v/>
      </c>
      <c r="T33" s="56" t="str">
        <f>'R2'!T39</f>
        <v/>
      </c>
      <c r="U33" s="56" t="str">
        <f>'R2'!U39</f>
        <v/>
      </c>
      <c r="V33" s="56" t="str">
        <f>'R2'!V39</f>
        <v/>
      </c>
      <c r="W33" s="56" t="str">
        <f>'R2'!W39</f>
        <v/>
      </c>
      <c r="X33" s="56" t="str">
        <f>'R2'!X39</f>
        <v/>
      </c>
      <c r="Y33" s="56" t="str">
        <f>'R2'!Y39</f>
        <v/>
      </c>
      <c r="Z33" s="56" t="str">
        <f>'R2'!Z39</f>
        <v/>
      </c>
      <c r="AA33" s="56" t="str">
        <f>'R2'!AA39</f>
        <v/>
      </c>
      <c r="AB33" s="56" t="str">
        <f>'R2'!AB39</f>
        <v/>
      </c>
      <c r="AC33" s="56" t="str">
        <f>'R2'!AC39</f>
        <v/>
      </c>
      <c r="AD33" s="56" t="str">
        <f>'R2'!AD39</f>
        <v/>
      </c>
      <c r="AE33" s="56" t="str">
        <f>'R2'!AE39</f>
        <v/>
      </c>
      <c r="AF33" s="56" t="str">
        <f>'R2'!AF39</f>
        <v/>
      </c>
      <c r="AG33" s="56" t="str">
        <f>'R2'!AG39</f>
        <v/>
      </c>
      <c r="AH33" s="56" t="str">
        <f>'R2'!AH39</f>
        <v/>
      </c>
      <c r="AI33" s="56" t="str">
        <f>'R2'!AI39</f>
        <v/>
      </c>
      <c r="AJ33" s="56" t="str">
        <f>'R2'!AJ39</f>
        <v/>
      </c>
      <c r="AK33" s="56" t="str">
        <f>'R2'!AK39</f>
        <v/>
      </c>
    </row>
    <row r="34" spans="1:37" s="1" customFormat="1" x14ac:dyDescent="0.25">
      <c r="A34" s="237"/>
      <c r="B34" s="56" t="str">
        <f>'R2'!B40</f>
        <v/>
      </c>
      <c r="C34" s="56" t="str">
        <f>'R2'!C40</f>
        <v/>
      </c>
      <c r="D34" s="56" t="str">
        <f>'R2'!D40</f>
        <v/>
      </c>
      <c r="E34" s="56" t="str">
        <f>'R2'!E40</f>
        <v/>
      </c>
      <c r="F34" s="56" t="str">
        <f>'R2'!F40</f>
        <v/>
      </c>
      <c r="G34" s="56" t="str">
        <f>'R2'!G40</f>
        <v/>
      </c>
      <c r="H34" s="56" t="str">
        <f>'R2'!H40</f>
        <v/>
      </c>
      <c r="I34" s="56" t="str">
        <f>'R2'!I40</f>
        <v/>
      </c>
      <c r="J34" s="56" t="str">
        <f>'R2'!J40</f>
        <v/>
      </c>
      <c r="K34" s="56" t="str">
        <f>'R2'!K40</f>
        <v/>
      </c>
      <c r="L34" s="56" t="str">
        <f>'R2'!L40</f>
        <v/>
      </c>
      <c r="M34" s="56" t="str">
        <f>'R2'!M40</f>
        <v/>
      </c>
      <c r="N34"/>
      <c r="O34" s="56">
        <f>'R2'!O40</f>
        <v>0.39518931291741394</v>
      </c>
      <c r="P34" s="56" t="str">
        <f>'R2'!P40</f>
        <v/>
      </c>
      <c r="Q34" s="56" t="str">
        <f>'R2'!Q40</f>
        <v/>
      </c>
      <c r="R34" s="56" t="str">
        <f>'R2'!R40</f>
        <v/>
      </c>
      <c r="S34" s="56" t="str">
        <f>'R2'!S40</f>
        <v/>
      </c>
      <c r="T34" s="56" t="str">
        <f>'R2'!T40</f>
        <v/>
      </c>
      <c r="U34" s="56" t="str">
        <f>'R2'!U40</f>
        <v/>
      </c>
      <c r="V34" s="56" t="str">
        <f>'R2'!V40</f>
        <v/>
      </c>
      <c r="W34" s="56" t="str">
        <f>'R2'!W40</f>
        <v/>
      </c>
      <c r="X34" s="56" t="str">
        <f>'R2'!X40</f>
        <v/>
      </c>
      <c r="Y34" s="56" t="str">
        <f>'R2'!Y40</f>
        <v/>
      </c>
      <c r="Z34" s="56" t="str">
        <f>'R2'!Z40</f>
        <v/>
      </c>
      <c r="AA34" s="56" t="str">
        <f>'R2'!AA40</f>
        <v/>
      </c>
      <c r="AB34" s="56" t="str">
        <f>'R2'!AB40</f>
        <v/>
      </c>
      <c r="AC34" s="56" t="str">
        <f>'R2'!AC40</f>
        <v/>
      </c>
      <c r="AD34" s="56" t="str">
        <f>'R2'!AD40</f>
        <v/>
      </c>
      <c r="AE34" s="56" t="str">
        <f>'R2'!AE40</f>
        <v/>
      </c>
      <c r="AF34" s="56" t="str">
        <f>'R2'!AF40</f>
        <v/>
      </c>
      <c r="AG34" s="56" t="str">
        <f>'R2'!AG40</f>
        <v/>
      </c>
      <c r="AH34" s="56" t="str">
        <f>'R2'!AH40</f>
        <v/>
      </c>
      <c r="AI34" s="56" t="str">
        <f>'R2'!AI40</f>
        <v/>
      </c>
      <c r="AJ34" s="56" t="str">
        <f>'R2'!AJ40</f>
        <v/>
      </c>
      <c r="AK34" s="56" t="str">
        <f>'R2'!AK40</f>
        <v/>
      </c>
    </row>
    <row r="35" spans="1:37" s="1" customFormat="1" x14ac:dyDescent="0.25">
      <c r="A35" s="237"/>
      <c r="B35" s="56" t="str">
        <f>'R2'!B41</f>
        <v/>
      </c>
      <c r="C35" s="56" t="str">
        <f>'R2'!C41</f>
        <v/>
      </c>
      <c r="D35" s="56" t="str">
        <f>'R2'!D41</f>
        <v/>
      </c>
      <c r="E35" s="56" t="str">
        <f>'R2'!E41</f>
        <v/>
      </c>
      <c r="F35" s="56" t="str">
        <f>'R2'!F41</f>
        <v/>
      </c>
      <c r="G35" s="56" t="str">
        <f>'R2'!G41</f>
        <v/>
      </c>
      <c r="H35" s="56" t="str">
        <f>'R2'!H41</f>
        <v/>
      </c>
      <c r="I35" s="56" t="str">
        <f>'R2'!I41</f>
        <v/>
      </c>
      <c r="J35" s="56" t="str">
        <f>'R2'!J41</f>
        <v/>
      </c>
      <c r="K35" s="56" t="str">
        <f>'R2'!K41</f>
        <v/>
      </c>
      <c r="L35" s="56" t="str">
        <f>'R2'!L41</f>
        <v/>
      </c>
      <c r="M35" s="56" t="str">
        <f>'R2'!M41</f>
        <v/>
      </c>
      <c r="N35"/>
      <c r="O35" s="56">
        <f>'R2'!O41</f>
        <v>1.0137519792173486</v>
      </c>
      <c r="P35" s="56" t="str">
        <f>'R2'!P41</f>
        <v/>
      </c>
      <c r="Q35" s="56" t="str">
        <f>'R2'!Q41</f>
        <v/>
      </c>
      <c r="R35" s="56" t="str">
        <f>'R2'!R41</f>
        <v/>
      </c>
      <c r="S35" s="56" t="str">
        <f>'R2'!S41</f>
        <v/>
      </c>
      <c r="T35" s="56" t="str">
        <f>'R2'!T41</f>
        <v/>
      </c>
      <c r="U35" s="56" t="str">
        <f>'R2'!U41</f>
        <v/>
      </c>
      <c r="V35" s="56" t="str">
        <f>'R2'!V41</f>
        <v/>
      </c>
      <c r="W35" s="56" t="str">
        <f>'R2'!W41</f>
        <v/>
      </c>
      <c r="X35" s="56" t="str">
        <f>'R2'!X41</f>
        <v/>
      </c>
      <c r="Y35" s="56" t="str">
        <f>'R2'!Y41</f>
        <v/>
      </c>
      <c r="Z35" s="56" t="str">
        <f>'R2'!Z41</f>
        <v/>
      </c>
      <c r="AA35" s="56" t="str">
        <f>'R2'!AA41</f>
        <v/>
      </c>
      <c r="AB35" s="56" t="str">
        <f>'R2'!AB41</f>
        <v/>
      </c>
      <c r="AC35" s="56" t="str">
        <f>'R2'!AC41</f>
        <v/>
      </c>
      <c r="AD35" s="56" t="str">
        <f>'R2'!AD41</f>
        <v/>
      </c>
      <c r="AE35" s="56" t="str">
        <f>'R2'!AE41</f>
        <v/>
      </c>
      <c r="AF35" s="56" t="str">
        <f>'R2'!AF41</f>
        <v/>
      </c>
      <c r="AG35" s="56" t="str">
        <f>'R2'!AG41</f>
        <v/>
      </c>
      <c r="AH35" s="56" t="str">
        <f>'R2'!AH41</f>
        <v/>
      </c>
      <c r="AI35" s="56" t="str">
        <f>'R2'!AI41</f>
        <v/>
      </c>
      <c r="AJ35" s="56" t="str">
        <f>'R2'!AJ41</f>
        <v/>
      </c>
      <c r="AK35" s="56" t="str">
        <f>'R2'!AK41</f>
        <v/>
      </c>
    </row>
    <row r="36" spans="1:37" x14ac:dyDescent="0.25">
      <c r="A36" s="237"/>
      <c r="B36" s="56" t="str">
        <f>'R2'!B42</f>
        <v/>
      </c>
      <c r="C36" s="56" t="str">
        <f>'R2'!C42</f>
        <v/>
      </c>
      <c r="D36" s="56" t="str">
        <f>'R2'!D42</f>
        <v/>
      </c>
      <c r="E36" s="56" t="str">
        <f>'R2'!E42</f>
        <v/>
      </c>
      <c r="F36" s="56" t="str">
        <f>'R2'!F42</f>
        <v/>
      </c>
      <c r="G36" s="56" t="str">
        <f>'R2'!G42</f>
        <v/>
      </c>
      <c r="H36" s="56" t="str">
        <f>'R2'!H42</f>
        <v/>
      </c>
      <c r="I36" s="56" t="str">
        <f>'R2'!I42</f>
        <v/>
      </c>
      <c r="J36" s="56" t="str">
        <f>'R2'!J42</f>
        <v/>
      </c>
      <c r="K36" s="56" t="str">
        <f>'R2'!K42</f>
        <v/>
      </c>
      <c r="L36" s="56" t="str">
        <f>'R2'!L42</f>
        <v/>
      </c>
      <c r="M36" s="56" t="str">
        <f>'R2'!M42</f>
        <v/>
      </c>
      <c r="O36" s="56">
        <f>'R2'!O42</f>
        <v>0.94912591692273551</v>
      </c>
      <c r="P36" s="56" t="str">
        <f>'R2'!P42</f>
        <v/>
      </c>
      <c r="Q36" s="56" t="str">
        <f>'R2'!Q42</f>
        <v/>
      </c>
      <c r="R36" s="56" t="str">
        <f>'R2'!R42</f>
        <v/>
      </c>
      <c r="S36" s="56" t="str">
        <f>'R2'!S42</f>
        <v/>
      </c>
      <c r="T36" s="56" t="str">
        <f>'R2'!T42</f>
        <v/>
      </c>
      <c r="U36" s="56" t="str">
        <f>'R2'!U42</f>
        <v/>
      </c>
      <c r="V36" s="56" t="str">
        <f>'R2'!V42</f>
        <v/>
      </c>
      <c r="W36" s="56" t="str">
        <f>'R2'!W42</f>
        <v/>
      </c>
      <c r="X36" s="56" t="str">
        <f>'R2'!X42</f>
        <v/>
      </c>
      <c r="Y36" s="56" t="str">
        <f>'R2'!Y42</f>
        <v/>
      </c>
      <c r="Z36" s="56" t="str">
        <f>'R2'!Z42</f>
        <v/>
      </c>
      <c r="AA36" s="56" t="str">
        <f>'R2'!AA42</f>
        <v/>
      </c>
      <c r="AB36" s="56" t="str">
        <f>'R2'!AB42</f>
        <v/>
      </c>
      <c r="AC36" s="56" t="str">
        <f>'R2'!AC42</f>
        <v/>
      </c>
      <c r="AD36" s="56" t="str">
        <f>'R2'!AD42</f>
        <v/>
      </c>
      <c r="AE36" s="56" t="str">
        <f>'R2'!AE42</f>
        <v/>
      </c>
      <c r="AF36" s="56" t="str">
        <f>'R2'!AF42</f>
        <v/>
      </c>
      <c r="AG36" s="56" t="str">
        <f>'R2'!AG42</f>
        <v/>
      </c>
      <c r="AH36" s="56" t="str">
        <f>'R2'!AH42</f>
        <v/>
      </c>
      <c r="AI36" s="56" t="str">
        <f>'R2'!AI42</f>
        <v/>
      </c>
      <c r="AJ36" s="56" t="str">
        <f>'R2'!AJ42</f>
        <v/>
      </c>
      <c r="AK36" s="56" t="str">
        <f>'R2'!AK42</f>
        <v/>
      </c>
    </row>
    <row r="37" spans="1:37" x14ac:dyDescent="0.25">
      <c r="A37" s="238"/>
      <c r="B37" s="56" t="str">
        <f>'R2'!B43</f>
        <v/>
      </c>
      <c r="C37" s="56" t="str">
        <f>'R2'!C43</f>
        <v/>
      </c>
      <c r="D37" s="56" t="str">
        <f>'R2'!D43</f>
        <v/>
      </c>
      <c r="E37" s="56" t="str">
        <f>'R2'!E43</f>
        <v/>
      </c>
      <c r="F37" s="56" t="str">
        <f>'R2'!F43</f>
        <v/>
      </c>
      <c r="G37" s="56" t="str">
        <f>'R2'!G43</f>
        <v/>
      </c>
      <c r="H37" s="56" t="str">
        <f>'R2'!H43</f>
        <v/>
      </c>
      <c r="I37" s="56" t="str">
        <f>'R2'!I43</f>
        <v/>
      </c>
      <c r="J37" s="56" t="str">
        <f>'R2'!J43</f>
        <v/>
      </c>
      <c r="K37" s="56" t="str">
        <f>'R2'!K43</f>
        <v/>
      </c>
      <c r="L37" s="56" t="str">
        <f>'R2'!L43</f>
        <v/>
      </c>
      <c r="M37" s="56" t="str">
        <f>'R2'!M43</f>
        <v/>
      </c>
      <c r="O37" s="56">
        <f>'R2'!O43</f>
        <v>0.96949789210088655</v>
      </c>
      <c r="P37" s="56" t="str">
        <f>'R2'!P43</f>
        <v/>
      </c>
      <c r="Q37" s="56" t="str">
        <f>'R2'!Q43</f>
        <v/>
      </c>
      <c r="R37" s="56" t="str">
        <f>'R2'!R43</f>
        <v/>
      </c>
      <c r="S37" s="56" t="str">
        <f>'R2'!S43</f>
        <v/>
      </c>
      <c r="T37" s="56" t="str">
        <f>'R2'!T43</f>
        <v/>
      </c>
      <c r="U37" s="56" t="str">
        <f>'R2'!U43</f>
        <v/>
      </c>
      <c r="V37" s="56" t="str">
        <f>'R2'!V43</f>
        <v/>
      </c>
      <c r="W37" s="56" t="str">
        <f>'R2'!W43</f>
        <v/>
      </c>
      <c r="X37" s="56" t="str">
        <f>'R2'!X43</f>
        <v/>
      </c>
      <c r="Y37" s="56" t="str">
        <f>'R2'!Y43</f>
        <v/>
      </c>
      <c r="Z37" s="56" t="str">
        <f>'R2'!Z43</f>
        <v/>
      </c>
      <c r="AA37" s="56" t="str">
        <f>'R2'!AA43</f>
        <v/>
      </c>
      <c r="AB37" s="56" t="str">
        <f>'R2'!AB43</f>
        <v/>
      </c>
      <c r="AC37" s="56" t="str">
        <f>'R2'!AC43</f>
        <v/>
      </c>
      <c r="AD37" s="56" t="str">
        <f>'R2'!AD43</f>
        <v/>
      </c>
      <c r="AE37" s="56" t="str">
        <f>'R2'!AE43</f>
        <v/>
      </c>
      <c r="AF37" s="56" t="str">
        <f>'R2'!AF43</f>
        <v/>
      </c>
      <c r="AG37" s="56" t="str">
        <f>'R2'!AG43</f>
        <v/>
      </c>
      <c r="AH37" s="56" t="str">
        <f>'R2'!AH43</f>
        <v/>
      </c>
      <c r="AI37" s="56" t="str">
        <f>'R2'!AI43</f>
        <v/>
      </c>
      <c r="AJ37" s="56" t="str">
        <f>'R2'!AJ43</f>
        <v/>
      </c>
      <c r="AK37" s="56" t="str">
        <f>'R2'!AK43</f>
        <v/>
      </c>
    </row>
    <row r="38" spans="1:37" s="1" customFormat="1" x14ac:dyDescent="0.25">
      <c r="A38" s="159" t="s">
        <v>116</v>
      </c>
      <c r="B38" s="160">
        <f>'R3'!B28</f>
        <v>2.1491637117019096E-3</v>
      </c>
      <c r="C38" s="160">
        <f>'R3'!C28</f>
        <v>2.8938827886737566E-2</v>
      </c>
      <c r="D38" s="160">
        <f>'R3'!D28</f>
        <v>1.2593108736452701E-2</v>
      </c>
      <c r="E38" s="160">
        <f>'R3'!E28</f>
        <v>0.64833408153478367</v>
      </c>
      <c r="F38" s="160">
        <f>'R3'!F28</f>
        <v>0.46159101041620615</v>
      </c>
      <c r="G38" s="160">
        <f>'R3'!G28</f>
        <v>2.073871470003763</v>
      </c>
      <c r="H38" s="160">
        <f>'R3'!H28</f>
        <v>3.3399846094565806</v>
      </c>
      <c r="I38" s="160">
        <f>'R3'!I28</f>
        <v>0.25566871206542174</v>
      </c>
      <c r="J38" s="160">
        <f>'R3'!J28</f>
        <v>9.6201135893200965E-2</v>
      </c>
      <c r="K38" s="160">
        <f>'R3'!K28</f>
        <v>5.0604555177594233E-2</v>
      </c>
      <c r="L38" s="160">
        <f>'R3'!L28</f>
        <v>0.29042930293719227</v>
      </c>
      <c r="M38" s="160">
        <f>'R3'!M28</f>
        <v>0.27776013965509838</v>
      </c>
      <c r="N38"/>
      <c r="O38" s="160">
        <f>'R3'!O28</f>
        <v>1.5190040288454572</v>
      </c>
      <c r="P38" s="160">
        <f>'R3'!P28</f>
        <v>1.8851089235605596</v>
      </c>
      <c r="Q38" s="160">
        <f>'R3'!Q28</f>
        <v>3.9902698784195188E-2</v>
      </c>
      <c r="R38" s="160" t="str">
        <f>'R3'!R28</f>
        <v/>
      </c>
      <c r="S38" s="160">
        <f>'R3'!S28</f>
        <v>1.2547528763666136</v>
      </c>
      <c r="T38" s="160">
        <f>'R3'!T28</f>
        <v>0.91005594411426993</v>
      </c>
      <c r="U38" s="160">
        <f>'R3'!U28</f>
        <v>1.8529146973473896</v>
      </c>
      <c r="V38" s="160">
        <f>'R3'!V28</f>
        <v>0.33863997168396948</v>
      </c>
      <c r="W38" s="160" t="str">
        <f>'R3'!W28</f>
        <v/>
      </c>
      <c r="X38" s="160" t="str">
        <f>'R3'!X28</f>
        <v/>
      </c>
      <c r="Y38" s="160" t="str">
        <f>'R3'!Y28</f>
        <v/>
      </c>
      <c r="Z38" s="160" t="str">
        <f>'R3'!Z28</f>
        <v/>
      </c>
      <c r="AA38" s="160" t="str">
        <f>'R3'!AA28</f>
        <v/>
      </c>
      <c r="AB38" s="160" t="str">
        <f>'R3'!AB28</f>
        <v/>
      </c>
      <c r="AC38" s="160" t="str">
        <f>'R3'!AC28</f>
        <v/>
      </c>
      <c r="AD38" s="160" t="str">
        <f>'R3'!AD28</f>
        <v/>
      </c>
      <c r="AE38" s="160" t="str">
        <f>'R3'!AE28</f>
        <v/>
      </c>
      <c r="AF38" s="160" t="str">
        <f>'R3'!AF28</f>
        <v/>
      </c>
      <c r="AG38" s="160" t="str">
        <f>'R3'!AG28</f>
        <v/>
      </c>
      <c r="AH38" s="160" t="str">
        <f>'R3'!AH28</f>
        <v/>
      </c>
      <c r="AI38" s="160" t="str">
        <f>'R3'!AI28</f>
        <v/>
      </c>
      <c r="AJ38" s="160" t="str">
        <f>'R3'!AJ28</f>
        <v/>
      </c>
      <c r="AK38" s="160" t="str">
        <f>'R3'!AK28</f>
        <v/>
      </c>
    </row>
    <row r="39" spans="1:37" s="1" customFormat="1" x14ac:dyDescent="0.25">
      <c r="A39" s="236" t="s">
        <v>34</v>
      </c>
      <c r="B39" s="160">
        <f>'R3'!B29</f>
        <v>0.17495564232804992</v>
      </c>
      <c r="C39" s="160">
        <f>'R3'!C29</f>
        <v>7.707007165521515E-2</v>
      </c>
      <c r="D39" s="160">
        <f>'R3'!D29</f>
        <v>0.61406396188509593</v>
      </c>
      <c r="E39" s="160">
        <f>'R3'!E29</f>
        <v>7.7396564001435783E-2</v>
      </c>
      <c r="F39" s="160">
        <f>'R3'!F29</f>
        <v>1.3321305366370519</v>
      </c>
      <c r="G39" s="160" t="str">
        <f>'R3'!G29</f>
        <v/>
      </c>
      <c r="H39" s="160">
        <f>'R3'!H29</f>
        <v>3.6728964575672025</v>
      </c>
      <c r="I39" s="160">
        <f>'R3'!I29</f>
        <v>0.1116765018679982</v>
      </c>
      <c r="J39" s="160">
        <f>'R3'!J29</f>
        <v>1.0333160368672335E-2</v>
      </c>
      <c r="K39" s="160" t="str">
        <f>'R3'!K29</f>
        <v/>
      </c>
      <c r="L39" s="160">
        <f>'R3'!L29</f>
        <v>9.8338674054573652E-2</v>
      </c>
      <c r="M39" s="160">
        <f>'R3'!M29</f>
        <v>0.22282355272751561</v>
      </c>
      <c r="N39"/>
      <c r="O39" s="160">
        <f>'R3'!O29</f>
        <v>2.0704702638297143</v>
      </c>
      <c r="P39" s="160">
        <f>'R3'!P29</f>
        <v>0.96830786445338579</v>
      </c>
      <c r="Q39" s="160">
        <f>'R3'!Q29</f>
        <v>0.18215063681058449</v>
      </c>
      <c r="R39" s="160">
        <f>'R3'!R29</f>
        <v>0.3594137066447341</v>
      </c>
      <c r="S39" s="160">
        <f>'R3'!S29</f>
        <v>0.31820831121461463</v>
      </c>
      <c r="T39" s="160">
        <f>'R3'!T29</f>
        <v>0.45304535168092669</v>
      </c>
      <c r="U39" s="160">
        <f>'R3'!U29</f>
        <v>1.8336336244326767</v>
      </c>
      <c r="V39" s="160">
        <f>'R3'!V29</f>
        <v>0.670192265415124</v>
      </c>
      <c r="W39" s="160" t="str">
        <f>'R3'!W29</f>
        <v/>
      </c>
      <c r="X39" s="160" t="str">
        <f>'R3'!X29</f>
        <v/>
      </c>
      <c r="Y39" s="160" t="str">
        <f>'R3'!Y29</f>
        <v/>
      </c>
      <c r="Z39" s="160" t="str">
        <f>'R3'!Z29</f>
        <v/>
      </c>
      <c r="AA39" s="160" t="str">
        <f>'R3'!AA29</f>
        <v/>
      </c>
      <c r="AB39" s="160" t="str">
        <f>'R3'!AB29</f>
        <v/>
      </c>
      <c r="AC39" s="160" t="str">
        <f>'R3'!AC29</f>
        <v/>
      </c>
      <c r="AD39" s="160" t="str">
        <f>'R3'!AD29</f>
        <v/>
      </c>
      <c r="AE39" s="160" t="str">
        <f>'R3'!AE29</f>
        <v/>
      </c>
      <c r="AF39" s="160" t="str">
        <f>'R3'!AF29</f>
        <v/>
      </c>
      <c r="AG39" s="160" t="str">
        <f>'R3'!AG29</f>
        <v/>
      </c>
      <c r="AH39" s="160" t="str">
        <f>'R3'!AH29</f>
        <v/>
      </c>
      <c r="AI39" s="160" t="str">
        <f>'R3'!AI29</f>
        <v/>
      </c>
      <c r="AJ39" s="160" t="str">
        <f>'R3'!AJ29</f>
        <v/>
      </c>
      <c r="AK39" s="160" t="str">
        <f>'R3'!AK29</f>
        <v/>
      </c>
    </row>
    <row r="40" spans="1:37" s="1" customFormat="1" x14ac:dyDescent="0.25">
      <c r="A40" s="237"/>
      <c r="B40" s="160">
        <f>'R3'!B30</f>
        <v>2.0349206986347606E-2</v>
      </c>
      <c r="C40" s="160">
        <f>'R3'!C30</f>
        <v>2.9829647892426633E-2</v>
      </c>
      <c r="D40" s="160">
        <f>'R3'!D30</f>
        <v>0.10478250167592017</v>
      </c>
      <c r="E40" s="160">
        <f>'R3'!E30</f>
        <v>7.0363203745957476E-2</v>
      </c>
      <c r="F40" s="160">
        <f>'R3'!F30</f>
        <v>1.7486869981951638</v>
      </c>
      <c r="G40" s="160">
        <f>'R3'!G30</f>
        <v>2.3878926292258531</v>
      </c>
      <c r="H40" s="160">
        <f>'R3'!H30</f>
        <v>2.1401014975265817</v>
      </c>
      <c r="I40" s="160">
        <f>'R3'!I30</f>
        <v>7.3231588478867141E-2</v>
      </c>
      <c r="J40" s="160">
        <f>'R3'!J30</f>
        <v>0.18778937064820742</v>
      </c>
      <c r="K40" s="160">
        <f>'R3'!K30</f>
        <v>0.22354643726248258</v>
      </c>
      <c r="L40" s="160">
        <f>'R3'!L30</f>
        <v>0.14734476490875015</v>
      </c>
      <c r="M40" s="160">
        <f>'R3'!M30</f>
        <v>0.3336889526492251</v>
      </c>
      <c r="N40"/>
      <c r="O40" s="160">
        <f>'R3'!O30</f>
        <v>0.41493030107067475</v>
      </c>
      <c r="P40" s="160">
        <f>'R3'!P30</f>
        <v>2.3288356151030141</v>
      </c>
      <c r="Q40" s="160">
        <f>'R3'!Q30</f>
        <v>2.9842250379758312E-2</v>
      </c>
      <c r="R40" s="160">
        <f>'R3'!R30</f>
        <v>0.3254097046345153</v>
      </c>
      <c r="S40" s="160">
        <f>'R3'!S30</f>
        <v>0.7579156396947162</v>
      </c>
      <c r="T40" s="160">
        <f>'R3'!T30</f>
        <v>7.8898995417512136E-2</v>
      </c>
      <c r="U40" s="160">
        <f>'R3'!U30</f>
        <v>1.0362590107402805</v>
      </c>
      <c r="V40" s="160">
        <f>'R3'!V30</f>
        <v>0.79682962938557633</v>
      </c>
      <c r="W40" s="160" t="str">
        <f>'R3'!W30</f>
        <v/>
      </c>
      <c r="X40" s="160" t="str">
        <f>'R3'!X30</f>
        <v/>
      </c>
      <c r="Y40" s="160" t="str">
        <f>'R3'!Y30</f>
        <v/>
      </c>
      <c r="Z40" s="160" t="str">
        <f>'R3'!Z30</f>
        <v/>
      </c>
      <c r="AA40" s="160" t="str">
        <f>'R3'!AA30</f>
        <v/>
      </c>
      <c r="AB40" s="160" t="str">
        <f>'R3'!AB30</f>
        <v/>
      </c>
      <c r="AC40" s="160" t="str">
        <f>'R3'!AC30</f>
        <v/>
      </c>
      <c r="AD40" s="160" t="str">
        <f>'R3'!AD30</f>
        <v/>
      </c>
      <c r="AE40" s="160" t="str">
        <f>'R3'!AE30</f>
        <v/>
      </c>
      <c r="AF40" s="160" t="str">
        <f>'R3'!AF30</f>
        <v/>
      </c>
      <c r="AG40" s="160" t="str">
        <f>'R3'!AG30</f>
        <v/>
      </c>
      <c r="AH40" s="160" t="str">
        <f>'R3'!AH30</f>
        <v/>
      </c>
      <c r="AI40" s="160" t="str">
        <f>'R3'!AI30</f>
        <v/>
      </c>
      <c r="AJ40" s="160" t="str">
        <f>'R3'!AJ30</f>
        <v/>
      </c>
      <c r="AK40" s="160" t="str">
        <f>'R3'!AK30</f>
        <v/>
      </c>
    </row>
    <row r="41" spans="1:37" s="1" customFormat="1" x14ac:dyDescent="0.25">
      <c r="A41" s="237"/>
      <c r="B41" s="160">
        <f>'R3'!B31</f>
        <v>0.16338948976857848</v>
      </c>
      <c r="C41" s="160">
        <f>'R3'!C31</f>
        <v>4.4267409076915856E-2</v>
      </c>
      <c r="D41" s="160">
        <f>'R3'!D31</f>
        <v>0.16616584703585682</v>
      </c>
      <c r="E41" s="160">
        <f>'R3'!E31</f>
        <v>5.3968540051849589E-2</v>
      </c>
      <c r="F41" s="160">
        <f>'R3'!F31</f>
        <v>0.24201274471714754</v>
      </c>
      <c r="G41" s="160">
        <f>'R3'!G31</f>
        <v>2.1219805861491352</v>
      </c>
      <c r="H41" s="160">
        <f>'R3'!H31</f>
        <v>2.9096656455700765</v>
      </c>
      <c r="I41" s="160">
        <f>'R3'!I31</f>
        <v>7.6163718351187029E-2</v>
      </c>
      <c r="J41" s="160">
        <f>'R3'!J31</f>
        <v>0.27149684999180562</v>
      </c>
      <c r="K41" s="160">
        <f>'R3'!K31</f>
        <v>0.1457089327449885</v>
      </c>
      <c r="L41" s="160">
        <f>'R3'!L31</f>
        <v>0.15715477551260756</v>
      </c>
      <c r="M41" s="160">
        <f>'R3'!M31</f>
        <v>0.2016280740627909</v>
      </c>
      <c r="N41"/>
      <c r="O41" s="160">
        <f>'R3'!O31</f>
        <v>0.75011513965805976</v>
      </c>
      <c r="P41" s="160">
        <f>'R3'!P31</f>
        <v>1.5323261768199923</v>
      </c>
      <c r="Q41" s="160">
        <f>'R3'!Q31</f>
        <v>0.10349558256258551</v>
      </c>
      <c r="R41" s="160">
        <f>'R3'!R31</f>
        <v>0.32730198276142153</v>
      </c>
      <c r="S41" s="160">
        <f>'R3'!S31</f>
        <v>0.76946596587474791</v>
      </c>
      <c r="T41" s="160">
        <f>'R3'!T31</f>
        <v>1.8581129302906054</v>
      </c>
      <c r="U41" s="160">
        <f>'R3'!U31</f>
        <v>1.2386130466895962</v>
      </c>
      <c r="V41" s="160">
        <f>'R3'!V31</f>
        <v>0.13924620139264446</v>
      </c>
      <c r="W41" s="160" t="str">
        <f>'R3'!W31</f>
        <v/>
      </c>
      <c r="X41" s="160" t="str">
        <f>'R3'!X31</f>
        <v/>
      </c>
      <c r="Y41" s="160" t="str">
        <f>'R3'!Y31</f>
        <v/>
      </c>
      <c r="Z41" s="160" t="str">
        <f>'R3'!Z31</f>
        <v/>
      </c>
      <c r="AA41" s="160" t="str">
        <f>'R3'!AA31</f>
        <v/>
      </c>
      <c r="AB41" s="160" t="str">
        <f>'R3'!AB31</f>
        <v/>
      </c>
      <c r="AC41" s="160" t="str">
        <f>'R3'!AC31</f>
        <v/>
      </c>
      <c r="AD41" s="160" t="str">
        <f>'R3'!AD31</f>
        <v/>
      </c>
      <c r="AE41" s="160" t="str">
        <f>'R3'!AE31</f>
        <v/>
      </c>
      <c r="AF41" s="160" t="str">
        <f>'R3'!AF31</f>
        <v/>
      </c>
      <c r="AG41" s="160" t="str">
        <f>'R3'!AG31</f>
        <v/>
      </c>
      <c r="AH41" s="160" t="str">
        <f>'R3'!AH31</f>
        <v/>
      </c>
      <c r="AI41" s="160" t="str">
        <f>'R3'!AI31</f>
        <v/>
      </c>
      <c r="AJ41" s="160" t="str">
        <f>'R3'!AJ31</f>
        <v/>
      </c>
      <c r="AK41" s="160" t="str">
        <f>'R3'!AK31</f>
        <v/>
      </c>
    </row>
    <row r="42" spans="1:37" s="1" customFormat="1" x14ac:dyDescent="0.25">
      <c r="A42" s="237"/>
      <c r="B42" s="160">
        <f>'R3'!B32</f>
        <v>4.134495088092028E-2</v>
      </c>
      <c r="C42" s="160">
        <f>'R3'!C32</f>
        <v>5.7062890313427223E-4</v>
      </c>
      <c r="D42" s="160">
        <f>'R3'!D32</f>
        <v>9.1488782568156485E-2</v>
      </c>
      <c r="E42" s="160">
        <f>'R3'!E32</f>
        <v>0.18795745265947988</v>
      </c>
      <c r="F42" s="160">
        <f>'R3'!F32</f>
        <v>1.5228867672680164</v>
      </c>
      <c r="G42" s="160">
        <f>'R3'!G32</f>
        <v>0.65986535744326746</v>
      </c>
      <c r="H42" s="160">
        <f>'R3'!H32</f>
        <v>2.3139698089708989</v>
      </c>
      <c r="I42" s="160">
        <f>'R3'!I32</f>
        <v>0.10218975971825332</v>
      </c>
      <c r="J42" s="160">
        <f>'R3'!J32</f>
        <v>0.20453563396949903</v>
      </c>
      <c r="K42" s="160">
        <f>'R3'!K32</f>
        <v>0.21511508015649042</v>
      </c>
      <c r="L42" s="160">
        <f>'R3'!L32</f>
        <v>0</v>
      </c>
      <c r="M42" s="160">
        <f>'R3'!M32</f>
        <v>0.30740602569736314</v>
      </c>
      <c r="N42"/>
      <c r="O42" s="160">
        <f>'R3'!O32</f>
        <v>1.3846138882109185</v>
      </c>
      <c r="P42" s="160">
        <f>'R3'!P32</f>
        <v>2.4834577302836056</v>
      </c>
      <c r="Q42" s="160">
        <f>'R3'!Q32</f>
        <v>0.25276115215871359</v>
      </c>
      <c r="R42" s="160">
        <f>'R3'!R32</f>
        <v>2.1249061216966885</v>
      </c>
      <c r="S42" s="160">
        <f>'R3'!S32</f>
        <v>0.7278420017859264</v>
      </c>
      <c r="T42" s="160">
        <f>'R3'!T32</f>
        <v>0.2573030788236797</v>
      </c>
      <c r="U42" s="160">
        <f>'R3'!U32</f>
        <v>0.57473159892293435</v>
      </c>
      <c r="V42" s="160">
        <f>'R3'!V32</f>
        <v>0.55209079080992673</v>
      </c>
      <c r="W42" s="160" t="str">
        <f>'R3'!W32</f>
        <v/>
      </c>
      <c r="X42" s="160" t="str">
        <f>'R3'!X32</f>
        <v/>
      </c>
      <c r="Y42" s="160" t="str">
        <f>'R3'!Y32</f>
        <v/>
      </c>
      <c r="Z42" s="160" t="str">
        <f>'R3'!Z32</f>
        <v/>
      </c>
      <c r="AA42" s="160" t="str">
        <f>'R3'!AA32</f>
        <v/>
      </c>
      <c r="AB42" s="160" t="str">
        <f>'R3'!AB32</f>
        <v/>
      </c>
      <c r="AC42" s="160" t="str">
        <f>'R3'!AC32</f>
        <v/>
      </c>
      <c r="AD42" s="160" t="str">
        <f>'R3'!AD32</f>
        <v/>
      </c>
      <c r="AE42" s="160" t="str">
        <f>'R3'!AE32</f>
        <v/>
      </c>
      <c r="AF42" s="160" t="str">
        <f>'R3'!AF32</f>
        <v/>
      </c>
      <c r="AG42" s="160" t="str">
        <f>'R3'!AG32</f>
        <v/>
      </c>
      <c r="AH42" s="160" t="str">
        <f>'R3'!AH32</f>
        <v/>
      </c>
      <c r="AI42" s="160" t="str">
        <f>'R3'!AI32</f>
        <v/>
      </c>
      <c r="AJ42" s="160" t="str">
        <f>'R3'!AJ32</f>
        <v/>
      </c>
      <c r="AK42" s="160" t="str">
        <f>'R3'!AK32</f>
        <v/>
      </c>
    </row>
    <row r="43" spans="1:37" s="1" customFormat="1" x14ac:dyDescent="0.25">
      <c r="A43" s="237"/>
      <c r="B43" s="160">
        <f>'R3'!B33</f>
        <v>8.4090975963912143E-2</v>
      </c>
      <c r="C43" s="160" t="str">
        <f>'R3'!C33</f>
        <v/>
      </c>
      <c r="D43" s="160">
        <f>'R3'!D33</f>
        <v>5.4613318473470236E-2</v>
      </c>
      <c r="E43" s="160">
        <f>'R3'!E33</f>
        <v>0.23388267498271265</v>
      </c>
      <c r="F43" s="160">
        <f>'R3'!F33</f>
        <v>0.1923919162541759</v>
      </c>
      <c r="G43" s="160">
        <f>'R3'!G33</f>
        <v>1.1574001271349181</v>
      </c>
      <c r="H43" s="160" t="str">
        <f>'R3'!H33</f>
        <v/>
      </c>
      <c r="I43" s="160">
        <f>'R3'!I33</f>
        <v>0.12815146978370792</v>
      </c>
      <c r="J43" s="160">
        <f>'R3'!J33</f>
        <v>7.7599522663695922E-2</v>
      </c>
      <c r="K43" s="160">
        <f>'R3'!K33</f>
        <v>0.10350803850936681</v>
      </c>
      <c r="L43" s="160" t="str">
        <f>'R3'!L33</f>
        <v/>
      </c>
      <c r="M43" s="160">
        <f>'R3'!M33</f>
        <v>0.14214960931709217</v>
      </c>
      <c r="N43"/>
      <c r="O43" s="160">
        <f>'R3'!O33</f>
        <v>1.1012051965013225</v>
      </c>
      <c r="P43" s="160" t="str">
        <f>'R3'!P33</f>
        <v/>
      </c>
      <c r="Q43" s="160">
        <f>'R3'!Q33</f>
        <v>0.21712151337213359</v>
      </c>
      <c r="R43" s="160">
        <f>'R3'!R33</f>
        <v>0.13631421806087493</v>
      </c>
      <c r="S43" s="160">
        <f>'R3'!S33</f>
        <v>4.5240584871911932E-2</v>
      </c>
      <c r="T43" s="160">
        <f>'R3'!T33</f>
        <v>0.52288555220261956</v>
      </c>
      <c r="U43" s="160">
        <f>'R3'!U33</f>
        <v>1.0658794964204816</v>
      </c>
      <c r="V43" s="160">
        <f>'R3'!V33</f>
        <v>0.54134775652187428</v>
      </c>
      <c r="W43" s="160" t="str">
        <f>'R3'!W33</f>
        <v/>
      </c>
      <c r="X43" s="160" t="str">
        <f>'R3'!X33</f>
        <v/>
      </c>
      <c r="Y43" s="160" t="str">
        <f>'R3'!Y33</f>
        <v/>
      </c>
      <c r="Z43" s="160" t="str">
        <f>'R3'!Z33</f>
        <v/>
      </c>
      <c r="AA43" s="160" t="str">
        <f>'R3'!AA33</f>
        <v/>
      </c>
      <c r="AB43" s="160" t="str">
        <f>'R3'!AB33</f>
        <v/>
      </c>
      <c r="AC43" s="160" t="str">
        <f>'R3'!AC33</f>
        <v/>
      </c>
      <c r="AD43" s="160" t="str">
        <f>'R3'!AD33</f>
        <v/>
      </c>
      <c r="AE43" s="160" t="str">
        <f>'R3'!AE33</f>
        <v/>
      </c>
      <c r="AF43" s="160" t="str">
        <f>'R3'!AF33</f>
        <v/>
      </c>
      <c r="AG43" s="160" t="str">
        <f>'R3'!AG33</f>
        <v/>
      </c>
      <c r="AH43" s="160" t="str">
        <f>'R3'!AH33</f>
        <v/>
      </c>
      <c r="AI43" s="160" t="str">
        <f>'R3'!AI33</f>
        <v/>
      </c>
      <c r="AJ43" s="160" t="str">
        <f>'R3'!AJ33</f>
        <v/>
      </c>
      <c r="AK43" s="160" t="str">
        <f>'R3'!AK33</f>
        <v/>
      </c>
    </row>
    <row r="44" spans="1:37" s="1" customFormat="1" x14ac:dyDescent="0.25">
      <c r="A44" s="237"/>
      <c r="B44" s="160">
        <f>'R3'!B34</f>
        <v>0.11897319549248839</v>
      </c>
      <c r="C44" s="160">
        <f>'R3'!C34</f>
        <v>5.2844671724224759E-2</v>
      </c>
      <c r="D44" s="160">
        <f>'R3'!D34</f>
        <v>0.14337410215596991</v>
      </c>
      <c r="E44" s="160">
        <f>'R3'!E34</f>
        <v>0.41057511591372803</v>
      </c>
      <c r="F44" s="160">
        <f>'R3'!F34</f>
        <v>0.92243349170113087</v>
      </c>
      <c r="G44" s="160">
        <f>'R3'!G34</f>
        <v>1.6038503724996678</v>
      </c>
      <c r="H44" s="160">
        <f>'R3'!H34</f>
        <v>1.8817267676580585</v>
      </c>
      <c r="I44" s="160">
        <f>'R3'!I34</f>
        <v>0.14938270434272249</v>
      </c>
      <c r="J44" s="160">
        <f>'R3'!J34</f>
        <v>0.16188686296510163</v>
      </c>
      <c r="K44" s="160">
        <f>'R3'!K34</f>
        <v>8.4433294689572558E-2</v>
      </c>
      <c r="L44" s="160">
        <f>'R3'!L34</f>
        <v>0.17284780305155187</v>
      </c>
      <c r="M44" s="160" t="str">
        <f>'R3'!M34</f>
        <v/>
      </c>
      <c r="N44"/>
      <c r="O44" s="160">
        <f>'R3'!O34</f>
        <v>1.0883207651507374</v>
      </c>
      <c r="P44" s="160">
        <f>'R3'!P34</f>
        <v>1.3784615297442544</v>
      </c>
      <c r="Q44" s="160">
        <f>'R3'!Q34</f>
        <v>7.892380961737451E-3</v>
      </c>
      <c r="R44" s="160">
        <f>'R3'!R34</f>
        <v>0.27531628289660576</v>
      </c>
      <c r="S44" s="160">
        <f>'R3'!S34</f>
        <v>0.29305692154584673</v>
      </c>
      <c r="T44" s="160">
        <f>'R3'!T34</f>
        <v>0.98272349801476944</v>
      </c>
      <c r="U44" s="160">
        <f>'R3'!U34</f>
        <v>0.87173471094964983</v>
      </c>
      <c r="V44" s="160">
        <f>'R3'!V34</f>
        <v>0.42380846031473995</v>
      </c>
      <c r="W44" s="160" t="str">
        <f>'R3'!W34</f>
        <v/>
      </c>
      <c r="X44" s="160" t="str">
        <f>'R3'!X34</f>
        <v/>
      </c>
      <c r="Y44" s="160" t="str">
        <f>'R3'!Y34</f>
        <v/>
      </c>
      <c r="Z44" s="160" t="str">
        <f>'R3'!Z34</f>
        <v/>
      </c>
      <c r="AA44" s="160" t="str">
        <f>'R3'!AA34</f>
        <v/>
      </c>
      <c r="AB44" s="160" t="str">
        <f>'R3'!AB34</f>
        <v/>
      </c>
      <c r="AC44" s="160" t="str">
        <f>'R3'!AC34</f>
        <v/>
      </c>
      <c r="AD44" s="160" t="str">
        <f>'R3'!AD34</f>
        <v/>
      </c>
      <c r="AE44" s="160" t="str">
        <f>'R3'!AE34</f>
        <v/>
      </c>
      <c r="AF44" s="160" t="str">
        <f>'R3'!AF34</f>
        <v/>
      </c>
      <c r="AG44" s="160" t="str">
        <f>'R3'!AG34</f>
        <v/>
      </c>
      <c r="AH44" s="160" t="str">
        <f>'R3'!AH34</f>
        <v/>
      </c>
      <c r="AI44" s="160" t="str">
        <f>'R3'!AI34</f>
        <v/>
      </c>
      <c r="AJ44" s="160" t="str">
        <f>'R3'!AJ34</f>
        <v/>
      </c>
      <c r="AK44" s="160" t="str">
        <f>'R3'!AK34</f>
        <v/>
      </c>
    </row>
    <row r="45" spans="1:37" s="1" customFormat="1" x14ac:dyDescent="0.25">
      <c r="A45" s="237"/>
      <c r="B45" s="160">
        <f>'R3'!B35</f>
        <v>0.30350101311114791</v>
      </c>
      <c r="C45" s="160">
        <f>'R3'!C35</f>
        <v>0.11222163271536838</v>
      </c>
      <c r="D45" s="160">
        <f>'R3'!D35</f>
        <v>4.6281218166927554E-2</v>
      </c>
      <c r="E45" s="160">
        <f>'R3'!E35</f>
        <v>0.28429599474207623</v>
      </c>
      <c r="F45" s="160">
        <f>'R3'!F35</f>
        <v>0.9523454953828645</v>
      </c>
      <c r="G45" s="160">
        <f>'R3'!G35</f>
        <v>1.5821181646457942</v>
      </c>
      <c r="H45" s="160" t="str">
        <f>'R3'!H35</f>
        <v/>
      </c>
      <c r="I45" s="160">
        <f>'R3'!I35</f>
        <v>7.8803939447173219E-2</v>
      </c>
      <c r="J45" s="160">
        <f>'R3'!J35</f>
        <v>8.9193371387186991E-3</v>
      </c>
      <c r="K45" s="160">
        <f>'R3'!K35</f>
        <v>0.13229490384537243</v>
      </c>
      <c r="L45" s="160" t="str">
        <f>'R3'!L35</f>
        <v/>
      </c>
      <c r="M45" s="160" t="str">
        <f>'R3'!M35</f>
        <v/>
      </c>
      <c r="N45"/>
      <c r="O45" s="160">
        <f>'R3'!O35</f>
        <v>1.2368791788976381</v>
      </c>
      <c r="P45" s="160">
        <f>'R3'!P35</f>
        <v>0.90274987189455624</v>
      </c>
      <c r="Q45" s="160">
        <f>'R3'!Q35</f>
        <v>0.10846257451732001</v>
      </c>
      <c r="R45" s="160">
        <f>'R3'!R35</f>
        <v>0.27750647796241079</v>
      </c>
      <c r="S45" s="160">
        <f>'R3'!S35</f>
        <v>1.4444792200095895</v>
      </c>
      <c r="T45" s="160">
        <f>'R3'!T35</f>
        <v>0.10266513726364819</v>
      </c>
      <c r="U45" s="160">
        <f>'R3'!U35</f>
        <v>0.5526315742876361</v>
      </c>
      <c r="V45" s="160">
        <f>'R3'!V35</f>
        <v>0.3970533797095912</v>
      </c>
      <c r="W45" s="160" t="str">
        <f>'R3'!W35</f>
        <v/>
      </c>
      <c r="X45" s="160" t="str">
        <f>'R3'!X35</f>
        <v/>
      </c>
      <c r="Y45" s="160" t="str">
        <f>'R3'!Y35</f>
        <v/>
      </c>
      <c r="Z45" s="160" t="str">
        <f>'R3'!Z35</f>
        <v/>
      </c>
      <c r="AA45" s="160" t="str">
        <f>'R3'!AA35</f>
        <v/>
      </c>
      <c r="AB45" s="160" t="str">
        <f>'R3'!AB35</f>
        <v/>
      </c>
      <c r="AC45" s="160" t="str">
        <f>'R3'!AC35</f>
        <v/>
      </c>
      <c r="AD45" s="160" t="str">
        <f>'R3'!AD35</f>
        <v/>
      </c>
      <c r="AE45" s="160" t="str">
        <f>'R3'!AE35</f>
        <v/>
      </c>
      <c r="AF45" s="160" t="str">
        <f>'R3'!AF35</f>
        <v/>
      </c>
      <c r="AG45" s="160" t="str">
        <f>'R3'!AG35</f>
        <v/>
      </c>
      <c r="AH45" s="160" t="str">
        <f>'R3'!AH35</f>
        <v/>
      </c>
      <c r="AI45" s="160" t="str">
        <f>'R3'!AI35</f>
        <v/>
      </c>
      <c r="AJ45" s="160" t="str">
        <f>'R3'!AJ35</f>
        <v/>
      </c>
      <c r="AK45" s="160" t="str">
        <f>'R3'!AK35</f>
        <v/>
      </c>
    </row>
    <row r="46" spans="1:37" s="1" customFormat="1" x14ac:dyDescent="0.25">
      <c r="A46" s="237"/>
      <c r="B46" s="160" t="str">
        <f>'R3'!B36</f>
        <v/>
      </c>
      <c r="C46" s="160" t="str">
        <f>'R3'!C36</f>
        <v/>
      </c>
      <c r="D46" s="160" t="str">
        <f>'R3'!D36</f>
        <v/>
      </c>
      <c r="E46" s="160" t="str">
        <f>'R3'!E36</f>
        <v/>
      </c>
      <c r="F46" s="160" t="str">
        <f>'R3'!F36</f>
        <v/>
      </c>
      <c r="G46" s="160" t="str">
        <f>'R3'!G36</f>
        <v/>
      </c>
      <c r="H46" s="160" t="str">
        <f>'R3'!H36</f>
        <v/>
      </c>
      <c r="I46" s="160" t="str">
        <f>'R3'!I36</f>
        <v/>
      </c>
      <c r="J46" s="160" t="str">
        <f>'R3'!J36</f>
        <v/>
      </c>
      <c r="K46" s="160" t="str">
        <f>'R3'!K36</f>
        <v/>
      </c>
      <c r="L46" s="160" t="str">
        <f>'R3'!L36</f>
        <v/>
      </c>
      <c r="M46" s="160" t="str">
        <f>'R3'!M36</f>
        <v/>
      </c>
      <c r="N46"/>
      <c r="O46" s="160">
        <f>'R3'!O36</f>
        <v>1.3173887038105483</v>
      </c>
      <c r="P46" s="160" t="str">
        <f>'R3'!P36</f>
        <v/>
      </c>
      <c r="Q46" s="160" t="str">
        <f>'R3'!Q36</f>
        <v/>
      </c>
      <c r="R46" s="160" t="str">
        <f>'R3'!R36</f>
        <v/>
      </c>
      <c r="S46" s="160" t="str">
        <f>'R3'!S36</f>
        <v/>
      </c>
      <c r="T46" s="160" t="str">
        <f>'R3'!T36</f>
        <v/>
      </c>
      <c r="U46" s="160" t="str">
        <f>'R3'!U36</f>
        <v/>
      </c>
      <c r="V46" s="160" t="str">
        <f>'R3'!V36</f>
        <v/>
      </c>
      <c r="W46" s="160" t="str">
        <f>'R3'!W36</f>
        <v/>
      </c>
      <c r="X46" s="160" t="str">
        <f>'R3'!X36</f>
        <v/>
      </c>
      <c r="Y46" s="160" t="str">
        <f>'R3'!Y36</f>
        <v/>
      </c>
      <c r="Z46" s="160" t="str">
        <f>'R3'!Z36</f>
        <v/>
      </c>
      <c r="AA46" s="160" t="str">
        <f>'R3'!AA36</f>
        <v/>
      </c>
      <c r="AB46" s="160" t="str">
        <f>'R3'!AB36</f>
        <v/>
      </c>
      <c r="AC46" s="160" t="str">
        <f>'R3'!AC36</f>
        <v/>
      </c>
      <c r="AD46" s="160" t="str">
        <f>'R3'!AD36</f>
        <v/>
      </c>
      <c r="AE46" s="160" t="str">
        <f>'R3'!AE36</f>
        <v/>
      </c>
      <c r="AF46" s="160" t="str">
        <f>'R3'!AF36</f>
        <v/>
      </c>
      <c r="AG46" s="160" t="str">
        <f>'R3'!AG36</f>
        <v/>
      </c>
      <c r="AH46" s="160" t="str">
        <f>'R3'!AH36</f>
        <v/>
      </c>
      <c r="AI46" s="160" t="str">
        <f>'R3'!AI36</f>
        <v/>
      </c>
      <c r="AJ46" s="160" t="str">
        <f>'R3'!AJ36</f>
        <v/>
      </c>
      <c r="AK46" s="160" t="str">
        <f>'R3'!AK36</f>
        <v/>
      </c>
    </row>
    <row r="47" spans="1:37" s="1" customFormat="1" x14ac:dyDescent="0.25">
      <c r="A47" s="237"/>
      <c r="B47" s="160" t="str">
        <f>'R3'!B37</f>
        <v/>
      </c>
      <c r="C47" s="160" t="str">
        <f>'R3'!C37</f>
        <v/>
      </c>
      <c r="D47" s="160" t="str">
        <f>'R3'!D37</f>
        <v/>
      </c>
      <c r="E47" s="160" t="str">
        <f>'R3'!E37</f>
        <v/>
      </c>
      <c r="F47" s="160" t="str">
        <f>'R3'!F37</f>
        <v/>
      </c>
      <c r="G47" s="160" t="str">
        <f>'R3'!G37</f>
        <v/>
      </c>
      <c r="H47" s="160" t="str">
        <f>'R3'!H37</f>
        <v/>
      </c>
      <c r="I47" s="160" t="str">
        <f>'R3'!I37</f>
        <v/>
      </c>
      <c r="J47" s="160" t="str">
        <f>'R3'!J37</f>
        <v/>
      </c>
      <c r="K47" s="160" t="str">
        <f>'R3'!K37</f>
        <v/>
      </c>
      <c r="L47" s="160" t="str">
        <f>'R3'!L37</f>
        <v/>
      </c>
      <c r="M47" s="160" t="str">
        <f>'R3'!M37</f>
        <v/>
      </c>
      <c r="N47"/>
      <c r="O47" s="160">
        <f>'R3'!O37</f>
        <v>1.3234932900577923</v>
      </c>
      <c r="P47" s="160" t="str">
        <f>'R3'!P37</f>
        <v/>
      </c>
      <c r="Q47" s="160" t="str">
        <f>'R3'!Q37</f>
        <v/>
      </c>
      <c r="R47" s="160" t="str">
        <f>'R3'!R37</f>
        <v/>
      </c>
      <c r="S47" s="160" t="str">
        <f>'R3'!S37</f>
        <v/>
      </c>
      <c r="T47" s="160" t="str">
        <f>'R3'!T37</f>
        <v/>
      </c>
      <c r="U47" s="160" t="str">
        <f>'R3'!U37</f>
        <v/>
      </c>
      <c r="V47" s="160" t="str">
        <f>'R3'!V37</f>
        <v/>
      </c>
      <c r="W47" s="160" t="str">
        <f>'R3'!W37</f>
        <v/>
      </c>
      <c r="X47" s="160" t="str">
        <f>'R3'!X37</f>
        <v/>
      </c>
      <c r="Y47" s="160" t="str">
        <f>'R3'!Y37</f>
        <v/>
      </c>
      <c r="Z47" s="160" t="str">
        <f>'R3'!Z37</f>
        <v/>
      </c>
      <c r="AA47" s="160" t="str">
        <f>'R3'!AA37</f>
        <v/>
      </c>
      <c r="AB47" s="160" t="str">
        <f>'R3'!AB37</f>
        <v/>
      </c>
      <c r="AC47" s="160" t="str">
        <f>'R3'!AC37</f>
        <v/>
      </c>
      <c r="AD47" s="160" t="str">
        <f>'R3'!AD37</f>
        <v/>
      </c>
      <c r="AE47" s="160" t="str">
        <f>'R3'!AE37</f>
        <v/>
      </c>
      <c r="AF47" s="160" t="str">
        <f>'R3'!AF37</f>
        <v/>
      </c>
      <c r="AG47" s="160" t="str">
        <f>'R3'!AG37</f>
        <v/>
      </c>
      <c r="AH47" s="160" t="str">
        <f>'R3'!AH37</f>
        <v/>
      </c>
      <c r="AI47" s="160" t="str">
        <f>'R3'!AI37</f>
        <v/>
      </c>
      <c r="AJ47" s="160" t="str">
        <f>'R3'!AJ37</f>
        <v/>
      </c>
      <c r="AK47" s="160" t="str">
        <f>'R3'!AK37</f>
        <v/>
      </c>
    </row>
    <row r="48" spans="1:37" s="1" customFormat="1" x14ac:dyDescent="0.25">
      <c r="A48" s="237"/>
      <c r="B48" s="160" t="str">
        <f>'R3'!B38</f>
        <v/>
      </c>
      <c r="C48" s="160" t="str">
        <f>'R3'!C38</f>
        <v/>
      </c>
      <c r="D48" s="160" t="str">
        <f>'R3'!D38</f>
        <v/>
      </c>
      <c r="E48" s="160" t="str">
        <f>'R3'!E38</f>
        <v/>
      </c>
      <c r="F48" s="160" t="str">
        <f>'R3'!F38</f>
        <v/>
      </c>
      <c r="G48" s="160" t="str">
        <f>'R3'!G38</f>
        <v/>
      </c>
      <c r="H48" s="160" t="str">
        <f>'R3'!H38</f>
        <v/>
      </c>
      <c r="I48" s="160" t="str">
        <f>'R3'!I38</f>
        <v/>
      </c>
      <c r="J48" s="160" t="str">
        <f>'R3'!J38</f>
        <v/>
      </c>
      <c r="K48" s="160" t="str">
        <f>'R3'!K38</f>
        <v/>
      </c>
      <c r="L48" s="160" t="str">
        <f>'R3'!L38</f>
        <v/>
      </c>
      <c r="M48" s="160" t="str">
        <f>'R3'!M38</f>
        <v/>
      </c>
      <c r="N48"/>
      <c r="O48" s="160">
        <f>'R3'!O38</f>
        <v>0.53133595958015967</v>
      </c>
      <c r="P48" s="160" t="str">
        <f>'R3'!P38</f>
        <v/>
      </c>
      <c r="Q48" s="160" t="str">
        <f>'R3'!Q38</f>
        <v/>
      </c>
      <c r="R48" s="160" t="str">
        <f>'R3'!R38</f>
        <v/>
      </c>
      <c r="S48" s="160" t="str">
        <f>'R3'!S38</f>
        <v/>
      </c>
      <c r="T48" s="160" t="str">
        <f>'R3'!T38</f>
        <v/>
      </c>
      <c r="U48" s="160" t="str">
        <f>'R3'!U38</f>
        <v/>
      </c>
      <c r="V48" s="160" t="str">
        <f>'R3'!V38</f>
        <v/>
      </c>
      <c r="W48" s="160" t="str">
        <f>'R3'!W38</f>
        <v/>
      </c>
      <c r="X48" s="160" t="str">
        <f>'R3'!X38</f>
        <v/>
      </c>
      <c r="Y48" s="160" t="str">
        <f>'R3'!Y38</f>
        <v/>
      </c>
      <c r="Z48" s="160" t="str">
        <f>'R3'!Z38</f>
        <v/>
      </c>
      <c r="AA48" s="160" t="str">
        <f>'R3'!AA38</f>
        <v/>
      </c>
      <c r="AB48" s="160" t="str">
        <f>'R3'!AB38</f>
        <v/>
      </c>
      <c r="AC48" s="160" t="str">
        <f>'R3'!AC38</f>
        <v/>
      </c>
      <c r="AD48" s="160" t="str">
        <f>'R3'!AD38</f>
        <v/>
      </c>
      <c r="AE48" s="160" t="str">
        <f>'R3'!AE38</f>
        <v/>
      </c>
      <c r="AF48" s="160" t="str">
        <f>'R3'!AF38</f>
        <v/>
      </c>
      <c r="AG48" s="160" t="str">
        <f>'R3'!AG38</f>
        <v/>
      </c>
      <c r="AH48" s="160" t="str">
        <f>'R3'!AH38</f>
        <v/>
      </c>
      <c r="AI48" s="160" t="str">
        <f>'R3'!AI38</f>
        <v/>
      </c>
      <c r="AJ48" s="160" t="str">
        <f>'R3'!AJ38</f>
        <v/>
      </c>
      <c r="AK48" s="160" t="str">
        <f>'R3'!AK38</f>
        <v/>
      </c>
    </row>
    <row r="49" spans="1:39" s="1" customFormat="1" x14ac:dyDescent="0.25">
      <c r="A49" s="237"/>
      <c r="B49" s="160" t="str">
        <f>'R3'!B39</f>
        <v/>
      </c>
      <c r="C49" s="160" t="str">
        <f>'R3'!C39</f>
        <v/>
      </c>
      <c r="D49" s="160" t="str">
        <f>'R3'!D39</f>
        <v/>
      </c>
      <c r="E49" s="160" t="str">
        <f>'R3'!E39</f>
        <v/>
      </c>
      <c r="F49" s="160" t="str">
        <f>'R3'!F39</f>
        <v/>
      </c>
      <c r="G49" s="160" t="str">
        <f>'R3'!G39</f>
        <v/>
      </c>
      <c r="H49" s="160" t="str">
        <f>'R3'!H39</f>
        <v/>
      </c>
      <c r="I49" s="160" t="str">
        <f>'R3'!I39</f>
        <v/>
      </c>
      <c r="J49" s="160" t="str">
        <f>'R3'!J39</f>
        <v/>
      </c>
      <c r="K49" s="160" t="str">
        <f>'R3'!K39</f>
        <v/>
      </c>
      <c r="L49" s="160" t="str">
        <f>'R3'!L39</f>
        <v/>
      </c>
      <c r="M49" s="160" t="str">
        <f>'R3'!M39</f>
        <v/>
      </c>
      <c r="N49"/>
      <c r="O49" s="160">
        <f>'R3'!O39</f>
        <v>0.9840039693438879</v>
      </c>
      <c r="P49" s="160" t="str">
        <f>'R3'!P39</f>
        <v/>
      </c>
      <c r="Q49" s="160" t="str">
        <f>'R3'!Q39</f>
        <v/>
      </c>
      <c r="R49" s="160" t="str">
        <f>'R3'!R39</f>
        <v/>
      </c>
      <c r="S49" s="160" t="str">
        <f>'R3'!S39</f>
        <v/>
      </c>
      <c r="T49" s="160" t="str">
        <f>'R3'!T39</f>
        <v/>
      </c>
      <c r="U49" s="160" t="str">
        <f>'R3'!U39</f>
        <v/>
      </c>
      <c r="V49" s="160" t="str">
        <f>'R3'!V39</f>
        <v/>
      </c>
      <c r="W49" s="160" t="str">
        <f>'R3'!W39</f>
        <v/>
      </c>
      <c r="X49" s="160" t="str">
        <f>'R3'!X39</f>
        <v/>
      </c>
      <c r="Y49" s="160" t="str">
        <f>'R3'!Y39</f>
        <v/>
      </c>
      <c r="Z49" s="160" t="str">
        <f>'R3'!Z39</f>
        <v/>
      </c>
      <c r="AA49" s="160" t="str">
        <f>'R3'!AA39</f>
        <v/>
      </c>
      <c r="AB49" s="160" t="str">
        <f>'R3'!AB39</f>
        <v/>
      </c>
      <c r="AC49" s="160" t="str">
        <f>'R3'!AC39</f>
        <v/>
      </c>
      <c r="AD49" s="160" t="str">
        <f>'R3'!AD39</f>
        <v/>
      </c>
      <c r="AE49" s="160" t="str">
        <f>'R3'!AE39</f>
        <v/>
      </c>
      <c r="AF49" s="160" t="str">
        <f>'R3'!AF39</f>
        <v/>
      </c>
      <c r="AG49" s="160" t="str">
        <f>'R3'!AG39</f>
        <v/>
      </c>
      <c r="AH49" s="160" t="str">
        <f>'R3'!AH39</f>
        <v/>
      </c>
      <c r="AI49" s="160" t="str">
        <f>'R3'!AI39</f>
        <v/>
      </c>
      <c r="AJ49" s="160" t="str">
        <f>'R3'!AJ39</f>
        <v/>
      </c>
      <c r="AK49" s="160" t="str">
        <f>'R3'!AK39</f>
        <v/>
      </c>
    </row>
    <row r="50" spans="1:39" s="1" customFormat="1" x14ac:dyDescent="0.25">
      <c r="A50" s="237"/>
      <c r="B50" s="160" t="str">
        <f>'R3'!B40</f>
        <v/>
      </c>
      <c r="C50" s="160" t="str">
        <f>'R3'!C40</f>
        <v/>
      </c>
      <c r="D50" s="160" t="str">
        <f>'R3'!D40</f>
        <v/>
      </c>
      <c r="E50" s="160" t="str">
        <f>'R3'!E40</f>
        <v/>
      </c>
      <c r="F50" s="160" t="str">
        <f>'R3'!F40</f>
        <v/>
      </c>
      <c r="G50" s="160" t="str">
        <f>'R3'!G40</f>
        <v/>
      </c>
      <c r="H50" s="160" t="str">
        <f>'R3'!H40</f>
        <v/>
      </c>
      <c r="I50" s="160" t="str">
        <f>'R3'!I40</f>
        <v/>
      </c>
      <c r="J50" s="160" t="str">
        <f>'R3'!J40</f>
        <v/>
      </c>
      <c r="K50" s="160" t="str">
        <f>'R3'!K40</f>
        <v/>
      </c>
      <c r="L50" s="160" t="str">
        <f>'R3'!L40</f>
        <v/>
      </c>
      <c r="M50" s="160" t="str">
        <f>'R3'!M40</f>
        <v/>
      </c>
      <c r="N50"/>
      <c r="O50" s="160">
        <f>'R3'!O40</f>
        <v>1.0953318512425598</v>
      </c>
      <c r="P50" s="160" t="str">
        <f>'R3'!P40</f>
        <v/>
      </c>
      <c r="Q50" s="160" t="str">
        <f>'R3'!Q40</f>
        <v/>
      </c>
      <c r="R50" s="160" t="str">
        <f>'R3'!R40</f>
        <v/>
      </c>
      <c r="S50" s="160" t="str">
        <f>'R3'!S40</f>
        <v/>
      </c>
      <c r="T50" s="160" t="str">
        <f>'R3'!T40</f>
        <v/>
      </c>
      <c r="U50" s="160" t="str">
        <f>'R3'!U40</f>
        <v/>
      </c>
      <c r="V50" s="160" t="str">
        <f>'R3'!V40</f>
        <v/>
      </c>
      <c r="W50" s="160" t="str">
        <f>'R3'!W40</f>
        <v/>
      </c>
      <c r="X50" s="160" t="str">
        <f>'R3'!X40</f>
        <v/>
      </c>
      <c r="Y50" s="160" t="str">
        <f>'R3'!Y40</f>
        <v/>
      </c>
      <c r="Z50" s="160" t="str">
        <f>'R3'!Z40</f>
        <v/>
      </c>
      <c r="AA50" s="160" t="str">
        <f>'R3'!AA40</f>
        <v/>
      </c>
      <c r="AB50" s="160" t="str">
        <f>'R3'!AB40</f>
        <v/>
      </c>
      <c r="AC50" s="160" t="str">
        <f>'R3'!AC40</f>
        <v/>
      </c>
      <c r="AD50" s="160" t="str">
        <f>'R3'!AD40</f>
        <v/>
      </c>
      <c r="AE50" s="160" t="str">
        <f>'R3'!AE40</f>
        <v/>
      </c>
      <c r="AF50" s="160" t="str">
        <f>'R3'!AF40</f>
        <v/>
      </c>
      <c r="AG50" s="160" t="str">
        <f>'R3'!AG40</f>
        <v/>
      </c>
      <c r="AH50" s="160" t="str">
        <f>'R3'!AH40</f>
        <v/>
      </c>
      <c r="AI50" s="160" t="str">
        <f>'R3'!AI40</f>
        <v/>
      </c>
      <c r="AJ50" s="160" t="str">
        <f>'R3'!AJ40</f>
        <v/>
      </c>
      <c r="AK50" s="160" t="str">
        <f>'R3'!AK40</f>
        <v/>
      </c>
    </row>
    <row r="51" spans="1:39" s="1" customFormat="1" x14ac:dyDescent="0.25">
      <c r="A51" s="237"/>
      <c r="B51" s="160" t="str">
        <f>'R3'!B41</f>
        <v/>
      </c>
      <c r="C51" s="160" t="str">
        <f>'R3'!C41</f>
        <v/>
      </c>
      <c r="D51" s="160" t="str">
        <f>'R3'!D41</f>
        <v/>
      </c>
      <c r="E51" s="160" t="str">
        <f>'R3'!E41</f>
        <v/>
      </c>
      <c r="F51" s="160" t="str">
        <f>'R3'!F41</f>
        <v/>
      </c>
      <c r="G51" s="160" t="str">
        <f>'R3'!G41</f>
        <v/>
      </c>
      <c r="H51" s="160" t="str">
        <f>'R3'!H41</f>
        <v/>
      </c>
      <c r="I51" s="160" t="str">
        <f>'R3'!I41</f>
        <v/>
      </c>
      <c r="J51" s="160" t="str">
        <f>'R3'!J41</f>
        <v/>
      </c>
      <c r="K51" s="160" t="str">
        <f>'R3'!K41</f>
        <v/>
      </c>
      <c r="L51" s="160" t="str">
        <f>'R3'!L41</f>
        <v/>
      </c>
      <c r="M51" s="160" t="str">
        <f>'R3'!M41</f>
        <v/>
      </c>
      <c r="N51"/>
      <c r="O51" s="160">
        <f>'R3'!O41</f>
        <v>0.56561560436562131</v>
      </c>
      <c r="P51" s="160" t="str">
        <f>'R3'!P41</f>
        <v/>
      </c>
      <c r="Q51" s="160" t="str">
        <f>'R3'!Q41</f>
        <v/>
      </c>
      <c r="R51" s="160" t="str">
        <f>'R3'!R41</f>
        <v/>
      </c>
      <c r="S51" s="160" t="str">
        <f>'R3'!S41</f>
        <v/>
      </c>
      <c r="T51" s="160" t="str">
        <f>'R3'!T41</f>
        <v/>
      </c>
      <c r="U51" s="160" t="str">
        <f>'R3'!U41</f>
        <v/>
      </c>
      <c r="V51" s="160" t="str">
        <f>'R3'!V41</f>
        <v/>
      </c>
      <c r="W51" s="160" t="str">
        <f>'R3'!W41</f>
        <v/>
      </c>
      <c r="X51" s="160" t="str">
        <f>'R3'!X41</f>
        <v/>
      </c>
      <c r="Y51" s="160" t="str">
        <f>'R3'!Y41</f>
        <v/>
      </c>
      <c r="Z51" s="160" t="str">
        <f>'R3'!Z41</f>
        <v/>
      </c>
      <c r="AA51" s="160" t="str">
        <f>'R3'!AA41</f>
        <v/>
      </c>
      <c r="AB51" s="160" t="str">
        <f>'R3'!AB41</f>
        <v/>
      </c>
      <c r="AC51" s="160" t="str">
        <f>'R3'!AC41</f>
        <v/>
      </c>
      <c r="AD51" s="160" t="str">
        <f>'R3'!AD41</f>
        <v/>
      </c>
      <c r="AE51" s="160" t="str">
        <f>'R3'!AE41</f>
        <v/>
      </c>
      <c r="AF51" s="160" t="str">
        <f>'R3'!AF41</f>
        <v/>
      </c>
      <c r="AG51" s="160" t="str">
        <f>'R3'!AG41</f>
        <v/>
      </c>
      <c r="AH51" s="160" t="str">
        <f>'R3'!AH41</f>
        <v/>
      </c>
      <c r="AI51" s="160" t="str">
        <f>'R3'!AI41</f>
        <v/>
      </c>
      <c r="AJ51" s="160" t="str">
        <f>'R3'!AJ41</f>
        <v/>
      </c>
      <c r="AK51" s="160" t="str">
        <f>'R3'!AK41</f>
        <v/>
      </c>
    </row>
    <row r="52" spans="1:39" s="1" customFormat="1" x14ac:dyDescent="0.25">
      <c r="A52" s="237"/>
      <c r="B52" s="160" t="str">
        <f>'R3'!B42</f>
        <v/>
      </c>
      <c r="C52" s="160" t="str">
        <f>'R3'!C42</f>
        <v/>
      </c>
      <c r="D52" s="160" t="str">
        <f>'R3'!D42</f>
        <v/>
      </c>
      <c r="E52" s="160" t="str">
        <f>'R3'!E42</f>
        <v/>
      </c>
      <c r="F52" s="160" t="str">
        <f>'R3'!F42</f>
        <v/>
      </c>
      <c r="G52" s="160" t="str">
        <f>'R3'!G42</f>
        <v/>
      </c>
      <c r="H52" s="160" t="str">
        <f>'R3'!H42</f>
        <v/>
      </c>
      <c r="I52" s="160" t="str">
        <f>'R3'!I42</f>
        <v/>
      </c>
      <c r="J52" s="160" t="str">
        <f>'R3'!J42</f>
        <v/>
      </c>
      <c r="K52" s="160" t="str">
        <f>'R3'!K42</f>
        <v/>
      </c>
      <c r="L52" s="160" t="str">
        <f>'R3'!L42</f>
        <v/>
      </c>
      <c r="M52" s="160" t="str">
        <f>'R3'!M42</f>
        <v/>
      </c>
      <c r="N52"/>
      <c r="O52" s="160">
        <f>'R3'!O42</f>
        <v>0.47575698772661223</v>
      </c>
      <c r="P52" s="160" t="str">
        <f>'R3'!P42</f>
        <v/>
      </c>
      <c r="Q52" s="160" t="str">
        <f>'R3'!Q42</f>
        <v/>
      </c>
      <c r="R52" s="160" t="str">
        <f>'R3'!R42</f>
        <v/>
      </c>
      <c r="S52" s="160" t="str">
        <f>'R3'!S42</f>
        <v/>
      </c>
      <c r="T52" s="160" t="str">
        <f>'R3'!T42</f>
        <v/>
      </c>
      <c r="U52" s="160" t="str">
        <f>'R3'!U42</f>
        <v/>
      </c>
      <c r="V52" s="160" t="str">
        <f>'R3'!V42</f>
        <v/>
      </c>
      <c r="W52" s="160" t="str">
        <f>'R3'!W42</f>
        <v/>
      </c>
      <c r="X52" s="160" t="str">
        <f>'R3'!X42</f>
        <v/>
      </c>
      <c r="Y52" s="160" t="str">
        <f>'R3'!Y42</f>
        <v/>
      </c>
      <c r="Z52" s="160" t="str">
        <f>'R3'!Z42</f>
        <v/>
      </c>
      <c r="AA52" s="160" t="str">
        <f>'R3'!AA42</f>
        <v/>
      </c>
      <c r="AB52" s="160" t="str">
        <f>'R3'!AB42</f>
        <v/>
      </c>
      <c r="AC52" s="160" t="str">
        <f>'R3'!AC42</f>
        <v/>
      </c>
      <c r="AD52" s="160" t="str">
        <f>'R3'!AD42</f>
        <v/>
      </c>
      <c r="AE52" s="160" t="str">
        <f>'R3'!AE42</f>
        <v/>
      </c>
      <c r="AF52" s="160" t="str">
        <f>'R3'!AF42</f>
        <v/>
      </c>
      <c r="AG52" s="160" t="str">
        <f>'R3'!AG42</f>
        <v/>
      </c>
      <c r="AH52" s="160" t="str">
        <f>'R3'!AH42</f>
        <v/>
      </c>
      <c r="AI52" s="160" t="str">
        <f>'R3'!AI42</f>
        <v/>
      </c>
      <c r="AJ52" s="160" t="str">
        <f>'R3'!AJ42</f>
        <v/>
      </c>
      <c r="AK52" s="160" t="str">
        <f>'R3'!AK42</f>
        <v/>
      </c>
    </row>
    <row r="53" spans="1:39" s="1" customFormat="1" x14ac:dyDescent="0.25">
      <c r="A53" s="238"/>
      <c r="B53" s="160" t="str">
        <f>'R3'!B43</f>
        <v/>
      </c>
      <c r="C53" s="160" t="str">
        <f>'R3'!C43</f>
        <v/>
      </c>
      <c r="D53" s="160" t="str">
        <f>'R3'!D43</f>
        <v/>
      </c>
      <c r="E53" s="160" t="str">
        <f>'R3'!E43</f>
        <v/>
      </c>
      <c r="F53" s="160" t="str">
        <f>'R3'!F43</f>
        <v/>
      </c>
      <c r="G53" s="160" t="str">
        <f>'R3'!G43</f>
        <v/>
      </c>
      <c r="H53" s="160" t="str">
        <f>'R3'!H43</f>
        <v/>
      </c>
      <c r="I53" s="160" t="str">
        <f>'R3'!I43</f>
        <v/>
      </c>
      <c r="J53" s="160" t="str">
        <f>'R3'!J43</f>
        <v/>
      </c>
      <c r="K53" s="160" t="str">
        <f>'R3'!K43</f>
        <v/>
      </c>
      <c r="L53" s="160" t="str">
        <f>'R3'!L43</f>
        <v/>
      </c>
      <c r="M53" s="160" t="str">
        <f>'R3'!M43</f>
        <v/>
      </c>
      <c r="N53"/>
      <c r="O53" s="160">
        <f>'R3'!O43</f>
        <v>0.14153487170829701</v>
      </c>
      <c r="P53" s="160" t="str">
        <f>'R3'!P43</f>
        <v/>
      </c>
      <c r="Q53" s="160" t="str">
        <f>'R3'!Q43</f>
        <v/>
      </c>
      <c r="R53" s="160" t="str">
        <f>'R3'!R43</f>
        <v/>
      </c>
      <c r="S53" s="160" t="str">
        <f>'R3'!S43</f>
        <v/>
      </c>
      <c r="T53" s="160" t="str">
        <f>'R3'!T43</f>
        <v/>
      </c>
      <c r="U53" s="160" t="str">
        <f>'R3'!U43</f>
        <v/>
      </c>
      <c r="V53" s="160" t="str">
        <f>'R3'!V43</f>
        <v/>
      </c>
      <c r="W53" s="160" t="str">
        <f>'R3'!W43</f>
        <v/>
      </c>
      <c r="X53" s="160" t="str">
        <f>'R3'!X43</f>
        <v/>
      </c>
      <c r="Y53" s="160" t="str">
        <f>'R3'!Y43</f>
        <v/>
      </c>
      <c r="Z53" s="160" t="str">
        <f>'R3'!Z43</f>
        <v/>
      </c>
      <c r="AA53" s="160" t="str">
        <f>'R3'!AA43</f>
        <v/>
      </c>
      <c r="AB53" s="160" t="str">
        <f>'R3'!AB43</f>
        <v/>
      </c>
      <c r="AC53" s="160" t="str">
        <f>'R3'!AC43</f>
        <v/>
      </c>
      <c r="AD53" s="160" t="str">
        <f>'R3'!AD43</f>
        <v/>
      </c>
      <c r="AE53" s="160" t="str">
        <f>'R3'!AE43</f>
        <v/>
      </c>
      <c r="AF53" s="160" t="str">
        <f>'R3'!AF43</f>
        <v/>
      </c>
      <c r="AG53" s="160" t="str">
        <f>'R3'!AG43</f>
        <v/>
      </c>
      <c r="AH53" s="160" t="str">
        <f>'R3'!AH43</f>
        <v/>
      </c>
      <c r="AI53" s="160" t="str">
        <f>'R3'!AI43</f>
        <v/>
      </c>
      <c r="AJ53" s="160" t="str">
        <f>'R3'!AJ43</f>
        <v/>
      </c>
      <c r="AK53" s="160" t="str">
        <f>'R3'!AK43</f>
        <v/>
      </c>
    </row>
    <row r="54" spans="1:39" s="63" customFormat="1" x14ac:dyDescent="0.25">
      <c r="A54" s="61"/>
      <c r="B54" s="62"/>
      <c r="C54" s="62"/>
      <c r="D54" s="62"/>
      <c r="E54" s="62"/>
      <c r="F54" s="62"/>
      <c r="G54" s="62"/>
      <c r="H54" s="62"/>
      <c r="I54" s="62"/>
      <c r="J54" s="62"/>
      <c r="K54" s="62"/>
      <c r="L54" s="62"/>
      <c r="M54" s="62"/>
      <c r="N54"/>
      <c r="O54" s="62"/>
      <c r="P54" s="62"/>
      <c r="Q54" s="62"/>
      <c r="R54" s="62"/>
      <c r="S54" s="62"/>
      <c r="T54" s="62"/>
      <c r="U54" s="62"/>
      <c r="V54" s="62"/>
      <c r="W54" s="62"/>
      <c r="X54" s="62"/>
      <c r="Y54" s="62"/>
      <c r="Z54" s="62"/>
      <c r="AA54" s="62"/>
      <c r="AB54" s="62"/>
      <c r="AC54" s="62"/>
      <c r="AD54" s="62"/>
      <c r="AE54" s="62"/>
      <c r="AF54" s="62"/>
      <c r="AG54" s="62"/>
      <c r="AH54" s="62"/>
      <c r="AI54" s="62"/>
      <c r="AJ54" s="62"/>
      <c r="AK54" s="62"/>
    </row>
    <row r="55" spans="1:39" s="41" customFormat="1" x14ac:dyDescent="0.2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Prochloraz-0,063mg/L</v>
      </c>
      <c r="J55" s="15" t="str">
        <f t="shared" si="0"/>
        <v>Prochloraz-0,13mg/L</v>
      </c>
      <c r="K55" s="15" t="str">
        <f t="shared" si="0"/>
        <v>Prochloraz-0,25mg/L</v>
      </c>
      <c r="L55" s="15" t="str">
        <f t="shared" si="0"/>
        <v>Prochloraz-0,5mg/L</v>
      </c>
      <c r="M55" s="15" t="str">
        <f t="shared" si="0"/>
        <v>Prochloraz-1mg/L</v>
      </c>
      <c r="O55" s="15" t="str">
        <f t="shared" ref="O55:AD55" si="1">O4</f>
        <v>Testo -30µg/L</v>
      </c>
      <c r="P55" s="15" t="str">
        <f t="shared" si="1"/>
        <v>Testo 30µg/L + EE2 -64ng/L</v>
      </c>
      <c r="Q55" s="15" t="str">
        <f t="shared" si="1"/>
        <v>Testo 30µg/L + FAD-10mg/L</v>
      </c>
      <c r="R55" s="15" t="str">
        <f t="shared" si="1"/>
        <v>Prochloraz-0.063mg/L + Testostérone</v>
      </c>
      <c r="S55" s="15" t="str">
        <f t="shared" si="1"/>
        <v>Prochloraz-0.13mg/L + Testostérone</v>
      </c>
      <c r="T55" s="15" t="str">
        <f t="shared" si="1"/>
        <v>Prochloraz-0.25mg/L + Testostérone</v>
      </c>
      <c r="U55" s="15" t="str">
        <f t="shared" si="1"/>
        <v>Prochloraz-0.5mg/L + Testostérone</v>
      </c>
      <c r="V55" s="15" t="str">
        <f t="shared" si="1"/>
        <v>Prochloraz-1mg/L + Testostérone</v>
      </c>
      <c r="W55" s="15" t="str">
        <f t="shared" si="1"/>
        <v>0-00 + Testostérone</v>
      </c>
      <c r="X55" s="15" t="str">
        <f t="shared" si="1"/>
        <v>0-00 + Testostérone</v>
      </c>
      <c r="Y55" s="15" t="str">
        <f t="shared" si="1"/>
        <v>0-00 + Testostérone</v>
      </c>
      <c r="Z55" s="15" t="str">
        <f t="shared" si="1"/>
        <v>0-00 + Testostérone</v>
      </c>
      <c r="AA55" s="15" t="str">
        <f t="shared" si="1"/>
        <v>0-00 + Testostérone</v>
      </c>
      <c r="AB55" s="15" t="str">
        <f t="shared" si="1"/>
        <v>0-00 + Testostérone</v>
      </c>
      <c r="AC55" s="15" t="str">
        <f t="shared" si="1"/>
        <v>0-00 + Testostérone</v>
      </c>
      <c r="AD55" s="15" t="str">
        <f t="shared" si="1"/>
        <v>0-00 + Testostérone</v>
      </c>
      <c r="AE55" s="15" t="str">
        <f t="shared" ref="AE55:AK55" si="2">AE4</f>
        <v>0-00 + Testostérone</v>
      </c>
      <c r="AF55" s="15" t="str">
        <f t="shared" si="2"/>
        <v>0-00 + Testostérone</v>
      </c>
      <c r="AG55" s="15" t="str">
        <f t="shared" si="2"/>
        <v>0-00 + Testostérone</v>
      </c>
      <c r="AH55" s="15" t="str">
        <f t="shared" si="2"/>
        <v>0-00 + Testostérone</v>
      </c>
      <c r="AI55" s="15" t="str">
        <f t="shared" si="2"/>
        <v>0-00 + Testostérone</v>
      </c>
      <c r="AJ55" s="15" t="str">
        <f t="shared" si="2"/>
        <v>0-00 + Testostérone</v>
      </c>
      <c r="AK55" s="15" t="str">
        <f t="shared" si="2"/>
        <v>0-00 + Testostérone</v>
      </c>
    </row>
    <row r="56" spans="1:39" x14ac:dyDescent="0.25">
      <c r="A56" t="s">
        <v>48</v>
      </c>
      <c r="B56" s="9">
        <f t="shared" ref="B56:AJ56" si="3">AVERAGE(B6:B53)</f>
        <v>0.1761917729053305</v>
      </c>
      <c r="C56" s="9">
        <f t="shared" si="3"/>
        <v>0.14903390010139633</v>
      </c>
      <c r="D56" s="9">
        <f t="shared" si="3"/>
        <v>0.18969361681553368</v>
      </c>
      <c r="E56" s="9">
        <f t="shared" si="3"/>
        <v>0.67020658166821245</v>
      </c>
      <c r="F56" s="9">
        <f t="shared" si="3"/>
        <v>1.624310215151535</v>
      </c>
      <c r="G56" s="9">
        <f t="shared" si="3"/>
        <v>2.2999173675166369</v>
      </c>
      <c r="H56" s="9">
        <f t="shared" si="3"/>
        <v>3.6805052034611303</v>
      </c>
      <c r="I56" s="9">
        <f t="shared" si="3"/>
        <v>0.18972019013360186</v>
      </c>
      <c r="J56" s="9">
        <f t="shared" si="3"/>
        <v>0.15288605642303019</v>
      </c>
      <c r="K56" s="9">
        <f t="shared" si="3"/>
        <v>0.19447407328192554</v>
      </c>
      <c r="L56" s="9">
        <f t="shared" si="3"/>
        <v>0.21820997422941185</v>
      </c>
      <c r="M56" s="9">
        <f t="shared" si="3"/>
        <v>0.26038366020204934</v>
      </c>
      <c r="N56" s="9"/>
      <c r="O56" s="9">
        <f t="shared" si="3"/>
        <v>1.0000000000000002</v>
      </c>
      <c r="P56" s="9">
        <f t="shared" si="3"/>
        <v>2.8382114886089091</v>
      </c>
      <c r="Q56" s="9">
        <f t="shared" si="3"/>
        <v>0.13346629850774602</v>
      </c>
      <c r="R56" s="9">
        <f t="shared" si="3"/>
        <v>1.0724905773816678</v>
      </c>
      <c r="S56" s="9">
        <f t="shared" si="3"/>
        <v>1.0198364706741305</v>
      </c>
      <c r="T56" s="9">
        <f t="shared" si="3"/>
        <v>1.7589638293529548</v>
      </c>
      <c r="U56" s="9">
        <f t="shared" si="3"/>
        <v>0.88457464697723298</v>
      </c>
      <c r="V56" s="9">
        <f t="shared" si="3"/>
        <v>0.71539361382190625</v>
      </c>
      <c r="W56" s="9" t="e">
        <f t="shared" si="3"/>
        <v>#DIV/0!</v>
      </c>
      <c r="X56" s="9" t="e">
        <f t="shared" si="3"/>
        <v>#DIV/0!</v>
      </c>
      <c r="Y56" s="9" t="e">
        <f t="shared" si="3"/>
        <v>#DIV/0!</v>
      </c>
      <c r="Z56" s="9" t="e">
        <f t="shared" si="3"/>
        <v>#DIV/0!</v>
      </c>
      <c r="AA56" s="9" t="e">
        <f t="shared" si="3"/>
        <v>#DIV/0!</v>
      </c>
      <c r="AB56" s="9" t="e">
        <f t="shared" si="3"/>
        <v>#DIV/0!</v>
      </c>
      <c r="AC56" s="9" t="e">
        <f t="shared" si="3"/>
        <v>#DIV/0!</v>
      </c>
      <c r="AD56" s="9" t="e">
        <f t="shared" si="3"/>
        <v>#DIV/0!</v>
      </c>
      <c r="AE56" s="9" t="e">
        <f t="shared" si="3"/>
        <v>#DIV/0!</v>
      </c>
      <c r="AF56" s="9" t="e">
        <f t="shared" si="3"/>
        <v>#DIV/0!</v>
      </c>
      <c r="AG56" s="9" t="e">
        <f t="shared" si="3"/>
        <v>#DIV/0!</v>
      </c>
      <c r="AH56" s="9" t="e">
        <f t="shared" si="3"/>
        <v>#DIV/0!</v>
      </c>
      <c r="AI56" s="9" t="e">
        <f t="shared" si="3"/>
        <v>#DIV/0!</v>
      </c>
      <c r="AJ56" s="9" t="e">
        <f t="shared" si="3"/>
        <v>#DIV/0!</v>
      </c>
      <c r="AK56" s="9" t="e">
        <f>AVERAGE(AK6:AK53)</f>
        <v>#DIV/0!</v>
      </c>
    </row>
    <row r="57" spans="1:39" x14ac:dyDescent="0.25">
      <c r="A57" t="s">
        <v>1</v>
      </c>
      <c r="B57" s="3">
        <f>STDEV(B6:B53)</f>
        <v>0.12988209764988434</v>
      </c>
      <c r="C57" s="3">
        <f t="shared" ref="C57:AK57" si="4">STDEV(C6:C53)</f>
        <v>0.1613319858137737</v>
      </c>
      <c r="D57" s="3">
        <f t="shared" si="4"/>
        <v>0.19680860334671277</v>
      </c>
      <c r="E57" s="3">
        <f t="shared" si="4"/>
        <v>1.0220936108085719</v>
      </c>
      <c r="F57" s="3">
        <f t="shared" si="4"/>
        <v>1.3748569129750334</v>
      </c>
      <c r="G57" s="3">
        <f t="shared" si="4"/>
        <v>1.5739515411305096</v>
      </c>
      <c r="H57" s="3">
        <f t="shared" si="4"/>
        <v>1.8895092194565644</v>
      </c>
      <c r="I57" s="3">
        <f t="shared" si="4"/>
        <v>0.13016775833081753</v>
      </c>
      <c r="J57" s="3">
        <f t="shared" si="4"/>
        <v>9.9231533817701251E-2</v>
      </c>
      <c r="K57" s="3">
        <f t="shared" si="4"/>
        <v>0.13876101103258448</v>
      </c>
      <c r="L57" s="3">
        <f t="shared" si="4"/>
        <v>0.10317505701069861</v>
      </c>
      <c r="M57" s="3">
        <f t="shared" si="4"/>
        <v>0.14275472269037534</v>
      </c>
      <c r="N57" s="3"/>
      <c r="O57" s="3">
        <f t="shared" si="4"/>
        <v>0.64235057049076205</v>
      </c>
      <c r="P57" s="3">
        <f t="shared" si="4"/>
        <v>1.7617191662563085</v>
      </c>
      <c r="Q57" s="3">
        <f t="shared" si="4"/>
        <v>8.5805090432133857E-2</v>
      </c>
      <c r="R57" s="3">
        <f t="shared" si="4"/>
        <v>0.94845179342683683</v>
      </c>
      <c r="S57" s="3">
        <f t="shared" si="4"/>
        <v>0.79226259148395695</v>
      </c>
      <c r="T57" s="3">
        <f t="shared" si="4"/>
        <v>1.8784550812096206</v>
      </c>
      <c r="U57" s="3">
        <f t="shared" si="4"/>
        <v>0.51449235087992484</v>
      </c>
      <c r="V57" s="3">
        <f t="shared" si="4"/>
        <v>0.6723547834836533</v>
      </c>
      <c r="W57" s="3" t="e">
        <f t="shared" si="4"/>
        <v>#DIV/0!</v>
      </c>
      <c r="X57" s="3" t="e">
        <f t="shared" si="4"/>
        <v>#DIV/0!</v>
      </c>
      <c r="Y57" s="3" t="e">
        <f t="shared" si="4"/>
        <v>#DIV/0!</v>
      </c>
      <c r="Z57" s="3" t="e">
        <f t="shared" si="4"/>
        <v>#DIV/0!</v>
      </c>
      <c r="AA57" s="3" t="e">
        <f t="shared" si="4"/>
        <v>#DIV/0!</v>
      </c>
      <c r="AB57" s="3" t="e">
        <f t="shared" si="4"/>
        <v>#DIV/0!</v>
      </c>
      <c r="AC57" s="3" t="e">
        <f t="shared" si="4"/>
        <v>#DIV/0!</v>
      </c>
      <c r="AD57" s="3" t="e">
        <f t="shared" si="4"/>
        <v>#DIV/0!</v>
      </c>
      <c r="AE57" s="3" t="e">
        <f t="shared" si="4"/>
        <v>#DIV/0!</v>
      </c>
      <c r="AF57" s="3" t="e">
        <f t="shared" si="4"/>
        <v>#DIV/0!</v>
      </c>
      <c r="AG57" s="3" t="e">
        <f t="shared" si="4"/>
        <v>#DIV/0!</v>
      </c>
      <c r="AH57" s="3" t="e">
        <f t="shared" si="4"/>
        <v>#DIV/0!</v>
      </c>
      <c r="AI57" s="3" t="e">
        <f t="shared" si="4"/>
        <v>#DIV/0!</v>
      </c>
      <c r="AJ57" s="3" t="e">
        <f t="shared" si="4"/>
        <v>#DIV/0!</v>
      </c>
      <c r="AK57" s="3" t="e">
        <f t="shared" si="4"/>
        <v>#DIV/0!</v>
      </c>
      <c r="AL57" s="3"/>
      <c r="AM57" s="3"/>
    </row>
    <row r="58" spans="1:39" x14ac:dyDescent="0.25">
      <c r="A58" t="s">
        <v>2</v>
      </c>
      <c r="B58" s="3">
        <f xml:space="preserve"> B57/SQRT(COUNT(B6:B53))</f>
        <v>2.6512072163712905E-2</v>
      </c>
      <c r="C58" s="3">
        <f t="shared" ref="C58:AK58" si="5" xml:space="preserve"> C57/SQRT(COUNT(C6:C53))</f>
        <v>3.4396094946569734E-2</v>
      </c>
      <c r="D58" s="3">
        <f t="shared" si="5"/>
        <v>4.0173387932438E-2</v>
      </c>
      <c r="E58" s="3">
        <f t="shared" si="5"/>
        <v>0.20863398465331823</v>
      </c>
      <c r="F58" s="3">
        <f t="shared" si="5"/>
        <v>0.28064149217724077</v>
      </c>
      <c r="G58" s="3">
        <f t="shared" si="5"/>
        <v>0.33556759607804165</v>
      </c>
      <c r="H58" s="3">
        <f t="shared" si="5"/>
        <v>0.40284471914866982</v>
      </c>
      <c r="I58" s="3">
        <f t="shared" si="5"/>
        <v>2.6570382406034765E-2</v>
      </c>
      <c r="J58" s="3">
        <f t="shared" si="5"/>
        <v>2.0255552020591774E-2</v>
      </c>
      <c r="K58" s="3">
        <f t="shared" si="5"/>
        <v>2.8933670909426643E-2</v>
      </c>
      <c r="L58" s="3">
        <f t="shared" si="5"/>
        <v>2.199699606471189E-2</v>
      </c>
      <c r="M58" s="3">
        <f t="shared" si="5"/>
        <v>3.0435409140734535E-2</v>
      </c>
      <c r="N58" s="3"/>
      <c r="O58" s="3">
        <f t="shared" si="5"/>
        <v>9.4709424650372104E-2</v>
      </c>
      <c r="P58" s="3">
        <f t="shared" si="5"/>
        <v>0.36734383968505246</v>
      </c>
      <c r="Q58" s="3">
        <f t="shared" si="5"/>
        <v>1.751489074100791E-2</v>
      </c>
      <c r="R58" s="3">
        <f t="shared" si="5"/>
        <v>0.20221060178736505</v>
      </c>
      <c r="S58" s="3">
        <f t="shared" si="5"/>
        <v>0.16519817004261689</v>
      </c>
      <c r="T58" s="3">
        <f t="shared" si="5"/>
        <v>0.38343803780849234</v>
      </c>
      <c r="U58" s="3">
        <f t="shared" si="5"/>
        <v>0.10502031135173165</v>
      </c>
      <c r="V58" s="3">
        <f t="shared" si="5"/>
        <v>0.13724384547120111</v>
      </c>
      <c r="W58" s="3" t="e">
        <f t="shared" si="5"/>
        <v>#DIV/0!</v>
      </c>
      <c r="X58" s="3" t="e">
        <f t="shared" si="5"/>
        <v>#DIV/0!</v>
      </c>
      <c r="Y58" s="3" t="e">
        <f t="shared" si="5"/>
        <v>#DIV/0!</v>
      </c>
      <c r="Z58" s="3" t="e">
        <f t="shared" si="5"/>
        <v>#DIV/0!</v>
      </c>
      <c r="AA58" s="3" t="e">
        <f t="shared" si="5"/>
        <v>#DIV/0!</v>
      </c>
      <c r="AB58" s="3" t="e">
        <f t="shared" si="5"/>
        <v>#DIV/0!</v>
      </c>
      <c r="AC58" s="3" t="e">
        <f t="shared" si="5"/>
        <v>#DIV/0!</v>
      </c>
      <c r="AD58" s="3" t="e">
        <f t="shared" si="5"/>
        <v>#DIV/0!</v>
      </c>
      <c r="AE58" s="3" t="e">
        <f t="shared" si="5"/>
        <v>#DIV/0!</v>
      </c>
      <c r="AF58" s="3" t="e">
        <f t="shared" si="5"/>
        <v>#DIV/0!</v>
      </c>
      <c r="AG58" s="3" t="e">
        <f t="shared" si="5"/>
        <v>#DIV/0!</v>
      </c>
      <c r="AH58" s="3" t="e">
        <f t="shared" si="5"/>
        <v>#DIV/0!</v>
      </c>
      <c r="AI58" s="3" t="e">
        <f t="shared" si="5"/>
        <v>#DIV/0!</v>
      </c>
      <c r="AJ58" s="3" t="e">
        <f t="shared" si="5"/>
        <v>#DIV/0!</v>
      </c>
      <c r="AK58" s="3" t="e">
        <f t="shared" si="5"/>
        <v>#DIV/0!</v>
      </c>
      <c r="AL58" s="3"/>
      <c r="AM58" s="3"/>
    </row>
    <row r="59" spans="1:39" s="1" customFormat="1" ht="15.75" thickBot="1" x14ac:dyDescent="0.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row>
    <row r="60" spans="1:39" s="49" customFormat="1" ht="27" thickBot="1" x14ac:dyDescent="0.3">
      <c r="A60" s="239" t="s">
        <v>46</v>
      </c>
      <c r="B60" s="240"/>
      <c r="C60" s="240"/>
      <c r="D60" s="240"/>
      <c r="E60" s="240"/>
      <c r="F60" s="240"/>
      <c r="G60" s="240"/>
      <c r="H60" s="240"/>
      <c r="I60" s="240"/>
      <c r="J60" s="240"/>
      <c r="K60" s="240"/>
      <c r="L60" s="240"/>
      <c r="M60" s="240"/>
      <c r="N60" s="240"/>
      <c r="O60" s="240"/>
      <c r="P60" s="240"/>
      <c r="Q60" s="240"/>
      <c r="R60" s="240"/>
      <c r="S60" s="240"/>
      <c r="T60" s="240"/>
      <c r="U60" s="240"/>
      <c r="V60" s="240"/>
      <c r="W60" s="240"/>
      <c r="X60" s="240"/>
      <c r="Y60" s="240"/>
      <c r="Z60" s="240"/>
      <c r="AA60" s="240"/>
      <c r="AB60" s="240"/>
      <c r="AC60" s="240"/>
      <c r="AD60" s="240"/>
      <c r="AE60" s="240"/>
      <c r="AF60" s="240"/>
      <c r="AG60" s="240"/>
      <c r="AH60" s="240"/>
      <c r="AI60" s="240"/>
      <c r="AJ60" s="240"/>
      <c r="AK60" s="241"/>
    </row>
    <row r="61" spans="1:39" s="1" customFormat="1" x14ac:dyDescent="0.25">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row>
    <row r="62" spans="1:39" s="1" customFormat="1" x14ac:dyDescent="0.25">
      <c r="A62" s="1" t="s">
        <v>47</v>
      </c>
      <c r="B62" s="3" t="str">
        <f t="shared" ref="B62" si="6">B4</f>
        <v>Témoin solvant</v>
      </c>
      <c r="C62" s="3" t="str">
        <f t="shared" ref="C62:AK62" si="7">C4</f>
        <v>EE2-33.8ng/L</v>
      </c>
      <c r="D62" s="3" t="str">
        <f t="shared" si="7"/>
        <v>EE2-50.6ng/L</v>
      </c>
      <c r="E62" s="3" t="str">
        <f t="shared" si="7"/>
        <v>EE2-76ng/L</v>
      </c>
      <c r="F62" s="3" t="str">
        <f t="shared" si="7"/>
        <v>EE2-114ng/L</v>
      </c>
      <c r="G62" s="3" t="str">
        <f t="shared" si="7"/>
        <v>EE2-170.9ng/L</v>
      </c>
      <c r="H62" s="3" t="str">
        <f t="shared" si="7"/>
        <v>EE2-488ng/L</v>
      </c>
      <c r="I62" s="3" t="str">
        <f t="shared" si="7"/>
        <v>Prochloraz-0,063mg/L</v>
      </c>
      <c r="J62" s="3" t="str">
        <f t="shared" si="7"/>
        <v>Prochloraz-0,13mg/L</v>
      </c>
      <c r="K62" s="3" t="str">
        <f t="shared" si="7"/>
        <v>Prochloraz-0,25mg/L</v>
      </c>
      <c r="L62" s="3" t="str">
        <f t="shared" si="7"/>
        <v>Prochloraz-0,5mg/L</v>
      </c>
      <c r="M62" s="3" t="str">
        <f t="shared" si="7"/>
        <v>Prochloraz-1mg/L</v>
      </c>
      <c r="N62" s="3"/>
      <c r="O62" s="3" t="str">
        <f t="shared" si="7"/>
        <v>Testo -30µg/L</v>
      </c>
      <c r="P62" s="3" t="str">
        <f t="shared" si="7"/>
        <v>Testo 30µg/L + EE2 -64ng/L</v>
      </c>
      <c r="Q62" s="3" t="str">
        <f t="shared" si="7"/>
        <v>Testo 30µg/L + FAD-10mg/L</v>
      </c>
      <c r="R62" s="3" t="str">
        <f t="shared" si="7"/>
        <v>Prochloraz-0.063mg/L + Testostérone</v>
      </c>
      <c r="S62" s="3" t="str">
        <f t="shared" si="7"/>
        <v>Prochloraz-0.13mg/L + Testostérone</v>
      </c>
      <c r="T62" s="3" t="str">
        <f t="shared" si="7"/>
        <v>Prochloraz-0.25mg/L + Testostérone</v>
      </c>
      <c r="U62" s="3" t="str">
        <f t="shared" si="7"/>
        <v>Prochloraz-0.5mg/L + Testostérone</v>
      </c>
      <c r="V62" s="3" t="str">
        <f t="shared" si="7"/>
        <v>Prochloraz-1mg/L + Testostérone</v>
      </c>
      <c r="W62" s="3" t="str">
        <f t="shared" si="7"/>
        <v>0-00 + Testostérone</v>
      </c>
      <c r="X62" s="3" t="str">
        <f t="shared" si="7"/>
        <v>0-00 + Testostérone</v>
      </c>
      <c r="Y62" s="3" t="str">
        <f t="shared" si="7"/>
        <v>0-00 + Testostérone</v>
      </c>
      <c r="Z62" s="3" t="str">
        <f t="shared" si="7"/>
        <v>0-00 + Testostérone</v>
      </c>
      <c r="AA62" s="3" t="str">
        <f t="shared" si="7"/>
        <v>0-00 + Testostérone</v>
      </c>
      <c r="AB62" s="3" t="str">
        <f t="shared" si="7"/>
        <v>0-00 + Testostérone</v>
      </c>
      <c r="AC62" s="3" t="str">
        <f t="shared" si="7"/>
        <v>0-00 + Testostérone</v>
      </c>
      <c r="AD62" s="3" t="str">
        <f t="shared" si="7"/>
        <v>0-00 + Testostérone</v>
      </c>
      <c r="AE62" s="3" t="str">
        <f t="shared" si="7"/>
        <v>0-00 + Testostérone</v>
      </c>
      <c r="AF62" s="3" t="str">
        <f t="shared" si="7"/>
        <v>0-00 + Testostérone</v>
      </c>
      <c r="AG62" s="3" t="str">
        <f t="shared" si="7"/>
        <v>0-00 + Testostérone</v>
      </c>
      <c r="AH62" s="3" t="str">
        <f t="shared" si="7"/>
        <v>0-00 + Testostérone</v>
      </c>
      <c r="AI62" s="3" t="str">
        <f t="shared" si="7"/>
        <v>0-00 + Testostérone</v>
      </c>
      <c r="AJ62" s="3" t="str">
        <f t="shared" si="7"/>
        <v>0-00 + Testostérone</v>
      </c>
      <c r="AK62" s="3" t="str">
        <f t="shared" si="7"/>
        <v>0-00 + Testostérone</v>
      </c>
    </row>
    <row r="63" spans="1:39" s="1" customFormat="1" x14ac:dyDescent="0.25">
      <c r="A63" s="1" t="s">
        <v>49</v>
      </c>
      <c r="B63" s="3">
        <f>COUNT(B6:B53)</f>
        <v>24</v>
      </c>
      <c r="C63" s="3">
        <f t="shared" ref="C63:AJ63" si="8">COUNT(C6:C53)</f>
        <v>22</v>
      </c>
      <c r="D63" s="3">
        <f t="shared" si="8"/>
        <v>24</v>
      </c>
      <c r="E63" s="3">
        <f t="shared" si="8"/>
        <v>24</v>
      </c>
      <c r="F63" s="3">
        <f t="shared" si="8"/>
        <v>24</v>
      </c>
      <c r="G63" s="3">
        <f t="shared" si="8"/>
        <v>22</v>
      </c>
      <c r="H63" s="3">
        <f t="shared" si="8"/>
        <v>22</v>
      </c>
      <c r="I63" s="3">
        <f t="shared" si="8"/>
        <v>24</v>
      </c>
      <c r="J63" s="3">
        <f t="shared" si="8"/>
        <v>24</v>
      </c>
      <c r="K63" s="3">
        <f t="shared" si="8"/>
        <v>23</v>
      </c>
      <c r="L63" s="3">
        <f t="shared" si="8"/>
        <v>22</v>
      </c>
      <c r="M63" s="3">
        <f t="shared" si="8"/>
        <v>22</v>
      </c>
      <c r="N63" s="3"/>
      <c r="O63" s="3">
        <f t="shared" si="8"/>
        <v>46</v>
      </c>
      <c r="P63" s="3">
        <f t="shared" si="8"/>
        <v>23</v>
      </c>
      <c r="Q63" s="3">
        <f t="shared" si="8"/>
        <v>24</v>
      </c>
      <c r="R63" s="3">
        <f t="shared" si="8"/>
        <v>22</v>
      </c>
      <c r="S63" s="3">
        <f t="shared" si="8"/>
        <v>23</v>
      </c>
      <c r="T63" s="3">
        <f t="shared" si="8"/>
        <v>24</v>
      </c>
      <c r="U63" s="3">
        <f t="shared" si="8"/>
        <v>24</v>
      </c>
      <c r="V63" s="3">
        <f t="shared" si="8"/>
        <v>24</v>
      </c>
      <c r="W63" s="3">
        <f t="shared" si="8"/>
        <v>0</v>
      </c>
      <c r="X63" s="3">
        <f t="shared" si="8"/>
        <v>0</v>
      </c>
      <c r="Y63" s="3">
        <f t="shared" si="8"/>
        <v>0</v>
      </c>
      <c r="Z63" s="3">
        <f t="shared" si="8"/>
        <v>0</v>
      </c>
      <c r="AA63" s="3">
        <f t="shared" si="8"/>
        <v>0</v>
      </c>
      <c r="AB63" s="3">
        <f t="shared" si="8"/>
        <v>0</v>
      </c>
      <c r="AC63" s="3">
        <f t="shared" si="8"/>
        <v>0</v>
      </c>
      <c r="AD63" s="3">
        <f t="shared" si="8"/>
        <v>0</v>
      </c>
      <c r="AE63" s="3">
        <f t="shared" si="8"/>
        <v>0</v>
      </c>
      <c r="AF63" s="3">
        <f t="shared" si="8"/>
        <v>0</v>
      </c>
      <c r="AG63" s="3">
        <f t="shared" si="8"/>
        <v>0</v>
      </c>
      <c r="AH63" s="3">
        <f t="shared" si="8"/>
        <v>0</v>
      </c>
      <c r="AI63" s="3">
        <f t="shared" si="8"/>
        <v>0</v>
      </c>
      <c r="AJ63" s="3">
        <f t="shared" si="8"/>
        <v>0</v>
      </c>
      <c r="AK63" s="3">
        <f>COUNT(AK6:AK53)</f>
        <v>0</v>
      </c>
    </row>
    <row r="64" spans="1:39" s="1" customFormat="1" ht="15.75" thickBot="1" x14ac:dyDescent="0.3">
      <c r="B64" s="3" t="str">
        <f>IF(B63&gt;=21,"OK","ATTENTION")</f>
        <v>OK</v>
      </c>
      <c r="C64" s="3" t="str">
        <f t="shared" ref="C64:AK64" si="9">IF(C63&gt;=21,"OK","ATTENTION")</f>
        <v>OK</v>
      </c>
      <c r="D64" s="3" t="str">
        <f t="shared" si="9"/>
        <v>OK</v>
      </c>
      <c r="E64" s="3" t="str">
        <f t="shared" si="9"/>
        <v>OK</v>
      </c>
      <c r="F64" s="3" t="str">
        <f t="shared" si="9"/>
        <v>OK</v>
      </c>
      <c r="G64" s="3" t="str">
        <f t="shared" si="9"/>
        <v>OK</v>
      </c>
      <c r="H64" s="3" t="str">
        <f t="shared" si="9"/>
        <v>OK</v>
      </c>
      <c r="I64" s="3" t="str">
        <f t="shared" si="9"/>
        <v>OK</v>
      </c>
      <c r="J64" s="3" t="str">
        <f t="shared" si="9"/>
        <v>OK</v>
      </c>
      <c r="K64" s="3" t="str">
        <f t="shared" si="9"/>
        <v>OK</v>
      </c>
      <c r="L64" s="3" t="str">
        <f t="shared" si="9"/>
        <v>OK</v>
      </c>
      <c r="M64" s="3" t="str">
        <f t="shared" si="9"/>
        <v>OK</v>
      </c>
      <c r="N64" s="3"/>
      <c r="O64" s="3" t="str">
        <f>IF(O63&gt;=41,"OK","ATTENTION")</f>
        <v>OK</v>
      </c>
      <c r="P64" s="3" t="str">
        <f t="shared" si="9"/>
        <v>OK</v>
      </c>
      <c r="Q64" s="3" t="str">
        <f t="shared" si="9"/>
        <v>OK</v>
      </c>
      <c r="R64" s="3" t="str">
        <f t="shared" si="9"/>
        <v>OK</v>
      </c>
      <c r="S64" s="3" t="str">
        <f t="shared" si="9"/>
        <v>OK</v>
      </c>
      <c r="T64" s="3" t="str">
        <f t="shared" si="9"/>
        <v>OK</v>
      </c>
      <c r="U64" s="3" t="str">
        <f t="shared" si="9"/>
        <v>OK</v>
      </c>
      <c r="V64" s="3" t="str">
        <f t="shared" si="9"/>
        <v>OK</v>
      </c>
      <c r="W64" s="3" t="str">
        <f t="shared" si="9"/>
        <v>ATTENTION</v>
      </c>
      <c r="X64" s="3" t="str">
        <f t="shared" si="9"/>
        <v>ATTENTION</v>
      </c>
      <c r="Y64" s="3" t="str">
        <f t="shared" si="9"/>
        <v>ATTENTION</v>
      </c>
      <c r="Z64" s="3" t="str">
        <f t="shared" si="9"/>
        <v>ATTENTION</v>
      </c>
      <c r="AA64" s="3" t="str">
        <f t="shared" si="9"/>
        <v>ATTENTION</v>
      </c>
      <c r="AB64" s="3" t="str">
        <f t="shared" si="9"/>
        <v>ATTENTION</v>
      </c>
      <c r="AC64" s="3" t="str">
        <f t="shared" si="9"/>
        <v>ATTENTION</v>
      </c>
      <c r="AD64" s="3" t="str">
        <f t="shared" si="9"/>
        <v>ATTENTION</v>
      </c>
      <c r="AE64" s="3" t="str">
        <f t="shared" si="9"/>
        <v>ATTENTION</v>
      </c>
      <c r="AF64" s="3" t="str">
        <f t="shared" si="9"/>
        <v>ATTENTION</v>
      </c>
      <c r="AG64" s="3" t="str">
        <f t="shared" si="9"/>
        <v>ATTENTION</v>
      </c>
      <c r="AH64" s="3" t="str">
        <f t="shared" si="9"/>
        <v>ATTENTION</v>
      </c>
      <c r="AI64" s="3" t="str">
        <f t="shared" si="9"/>
        <v>ATTENTION</v>
      </c>
      <c r="AJ64" s="3" t="str">
        <f t="shared" si="9"/>
        <v>ATTENTION</v>
      </c>
      <c r="AK64" s="3" t="str">
        <f t="shared" si="9"/>
        <v>ATTENTION</v>
      </c>
    </row>
    <row r="65" spans="1:37" s="49" customFormat="1" ht="27" thickBot="1" x14ac:dyDescent="0.3">
      <c r="A65" s="239" t="s">
        <v>58</v>
      </c>
      <c r="B65" s="240"/>
      <c r="C65" s="240"/>
      <c r="D65" s="240"/>
      <c r="E65" s="240"/>
      <c r="F65" s="240"/>
      <c r="G65" s="240"/>
      <c r="H65" s="240"/>
      <c r="I65" s="240"/>
      <c r="J65" s="240"/>
      <c r="K65" s="240"/>
      <c r="L65" s="240"/>
      <c r="M65" s="240"/>
      <c r="N65" s="240"/>
      <c r="O65" s="240"/>
      <c r="P65" s="240"/>
      <c r="Q65" s="240"/>
      <c r="R65" s="240"/>
      <c r="S65" s="240"/>
      <c r="T65" s="240"/>
      <c r="U65" s="240"/>
      <c r="V65" s="240"/>
      <c r="W65" s="240"/>
      <c r="X65" s="240"/>
      <c r="Y65" s="240"/>
      <c r="Z65" s="240"/>
      <c r="AA65" s="240"/>
      <c r="AB65" s="240"/>
      <c r="AC65" s="240"/>
      <c r="AD65" s="240"/>
      <c r="AE65" s="240"/>
      <c r="AF65" s="240"/>
      <c r="AG65" s="240"/>
      <c r="AH65" s="240"/>
      <c r="AI65" s="240"/>
      <c r="AJ65" s="240"/>
      <c r="AK65" s="241"/>
    </row>
    <row r="66" spans="1:37" s="1" customFormat="1" x14ac:dyDescent="0.25">
      <c r="B66" s="1" t="s">
        <v>61</v>
      </c>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row>
    <row r="67" spans="1:37" s="1" customFormat="1" x14ac:dyDescent="0.25">
      <c r="A67" s="1" t="s">
        <v>59</v>
      </c>
      <c r="B67" s="3">
        <v>3.5</v>
      </c>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row>
    <row r="68" spans="1:37" s="1" customFormat="1" x14ac:dyDescent="0.25">
      <c r="A68" s="1" t="s">
        <v>62</v>
      </c>
      <c r="B68" s="3">
        <v>2</v>
      </c>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row>
    <row r="69" spans="1:37" s="1" customFormat="1" ht="15.75" thickBot="1" x14ac:dyDescent="0.3">
      <c r="A69" s="1" t="s">
        <v>63</v>
      </c>
      <c r="B69" s="3">
        <v>0.5</v>
      </c>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row>
    <row r="70" spans="1:37" s="49" customFormat="1" ht="27" thickBot="1" x14ac:dyDescent="0.3">
      <c r="A70" s="239" t="s">
        <v>53</v>
      </c>
      <c r="B70" s="240"/>
      <c r="C70" s="240"/>
      <c r="D70" s="240"/>
      <c r="E70" s="240"/>
      <c r="F70" s="240"/>
      <c r="G70" s="240"/>
      <c r="H70" s="240"/>
      <c r="I70" s="240"/>
      <c r="J70" s="240"/>
      <c r="K70" s="240"/>
      <c r="L70" s="240"/>
      <c r="M70" s="240"/>
      <c r="N70" s="240"/>
      <c r="O70" s="240"/>
      <c r="P70" s="240"/>
      <c r="Q70" s="240"/>
      <c r="R70" s="240"/>
      <c r="S70" s="240"/>
      <c r="T70" s="240"/>
      <c r="U70" s="240"/>
      <c r="V70" s="240"/>
      <c r="W70" s="240"/>
      <c r="X70" s="240"/>
      <c r="Y70" s="240"/>
      <c r="Z70" s="240"/>
      <c r="AA70" s="240"/>
      <c r="AB70" s="240"/>
      <c r="AC70" s="240"/>
      <c r="AD70" s="240"/>
      <c r="AE70" s="240"/>
      <c r="AF70" s="240"/>
      <c r="AG70" s="240"/>
      <c r="AH70" s="240"/>
      <c r="AI70" s="240"/>
      <c r="AJ70" s="240"/>
      <c r="AK70" s="241"/>
    </row>
    <row r="71" spans="1:37" ht="15.75" thickBot="1" x14ac:dyDescent="0.3"/>
    <row r="72" spans="1:37" s="49" customFormat="1" ht="27" thickBot="1" x14ac:dyDescent="0.3">
      <c r="A72" s="239" t="s">
        <v>54</v>
      </c>
      <c r="B72" s="240"/>
      <c r="C72" s="240"/>
      <c r="D72" s="240"/>
      <c r="E72" s="240"/>
      <c r="F72" s="240"/>
      <c r="G72" s="240"/>
      <c r="H72" s="240"/>
      <c r="I72" s="240"/>
      <c r="J72" s="240"/>
      <c r="K72" s="240"/>
      <c r="L72" s="240"/>
      <c r="M72" s="240"/>
      <c r="N72" s="240"/>
      <c r="O72" s="240"/>
      <c r="P72" s="240"/>
      <c r="Q72" s="240"/>
      <c r="R72" s="240"/>
      <c r="S72" s="240"/>
      <c r="T72" s="240"/>
      <c r="U72" s="240"/>
      <c r="V72" s="240"/>
      <c r="W72" s="240"/>
      <c r="X72" s="240"/>
      <c r="Y72" s="240"/>
      <c r="Z72" s="240"/>
      <c r="AA72" s="240"/>
      <c r="AB72" s="240"/>
      <c r="AC72" s="240"/>
      <c r="AD72" s="240"/>
      <c r="AE72" s="240"/>
      <c r="AF72" s="240"/>
      <c r="AG72" s="240"/>
      <c r="AH72" s="240"/>
      <c r="AI72" s="240"/>
      <c r="AJ72" s="240"/>
      <c r="AK72" s="241"/>
    </row>
    <row r="73" spans="1:37" ht="15.75" thickBot="1" x14ac:dyDescent="0.3">
      <c r="J73" s="3">
        <v>1</v>
      </c>
      <c r="K73" s="3">
        <v>2</v>
      </c>
      <c r="L73" s="3">
        <v>3</v>
      </c>
      <c r="M73" s="3">
        <v>4</v>
      </c>
      <c r="R73" s="3">
        <v>1</v>
      </c>
      <c r="S73" s="3">
        <v>2</v>
      </c>
      <c r="T73" s="3">
        <v>3</v>
      </c>
      <c r="U73" s="3">
        <v>4</v>
      </c>
      <c r="V73" s="3">
        <v>5</v>
      </c>
      <c r="W73" s="3">
        <v>1</v>
      </c>
      <c r="X73" s="3">
        <v>2</v>
      </c>
      <c r="Y73" s="3">
        <v>3</v>
      </c>
      <c r="Z73" s="3">
        <v>4</v>
      </c>
      <c r="AA73" s="3">
        <v>5</v>
      </c>
      <c r="AB73" s="3">
        <v>1</v>
      </c>
      <c r="AC73" s="3">
        <v>2</v>
      </c>
      <c r="AD73" s="3">
        <v>3</v>
      </c>
      <c r="AE73" s="3">
        <v>4</v>
      </c>
      <c r="AF73" s="3">
        <v>5</v>
      </c>
      <c r="AG73" s="3">
        <v>1</v>
      </c>
      <c r="AH73" s="3">
        <v>2</v>
      </c>
      <c r="AI73" s="3">
        <v>3</v>
      </c>
      <c r="AJ73" s="3">
        <v>4</v>
      </c>
      <c r="AK73" s="3">
        <v>5</v>
      </c>
    </row>
    <row r="74" spans="1:37" s="1" customFormat="1" x14ac:dyDescent="0.25">
      <c r="A74" s="45" t="s">
        <v>41</v>
      </c>
      <c r="B74" s="46" t="str">
        <f t="shared" ref="B74:M74" si="10">B4</f>
        <v>Témoin solvant</v>
      </c>
      <c r="C74" s="46" t="str">
        <f t="shared" si="10"/>
        <v>EE2-33.8ng/L</v>
      </c>
      <c r="D74" s="46" t="str">
        <f t="shared" si="10"/>
        <v>EE2-50.6ng/L</v>
      </c>
      <c r="E74" s="46" t="str">
        <f t="shared" si="10"/>
        <v>EE2-76ng/L</v>
      </c>
      <c r="F74" s="46" t="str">
        <f t="shared" si="10"/>
        <v>EE2-114ng/L</v>
      </c>
      <c r="G74" s="46" t="str">
        <f t="shared" si="10"/>
        <v>EE2-170.9ng/L</v>
      </c>
      <c r="H74" s="46" t="str">
        <f t="shared" si="10"/>
        <v>EE2-488ng/L</v>
      </c>
      <c r="I74" s="46" t="str">
        <f t="shared" si="10"/>
        <v>Prochloraz-0,063mg/L</v>
      </c>
      <c r="J74" s="46" t="str">
        <f t="shared" si="10"/>
        <v>Prochloraz-0,13mg/L</v>
      </c>
      <c r="K74" s="46" t="str">
        <f t="shared" si="10"/>
        <v>Prochloraz-0,25mg/L</v>
      </c>
      <c r="L74" s="46" t="str">
        <f t="shared" si="10"/>
        <v>Prochloraz-0,5mg/L</v>
      </c>
      <c r="M74" s="46" t="str">
        <f t="shared" si="10"/>
        <v>Prochloraz-1mg/L</v>
      </c>
      <c r="N74" s="46"/>
      <c r="O74" s="46" t="str">
        <f t="shared" ref="O74:AD74" si="11">O4</f>
        <v>Testo -30µg/L</v>
      </c>
      <c r="P74" s="46" t="str">
        <f t="shared" si="11"/>
        <v>Testo 30µg/L + EE2 -64ng/L</v>
      </c>
      <c r="Q74" s="46" t="str">
        <f t="shared" si="11"/>
        <v>Testo 30µg/L + FAD-10mg/L</v>
      </c>
      <c r="R74" s="46" t="str">
        <f t="shared" si="11"/>
        <v>Prochloraz-0.063mg/L + Testostérone</v>
      </c>
      <c r="S74" s="46" t="str">
        <f t="shared" si="11"/>
        <v>Prochloraz-0.13mg/L + Testostérone</v>
      </c>
      <c r="T74" s="46" t="str">
        <f t="shared" si="11"/>
        <v>Prochloraz-0.25mg/L + Testostérone</v>
      </c>
      <c r="U74" s="46" t="str">
        <f t="shared" si="11"/>
        <v>Prochloraz-0.5mg/L + Testostérone</v>
      </c>
      <c r="V74" s="46" t="str">
        <f t="shared" si="11"/>
        <v>Prochloraz-1mg/L + Testostérone</v>
      </c>
      <c r="W74" s="46" t="str">
        <f t="shared" si="11"/>
        <v>0-00 + Testostérone</v>
      </c>
      <c r="X74" s="46" t="str">
        <f t="shared" si="11"/>
        <v>0-00 + Testostérone</v>
      </c>
      <c r="Y74" s="46" t="str">
        <f t="shared" si="11"/>
        <v>0-00 + Testostérone</v>
      </c>
      <c r="Z74" s="46" t="str">
        <f t="shared" si="11"/>
        <v>0-00 + Testostérone</v>
      </c>
      <c r="AA74" s="46" t="str">
        <f t="shared" si="11"/>
        <v>0-00 + Testostérone</v>
      </c>
      <c r="AB74" s="46" t="str">
        <f t="shared" si="11"/>
        <v>0-00 + Testostérone</v>
      </c>
      <c r="AC74" s="46" t="str">
        <f t="shared" si="11"/>
        <v>0-00 + Testostérone</v>
      </c>
      <c r="AD74" s="46" t="str">
        <f t="shared" si="11"/>
        <v>0-00 + Testostérone</v>
      </c>
      <c r="AE74" s="46" t="str">
        <f t="shared" ref="AE74:AK74" si="12">AE4</f>
        <v>0-00 + Testostérone</v>
      </c>
      <c r="AF74" s="46" t="str">
        <f t="shared" si="12"/>
        <v>0-00 + Testostérone</v>
      </c>
      <c r="AG74" s="46" t="str">
        <f t="shared" si="12"/>
        <v>0-00 + Testostérone</v>
      </c>
      <c r="AH74" s="46" t="str">
        <f t="shared" si="12"/>
        <v>0-00 + Testostérone</v>
      </c>
      <c r="AI74" s="46" t="str">
        <f t="shared" si="12"/>
        <v>0-00 + Testostérone</v>
      </c>
      <c r="AJ74" s="46" t="str">
        <f t="shared" si="12"/>
        <v>0-00 + Testostérone</v>
      </c>
      <c r="AK74" s="46" t="str">
        <f t="shared" si="12"/>
        <v>0-00 + Testostérone</v>
      </c>
    </row>
    <row r="75" spans="1:37" s="3" customFormat="1" x14ac:dyDescent="0.25">
      <c r="A75" s="64" t="s">
        <v>32</v>
      </c>
      <c r="B75" s="145">
        <f>B56</f>
        <v>0.1761917729053305</v>
      </c>
      <c r="C75" s="145">
        <f t="shared" ref="C75:AK75" si="13">C56</f>
        <v>0.14903390010139633</v>
      </c>
      <c r="D75" s="145">
        <f t="shared" si="13"/>
        <v>0.18969361681553368</v>
      </c>
      <c r="E75" s="145">
        <f t="shared" si="13"/>
        <v>0.67020658166821245</v>
      </c>
      <c r="F75" s="145">
        <f t="shared" si="13"/>
        <v>1.624310215151535</v>
      </c>
      <c r="G75" s="145">
        <f t="shared" si="13"/>
        <v>2.2999173675166369</v>
      </c>
      <c r="H75" s="145">
        <f t="shared" si="13"/>
        <v>3.6805052034611303</v>
      </c>
      <c r="I75" s="145">
        <f t="shared" si="13"/>
        <v>0.18972019013360186</v>
      </c>
      <c r="J75" s="145">
        <f t="shared" si="13"/>
        <v>0.15288605642303019</v>
      </c>
      <c r="K75" s="145">
        <f t="shared" si="13"/>
        <v>0.19447407328192554</v>
      </c>
      <c r="L75" s="145">
        <f t="shared" si="13"/>
        <v>0.21820997422941185</v>
      </c>
      <c r="M75" s="145">
        <f t="shared" si="13"/>
        <v>0.26038366020204934</v>
      </c>
      <c r="N75" s="145"/>
      <c r="O75" s="145">
        <f t="shared" si="13"/>
        <v>1.0000000000000002</v>
      </c>
      <c r="P75" s="145">
        <f t="shared" si="13"/>
        <v>2.8382114886089091</v>
      </c>
      <c r="Q75" s="145">
        <f t="shared" si="13"/>
        <v>0.13346629850774602</v>
      </c>
      <c r="R75" s="145">
        <f t="shared" si="13"/>
        <v>1.0724905773816678</v>
      </c>
      <c r="S75" s="145">
        <f t="shared" si="13"/>
        <v>1.0198364706741305</v>
      </c>
      <c r="T75" s="145">
        <f t="shared" si="13"/>
        <v>1.7589638293529548</v>
      </c>
      <c r="U75" s="145">
        <f t="shared" si="13"/>
        <v>0.88457464697723298</v>
      </c>
      <c r="V75" s="145">
        <f t="shared" si="13"/>
        <v>0.71539361382190625</v>
      </c>
      <c r="W75" s="145" t="e">
        <f t="shared" si="13"/>
        <v>#DIV/0!</v>
      </c>
      <c r="X75" s="145" t="e">
        <f t="shared" si="13"/>
        <v>#DIV/0!</v>
      </c>
      <c r="Y75" s="145" t="e">
        <f t="shared" si="13"/>
        <v>#DIV/0!</v>
      </c>
      <c r="Z75" s="145" t="e">
        <f t="shared" si="13"/>
        <v>#DIV/0!</v>
      </c>
      <c r="AA75" s="145" t="e">
        <f t="shared" si="13"/>
        <v>#DIV/0!</v>
      </c>
      <c r="AB75" s="145" t="e">
        <f t="shared" si="13"/>
        <v>#DIV/0!</v>
      </c>
      <c r="AC75" s="145" t="e">
        <f t="shared" si="13"/>
        <v>#DIV/0!</v>
      </c>
      <c r="AD75" s="145" t="e">
        <f t="shared" si="13"/>
        <v>#DIV/0!</v>
      </c>
      <c r="AE75" s="145" t="e">
        <f t="shared" si="13"/>
        <v>#DIV/0!</v>
      </c>
      <c r="AF75" s="145" t="e">
        <f t="shared" si="13"/>
        <v>#DIV/0!</v>
      </c>
      <c r="AG75" s="145" t="e">
        <f t="shared" si="13"/>
        <v>#DIV/0!</v>
      </c>
      <c r="AH75" s="145" t="e">
        <f t="shared" si="13"/>
        <v>#DIV/0!</v>
      </c>
      <c r="AI75" s="145" t="e">
        <f t="shared" si="13"/>
        <v>#DIV/0!</v>
      </c>
      <c r="AJ75" s="145" t="e">
        <f t="shared" si="13"/>
        <v>#DIV/0!</v>
      </c>
      <c r="AK75" s="145" t="e">
        <f t="shared" si="13"/>
        <v>#DIV/0!</v>
      </c>
    </row>
    <row r="76" spans="1:37" s="3" customFormat="1" x14ac:dyDescent="0.25">
      <c r="A76" s="64" t="s">
        <v>2</v>
      </c>
      <c r="B76" s="145">
        <f>B58</f>
        <v>2.6512072163712905E-2</v>
      </c>
      <c r="C76" s="145">
        <f t="shared" ref="C76:AK76" si="14">C58</f>
        <v>3.4396094946569734E-2</v>
      </c>
      <c r="D76" s="145">
        <f t="shared" si="14"/>
        <v>4.0173387932438E-2</v>
      </c>
      <c r="E76" s="145">
        <f t="shared" si="14"/>
        <v>0.20863398465331823</v>
      </c>
      <c r="F76" s="145">
        <f t="shared" si="14"/>
        <v>0.28064149217724077</v>
      </c>
      <c r="G76" s="145">
        <f t="shared" si="14"/>
        <v>0.33556759607804165</v>
      </c>
      <c r="H76" s="145">
        <f t="shared" si="14"/>
        <v>0.40284471914866982</v>
      </c>
      <c r="I76" s="145">
        <f t="shared" si="14"/>
        <v>2.6570382406034765E-2</v>
      </c>
      <c r="J76" s="145">
        <f t="shared" si="14"/>
        <v>2.0255552020591774E-2</v>
      </c>
      <c r="K76" s="145">
        <f t="shared" si="14"/>
        <v>2.8933670909426643E-2</v>
      </c>
      <c r="L76" s="145">
        <f t="shared" si="14"/>
        <v>2.199699606471189E-2</v>
      </c>
      <c r="M76" s="145">
        <f t="shared" si="14"/>
        <v>3.0435409140734535E-2</v>
      </c>
      <c r="N76" s="145"/>
      <c r="O76" s="145">
        <f t="shared" si="14"/>
        <v>9.4709424650372104E-2</v>
      </c>
      <c r="P76" s="145">
        <f t="shared" si="14"/>
        <v>0.36734383968505246</v>
      </c>
      <c r="Q76" s="145">
        <f t="shared" si="14"/>
        <v>1.751489074100791E-2</v>
      </c>
      <c r="R76" s="145">
        <f t="shared" si="14"/>
        <v>0.20221060178736505</v>
      </c>
      <c r="S76" s="145">
        <f t="shared" si="14"/>
        <v>0.16519817004261689</v>
      </c>
      <c r="T76" s="145">
        <f t="shared" si="14"/>
        <v>0.38343803780849234</v>
      </c>
      <c r="U76" s="145">
        <f t="shared" si="14"/>
        <v>0.10502031135173165</v>
      </c>
      <c r="V76" s="145">
        <f t="shared" si="14"/>
        <v>0.13724384547120111</v>
      </c>
      <c r="W76" s="145" t="e">
        <f t="shared" si="14"/>
        <v>#DIV/0!</v>
      </c>
      <c r="X76" s="145" t="e">
        <f t="shared" si="14"/>
        <v>#DIV/0!</v>
      </c>
      <c r="Y76" s="145" t="e">
        <f t="shared" si="14"/>
        <v>#DIV/0!</v>
      </c>
      <c r="Z76" s="145" t="e">
        <f t="shared" si="14"/>
        <v>#DIV/0!</v>
      </c>
      <c r="AA76" s="145" t="e">
        <f t="shared" si="14"/>
        <v>#DIV/0!</v>
      </c>
      <c r="AB76" s="145" t="e">
        <f t="shared" si="14"/>
        <v>#DIV/0!</v>
      </c>
      <c r="AC76" s="145" t="e">
        <f t="shared" si="14"/>
        <v>#DIV/0!</v>
      </c>
      <c r="AD76" s="145" t="e">
        <f t="shared" si="14"/>
        <v>#DIV/0!</v>
      </c>
      <c r="AE76" s="145" t="e">
        <f t="shared" si="14"/>
        <v>#DIV/0!</v>
      </c>
      <c r="AF76" s="145" t="e">
        <f t="shared" si="14"/>
        <v>#DIV/0!</v>
      </c>
      <c r="AG76" s="145" t="e">
        <f t="shared" si="14"/>
        <v>#DIV/0!</v>
      </c>
      <c r="AH76" s="145" t="e">
        <f t="shared" si="14"/>
        <v>#DIV/0!</v>
      </c>
      <c r="AI76" s="145" t="e">
        <f t="shared" si="14"/>
        <v>#DIV/0!</v>
      </c>
      <c r="AJ76" s="145" t="e">
        <f t="shared" si="14"/>
        <v>#DIV/0!</v>
      </c>
      <c r="AK76" s="145" t="e">
        <f t="shared" si="14"/>
        <v>#DIV/0!</v>
      </c>
    </row>
    <row r="77" spans="1:37" s="3" customFormat="1" x14ac:dyDescent="0.25">
      <c r="A77" s="64" t="s">
        <v>79</v>
      </c>
      <c r="B77" s="145">
        <f>(B75*100/$B$75)-100</f>
        <v>0</v>
      </c>
      <c r="C77" s="145">
        <f t="shared" ref="C77:M77" si="15">(C75*100/$B$75)-100</f>
        <v>-15.413814366080729</v>
      </c>
      <c r="D77" s="145">
        <f t="shared" si="15"/>
        <v>7.6631523070364125</v>
      </c>
      <c r="E77" s="145">
        <f t="shared" si="15"/>
        <v>280.38471979524309</v>
      </c>
      <c r="F77" s="145">
        <f t="shared" si="15"/>
        <v>821.8990128581612</v>
      </c>
      <c r="G77" s="145">
        <f t="shared" si="15"/>
        <v>1205.3488988685097</v>
      </c>
      <c r="H77" s="145">
        <f t="shared" si="15"/>
        <v>1988.9200118547537</v>
      </c>
      <c r="I77" s="145">
        <f t="shared" si="15"/>
        <v>7.6782343495347476</v>
      </c>
      <c r="J77" s="145">
        <f t="shared" si="15"/>
        <v>-13.227471463620887</v>
      </c>
      <c r="K77" s="145">
        <f t="shared" si="15"/>
        <v>10.376364387012714</v>
      </c>
      <c r="L77" s="145">
        <f t="shared" si="15"/>
        <v>23.847992804214613</v>
      </c>
      <c r="M77" s="145">
        <f t="shared" si="15"/>
        <v>47.784233002727035</v>
      </c>
      <c r="N77" s="145"/>
      <c r="O77" s="145">
        <f>(O75*100/$O$75)-100</f>
        <v>0</v>
      </c>
      <c r="P77" s="145">
        <f t="shared" ref="P77:AK77" si="16">(P75*100/$O$75)-100</f>
        <v>183.82114886089084</v>
      </c>
      <c r="Q77" s="145">
        <f t="shared" si="16"/>
        <v>-86.653370149225395</v>
      </c>
      <c r="R77" s="145">
        <f t="shared" si="16"/>
        <v>7.2490577381667407</v>
      </c>
      <c r="S77" s="145">
        <f t="shared" si="16"/>
        <v>1.9836470674130169</v>
      </c>
      <c r="T77" s="145">
        <f t="shared" si="16"/>
        <v>75.896382935295463</v>
      </c>
      <c r="U77" s="145">
        <f t="shared" si="16"/>
        <v>-11.542535302276718</v>
      </c>
      <c r="V77" s="145">
        <f t="shared" si="16"/>
        <v>-28.460638617809394</v>
      </c>
      <c r="W77" s="145" t="e">
        <f t="shared" si="16"/>
        <v>#DIV/0!</v>
      </c>
      <c r="X77" s="145" t="e">
        <f t="shared" si="16"/>
        <v>#DIV/0!</v>
      </c>
      <c r="Y77" s="145" t="e">
        <f t="shared" si="16"/>
        <v>#DIV/0!</v>
      </c>
      <c r="Z77" s="145" t="e">
        <f t="shared" si="16"/>
        <v>#DIV/0!</v>
      </c>
      <c r="AA77" s="145" t="e">
        <f t="shared" si="16"/>
        <v>#DIV/0!</v>
      </c>
      <c r="AB77" s="145" t="e">
        <f t="shared" si="16"/>
        <v>#DIV/0!</v>
      </c>
      <c r="AC77" s="145" t="e">
        <f t="shared" si="16"/>
        <v>#DIV/0!</v>
      </c>
      <c r="AD77" s="145" t="e">
        <f t="shared" si="16"/>
        <v>#DIV/0!</v>
      </c>
      <c r="AE77" s="145" t="e">
        <f t="shared" si="16"/>
        <v>#DIV/0!</v>
      </c>
      <c r="AF77" s="145" t="e">
        <f t="shared" si="16"/>
        <v>#DIV/0!</v>
      </c>
      <c r="AG77" s="145" t="e">
        <f t="shared" si="16"/>
        <v>#DIV/0!</v>
      </c>
      <c r="AH77" s="145" t="e">
        <f t="shared" si="16"/>
        <v>#DIV/0!</v>
      </c>
      <c r="AI77" s="145" t="e">
        <f t="shared" si="16"/>
        <v>#DIV/0!</v>
      </c>
      <c r="AJ77" s="145" t="e">
        <f t="shared" si="16"/>
        <v>#DIV/0!</v>
      </c>
      <c r="AK77" s="145" t="e">
        <f t="shared" si="16"/>
        <v>#DIV/0!</v>
      </c>
    </row>
    <row r="78" spans="1:37" s="3" customFormat="1" x14ac:dyDescent="0.25">
      <c r="A78" s="64" t="s">
        <v>81</v>
      </c>
      <c r="B78" s="145" t="e">
        <f ca="1">[2]!DPTEST(B6:B53)</f>
        <v>#NAME?</v>
      </c>
      <c r="C78" s="145" t="e">
        <f ca="1">[2]!DPTEST(C6:C53)</f>
        <v>#NAME?</v>
      </c>
      <c r="D78" s="145" t="e">
        <f ca="1">[2]!DPTEST(D6:D53)</f>
        <v>#NAME?</v>
      </c>
      <c r="E78" s="145" t="e">
        <f ca="1">[2]!DPTEST(E6:E53)</f>
        <v>#NAME?</v>
      </c>
      <c r="F78" s="145" t="e">
        <f ca="1">[2]!DPTEST(F6:F53)</f>
        <v>#NAME?</v>
      </c>
      <c r="G78" s="145" t="e">
        <f ca="1">[2]!DPTEST(G6:G53)</f>
        <v>#NAME?</v>
      </c>
      <c r="H78" s="145" t="e">
        <f ca="1">[2]!DPTEST(H6:H53)</f>
        <v>#NAME?</v>
      </c>
      <c r="I78" s="145" t="e">
        <f ca="1">[2]!DPTEST(I6:I53)</f>
        <v>#NAME?</v>
      </c>
      <c r="J78" s="145" t="e">
        <f ca="1">[2]!DPTEST(J6:J53)</f>
        <v>#NAME?</v>
      </c>
      <c r="K78" s="145" t="e">
        <f ca="1">[2]!DPTEST(K6:K53)</f>
        <v>#NAME?</v>
      </c>
      <c r="L78" s="145" t="e">
        <f ca="1">[2]!DPTEST(L6:L53)</f>
        <v>#NAME?</v>
      </c>
      <c r="M78" s="145" t="e">
        <f ca="1">[2]!DPTEST(M6:M53)</f>
        <v>#NAME?</v>
      </c>
      <c r="N78" s="145" t="e">
        <f ca="1">[2]!DPTEST(N6:N53)</f>
        <v>#NAME?</v>
      </c>
      <c r="O78" s="145" t="e">
        <f ca="1">[2]!DPTEST(O6:O53)</f>
        <v>#NAME?</v>
      </c>
      <c r="P78" s="145" t="e">
        <f ca="1">[2]!DPTEST(P6:P53)</f>
        <v>#NAME?</v>
      </c>
      <c r="Q78" s="145" t="e">
        <f ca="1">[2]!DPTEST(Q6:Q53)</f>
        <v>#NAME?</v>
      </c>
      <c r="R78" s="145" t="e">
        <f ca="1">[2]!DPTEST(R6:R53)</f>
        <v>#NAME?</v>
      </c>
      <c r="S78" s="145" t="e">
        <f ca="1">[2]!DPTEST(S6:S53)</f>
        <v>#NAME?</v>
      </c>
      <c r="T78" s="145" t="e">
        <f ca="1">[2]!DPTEST(T6:T53)</f>
        <v>#NAME?</v>
      </c>
      <c r="U78" s="145" t="e">
        <f ca="1">[2]!DPTEST(U6:U53)</f>
        <v>#NAME?</v>
      </c>
      <c r="V78" s="145" t="e">
        <f ca="1">[2]!DPTEST(V6:V53)</f>
        <v>#NAME?</v>
      </c>
      <c r="W78" s="145" t="e">
        <f ca="1">[2]!DPTEST(W6:W53)</f>
        <v>#NAME?</v>
      </c>
      <c r="X78" s="145" t="e">
        <f ca="1">[2]!DPTEST(X6:X53)</f>
        <v>#NAME?</v>
      </c>
      <c r="Y78" s="145" t="e">
        <f ca="1">[2]!DPTEST(Y6:Y53)</f>
        <v>#NAME?</v>
      </c>
      <c r="Z78" s="145" t="e">
        <f ca="1">[2]!DPTEST(Z6:Z53)</f>
        <v>#NAME?</v>
      </c>
      <c r="AA78" s="145" t="e">
        <f ca="1">[2]!DPTEST(AA6:AA53)</f>
        <v>#NAME?</v>
      </c>
      <c r="AB78" s="145" t="e">
        <f ca="1">[2]!DPTEST(AB6:AB53)</f>
        <v>#NAME?</v>
      </c>
      <c r="AC78" s="145" t="e">
        <f ca="1">[2]!DPTEST(AC6:AC53)</f>
        <v>#NAME?</v>
      </c>
      <c r="AD78" s="145" t="e">
        <f ca="1">[2]!DPTEST(AD6:AD53)</f>
        <v>#NAME?</v>
      </c>
      <c r="AE78" s="145" t="e">
        <f ca="1">[2]!DPTEST(AE6:AE53)</f>
        <v>#NAME?</v>
      </c>
      <c r="AF78" s="145" t="e">
        <f ca="1">[2]!DPTEST(AF6:AF53)</f>
        <v>#NAME?</v>
      </c>
      <c r="AG78" s="145" t="e">
        <f ca="1">[2]!DPTEST(AG6:AG53)</f>
        <v>#NAME?</v>
      </c>
      <c r="AH78" s="145" t="e">
        <f ca="1">[2]!DPTEST(AH6:AH53)</f>
        <v>#NAME?</v>
      </c>
      <c r="AI78" s="145" t="e">
        <f ca="1">[2]!DPTEST(AI6:AI53)</f>
        <v>#NAME?</v>
      </c>
      <c r="AJ78" s="145" t="e">
        <f ca="1">[2]!DPTEST(AJ6:AJ53)</f>
        <v>#NAME?</v>
      </c>
      <c r="AK78" s="145" t="e">
        <f ca="1">[2]!DPTEST(AK6:AK53)</f>
        <v>#NAME?</v>
      </c>
    </row>
    <row r="79" spans="1:37" s="3" customFormat="1" x14ac:dyDescent="0.25">
      <c r="A79" s="64" t="s">
        <v>85</v>
      </c>
      <c r="B79" s="145" t="e">
        <f ca="1">IF(B78&gt;0.05,"Oui","Non")</f>
        <v>#NAME?</v>
      </c>
      <c r="C79" s="145" t="e">
        <f t="shared" ref="C79:AK79" ca="1" si="17">IF(C78&gt;0.05,"Oui","Non")</f>
        <v>#NAME?</v>
      </c>
      <c r="D79" s="145" t="e">
        <f t="shared" ca="1" si="17"/>
        <v>#NAME?</v>
      </c>
      <c r="E79" s="145" t="e">
        <f t="shared" ca="1" si="17"/>
        <v>#NAME?</v>
      </c>
      <c r="F79" s="145" t="e">
        <f t="shared" ca="1" si="17"/>
        <v>#NAME?</v>
      </c>
      <c r="G79" s="145" t="e">
        <f t="shared" ca="1" si="17"/>
        <v>#NAME?</v>
      </c>
      <c r="H79" s="145" t="e">
        <f t="shared" ca="1" si="17"/>
        <v>#NAME?</v>
      </c>
      <c r="I79" s="145" t="e">
        <f t="shared" ca="1" si="17"/>
        <v>#NAME?</v>
      </c>
      <c r="J79" s="145" t="e">
        <f t="shared" ca="1" si="17"/>
        <v>#NAME?</v>
      </c>
      <c r="K79" s="145" t="e">
        <f t="shared" ca="1" si="17"/>
        <v>#NAME?</v>
      </c>
      <c r="L79" s="145" t="e">
        <f t="shared" ca="1" si="17"/>
        <v>#NAME?</v>
      </c>
      <c r="M79" s="145" t="e">
        <f t="shared" ca="1" si="17"/>
        <v>#NAME?</v>
      </c>
      <c r="N79" s="145"/>
      <c r="O79" s="145" t="e">
        <f t="shared" ca="1" si="17"/>
        <v>#NAME?</v>
      </c>
      <c r="P79" s="145" t="e">
        <f t="shared" ca="1" si="17"/>
        <v>#NAME?</v>
      </c>
      <c r="Q79" s="145" t="e">
        <f t="shared" ca="1" si="17"/>
        <v>#NAME?</v>
      </c>
      <c r="R79" s="145" t="e">
        <f t="shared" ca="1" si="17"/>
        <v>#NAME?</v>
      </c>
      <c r="S79" s="145" t="e">
        <f t="shared" ca="1" si="17"/>
        <v>#NAME?</v>
      </c>
      <c r="T79" s="145" t="e">
        <f t="shared" ca="1" si="17"/>
        <v>#NAME?</v>
      </c>
      <c r="U79" s="145" t="e">
        <f t="shared" ca="1" si="17"/>
        <v>#NAME?</v>
      </c>
      <c r="V79" s="145" t="e">
        <f t="shared" ca="1" si="17"/>
        <v>#NAME?</v>
      </c>
      <c r="W79" s="145" t="e">
        <f t="shared" ca="1" si="17"/>
        <v>#NAME?</v>
      </c>
      <c r="X79" s="145" t="e">
        <f t="shared" ca="1" si="17"/>
        <v>#NAME?</v>
      </c>
      <c r="Y79" s="145" t="e">
        <f t="shared" ca="1" si="17"/>
        <v>#NAME?</v>
      </c>
      <c r="Z79" s="145" t="e">
        <f t="shared" ca="1" si="17"/>
        <v>#NAME?</v>
      </c>
      <c r="AA79" s="145" t="e">
        <f t="shared" ca="1" si="17"/>
        <v>#NAME?</v>
      </c>
      <c r="AB79" s="145" t="e">
        <f t="shared" ca="1" si="17"/>
        <v>#NAME?</v>
      </c>
      <c r="AC79" s="145" t="e">
        <f t="shared" ca="1" si="17"/>
        <v>#NAME?</v>
      </c>
      <c r="AD79" s="145" t="e">
        <f t="shared" ca="1" si="17"/>
        <v>#NAME?</v>
      </c>
      <c r="AE79" s="145" t="e">
        <f t="shared" ca="1" si="17"/>
        <v>#NAME?</v>
      </c>
      <c r="AF79" s="145" t="e">
        <f t="shared" ca="1" si="17"/>
        <v>#NAME?</v>
      </c>
      <c r="AG79" s="145" t="e">
        <f t="shared" ca="1" si="17"/>
        <v>#NAME?</v>
      </c>
      <c r="AH79" s="145" t="e">
        <f t="shared" ca="1" si="17"/>
        <v>#NAME?</v>
      </c>
      <c r="AI79" s="145" t="e">
        <f t="shared" ca="1" si="17"/>
        <v>#NAME?</v>
      </c>
      <c r="AJ79" s="145" t="e">
        <f t="shared" ca="1" si="17"/>
        <v>#NAME?</v>
      </c>
      <c r="AK79" s="145" t="e">
        <f t="shared" ca="1" si="17"/>
        <v>#NAME?</v>
      </c>
    </row>
    <row r="80" spans="1:37" s="3" customFormat="1" x14ac:dyDescent="0.25">
      <c r="A80" s="64" t="s">
        <v>122</v>
      </c>
      <c r="B80" s="145" t="str">
        <f ca="1">IF(COUNTIF(B79:I79, "Non")=0, "Oui","Non")</f>
        <v>Oui</v>
      </c>
      <c r="C80" s="145"/>
      <c r="D80" s="145"/>
      <c r="E80" s="145"/>
      <c r="F80" s="145"/>
      <c r="G80" s="145"/>
      <c r="H80" s="145"/>
      <c r="I80" s="145"/>
      <c r="J80" s="145" t="str">
        <f ca="1">IF(COUNTIF(J79:M79, "Non")&gt;0, "Oui","Non")</f>
        <v>Non</v>
      </c>
      <c r="K80" s="145"/>
      <c r="L80" s="145"/>
      <c r="M80" s="145"/>
      <c r="N80" s="145"/>
      <c r="O80" s="145"/>
      <c r="P80" s="145"/>
      <c r="Q80" s="145"/>
      <c r="R80" s="145" t="str">
        <f ca="1">IF(COUNTIF(R79:V79, "Non")&gt;0, "Oui","Non")</f>
        <v>Non</v>
      </c>
      <c r="S80" s="145"/>
      <c r="T80" s="145"/>
      <c r="U80" s="145"/>
      <c r="V80" s="145"/>
      <c r="W80" s="145" t="str">
        <f ca="1">IF(COUNTIF(W79:AA79, "Non")&gt;0, "Oui","Non")</f>
        <v>Non</v>
      </c>
      <c r="X80" s="145"/>
      <c r="Y80" s="145"/>
      <c r="Z80" s="145"/>
      <c r="AA80" s="145"/>
      <c r="AB80" s="145" t="str">
        <f ca="1">IF(COUNTIF(AB79:AF79, "Non")&gt;0, "Oui","Non")</f>
        <v>Non</v>
      </c>
      <c r="AC80" s="145"/>
      <c r="AD80" s="145"/>
      <c r="AE80" s="145"/>
      <c r="AF80" s="145"/>
      <c r="AG80" s="145" t="str">
        <f ca="1">IF(COUNTIF(AG79:AK79, "Non")&gt;0, "Oui","Non")</f>
        <v>Non</v>
      </c>
      <c r="AH80" s="145"/>
      <c r="AI80" s="145"/>
      <c r="AJ80" s="145"/>
      <c r="AK80" s="145"/>
    </row>
    <row r="81" spans="1:37" s="3" customFormat="1" x14ac:dyDescent="0.25">
      <c r="A81" s="64" t="s">
        <v>82</v>
      </c>
      <c r="B81" s="145"/>
      <c r="C81" s="145" t="str">
        <f t="shared" ref="C81:I81" ca="1" si="18">IF($B80="Non","Kruskal-Wallis","ANOVA")</f>
        <v>ANOVA</v>
      </c>
      <c r="D81" s="145" t="str">
        <f t="shared" ca="1" si="18"/>
        <v>ANOVA</v>
      </c>
      <c r="E81" s="145" t="str">
        <f t="shared" ca="1" si="18"/>
        <v>ANOVA</v>
      </c>
      <c r="F81" s="145" t="str">
        <f t="shared" ca="1" si="18"/>
        <v>ANOVA</v>
      </c>
      <c r="G81" s="145" t="str">
        <f t="shared" ca="1" si="18"/>
        <v>ANOVA</v>
      </c>
      <c r="H81" s="145" t="str">
        <f t="shared" ca="1" si="18"/>
        <v>ANOVA</v>
      </c>
      <c r="I81" s="145" t="str">
        <f t="shared" ca="1" si="18"/>
        <v>ANOVA</v>
      </c>
      <c r="J81" s="145" t="e">
        <f t="shared" ref="J81:M81" ca="1" si="19">IF($B79="Non",IF(J79="Non","Mann Withney",IF(J79="Oui","Mann Withney","")),IF($B79="Oui",IF(J79="Oui","T-Test Welch",IF(J79="Non","Mann Withney",""))))</f>
        <v>#NAME?</v>
      </c>
      <c r="K81" s="145" t="e">
        <f t="shared" ca="1" si="19"/>
        <v>#NAME?</v>
      </c>
      <c r="L81" s="145" t="e">
        <f t="shared" ca="1" si="19"/>
        <v>#NAME?</v>
      </c>
      <c r="M81" s="145" t="e">
        <f t="shared" ca="1" si="19"/>
        <v>#NAME?</v>
      </c>
      <c r="N81" s="145"/>
      <c r="O81" s="145" t="e">
        <f ca="1">IF($B79="Non",IF(O79="Non","Mann Withney",IF(O79="Oui","Mann Withney","")),IF($B79="Oui",IF(O79="Oui","T-Test Welch",IF(O79="Non","Mann Withney",""))))</f>
        <v>#NAME?</v>
      </c>
      <c r="P81" s="145" t="e">
        <f t="shared" ref="P81:AK81" ca="1" si="20">IF($O79="Non",IF(P79="Non","Mann Withney",IF(P$79="Oui","Mann Withney","")),IF($O79="Oui",IF(P79="Oui","T-Test Welch",IF(P79="Non","Mann Withney",""))))</f>
        <v>#NAME?</v>
      </c>
      <c r="Q81" s="145" t="e">
        <f t="shared" ca="1" si="20"/>
        <v>#NAME?</v>
      </c>
      <c r="R81" s="145" t="e">
        <f t="shared" ca="1" si="20"/>
        <v>#NAME?</v>
      </c>
      <c r="S81" s="145" t="e">
        <f t="shared" ca="1" si="20"/>
        <v>#NAME?</v>
      </c>
      <c r="T81" s="145" t="e">
        <f t="shared" ca="1" si="20"/>
        <v>#NAME?</v>
      </c>
      <c r="U81" s="145" t="e">
        <f t="shared" ca="1" si="20"/>
        <v>#NAME?</v>
      </c>
      <c r="V81" s="145" t="e">
        <f t="shared" ca="1" si="20"/>
        <v>#NAME?</v>
      </c>
      <c r="W81" s="145" t="e">
        <f t="shared" ca="1" si="20"/>
        <v>#NAME?</v>
      </c>
      <c r="X81" s="145" t="e">
        <f t="shared" ca="1" si="20"/>
        <v>#NAME?</v>
      </c>
      <c r="Y81" s="145" t="e">
        <f t="shared" ca="1" si="20"/>
        <v>#NAME?</v>
      </c>
      <c r="Z81" s="145" t="e">
        <f t="shared" ca="1" si="20"/>
        <v>#NAME?</v>
      </c>
      <c r="AA81" s="145" t="e">
        <f t="shared" ca="1" si="20"/>
        <v>#NAME?</v>
      </c>
      <c r="AB81" s="145" t="e">
        <f t="shared" ca="1" si="20"/>
        <v>#NAME?</v>
      </c>
      <c r="AC81" s="145" t="e">
        <f t="shared" ca="1" si="20"/>
        <v>#NAME?</v>
      </c>
      <c r="AD81" s="145" t="e">
        <f t="shared" ca="1" si="20"/>
        <v>#NAME?</v>
      </c>
      <c r="AE81" s="145" t="e">
        <f t="shared" ca="1" si="20"/>
        <v>#NAME?</v>
      </c>
      <c r="AF81" s="145" t="e">
        <f t="shared" ca="1" si="20"/>
        <v>#NAME?</v>
      </c>
      <c r="AG81" s="145" t="e">
        <f t="shared" ca="1" si="20"/>
        <v>#NAME?</v>
      </c>
      <c r="AH81" s="145" t="e">
        <f t="shared" ca="1" si="20"/>
        <v>#NAME?</v>
      </c>
      <c r="AI81" s="145" t="e">
        <f t="shared" ca="1" si="20"/>
        <v>#NAME?</v>
      </c>
      <c r="AJ81" s="145" t="e">
        <f t="shared" ca="1" si="20"/>
        <v>#NAME?</v>
      </c>
      <c r="AK81" s="145" t="e">
        <f t="shared" ca="1" si="20"/>
        <v>#NAME?</v>
      </c>
    </row>
    <row r="82" spans="1:37" s="3" customFormat="1" x14ac:dyDescent="0.25">
      <c r="A82" s="64" t="s">
        <v>83</v>
      </c>
      <c r="B82" s="145"/>
      <c r="C82" s="202">
        <v>0.99990000000000001</v>
      </c>
      <c r="D82" s="202">
        <v>0.99990000000000001</v>
      </c>
      <c r="E82" s="202">
        <v>0.60219999999999996</v>
      </c>
      <c r="F82" s="202">
        <v>1E-4</v>
      </c>
      <c r="G82" s="202">
        <v>1E-4</v>
      </c>
      <c r="H82" s="202">
        <v>1E-4</v>
      </c>
      <c r="I82" s="202">
        <v>0.99990000000000001</v>
      </c>
      <c r="J82" s="202">
        <v>0.99990000000000001</v>
      </c>
      <c r="K82" s="202">
        <v>0.99990000000000001</v>
      </c>
      <c r="L82" s="202">
        <v>0.37640000000000001</v>
      </c>
      <c r="M82" s="202">
        <v>9.5200000000000007E-2</v>
      </c>
      <c r="N82" s="145"/>
      <c r="O82" s="202">
        <v>1E-4</v>
      </c>
      <c r="P82" s="202">
        <v>1E-4</v>
      </c>
      <c r="Q82" s="202">
        <v>1E-4</v>
      </c>
      <c r="R82" s="202">
        <v>0.99990000000000001</v>
      </c>
      <c r="S82" s="202">
        <v>0.99990000000000001</v>
      </c>
      <c r="T82" s="202">
        <v>0.99990000000000001</v>
      </c>
      <c r="U82" s="202">
        <v>0.99990000000000001</v>
      </c>
      <c r="V82" s="202">
        <v>0.19980000000000001</v>
      </c>
      <c r="W82" s="145" t="e">
        <f ca="1">IF(W81="Mann Withney",[1]!MTEST($O6:$O53,W6:W53,2), IF(W81="T-Test Welch",_xlfn.T.TEST($O6:$O53,W6:W53,2,3),""))</f>
        <v>#NAME?</v>
      </c>
      <c r="X82" s="145" t="e">
        <f ca="1">IF(X81="Mann Withney",[1]!MTEST($O6:$O53,X6:X53,2), IF(X81="T-Test Welch",_xlfn.T.TEST($O6:$O53,X6:X53,2,3),""))</f>
        <v>#NAME?</v>
      </c>
      <c r="Y82" s="145" t="e">
        <f ca="1">IF(Y81="Mann Withney",[1]!MTEST($O6:$O53,Y6:Y53,2), IF(Y81="T-Test Welch",_xlfn.T.TEST($O6:$O53,Y6:Y53,2,3),""))</f>
        <v>#NAME?</v>
      </c>
      <c r="Z82" s="145" t="e">
        <f ca="1">IF(Z81="Mann Withney",[1]!MTEST($O6:$O53,Z6:Z53,2), IF(Z81="T-Test Welch",_xlfn.T.TEST($O6:$O53,Z6:Z53,2,3),""))</f>
        <v>#NAME?</v>
      </c>
      <c r="AA82" s="145" t="e">
        <f ca="1">IF(AA81="Mann Withney",[1]!MTEST($O6:$O53,AA6:AA53,2), IF(AA81="T-Test Welch",_xlfn.T.TEST($O6:$O53,AA6:AA53,2,3),""))</f>
        <v>#NAME?</v>
      </c>
      <c r="AB82" s="145" t="e">
        <f ca="1">IF(AB81="Mann Withney",[1]!MTEST($O6:$O53,AB6:AB53,2), IF(AB81="T-Test Welch",_xlfn.T.TEST($O6:$O53,AB6:AB53,2,3),""))</f>
        <v>#NAME?</v>
      </c>
      <c r="AC82" s="145" t="e">
        <f ca="1">IF(AC81="Mann Withney",[1]!MTEST($O6:$O53,AC6:AC53,2), IF(AC81="T-Test Welch",_xlfn.T.TEST($O6:$O53,AC6:AC53,2,3),""))</f>
        <v>#NAME?</v>
      </c>
      <c r="AD82" s="145" t="e">
        <f ca="1">IF(AD81="Mann Withney",[1]!MTEST($O6:$O53,AD6:AD53,2), IF(AD81="T-Test Welch",_xlfn.T.TEST($O6:$O53,AD6:AD53,2,3),""))</f>
        <v>#NAME?</v>
      </c>
      <c r="AE82" s="145" t="e">
        <f ca="1">IF(AE81="Mann Withney",[1]!MTEST($O6:$O53,AE6:AE53,2), IF(AE81="T-Test Welch",_xlfn.T.TEST($O6:$O53,AE6:AE53,2,3),""))</f>
        <v>#NAME?</v>
      </c>
      <c r="AF82" s="145" t="e">
        <f ca="1">IF(AF81="Mann Withney",[1]!MTEST($O6:$O53,AF6:AF53,2), IF(AF81="T-Test Welch",_xlfn.T.TEST($O6:$O53,AF6:AF53,2,3),""))</f>
        <v>#NAME?</v>
      </c>
      <c r="AG82" s="145" t="e">
        <f ca="1">IF(AG81="Mann Withney",[1]!MTEST($O6:$O53,AG6:AG53,2), IF(AG81="T-Test Welch",_xlfn.T.TEST($O6:$O53,AG6:AG53,2,3),""))</f>
        <v>#NAME?</v>
      </c>
      <c r="AH82" s="145" t="e">
        <f ca="1">IF(AH81="Mann Withney",[1]!MTEST($O6:$O53,AH6:AH53,2), IF(AH81="T-Test Welch",_xlfn.T.TEST($O6:$O53,AH6:AH53,2,3),""))</f>
        <v>#NAME?</v>
      </c>
      <c r="AI82" s="145" t="e">
        <f ca="1">IF(AI81="Mann Withney",[1]!MTEST($O6:$O53,AI6:AI53,2), IF(AI81="T-Test Welch",_xlfn.T.TEST($O6:$O53,AI6:AI53,2,3),""))</f>
        <v>#NAME?</v>
      </c>
      <c r="AJ82" s="145" t="e">
        <f ca="1">IF(AJ81="Mann Withney",[1]!MTEST($O6:$O53,AJ6:AJ53,2), IF(AJ81="T-Test Welch",_xlfn.T.TEST($O6:$O53,AJ6:AJ53,2,3),""))</f>
        <v>#NAME?</v>
      </c>
      <c r="AK82" s="145" t="e">
        <f ca="1">IF(AK81="Mann Withney",[1]!MTEST($O6:$O53,AK6:AK53,2), IF(AK81="T-Test Welch",_xlfn.T.TEST($O6:$O53,AK6:AK53,2,3),""))</f>
        <v>#NAME?</v>
      </c>
    </row>
    <row r="83" spans="1:37" s="3" customFormat="1" ht="15.75" thickBot="1" x14ac:dyDescent="0.3">
      <c r="A83" s="65" t="s">
        <v>84</v>
      </c>
      <c r="B83" s="146"/>
      <c r="C83" s="146" t="str">
        <f t="shared" ref="C83:O83" si="21">IF(C82&gt;0.05,"NS",IF(C82&gt;0.01,"*",IF(C82&gt;0.001,"**","***")))</f>
        <v>NS</v>
      </c>
      <c r="D83" s="146" t="str">
        <f t="shared" si="21"/>
        <v>NS</v>
      </c>
      <c r="E83" s="146" t="s">
        <v>6240</v>
      </c>
      <c r="F83" s="146" t="str">
        <f t="shared" si="21"/>
        <v>***</v>
      </c>
      <c r="G83" s="146" t="str">
        <f t="shared" si="21"/>
        <v>***</v>
      </c>
      <c r="H83" s="146" t="str">
        <f t="shared" si="21"/>
        <v>***</v>
      </c>
      <c r="I83" s="146" t="str">
        <f t="shared" si="21"/>
        <v>NS</v>
      </c>
      <c r="J83" s="146" t="str">
        <f t="shared" si="21"/>
        <v>NS</v>
      </c>
      <c r="K83" s="146" t="str">
        <f t="shared" si="21"/>
        <v>NS</v>
      </c>
      <c r="L83" s="146" t="str">
        <f t="shared" si="21"/>
        <v>NS</v>
      </c>
      <c r="M83" s="146" t="str">
        <f t="shared" si="21"/>
        <v>NS</v>
      </c>
      <c r="N83" s="146"/>
      <c r="O83" s="146" t="str">
        <f t="shared" si="21"/>
        <v>***</v>
      </c>
      <c r="P83" s="146" t="str">
        <f t="shared" ref="P83" si="22">IF(P82&gt;0.05,"NS",IF(P82&gt;0.01,"*",IF(P82&gt;0.001,"**","***")))</f>
        <v>***</v>
      </c>
      <c r="Q83" s="146" t="str">
        <f t="shared" ref="Q83:AK83" si="23">IF(Q82&gt;0.05,"NS",IF(Q82&gt;0.01,"*",IF(Q82&gt;0.001,"**","***")))</f>
        <v>***</v>
      </c>
      <c r="R83" s="146" t="str">
        <f t="shared" si="23"/>
        <v>NS</v>
      </c>
      <c r="S83" s="146" t="str">
        <f t="shared" si="23"/>
        <v>NS</v>
      </c>
      <c r="T83" s="146" t="str">
        <f t="shared" si="23"/>
        <v>NS</v>
      </c>
      <c r="U83" s="146" t="str">
        <f t="shared" si="23"/>
        <v>NS</v>
      </c>
      <c r="V83" s="146" t="str">
        <f t="shared" si="23"/>
        <v>NS</v>
      </c>
      <c r="W83" s="146" t="e">
        <f t="shared" ca="1" si="23"/>
        <v>#NAME?</v>
      </c>
      <c r="X83" s="146" t="e">
        <f t="shared" ca="1" si="23"/>
        <v>#NAME?</v>
      </c>
      <c r="Y83" s="146" t="e">
        <f t="shared" ca="1" si="23"/>
        <v>#NAME?</v>
      </c>
      <c r="Z83" s="146" t="e">
        <f t="shared" ca="1" si="23"/>
        <v>#NAME?</v>
      </c>
      <c r="AA83" s="146" t="e">
        <f t="shared" ca="1" si="23"/>
        <v>#NAME?</v>
      </c>
      <c r="AB83" s="146" t="e">
        <f t="shared" ca="1" si="23"/>
        <v>#NAME?</v>
      </c>
      <c r="AC83" s="146" t="e">
        <f t="shared" ca="1" si="23"/>
        <v>#NAME?</v>
      </c>
      <c r="AD83" s="146" t="e">
        <f t="shared" ca="1" si="23"/>
        <v>#NAME?</v>
      </c>
      <c r="AE83" s="146" t="e">
        <f t="shared" ca="1" si="23"/>
        <v>#NAME?</v>
      </c>
      <c r="AF83" s="146" t="e">
        <f t="shared" ca="1" si="23"/>
        <v>#NAME?</v>
      </c>
      <c r="AG83" s="146" t="e">
        <f t="shared" ca="1" si="23"/>
        <v>#NAME?</v>
      </c>
      <c r="AH83" s="146" t="e">
        <f t="shared" ca="1" si="23"/>
        <v>#NAME?</v>
      </c>
      <c r="AI83" s="146" t="e">
        <f t="shared" ca="1" si="23"/>
        <v>#NAME?</v>
      </c>
      <c r="AJ83" s="146" t="e">
        <f t="shared" ca="1" si="23"/>
        <v>#NAME?</v>
      </c>
      <c r="AK83" s="146" t="e">
        <f t="shared" ca="1" si="23"/>
        <v>#NAME?</v>
      </c>
    </row>
    <row r="84" spans="1:37" s="1" customFormat="1" x14ac:dyDescent="0.25"/>
    <row r="85" spans="1:37" s="1" customFormat="1" x14ac:dyDescent="0.25">
      <c r="A85" s="2" t="s">
        <v>39</v>
      </c>
    </row>
    <row r="86" spans="1:37" x14ac:dyDescent="0.25">
      <c r="A86" s="1" t="s">
        <v>23</v>
      </c>
      <c r="B86" s="1">
        <f>B56+(3*B57)</f>
        <v>0.56583806585498353</v>
      </c>
    </row>
    <row r="87" spans="1:37" x14ac:dyDescent="0.25">
      <c r="A87" s="1" t="s">
        <v>24</v>
      </c>
      <c r="B87" s="1">
        <f>B56+(10*B57)</f>
        <v>1.4750127494041738</v>
      </c>
    </row>
    <row r="88" spans="1:37" ht="15.75" thickBot="1" x14ac:dyDescent="0.3"/>
    <row r="89" spans="1:37" s="49" customFormat="1" ht="27" thickBot="1" x14ac:dyDescent="0.3">
      <c r="A89" s="50" t="s">
        <v>55</v>
      </c>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78"/>
      <c r="AF89" s="78"/>
      <c r="AG89" s="78"/>
      <c r="AH89" s="78"/>
      <c r="AI89" s="78"/>
      <c r="AJ89" s="78"/>
      <c r="AK89" s="52"/>
    </row>
    <row r="90" spans="1:37" ht="15.75" thickBot="1" x14ac:dyDescent="0.3"/>
    <row r="91" spans="1:37" s="49" customFormat="1" ht="27" thickBot="1" x14ac:dyDescent="0.3">
      <c r="A91" s="50" t="s">
        <v>56</v>
      </c>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78"/>
      <c r="AF91" s="78"/>
      <c r="AG91" s="78"/>
      <c r="AH91" s="78"/>
      <c r="AI91" s="78"/>
      <c r="AJ91" s="78"/>
      <c r="AK91" s="52"/>
    </row>
    <row r="92" spans="1:37" ht="15.75" thickBot="1" x14ac:dyDescent="0.3"/>
    <row r="93" spans="1:37" s="49" customFormat="1" ht="27" thickBot="1" x14ac:dyDescent="0.3">
      <c r="A93" s="239" t="s">
        <v>57</v>
      </c>
      <c r="B93" s="240"/>
      <c r="C93" s="240"/>
      <c r="D93" s="240"/>
      <c r="E93" s="240"/>
      <c r="F93" s="240"/>
      <c r="G93" s="240"/>
      <c r="H93" s="240"/>
      <c r="I93" s="240"/>
      <c r="J93" s="240"/>
      <c r="K93" s="240"/>
      <c r="L93" s="240"/>
      <c r="M93" s="240"/>
      <c r="N93" s="240"/>
      <c r="O93" s="240"/>
      <c r="P93" s="240"/>
      <c r="Q93" s="240"/>
      <c r="R93" s="240"/>
      <c r="S93" s="240"/>
      <c r="T93" s="240"/>
      <c r="U93" s="240"/>
      <c r="V93" s="240"/>
      <c r="W93" s="240"/>
      <c r="X93" s="240"/>
      <c r="Y93" s="240"/>
      <c r="Z93" s="240"/>
      <c r="AA93" s="240"/>
      <c r="AB93" s="240"/>
      <c r="AC93" s="240"/>
      <c r="AD93" s="240"/>
      <c r="AE93" s="240"/>
      <c r="AF93" s="240"/>
      <c r="AG93" s="240"/>
      <c r="AH93" s="240"/>
      <c r="AI93" s="240"/>
      <c r="AJ93" s="240"/>
      <c r="AK93" s="241"/>
    </row>
    <row r="94" spans="1:37" x14ac:dyDescent="0.25">
      <c r="B94" s="1">
        <f t="shared" ref="B94:V94" si="24">B75/$B$75</f>
        <v>1</v>
      </c>
      <c r="C94" s="1">
        <f t="shared" si="24"/>
        <v>0.84586185633919264</v>
      </c>
      <c r="D94" s="1">
        <f t="shared" si="24"/>
        <v>1.076631523070364</v>
      </c>
      <c r="E94" s="1">
        <f t="shared" si="24"/>
        <v>3.8038471979524306</v>
      </c>
      <c r="F94" s="1">
        <f t="shared" si="24"/>
        <v>9.2189901285816109</v>
      </c>
      <c r="G94" s="1">
        <f t="shared" si="24"/>
        <v>13.053488988685096</v>
      </c>
      <c r="H94" s="1">
        <f>H75/$B$75</f>
        <v>20.889200118547535</v>
      </c>
      <c r="I94" s="1">
        <f t="shared" si="24"/>
        <v>1.0767823434953476</v>
      </c>
      <c r="J94" s="1">
        <f t="shared" si="24"/>
        <v>0.86772528536379112</v>
      </c>
      <c r="K94" s="1">
        <f t="shared" si="24"/>
        <v>1.1037636438701273</v>
      </c>
      <c r="L94" s="1">
        <f t="shared" si="24"/>
        <v>1.2384799280421459</v>
      </c>
      <c r="M94" s="1">
        <f t="shared" si="24"/>
        <v>1.4778423300272705</v>
      </c>
      <c r="N94" s="1">
        <f t="shared" si="24"/>
        <v>0</v>
      </c>
      <c r="O94" s="1">
        <f t="shared" si="24"/>
        <v>5.6756339045257782</v>
      </c>
      <c r="P94" s="1">
        <f t="shared" si="24"/>
        <v>16.108649352963301</v>
      </c>
      <c r="Q94" s="1">
        <f t="shared" si="24"/>
        <v>0.75750584892212147</v>
      </c>
      <c r="R94" s="1">
        <f t="shared" si="24"/>
        <v>6.0870638832718198</v>
      </c>
      <c r="S94" s="1">
        <f t="shared" si="24"/>
        <v>5.788218450030004</v>
      </c>
      <c r="T94" s="1">
        <f t="shared" si="24"/>
        <v>9.9832347467101243</v>
      </c>
      <c r="U94" s="1">
        <f t="shared" si="24"/>
        <v>5.0205218574679042</v>
      </c>
      <c r="V94" s="1">
        <f t="shared" si="24"/>
        <v>4.060312249688832</v>
      </c>
    </row>
  </sheetData>
  <mergeCells count="10">
    <mergeCell ref="A7:A21"/>
    <mergeCell ref="A23:A37"/>
    <mergeCell ref="A93:AK93"/>
    <mergeCell ref="O3:AK3"/>
    <mergeCell ref="B3:M3"/>
    <mergeCell ref="A60:AK60"/>
    <mergeCell ref="A72:AK72"/>
    <mergeCell ref="A70:AK70"/>
    <mergeCell ref="A65:AK65"/>
    <mergeCell ref="A39:A53"/>
  </mergeCells>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defaultColWidth="9.140625" defaultRowHeight="15" x14ac:dyDescent="0.25"/>
  <cols>
    <col min="1" max="1" width="33.7109375" style="41" bestFit="1" customWidth="1"/>
    <col min="2" max="3" width="14" style="41" bestFit="1" customWidth="1"/>
    <col min="4" max="4" width="14" style="41" customWidth="1"/>
    <col min="5" max="5" width="16" style="15" bestFit="1" customWidth="1"/>
    <col min="6" max="8" width="16" style="15" customWidth="1"/>
    <col min="9" max="13" width="19.140625" style="15" customWidth="1"/>
    <col min="14" max="14" width="32.140625" style="15" bestFit="1" customWidth="1"/>
    <col min="15" max="15" width="19.5703125" style="41" customWidth="1"/>
    <col min="16" max="16384" width="9.140625" style="41"/>
  </cols>
  <sheetData>
    <row r="1" spans="1:15" s="49" customFormat="1" ht="27" thickBot="1" x14ac:dyDescent="0.3">
      <c r="A1" s="239" t="s">
        <v>104</v>
      </c>
      <c r="B1" s="240"/>
      <c r="C1" s="240"/>
      <c r="D1" s="240"/>
      <c r="E1" s="240"/>
      <c r="F1" s="240"/>
      <c r="G1" s="240"/>
      <c r="H1" s="240"/>
      <c r="I1" s="240"/>
      <c r="J1" s="240"/>
      <c r="K1" s="240"/>
      <c r="L1" s="240"/>
      <c r="M1" s="240"/>
      <c r="N1" s="240"/>
      <c r="O1" s="241"/>
    </row>
    <row r="2" spans="1:15" s="49" customFormat="1" ht="27" thickBot="1" x14ac:dyDescent="0.3">
      <c r="A2" s="239" t="s">
        <v>105</v>
      </c>
      <c r="B2" s="240"/>
      <c r="C2" s="240"/>
      <c r="D2" s="240"/>
      <c r="E2" s="240"/>
      <c r="F2" s="240"/>
      <c r="G2" s="240"/>
      <c r="H2" s="240"/>
      <c r="I2" s="240"/>
      <c r="J2" s="240"/>
      <c r="K2" s="240"/>
      <c r="L2" s="240"/>
      <c r="M2" s="240"/>
      <c r="N2" s="240"/>
      <c r="O2" s="241"/>
    </row>
    <row r="3" spans="1:15" s="80" customFormat="1" ht="15.75" x14ac:dyDescent="0.25">
      <c r="H3" s="81"/>
      <c r="I3" s="81"/>
      <c r="J3" s="81"/>
      <c r="K3" s="81"/>
      <c r="L3" s="81"/>
      <c r="M3" s="81"/>
      <c r="N3" s="81"/>
    </row>
    <row r="4" spans="1:15" s="80" customFormat="1" ht="15.75" x14ac:dyDescent="0.25">
      <c r="O4"/>
    </row>
    <row r="5" spans="1:15" s="80" customFormat="1" ht="45.75" customHeight="1" thickBot="1" x14ac:dyDescent="0.3">
      <c r="A5" s="82"/>
      <c r="B5" s="91" t="s">
        <v>25</v>
      </c>
      <c r="C5" s="91" t="s">
        <v>26</v>
      </c>
      <c r="D5" s="91" t="s">
        <v>27</v>
      </c>
      <c r="E5" s="92" t="s">
        <v>64</v>
      </c>
      <c r="F5" s="130" t="s">
        <v>80</v>
      </c>
      <c r="G5" s="98" t="s">
        <v>42</v>
      </c>
      <c r="H5" s="98" t="s">
        <v>65</v>
      </c>
      <c r="I5" s="98" t="s">
        <v>66</v>
      </c>
      <c r="J5" s="99" t="s">
        <v>77</v>
      </c>
      <c r="K5" s="99" t="s">
        <v>67</v>
      </c>
      <c r="L5" s="100" t="s">
        <v>76</v>
      </c>
      <c r="M5" s="100" t="s">
        <v>68</v>
      </c>
      <c r="N5" s="100" t="s">
        <v>69</v>
      </c>
      <c r="O5"/>
    </row>
    <row r="6" spans="1:15" s="80" customFormat="1" ht="15.75" x14ac:dyDescent="0.25">
      <c r="A6" s="83" t="s">
        <v>28</v>
      </c>
      <c r="B6" s="103">
        <v>64</v>
      </c>
      <c r="C6" s="83"/>
      <c r="D6" s="83"/>
      <c r="E6" s="93"/>
      <c r="F6" s="94"/>
      <c r="G6" s="132">
        <f>IF(F6="NS","NC",ROUND(B6,2-(1+INT(LOG10(ABS(B6))))))</f>
        <v>64</v>
      </c>
      <c r="H6" s="124"/>
      <c r="I6" s="124"/>
      <c r="J6" s="125"/>
      <c r="K6" s="126"/>
      <c r="L6" s="128"/>
      <c r="M6" s="125"/>
      <c r="N6" s="95"/>
      <c r="O6"/>
    </row>
    <row r="7" spans="1:15" s="80" customFormat="1" ht="15.75" x14ac:dyDescent="0.25">
      <c r="A7" s="83" t="str">
        <f>'Page de garde'!A15</f>
        <v>Prochloraz-0,063mg/L</v>
      </c>
      <c r="B7" s="102"/>
      <c r="C7" s="84"/>
      <c r="D7" s="84"/>
      <c r="E7" s="85"/>
      <c r="F7" s="101" t="str">
        <f>HLOOKUP(A7,'pooled normalised values'!$B$74:$AK$83,10,FALSE)</f>
        <v>NS</v>
      </c>
      <c r="G7" s="132" t="str">
        <f>IF(F7="NS","NC",ROUND(B7,2-(1+INT(LOG10(ABS(B7))))))</f>
        <v>NC</v>
      </c>
      <c r="H7" s="123" t="str">
        <f>IF(VLOOKUP(A7,liste_groupe[],4,FALSE)="%",VLOOKUP(A7,liste_groupe[],3,FALSE)/100,IF(ISBLANK(VLOOKUP(A7,liste_groupe[],4,FALSE)),"Non","Non"))</f>
        <v>Non</v>
      </c>
      <c r="I7" s="132" t="str">
        <f>IF(F7="NS","NC",IF(H7="Non",G7,G7*(1/H7)))</f>
        <v>NC</v>
      </c>
      <c r="J7" s="133">
        <v>64</v>
      </c>
      <c r="K7" s="134">
        <f>IF(F7="NS",0,ROUND(I7/J7*100,0))</f>
        <v>0</v>
      </c>
      <c r="L7" s="129">
        <v>1</v>
      </c>
      <c r="M7" s="135">
        <f>IF(K7&gt;100,125,K7)</f>
        <v>0</v>
      </c>
      <c r="N7" s="96" t="str">
        <f>IF(H7="Non",CONCATENATE(VLOOKUP(A7,liste_groupe[],5,FALSE),"-",VLOOKUP(A7,liste_groupe[],3,FALSE),VLOOKUP(A7,liste_groupe[],4,FALSE)," : ",ROUND(K7,0),"%"),CONCATENATE(VLOOKUP(A7,liste_groupe[],5,FALSE)," : ",ROUND(K7,0),"%"))</f>
        <v>Prochloraz-0.063mg/L : 0%</v>
      </c>
      <c r="O7"/>
    </row>
    <row r="8" spans="1:15" s="80" customFormat="1" ht="15.75" x14ac:dyDescent="0.25">
      <c r="A8" s="83" t="str">
        <f>'Page de garde'!A16</f>
        <v>Prochloraz-0,13mg/L</v>
      </c>
      <c r="B8" s="102"/>
      <c r="C8" s="86"/>
      <c r="D8" s="84"/>
      <c r="E8" s="85"/>
      <c r="F8" s="101" t="str">
        <f>HLOOKUP(A8,'pooled normalised values'!$B$74:$AK$83,10,FALSE)</f>
        <v>NS</v>
      </c>
      <c r="G8" s="132" t="str">
        <f t="shared" ref="G8:G13" si="0">IF(F8="NS","NC",ROUND(B8,2-(1+INT(LOG10(ABS(B8))))))</f>
        <v>NC</v>
      </c>
      <c r="H8" s="123" t="str">
        <f>IF(VLOOKUP(A8,liste_groupe[],4,FALSE)="%",VLOOKUP(A8,liste_groupe[],3,FALSE)/100,IF(ISBLANK(VLOOKUP(A8,liste_groupe[],4,FALSE)),"Non","Non"))</f>
        <v>Non</v>
      </c>
      <c r="I8" s="132" t="str">
        <f t="shared" ref="I8:I26" si="1">IF(F8="NS","NC",IF(H8="Non",G8,G8*(1/H8)))</f>
        <v>NC</v>
      </c>
      <c r="J8" s="133">
        <v>64</v>
      </c>
      <c r="K8" s="134">
        <f t="shared" ref="K8:K26" si="2">IF(F8="NS",0,ROUND(I8/J8*100,0))</f>
        <v>0</v>
      </c>
      <c r="L8" s="129"/>
      <c r="M8" s="135">
        <f t="shared" ref="M8:M26" si="3">IF(K8&gt;100,125,K8)</f>
        <v>0</v>
      </c>
      <c r="N8" s="96" t="str">
        <f>IF(H8="Non",CONCATENATE(VLOOKUP(A8,liste_groupe[],5,FALSE),"-",VLOOKUP(A8,liste_groupe[],3,FALSE),VLOOKUP(A8,liste_groupe[],4,FALSE)," : ",ROUND(K8,0),"%"),CONCATENATE(VLOOKUP(A8,liste_groupe[],5,FALSE)," : ",ROUND(K8,0),"%"))</f>
        <v>Prochloraz-0.13mg/L : 0%</v>
      </c>
      <c r="O8"/>
    </row>
    <row r="9" spans="1:15" s="80" customFormat="1" ht="15.75" x14ac:dyDescent="0.25">
      <c r="A9" s="83" t="str">
        <f>'Page de garde'!A17</f>
        <v>Prochloraz-0,25mg/L</v>
      </c>
      <c r="B9" s="102"/>
      <c r="C9" s="86"/>
      <c r="D9" s="84"/>
      <c r="E9" s="85"/>
      <c r="F9" s="101" t="str">
        <f>HLOOKUP(A9,'pooled normalised values'!$B$74:$AK$83,10,FALSE)</f>
        <v>NS</v>
      </c>
      <c r="G9" s="132" t="str">
        <f t="shared" si="0"/>
        <v>NC</v>
      </c>
      <c r="H9" s="123" t="str">
        <f>IF(VLOOKUP(A9,liste_groupe[],4,FALSE)="%",VLOOKUP(A9,liste_groupe[],3,FALSE)/100,IF(ISBLANK(VLOOKUP(A9,liste_groupe[],4,FALSE)),"Non","Non"))</f>
        <v>Non</v>
      </c>
      <c r="I9" s="132" t="str">
        <f t="shared" si="1"/>
        <v>NC</v>
      </c>
      <c r="J9" s="133">
        <v>64</v>
      </c>
      <c r="K9" s="134">
        <f t="shared" si="2"/>
        <v>0</v>
      </c>
      <c r="L9" s="129"/>
      <c r="M9" s="135">
        <f t="shared" si="3"/>
        <v>0</v>
      </c>
      <c r="N9" s="96" t="str">
        <f>IF(H9="Non",CONCATENATE(VLOOKUP(A9,liste_groupe[],5,FALSE),"-",VLOOKUP(A9,liste_groupe[],3,FALSE),VLOOKUP(A9,liste_groupe[],4,FALSE)," : ",ROUND(K9,0),"%"),CONCATENATE(VLOOKUP(A9,liste_groupe[],5,FALSE)," : ",ROUND(K9,0),"%"))</f>
        <v>Prochloraz-0.25mg/L : 0%</v>
      </c>
      <c r="O9"/>
    </row>
    <row r="10" spans="1:15" s="80" customFormat="1" ht="15.75" x14ac:dyDescent="0.25">
      <c r="A10" s="83" t="str">
        <f>'Page de garde'!A18</f>
        <v>Prochloraz-0,5mg/L</v>
      </c>
      <c r="B10" s="103"/>
      <c r="C10" s="83"/>
      <c r="D10" s="88"/>
      <c r="E10" s="85"/>
      <c r="F10" s="101" t="str">
        <f>HLOOKUP(A10,'pooled normalised values'!$B$74:$AK$83,10,FALSE)</f>
        <v>NS</v>
      </c>
      <c r="G10" s="132" t="str">
        <f t="shared" si="0"/>
        <v>NC</v>
      </c>
      <c r="H10" s="123" t="str">
        <f>IF(VLOOKUP(A10,liste_groupe[],4,FALSE)="%",VLOOKUP(A10,liste_groupe[],3,FALSE)/100,IF(ISBLANK(VLOOKUP(A10,liste_groupe[],4,FALSE)),"Non","Non"))</f>
        <v>Non</v>
      </c>
      <c r="I10" s="132" t="str">
        <f t="shared" si="1"/>
        <v>NC</v>
      </c>
      <c r="J10" s="133">
        <v>64</v>
      </c>
      <c r="K10" s="134">
        <f t="shared" si="2"/>
        <v>0</v>
      </c>
      <c r="L10" s="129"/>
      <c r="M10" s="135">
        <f t="shared" si="3"/>
        <v>0</v>
      </c>
      <c r="N10" s="96" t="str">
        <f>IF(H10="Non",CONCATENATE(VLOOKUP(A10,liste_groupe[],5,FALSE),"-",VLOOKUP(A10,liste_groupe[],3,FALSE),VLOOKUP(A10,liste_groupe[],4,FALSE)," : ",ROUND(K10,0),"%"),CONCATENATE(VLOOKUP(A10,liste_groupe[],5,FALSE)," : ",ROUND(K10,0),"%"))</f>
        <v>Prochloraz-0.5mg/L : 0%</v>
      </c>
      <c r="O10"/>
    </row>
    <row r="11" spans="1:15" s="80" customFormat="1" ht="15.75" x14ac:dyDescent="0.25">
      <c r="A11" s="83" t="str">
        <f>'Page de garde'!A19</f>
        <v>Prochloraz-1mg/L</v>
      </c>
      <c r="B11" s="103"/>
      <c r="C11" s="83"/>
      <c r="D11" s="88"/>
      <c r="E11" s="85"/>
      <c r="F11" s="101" t="str">
        <f>HLOOKUP(A11,'pooled normalised values'!$B$74:$AK$83,10,FALSE)</f>
        <v>NS</v>
      </c>
      <c r="G11" s="132" t="str">
        <f t="shared" si="0"/>
        <v>NC</v>
      </c>
      <c r="H11" s="123" t="str">
        <f>IF(VLOOKUP(A11,liste_groupe[],4,FALSE)="%",VLOOKUP(A11,liste_groupe[],3,FALSE)/100,IF(ISBLANK(VLOOKUP(A11,liste_groupe[],4,FALSE)),"Non","Non"))</f>
        <v>Non</v>
      </c>
      <c r="I11" s="132" t="str">
        <f t="shared" si="1"/>
        <v>NC</v>
      </c>
      <c r="J11" s="133">
        <v>64</v>
      </c>
      <c r="K11" s="134">
        <f t="shared" si="2"/>
        <v>0</v>
      </c>
      <c r="L11" s="129"/>
      <c r="M11" s="135">
        <f t="shared" si="3"/>
        <v>0</v>
      </c>
      <c r="N11" s="96" t="str">
        <f>IF(H11="Non",CONCATENATE(VLOOKUP(A11,liste_groupe[],5,FALSE),"-",VLOOKUP(A11,liste_groupe[],3,FALSE),VLOOKUP(A11,liste_groupe[],4,FALSE)," : ",ROUND(K11,0),"%"),CONCATENATE(VLOOKUP(A11,liste_groupe[],5,FALSE)," : ",ROUND(K11,0),"%"))</f>
        <v>Prochloraz-1mg/L : 0%</v>
      </c>
      <c r="O11"/>
    </row>
    <row r="12" spans="1:15" s="80" customFormat="1" ht="15.75" x14ac:dyDescent="0.25">
      <c r="A12" s="83" t="str">
        <f>'Page de garde'!A20</f>
        <v xml:space="preserve"> </v>
      </c>
      <c r="B12" s="103"/>
      <c r="C12" s="83"/>
      <c r="D12" s="88"/>
      <c r="E12" s="85"/>
      <c r="F12" s="101" t="e">
        <f>HLOOKUP(A12,'pooled normalised values'!$B$74:$AK$83,10,FALSE)</f>
        <v>#N/A</v>
      </c>
      <c r="G12" s="132" t="e">
        <f t="shared" si="0"/>
        <v>#N/A</v>
      </c>
      <c r="H12" s="123" t="str">
        <f>IF(VLOOKUP(A12,liste_groupe[],4,FALSE)="%",VLOOKUP(A12,liste_groupe[],3,FALSE)/100,IF(ISBLANK(VLOOKUP(A12,liste_groupe[],4,FALSE)),"Non","Non"))</f>
        <v>Non</v>
      </c>
      <c r="I12" s="132" t="e">
        <f t="shared" si="1"/>
        <v>#N/A</v>
      </c>
      <c r="J12" s="133">
        <v>64</v>
      </c>
      <c r="K12" s="134" t="e">
        <f t="shared" si="2"/>
        <v>#N/A</v>
      </c>
      <c r="L12" s="129"/>
      <c r="M12" s="135" t="e">
        <f t="shared" si="3"/>
        <v>#N/A</v>
      </c>
      <c r="N12" s="96" t="e">
        <f>IF(H12="Non",CONCATENATE(VLOOKUP(A12,liste_groupe[],5,FALSE),"-",VLOOKUP(A12,liste_groupe[],3,FALSE),VLOOKUP(A12,liste_groupe[],4,FALSE)," : ",ROUND(K12,0),"%"),CONCATENATE(VLOOKUP(A12,liste_groupe[],5,FALSE)," : ",ROUND(K12,0),"%"))</f>
        <v>#N/A</v>
      </c>
      <c r="O12"/>
    </row>
    <row r="13" spans="1:15" s="80" customFormat="1" ht="15.75" x14ac:dyDescent="0.25">
      <c r="A13" s="83" t="str">
        <f>'Page de garde'!A21</f>
        <v xml:space="preserve"> </v>
      </c>
      <c r="B13" s="103"/>
      <c r="C13" s="83"/>
      <c r="D13" s="83"/>
      <c r="E13" s="85"/>
      <c r="F13" s="101" t="e">
        <f>HLOOKUP(A13,'pooled normalised values'!$B$74:$AK$83,10,FALSE)</f>
        <v>#N/A</v>
      </c>
      <c r="G13" s="132" t="e">
        <f t="shared" si="0"/>
        <v>#N/A</v>
      </c>
      <c r="H13" s="123" t="str">
        <f>IF(VLOOKUP(A13,liste_groupe[],4,FALSE)="%",VLOOKUP(A13,liste_groupe[],3,FALSE)/100,IF(ISBLANK(VLOOKUP(A13,liste_groupe[],4,FALSE)),"Non","Non"))</f>
        <v>Non</v>
      </c>
      <c r="I13" s="132" t="e">
        <f t="shared" si="1"/>
        <v>#N/A</v>
      </c>
      <c r="J13" s="133">
        <v>64</v>
      </c>
      <c r="K13" s="134" t="e">
        <f t="shared" si="2"/>
        <v>#N/A</v>
      </c>
      <c r="L13" s="129"/>
      <c r="M13" s="135" t="e">
        <f t="shared" si="3"/>
        <v>#N/A</v>
      </c>
      <c r="N13" s="96" t="e">
        <f>IF(H13="Non",CONCATENATE(VLOOKUP(A13,liste_groupe[],5,FALSE),"-",VLOOKUP(A13,liste_groupe[],3,FALSE),VLOOKUP(A13,liste_groupe[],4,FALSE)," : ",ROUND(K13,0),"%"),CONCATENATE(VLOOKUP(A13,liste_groupe[],5,FALSE)," : ",ROUND(K13,0),"%"))</f>
        <v>#N/A</v>
      </c>
      <c r="O13"/>
    </row>
    <row r="14" spans="1:15" s="80" customFormat="1" ht="15.75" x14ac:dyDescent="0.25">
      <c r="A14" s="83" t="str">
        <f>'Page de garde'!A22</f>
        <v xml:space="preserve"> </v>
      </c>
      <c r="B14" s="103"/>
      <c r="C14" s="83"/>
      <c r="D14" s="83"/>
      <c r="E14" s="85"/>
      <c r="F14" s="101" t="e">
        <f>HLOOKUP(A14,'pooled normalised values'!$B$74:$AK$83,10,FALSE)</f>
        <v>#N/A</v>
      </c>
      <c r="G14" s="132" t="e">
        <f t="shared" ref="G14:G25" si="4">IF(F14="NS","NC",ROUND(B14,2-(1+INT(LOG10(ABS(B14))))))</f>
        <v>#N/A</v>
      </c>
      <c r="H14" s="123" t="str">
        <f>IF(VLOOKUP(A14,liste_groupe[],4,FALSE)="%",VLOOKUP(A14,liste_groupe[],3,FALSE)/100,IF(ISBLANK(VLOOKUP(A14,liste_groupe[],4,FALSE)),"Non","Non"))</f>
        <v>Non</v>
      </c>
      <c r="I14" s="132" t="e">
        <f t="shared" si="1"/>
        <v>#N/A</v>
      </c>
      <c r="J14" s="133">
        <v>64</v>
      </c>
      <c r="K14" s="134" t="e">
        <f t="shared" si="2"/>
        <v>#N/A</v>
      </c>
      <c r="L14" s="129"/>
      <c r="M14" s="135" t="e">
        <f t="shared" si="3"/>
        <v>#N/A</v>
      </c>
      <c r="N14" s="96" t="e">
        <f>IF(H14="Non",CONCATENATE(VLOOKUP(A14,liste_groupe[],5,FALSE),"-",VLOOKUP(A14,liste_groupe[],3,FALSE),VLOOKUP(A14,liste_groupe[],4,FALSE)," : ",ROUND(K14,0),"%"),CONCATENATE(VLOOKUP(A14,liste_groupe[],5,FALSE)," : ",ROUND(K14,0),"%"))</f>
        <v>#N/A</v>
      </c>
      <c r="O14" s="1"/>
    </row>
    <row r="15" spans="1:15" s="80" customFormat="1" ht="15.75" x14ac:dyDescent="0.25">
      <c r="A15" s="83" t="str">
        <f>'Page de garde'!A23</f>
        <v xml:space="preserve"> </v>
      </c>
      <c r="B15" s="103"/>
      <c r="C15" s="83"/>
      <c r="D15" s="83"/>
      <c r="E15" s="85"/>
      <c r="F15" s="101" t="e">
        <f>HLOOKUP(A15,'pooled normalised values'!$B$74:$AK$83,10,FALSE)</f>
        <v>#N/A</v>
      </c>
      <c r="G15" s="132" t="e">
        <f t="shared" si="4"/>
        <v>#N/A</v>
      </c>
      <c r="H15" s="123" t="str">
        <f>IF(VLOOKUP(A15,liste_groupe[],4,FALSE)="%",VLOOKUP(A15,liste_groupe[],3,FALSE)/100,IF(ISBLANK(VLOOKUP(A15,liste_groupe[],4,FALSE)),"Non","Non"))</f>
        <v>Non</v>
      </c>
      <c r="I15" s="132" t="e">
        <f t="shared" si="1"/>
        <v>#N/A</v>
      </c>
      <c r="J15" s="133">
        <v>64</v>
      </c>
      <c r="K15" s="134" t="e">
        <f t="shared" si="2"/>
        <v>#N/A</v>
      </c>
      <c r="L15" s="129"/>
      <c r="M15" s="135" t="e">
        <f t="shared" si="3"/>
        <v>#N/A</v>
      </c>
      <c r="N15" s="96" t="e">
        <f>IF(H15="Non",CONCATENATE(VLOOKUP(A15,liste_groupe[],5,FALSE),"-",VLOOKUP(A15,liste_groupe[],3,FALSE),VLOOKUP(A15,liste_groupe[],4,FALSE)," : ",ROUND(K15,0),"%"),CONCATENATE(VLOOKUP(A15,liste_groupe[],5,FALSE)," : ",ROUND(K15,0),"%"))</f>
        <v>#N/A</v>
      </c>
      <c r="O15" s="1"/>
    </row>
    <row r="16" spans="1:15" s="80" customFormat="1" ht="15.75" x14ac:dyDescent="0.25">
      <c r="A16" s="83" t="str">
        <f>'Page de garde'!A24</f>
        <v xml:space="preserve"> </v>
      </c>
      <c r="B16" s="103"/>
      <c r="C16" s="83"/>
      <c r="D16" s="83"/>
      <c r="E16" s="85"/>
      <c r="F16" s="101" t="e">
        <f>HLOOKUP(A16,'pooled normalised values'!$B$74:$AK$83,10,FALSE)</f>
        <v>#N/A</v>
      </c>
      <c r="G16" s="132" t="e">
        <f t="shared" si="4"/>
        <v>#N/A</v>
      </c>
      <c r="H16" s="123" t="str">
        <f>IF(VLOOKUP(A16,liste_groupe[],4,FALSE)="%",VLOOKUP(A16,liste_groupe[],3,FALSE)/100,IF(ISBLANK(VLOOKUP(A16,liste_groupe[],4,FALSE)),"Non","Non"))</f>
        <v>Non</v>
      </c>
      <c r="I16" s="132" t="e">
        <f t="shared" si="1"/>
        <v>#N/A</v>
      </c>
      <c r="J16" s="133">
        <v>64</v>
      </c>
      <c r="K16" s="134" t="e">
        <f t="shared" si="2"/>
        <v>#N/A</v>
      </c>
      <c r="L16" s="129"/>
      <c r="M16" s="135" t="e">
        <f t="shared" si="3"/>
        <v>#N/A</v>
      </c>
      <c r="N16" s="96" t="e">
        <f>IF(H16="Non",CONCATENATE(VLOOKUP(A16,liste_groupe[],5,FALSE),"-",VLOOKUP(A16,liste_groupe[],3,FALSE),VLOOKUP(A16,liste_groupe[],4,FALSE)," : ",ROUND(K16,0),"%"),CONCATENATE(VLOOKUP(A16,liste_groupe[],5,FALSE)," : ",ROUND(K16,0),"%"))</f>
        <v>#N/A</v>
      </c>
      <c r="O16" s="1"/>
    </row>
    <row r="17" spans="1:15" s="80" customFormat="1" ht="15.75" x14ac:dyDescent="0.25">
      <c r="A17" s="83" t="str">
        <f>'Page de garde'!A25</f>
        <v xml:space="preserve"> </v>
      </c>
      <c r="B17" s="103"/>
      <c r="C17" s="83"/>
      <c r="D17" s="83"/>
      <c r="E17" s="85"/>
      <c r="F17" s="101" t="e">
        <f>HLOOKUP(A17,'pooled normalised values'!$B$74:$AK$83,10,FALSE)</f>
        <v>#N/A</v>
      </c>
      <c r="G17" s="132" t="e">
        <f t="shared" si="4"/>
        <v>#N/A</v>
      </c>
      <c r="H17" s="123" t="str">
        <f>IF(VLOOKUP(A17,liste_groupe[],4,FALSE)="%",VLOOKUP(A17,liste_groupe[],3,FALSE)/100,IF(ISBLANK(VLOOKUP(A17,liste_groupe[],4,FALSE)),"Non","Non"))</f>
        <v>Non</v>
      </c>
      <c r="I17" s="132" t="e">
        <f t="shared" si="1"/>
        <v>#N/A</v>
      </c>
      <c r="J17" s="133">
        <v>64</v>
      </c>
      <c r="K17" s="134" t="e">
        <f t="shared" si="2"/>
        <v>#N/A</v>
      </c>
      <c r="L17" s="129"/>
      <c r="M17" s="135" t="e">
        <f t="shared" si="3"/>
        <v>#N/A</v>
      </c>
      <c r="N17" s="96" t="e">
        <f>IF(H17="Non",CONCATENATE(VLOOKUP(A17,liste_groupe[],5,FALSE),"-",VLOOKUP(A17,liste_groupe[],3,FALSE),VLOOKUP(A17,liste_groupe[],4,FALSE)," : ",ROUND(K17,0),"%"),CONCATENATE(VLOOKUP(A17,liste_groupe[],5,FALSE)," : ",ROUND(K17,0),"%"))</f>
        <v>#N/A</v>
      </c>
      <c r="O17" s="1"/>
    </row>
    <row r="18" spans="1:15" s="80" customFormat="1" ht="15.75" x14ac:dyDescent="0.25">
      <c r="A18" s="83" t="str">
        <f>'Page de garde'!A26</f>
        <v xml:space="preserve"> </v>
      </c>
      <c r="B18" s="103"/>
      <c r="C18" s="83"/>
      <c r="D18" s="83"/>
      <c r="E18" s="85"/>
      <c r="F18" s="101" t="e">
        <f>HLOOKUP(A18,'pooled normalised values'!$B$74:$AK$83,10,FALSE)</f>
        <v>#N/A</v>
      </c>
      <c r="G18" s="132" t="e">
        <f t="shared" si="4"/>
        <v>#N/A</v>
      </c>
      <c r="H18" s="123" t="str">
        <f>IF(VLOOKUP(A18,liste_groupe[],4,FALSE)="%",VLOOKUP(A18,liste_groupe[],3,FALSE)/100,IF(ISBLANK(VLOOKUP(A18,liste_groupe[],4,FALSE)),"Non","Non"))</f>
        <v>Non</v>
      </c>
      <c r="I18" s="132" t="e">
        <f t="shared" si="1"/>
        <v>#N/A</v>
      </c>
      <c r="J18" s="133">
        <v>64</v>
      </c>
      <c r="K18" s="134" t="e">
        <f t="shared" si="2"/>
        <v>#N/A</v>
      </c>
      <c r="L18" s="129"/>
      <c r="M18" s="135" t="e">
        <f t="shared" si="3"/>
        <v>#N/A</v>
      </c>
      <c r="N18" s="96" t="e">
        <f>IF(H18="Non",CONCATENATE(VLOOKUP(A18,liste_groupe[],5,FALSE),"-",VLOOKUP(A18,liste_groupe[],3,FALSE),VLOOKUP(A18,liste_groupe[],4,FALSE)," : ",ROUND(K18,0),"%"),CONCATENATE(VLOOKUP(A18,liste_groupe[],5,FALSE)," : ",ROUND(K18,0),"%"))</f>
        <v>#N/A</v>
      </c>
      <c r="O18" s="1"/>
    </row>
    <row r="19" spans="1:15" s="80" customFormat="1" ht="15.75" x14ac:dyDescent="0.25">
      <c r="A19" s="83" t="str">
        <f>'Page de garde'!A27</f>
        <v xml:space="preserve"> </v>
      </c>
      <c r="B19" s="103"/>
      <c r="C19" s="83"/>
      <c r="D19" s="83"/>
      <c r="E19" s="85"/>
      <c r="F19" s="101" t="e">
        <f>HLOOKUP(A19,'pooled normalised values'!$B$74:$AK$83,10,FALSE)</f>
        <v>#N/A</v>
      </c>
      <c r="G19" s="132" t="e">
        <f t="shared" si="4"/>
        <v>#N/A</v>
      </c>
      <c r="H19" s="123" t="str">
        <f>IF(VLOOKUP(A19,liste_groupe[],4,FALSE)="%",VLOOKUP(A19,liste_groupe[],3,FALSE)/100,IF(ISBLANK(VLOOKUP(A19,liste_groupe[],4,FALSE)),"Non","Non"))</f>
        <v>Non</v>
      </c>
      <c r="I19" s="132" t="e">
        <f t="shared" si="1"/>
        <v>#N/A</v>
      </c>
      <c r="J19" s="133">
        <v>64</v>
      </c>
      <c r="K19" s="134" t="e">
        <f t="shared" si="2"/>
        <v>#N/A</v>
      </c>
      <c r="L19" s="129"/>
      <c r="M19" s="135" t="e">
        <f t="shared" si="3"/>
        <v>#N/A</v>
      </c>
      <c r="N19" s="96" t="e">
        <f>IF(H19="Non",CONCATENATE(VLOOKUP(A19,liste_groupe[],5,FALSE),"-",VLOOKUP(A19,liste_groupe[],3,FALSE),VLOOKUP(A19,liste_groupe[],4,FALSE)," : ",ROUND(K19,0),"%"),CONCATENATE(VLOOKUP(A19,liste_groupe[],5,FALSE)," : ",ROUND(K19,0),"%"))</f>
        <v>#N/A</v>
      </c>
      <c r="O19" s="1"/>
    </row>
    <row r="20" spans="1:15" s="80" customFormat="1" ht="15.75" x14ac:dyDescent="0.25">
      <c r="A20" s="83" t="str">
        <f>'Page de garde'!A28</f>
        <v xml:space="preserve"> </v>
      </c>
      <c r="B20" s="103"/>
      <c r="C20" s="83"/>
      <c r="D20" s="83"/>
      <c r="E20" s="85"/>
      <c r="F20" s="101" t="e">
        <f>HLOOKUP(A20,'pooled normalised values'!$B$74:$AK$83,10,FALSE)</f>
        <v>#N/A</v>
      </c>
      <c r="G20" s="132" t="e">
        <f t="shared" si="4"/>
        <v>#N/A</v>
      </c>
      <c r="H20" s="123" t="str">
        <f>IF(VLOOKUP(A20,liste_groupe[],4,FALSE)="%",VLOOKUP(A20,liste_groupe[],3,FALSE)/100,IF(ISBLANK(VLOOKUP(A20,liste_groupe[],4,FALSE)),"Non","Non"))</f>
        <v>Non</v>
      </c>
      <c r="I20" s="132" t="e">
        <f t="shared" si="1"/>
        <v>#N/A</v>
      </c>
      <c r="J20" s="133">
        <v>64</v>
      </c>
      <c r="K20" s="134" t="e">
        <f t="shared" si="2"/>
        <v>#N/A</v>
      </c>
      <c r="L20" s="129"/>
      <c r="M20" s="135" t="e">
        <f t="shared" si="3"/>
        <v>#N/A</v>
      </c>
      <c r="N20" s="96" t="e">
        <f>IF(H20="Non",CONCATENATE(VLOOKUP(A20,liste_groupe[],5,FALSE),"-",VLOOKUP(A20,liste_groupe[],3,FALSE),VLOOKUP(A20,liste_groupe[],4,FALSE)," : ",ROUND(K20,0),"%"),CONCATENATE(VLOOKUP(A20,liste_groupe[],5,FALSE)," : ",ROUND(K20,0),"%"))</f>
        <v>#N/A</v>
      </c>
      <c r="O20" s="1"/>
    </row>
    <row r="21" spans="1:15" s="80" customFormat="1" ht="15.75" x14ac:dyDescent="0.25">
      <c r="A21" s="83" t="str">
        <f>'Page de garde'!A29</f>
        <v xml:space="preserve"> </v>
      </c>
      <c r="B21" s="103"/>
      <c r="C21" s="83"/>
      <c r="D21" s="83"/>
      <c r="E21" s="85"/>
      <c r="F21" s="101" t="e">
        <f>HLOOKUP(A21,'pooled normalised values'!$B$74:$AK$83,10,FALSE)</f>
        <v>#N/A</v>
      </c>
      <c r="G21" s="132" t="e">
        <f t="shared" si="4"/>
        <v>#N/A</v>
      </c>
      <c r="H21" s="123" t="str">
        <f>IF(VLOOKUP(A21,liste_groupe[],4,FALSE)="%",VLOOKUP(A21,liste_groupe[],3,FALSE)/100,IF(ISBLANK(VLOOKUP(A21,liste_groupe[],4,FALSE)),"Non","Non"))</f>
        <v>Non</v>
      </c>
      <c r="I21" s="132" t="e">
        <f t="shared" si="1"/>
        <v>#N/A</v>
      </c>
      <c r="J21" s="133">
        <v>64</v>
      </c>
      <c r="K21" s="134" t="e">
        <f t="shared" si="2"/>
        <v>#N/A</v>
      </c>
      <c r="L21" s="129"/>
      <c r="M21" s="135" t="e">
        <f t="shared" si="3"/>
        <v>#N/A</v>
      </c>
      <c r="N21" s="96" t="e">
        <f>IF(H21="Non",CONCATENATE(VLOOKUP(A21,liste_groupe[],5,FALSE),"-",VLOOKUP(A21,liste_groupe[],3,FALSE),VLOOKUP(A21,liste_groupe[],4,FALSE)," : ",ROUND(K21,0),"%"),CONCATENATE(VLOOKUP(A21,liste_groupe[],5,FALSE)," : ",ROUND(K21,0),"%"))</f>
        <v>#N/A</v>
      </c>
      <c r="O21" s="1"/>
    </row>
    <row r="22" spans="1:15" s="80" customFormat="1" ht="15.75" x14ac:dyDescent="0.25">
      <c r="A22" s="83" t="str">
        <f>'Page de garde'!A30</f>
        <v xml:space="preserve"> </v>
      </c>
      <c r="B22" s="103"/>
      <c r="C22" s="83"/>
      <c r="D22" s="83"/>
      <c r="E22" s="85"/>
      <c r="F22" s="101" t="e">
        <f>HLOOKUP(A22,'pooled normalised values'!$B$74:$AK$83,10,FALSE)</f>
        <v>#N/A</v>
      </c>
      <c r="G22" s="132" t="e">
        <f t="shared" si="4"/>
        <v>#N/A</v>
      </c>
      <c r="H22" s="123" t="str">
        <f>IF(VLOOKUP(A22,liste_groupe[],4,FALSE)="%",VLOOKUP(A22,liste_groupe[],3,FALSE)/100,IF(ISBLANK(VLOOKUP(A22,liste_groupe[],4,FALSE)),"Non","Non"))</f>
        <v>Non</v>
      </c>
      <c r="I22" s="132" t="e">
        <f t="shared" si="1"/>
        <v>#N/A</v>
      </c>
      <c r="J22" s="133">
        <v>64</v>
      </c>
      <c r="K22" s="134" t="e">
        <f t="shared" si="2"/>
        <v>#N/A</v>
      </c>
      <c r="L22" s="129"/>
      <c r="M22" s="135" t="e">
        <f t="shared" si="3"/>
        <v>#N/A</v>
      </c>
      <c r="N22" s="96" t="e">
        <f>IF(H22="Non",CONCATENATE(VLOOKUP(A22,liste_groupe[],5,FALSE),"-",VLOOKUP(A22,liste_groupe[],3,FALSE),VLOOKUP(A22,liste_groupe[],4,FALSE)," : ",ROUND(K22,0),"%"),CONCATENATE(VLOOKUP(A22,liste_groupe[],5,FALSE)," : ",ROUND(K22,0),"%"))</f>
        <v>#N/A</v>
      </c>
      <c r="O22" s="1"/>
    </row>
    <row r="23" spans="1:15" s="80" customFormat="1" ht="15.75" x14ac:dyDescent="0.25">
      <c r="A23" s="83" t="str">
        <f>'Page de garde'!A31</f>
        <v xml:space="preserve"> </v>
      </c>
      <c r="B23" s="103"/>
      <c r="C23" s="83"/>
      <c r="D23" s="83"/>
      <c r="E23" s="85"/>
      <c r="F23" s="101" t="e">
        <f>HLOOKUP(A23,'pooled normalised values'!$B$74:$AK$83,10,FALSE)</f>
        <v>#N/A</v>
      </c>
      <c r="G23" s="132" t="e">
        <f t="shared" si="4"/>
        <v>#N/A</v>
      </c>
      <c r="H23" s="123" t="str">
        <f>IF(VLOOKUP(A23,liste_groupe[],4,FALSE)="%",VLOOKUP(A23,liste_groupe[],3,FALSE)/100,IF(ISBLANK(VLOOKUP(A23,liste_groupe[],4,FALSE)),"Non","Non"))</f>
        <v>Non</v>
      </c>
      <c r="I23" s="132" t="e">
        <f t="shared" si="1"/>
        <v>#N/A</v>
      </c>
      <c r="J23" s="133">
        <v>64</v>
      </c>
      <c r="K23" s="134" t="e">
        <f t="shared" si="2"/>
        <v>#N/A</v>
      </c>
      <c r="L23" s="129"/>
      <c r="M23" s="135" t="e">
        <f t="shared" si="3"/>
        <v>#N/A</v>
      </c>
      <c r="N23" s="96" t="e">
        <f>IF(H23="Non",CONCATENATE(VLOOKUP(A23,liste_groupe[],5,FALSE),"-",VLOOKUP(A23,liste_groupe[],3,FALSE),VLOOKUP(A23,liste_groupe[],4,FALSE)," : ",ROUND(K23,0),"%"),CONCATENATE(VLOOKUP(A23,liste_groupe[],5,FALSE)," : ",ROUND(K23,0),"%"))</f>
        <v>#N/A</v>
      </c>
      <c r="O23" s="1"/>
    </row>
    <row r="24" spans="1:15" s="80" customFormat="1" ht="15.75" x14ac:dyDescent="0.25">
      <c r="A24" s="83" t="str">
        <f>'Page de garde'!A32</f>
        <v xml:space="preserve"> </v>
      </c>
      <c r="B24" s="103"/>
      <c r="C24" s="83"/>
      <c r="D24" s="83"/>
      <c r="E24" s="85"/>
      <c r="F24" s="101" t="e">
        <f>HLOOKUP(A24,'pooled normalised values'!$B$74:$AK$83,10,FALSE)</f>
        <v>#N/A</v>
      </c>
      <c r="G24" s="132" t="e">
        <f t="shared" si="4"/>
        <v>#N/A</v>
      </c>
      <c r="H24" s="123" t="str">
        <f>IF(VLOOKUP(A24,liste_groupe[],4,FALSE)="%",VLOOKUP(A24,liste_groupe[],3,FALSE)/100,IF(ISBLANK(VLOOKUP(A24,liste_groupe[],4,FALSE)),"Non","Non"))</f>
        <v>Non</v>
      </c>
      <c r="I24" s="132" t="e">
        <f t="shared" si="1"/>
        <v>#N/A</v>
      </c>
      <c r="J24" s="133">
        <v>64</v>
      </c>
      <c r="K24" s="134" t="e">
        <f t="shared" si="2"/>
        <v>#N/A</v>
      </c>
      <c r="L24" s="129"/>
      <c r="M24" s="135" t="e">
        <f t="shared" si="3"/>
        <v>#N/A</v>
      </c>
      <c r="N24" s="96" t="e">
        <f>IF(H24="Non",CONCATENATE(VLOOKUP(A24,liste_groupe[],5,FALSE),"-",VLOOKUP(A24,liste_groupe[],3,FALSE),VLOOKUP(A24,liste_groupe[],4,FALSE)," : ",ROUND(K24,0),"%"),CONCATENATE(VLOOKUP(A24,liste_groupe[],5,FALSE)," : ",ROUND(K24,0),"%"))</f>
        <v>#N/A</v>
      </c>
      <c r="O24" s="1"/>
    </row>
    <row r="25" spans="1:15" s="80" customFormat="1" ht="15.75" x14ac:dyDescent="0.25">
      <c r="A25" s="83" t="str">
        <f>'Page de garde'!A33</f>
        <v xml:space="preserve"> </v>
      </c>
      <c r="B25" s="103"/>
      <c r="C25" s="83"/>
      <c r="D25" s="83"/>
      <c r="E25" s="85"/>
      <c r="F25" s="101" t="e">
        <f>HLOOKUP(A25,'pooled normalised values'!$B$74:$AK$83,10,FALSE)</f>
        <v>#N/A</v>
      </c>
      <c r="G25" s="132" t="e">
        <f t="shared" si="4"/>
        <v>#N/A</v>
      </c>
      <c r="H25" s="123" t="str">
        <f>IF(VLOOKUP(A25,liste_groupe[],4,FALSE)="%",VLOOKUP(A25,liste_groupe[],3,FALSE)/100,IF(ISBLANK(VLOOKUP(A25,liste_groupe[],4,FALSE)),"Non","Non"))</f>
        <v>Non</v>
      </c>
      <c r="I25" s="132" t="e">
        <f t="shared" si="1"/>
        <v>#N/A</v>
      </c>
      <c r="J25" s="133">
        <v>64</v>
      </c>
      <c r="K25" s="134" t="e">
        <f t="shared" si="2"/>
        <v>#N/A</v>
      </c>
      <c r="L25" s="129"/>
      <c r="M25" s="135" t="e">
        <f t="shared" si="3"/>
        <v>#N/A</v>
      </c>
      <c r="N25" s="96" t="e">
        <f>IF(H25="Non",CONCATENATE(VLOOKUP(A25,liste_groupe[],5,FALSE),"-",VLOOKUP(A25,liste_groupe[],3,FALSE),VLOOKUP(A25,liste_groupe[],4,FALSE)," : ",ROUND(K25,0),"%"),CONCATENATE(VLOOKUP(A25,liste_groupe[],5,FALSE)," : ",ROUND(K25,0),"%"))</f>
        <v>#N/A</v>
      </c>
      <c r="O25" s="1"/>
    </row>
    <row r="26" spans="1:15" s="80" customFormat="1" ht="15.75" x14ac:dyDescent="0.25">
      <c r="A26" s="83" t="str">
        <f>'Page de garde'!A34</f>
        <v xml:space="preserve"> </v>
      </c>
      <c r="B26" s="102"/>
      <c r="C26" s="89"/>
      <c r="D26" s="89"/>
      <c r="E26" s="85"/>
      <c r="F26" s="101" t="e">
        <f>HLOOKUP(A26,'pooled normalised values'!$B$74:$AK$83,10,FALSE)</f>
        <v>#N/A</v>
      </c>
      <c r="G26" s="132" t="e">
        <f t="shared" ref="G26" si="5">IF(F26="NS","NC",ROUND(B26,2-(1+INT(LOG10(ABS(B26))))))</f>
        <v>#N/A</v>
      </c>
      <c r="H26" s="123" t="str">
        <f>IF(VLOOKUP(A26,liste_groupe[],4,FALSE)="%",VLOOKUP(A26,liste_groupe[],3,FALSE)/100,IF(ISBLANK(VLOOKUP(A26,liste_groupe[],4,FALSE)),"Non","Non"))</f>
        <v>Non</v>
      </c>
      <c r="I26" s="132" t="e">
        <f t="shared" si="1"/>
        <v>#N/A</v>
      </c>
      <c r="J26" s="133">
        <v>64</v>
      </c>
      <c r="K26" s="134" t="e">
        <f t="shared" si="2"/>
        <v>#N/A</v>
      </c>
      <c r="L26" s="129"/>
      <c r="M26" s="135" t="e">
        <f t="shared" si="3"/>
        <v>#N/A</v>
      </c>
      <c r="N26" s="96" t="e">
        <f>IF(H26="Non",CONCATENATE(VLOOKUP(A26,liste_groupe[],5,FALSE),"-",VLOOKUP(A26,liste_groupe[],3,FALSE),VLOOKUP(A26,liste_groupe[],4,FALSE)," : ",ROUND(K26,0),"%"),CONCATENATE(VLOOKUP(A26,liste_groupe[],5,FALSE)," : ",ROUND(K26,0),"%"))</f>
        <v>#N/A</v>
      </c>
      <c r="O26"/>
    </row>
    <row r="27" spans="1:15" s="80" customFormat="1" ht="15.75" x14ac:dyDescent="0.25">
      <c r="A27"/>
      <c r="B27"/>
      <c r="C27"/>
      <c r="D27"/>
      <c r="E27"/>
      <c r="F27"/>
      <c r="G27"/>
      <c r="H27"/>
      <c r="I27"/>
      <c r="J27"/>
      <c r="K27"/>
      <c r="L27"/>
      <c r="M27"/>
      <c r="N27"/>
      <c r="O27" s="1"/>
    </row>
    <row r="28" spans="1:15" s="80" customFormat="1" ht="32.25" thickBot="1" x14ac:dyDescent="0.3">
      <c r="A28"/>
      <c r="B28" s="91" t="s">
        <v>25</v>
      </c>
      <c r="C28" s="91" t="s">
        <v>26</v>
      </c>
      <c r="D28" s="91" t="s">
        <v>27</v>
      </c>
      <c r="E28" s="92" t="s">
        <v>64</v>
      </c>
      <c r="F28" s="130" t="s">
        <v>80</v>
      </c>
      <c r="G28" s="98" t="s">
        <v>42</v>
      </c>
      <c r="H28" s="98" t="s">
        <v>65</v>
      </c>
      <c r="I28" s="98" t="s">
        <v>66</v>
      </c>
      <c r="J28" s="99" t="s">
        <v>77</v>
      </c>
      <c r="K28" s="99" t="s">
        <v>67</v>
      </c>
      <c r="L28" s="100" t="s">
        <v>76</v>
      </c>
      <c r="M28" s="100" t="s">
        <v>68</v>
      </c>
      <c r="N28" s="100" t="s">
        <v>69</v>
      </c>
      <c r="O28" s="1"/>
    </row>
    <row r="29" spans="1:15" s="80" customFormat="1" ht="15.75" x14ac:dyDescent="0.25">
      <c r="A29" s="87" t="s">
        <v>29</v>
      </c>
      <c r="B29" s="103"/>
      <c r="C29" s="83"/>
      <c r="D29" s="83"/>
      <c r="E29" s="85"/>
      <c r="F29" s="94"/>
      <c r="G29" s="137"/>
      <c r="H29" s="124"/>
      <c r="I29" s="124"/>
      <c r="J29" s="125"/>
      <c r="K29" s="126"/>
      <c r="L29" s="128"/>
      <c r="M29" s="125"/>
      <c r="N29" s="95"/>
      <c r="O29"/>
    </row>
    <row r="30" spans="1:15" s="80" customFormat="1" ht="15.75" x14ac:dyDescent="0.25">
      <c r="A30" s="87" t="s">
        <v>31</v>
      </c>
      <c r="B30" s="103"/>
      <c r="C30" s="83"/>
      <c r="D30" s="83"/>
      <c r="E30" s="85"/>
      <c r="F30" s="94"/>
      <c r="G30" s="136" t="e">
        <f>IF(F30="NS","NC",ROUND(B30-$B$29,2-(1+INT(LOG10(ABS(B30-$B$29))))))</f>
        <v>#NUM!</v>
      </c>
      <c r="H30" s="124"/>
      <c r="I30" s="137"/>
      <c r="J30" s="138"/>
      <c r="K30" s="139"/>
      <c r="L30" s="138"/>
      <c r="M30" s="138"/>
      <c r="N30" s="140"/>
      <c r="O30"/>
    </row>
    <row r="31" spans="1:15" s="80" customFormat="1" ht="15.75" x14ac:dyDescent="0.25">
      <c r="A31" s="87" t="s">
        <v>30</v>
      </c>
      <c r="B31" s="103"/>
      <c r="C31" s="83"/>
      <c r="D31" s="83"/>
      <c r="E31" s="85"/>
      <c r="F31" s="94"/>
      <c r="G31" s="136" t="e">
        <f t="shared" ref="G31:G51" si="6">IF(F31="NS","NC",ROUND(B31-$B$29,2-(1+INT(LOG10(ABS(B31-$B$29))))))</f>
        <v>#NUM!</v>
      </c>
      <c r="H31" s="124"/>
      <c r="I31" s="137"/>
      <c r="J31" s="138"/>
      <c r="K31" s="139"/>
      <c r="L31" s="138"/>
      <c r="M31" s="138"/>
      <c r="N31" s="140"/>
    </row>
    <row r="32" spans="1:15" s="80" customFormat="1" ht="15.75" x14ac:dyDescent="0.25">
      <c r="A32" s="131" t="str">
        <f>'Page de garde'!A39</f>
        <v>Prochloraz-0.063mg/L + Testostérone</v>
      </c>
      <c r="B32" s="103"/>
      <c r="C32" s="83"/>
      <c r="D32" s="83"/>
      <c r="E32" s="85"/>
      <c r="F32" s="97" t="str">
        <f>HLOOKUP(A32,'pooled normalised values'!$B$74:$AK$83,10,FALSE)</f>
        <v>NS</v>
      </c>
      <c r="G32" s="136" t="str">
        <f t="shared" si="6"/>
        <v>NC</v>
      </c>
      <c r="H32" s="127" t="str">
        <f>IF(VLOOKUP(A32,liste_groupe[],4,FALSE)="%",VLOOKUP(A32,liste_groupe[],3,FALSE)/100,IF(ISBLANK(VLOOKUP(A32,liste_groupe[],4,FALSE)),"Non","Non"))</f>
        <v>Non</v>
      </c>
      <c r="I32" s="136" t="str">
        <f>IF(F32="NS","NC",IF(H32="Non",G32,G32*(1/H32)))</f>
        <v>NC</v>
      </c>
      <c r="J32" s="141" t="e">
        <f>IF(G32&lt;0,$G$31,$G$30)</f>
        <v>#NUM!</v>
      </c>
      <c r="K32" s="142">
        <f>IF(F32="NS",0,IF(I32&lt;0,-ROUND(I32/J32*100,0),ROUND(I32/J32*100,0)))</f>
        <v>0</v>
      </c>
      <c r="L32" s="143">
        <v>1</v>
      </c>
      <c r="M32" s="135">
        <f>IF(I32&lt;0,IF(K32&lt;-100,-125,K32),IF(K32&gt;100,125,K32))</f>
        <v>0</v>
      </c>
      <c r="N32" s="144" t="str">
        <f>IF(H32="Non",CONCATENATE(VLOOKUP(A32,liste_groupe[],5,FALSE),"-",VLOOKUP(A32,liste_groupe[],3,FALSE),VLOOKUP(A32,liste_groupe[],4,FALSE)," : ",ROUND(K32,0),"%"),CONCATENATE(VLOOKUP(A32,liste_groupe[],5,FALSE)," : ",ROUND(K32,0),"%"))</f>
        <v>Prochloraz-0.063mg/L : 0%</v>
      </c>
    </row>
    <row r="33" spans="1:14" s="80" customFormat="1" ht="15.75" x14ac:dyDescent="0.25">
      <c r="A33" s="131" t="str">
        <f>'Page de garde'!A40</f>
        <v>Prochloraz-0.13mg/L + Testostérone</v>
      </c>
      <c r="B33" s="102"/>
      <c r="C33" s="90"/>
      <c r="D33" s="90"/>
      <c r="E33" s="85"/>
      <c r="F33" s="97" t="str">
        <f>HLOOKUP(A33,'pooled normalised values'!$B$74:$AK$83,10,FALSE)</f>
        <v>NS</v>
      </c>
      <c r="G33" s="136" t="str">
        <f>IF(F33="NS","NC",ROUND(B33-$B$29,2-(1+INT(LOG10(ABS(B33-$B$29))))))</f>
        <v>NC</v>
      </c>
      <c r="H33" s="127" t="str">
        <f>IF(VLOOKUP(A33,liste_groupe[],4,FALSE)="%",VLOOKUP(A33,liste_groupe[],3,FALSE)/100,IF(ISBLANK(VLOOKUP(A33,liste_groupe[],4,FALSE)),"Non","Non"))</f>
        <v>Non</v>
      </c>
      <c r="I33" s="136" t="str">
        <f t="shared" ref="I33:I51" si="7">IF(F33="NS","NC",IF(H33="Non",G33,G33*(1/H33)))</f>
        <v>NC</v>
      </c>
      <c r="J33" s="141" t="e">
        <f t="shared" ref="J33:J51" si="8">IF(G33&lt;0,$G$31,$G$30)</f>
        <v>#NUM!</v>
      </c>
      <c r="K33" s="142">
        <f t="shared" ref="K33:K51" si="9">IF(F33="NS",0,IF(I33&lt;0,-ROUND(I33/J33*100,0),ROUND(I33/J33*100,0)))</f>
        <v>0</v>
      </c>
      <c r="L33" s="143"/>
      <c r="M33" s="135">
        <f t="shared" ref="M33:M51" si="10">IF(I33&lt;0,IF(K33&lt;-100,-125,K33),IF(K33&gt;100,125,K33))</f>
        <v>0</v>
      </c>
      <c r="N33" s="144" t="str">
        <f>IF(H33="Non",CONCATENATE(VLOOKUP(A33,liste_groupe[],5,FALSE),"-",VLOOKUP(A33,liste_groupe[],3,FALSE),VLOOKUP(A33,liste_groupe[],4,FALSE)," : ",ROUND(K33,0),"%"),CONCATENATE(VLOOKUP(A33,liste_groupe[],5,FALSE)," : ",ROUND(K33,0),"%"))</f>
        <v>Prochloraz-0.13mg/L : 0%</v>
      </c>
    </row>
    <row r="34" spans="1:14" s="80" customFormat="1" ht="15.75" x14ac:dyDescent="0.25">
      <c r="A34" s="131" t="str">
        <f>'Page de garde'!A41</f>
        <v>Prochloraz-0.25mg/L + Testostérone</v>
      </c>
      <c r="B34" s="103"/>
      <c r="C34" s="83"/>
      <c r="D34" s="83"/>
      <c r="E34" s="85"/>
      <c r="F34" s="97" t="str">
        <f>HLOOKUP(A34,'pooled normalised values'!$B$74:$AK$83,10,FALSE)</f>
        <v>NS</v>
      </c>
      <c r="G34" s="136" t="str">
        <f t="shared" si="6"/>
        <v>NC</v>
      </c>
      <c r="H34" s="127" t="str">
        <f>IF(VLOOKUP(A34,liste_groupe[],4,FALSE)="%",VLOOKUP(A34,liste_groupe[],3,FALSE)/100,IF(ISBLANK(VLOOKUP(A34,liste_groupe[],4,FALSE)),"Non","Non"))</f>
        <v>Non</v>
      </c>
      <c r="I34" s="136" t="str">
        <f t="shared" si="7"/>
        <v>NC</v>
      </c>
      <c r="J34" s="141" t="e">
        <f t="shared" si="8"/>
        <v>#NUM!</v>
      </c>
      <c r="K34" s="142">
        <f t="shared" si="9"/>
        <v>0</v>
      </c>
      <c r="L34" s="143"/>
      <c r="M34" s="135">
        <f t="shared" si="10"/>
        <v>0</v>
      </c>
      <c r="N34" s="144" t="str">
        <f>IF(H34="Non",CONCATENATE(VLOOKUP(A34,liste_groupe[],5,FALSE),"-",VLOOKUP(A34,liste_groupe[],3,FALSE),VLOOKUP(A34,liste_groupe[],4,FALSE)," : ",ROUND(K34,0),"%"),CONCATENATE(VLOOKUP(A34,liste_groupe[],5,FALSE)," : ",ROUND(K34,0),"%"))</f>
        <v>Prochloraz-0.25mg/L : 0%</v>
      </c>
    </row>
    <row r="35" spans="1:14" s="80" customFormat="1" ht="15.75" x14ac:dyDescent="0.25">
      <c r="A35" s="131" t="str">
        <f>'Page de garde'!A42</f>
        <v>Prochloraz-0.5mg/L + Testostérone</v>
      </c>
      <c r="B35" s="102"/>
      <c r="C35" s="90"/>
      <c r="D35" s="90"/>
      <c r="E35" s="85"/>
      <c r="F35" s="97" t="str">
        <f>HLOOKUP(A35,'pooled normalised values'!$B$74:$AK$83,10,FALSE)</f>
        <v>NS</v>
      </c>
      <c r="G35" s="136" t="str">
        <f t="shared" si="6"/>
        <v>NC</v>
      </c>
      <c r="H35" s="127" t="str">
        <f>IF(VLOOKUP(A35,liste_groupe[],4,FALSE)="%",VLOOKUP(A35,liste_groupe[],3,FALSE)/100,IF(ISBLANK(VLOOKUP(A35,liste_groupe[],4,FALSE)),"Non","Non"))</f>
        <v>Non</v>
      </c>
      <c r="I35" s="136" t="str">
        <f t="shared" si="7"/>
        <v>NC</v>
      </c>
      <c r="J35" s="141" t="e">
        <f t="shared" si="8"/>
        <v>#NUM!</v>
      </c>
      <c r="K35" s="142">
        <f t="shared" si="9"/>
        <v>0</v>
      </c>
      <c r="L35" s="143"/>
      <c r="M35" s="135">
        <f t="shared" si="10"/>
        <v>0</v>
      </c>
      <c r="N35" s="144" t="str">
        <f>IF(H35="Non",CONCATENATE(VLOOKUP(A35,liste_groupe[],5,FALSE),"-",VLOOKUP(A35,liste_groupe[],3,FALSE),VLOOKUP(A35,liste_groupe[],4,FALSE)," : ",ROUND(K35,0),"%"),CONCATENATE(VLOOKUP(A35,liste_groupe[],5,FALSE)," : ",ROUND(K35,0),"%"))</f>
        <v>Prochloraz-0.5mg/L : 0%</v>
      </c>
    </row>
    <row r="36" spans="1:14" s="80" customFormat="1" ht="15.75" x14ac:dyDescent="0.25">
      <c r="A36" s="131" t="str">
        <f>'Page de garde'!A43</f>
        <v>Prochloraz-1mg/L + Testostérone</v>
      </c>
      <c r="B36" s="102"/>
      <c r="C36" s="90"/>
      <c r="D36" s="90"/>
      <c r="E36" s="85"/>
      <c r="F36" s="97" t="str">
        <f>HLOOKUP(A36,'pooled normalised values'!$B$74:$AK$83,10,FALSE)</f>
        <v>NS</v>
      </c>
      <c r="G36" s="136" t="str">
        <f t="shared" si="6"/>
        <v>NC</v>
      </c>
      <c r="H36" s="127" t="str">
        <f>IF(VLOOKUP(A36,liste_groupe[],4,FALSE)="%",VLOOKUP(A36,liste_groupe[],3,FALSE)/100,IF(ISBLANK(VLOOKUP(A36,liste_groupe[],4,FALSE)),"Non","Non"))</f>
        <v>Non</v>
      </c>
      <c r="I36" s="136" t="str">
        <f t="shared" si="7"/>
        <v>NC</v>
      </c>
      <c r="J36" s="141" t="e">
        <f t="shared" si="8"/>
        <v>#NUM!</v>
      </c>
      <c r="K36" s="142">
        <f t="shared" si="9"/>
        <v>0</v>
      </c>
      <c r="L36" s="143"/>
      <c r="M36" s="135">
        <f t="shared" si="10"/>
        <v>0</v>
      </c>
      <c r="N36" s="144" t="str">
        <f>IF(H36="Non",CONCATENATE(VLOOKUP(A36,liste_groupe[],5,FALSE),"-",VLOOKUP(A36,liste_groupe[],3,FALSE),VLOOKUP(A36,liste_groupe[],4,FALSE)," : ",ROUND(K36,0),"%"),CONCATENATE(VLOOKUP(A36,liste_groupe[],5,FALSE)," : ",ROUND(K36,0),"%"))</f>
        <v>Prochloraz-1mg/L : 0%</v>
      </c>
    </row>
    <row r="37" spans="1:14" s="80" customFormat="1" ht="15.75" x14ac:dyDescent="0.25">
      <c r="A37" s="131" t="str">
        <f>'Page de garde'!A44</f>
        <v>0-00 + Testostérone</v>
      </c>
      <c r="B37" s="102"/>
      <c r="C37" s="90"/>
      <c r="D37" s="90"/>
      <c r="E37" s="85"/>
      <c r="F37" s="97" t="e">
        <f ca="1">HLOOKUP(A37,'pooled normalised values'!$B$74:$AK$83,10,FALSE)</f>
        <v>#NAME?</v>
      </c>
      <c r="G37" s="136" t="e">
        <f t="shared" ca="1" si="6"/>
        <v>#NAME?</v>
      </c>
      <c r="H37" s="127" t="str">
        <f>IF(VLOOKUP(A37,liste_groupe[],4,FALSE)="%",VLOOKUP(A37,liste_groupe[],3,FALSE)/100,IF(ISBLANK(VLOOKUP(A37,liste_groupe[],4,FALSE)),"Non","Non"))</f>
        <v>Non</v>
      </c>
      <c r="I37" s="136" t="e">
        <f t="shared" ca="1" si="7"/>
        <v>#NAME?</v>
      </c>
      <c r="J37" s="141" t="e">
        <f t="shared" ca="1" si="8"/>
        <v>#NAME?</v>
      </c>
      <c r="K37" s="142" t="e">
        <f t="shared" ca="1" si="9"/>
        <v>#NAME?</v>
      </c>
      <c r="L37" s="143"/>
      <c r="M37" s="135" t="e">
        <f t="shared" ca="1" si="10"/>
        <v>#NAME?</v>
      </c>
      <c r="N37" s="144" t="e">
        <f ca="1">IF(H37="Non",CONCATENATE(VLOOKUP(A37,liste_groupe[],5,FALSE),"-",VLOOKUP(A37,liste_groupe[],3,FALSE),VLOOKUP(A37,liste_groupe[],4,FALSE)," : ",ROUND(K37,0),"%"),CONCATENATE(VLOOKUP(A37,liste_groupe[],5,FALSE)," : ",ROUND(K37,0),"%"))</f>
        <v>#NAME?</v>
      </c>
    </row>
    <row r="38" spans="1:14" s="80" customFormat="1" ht="15.75" x14ac:dyDescent="0.25">
      <c r="A38" s="131" t="str">
        <f>'Page de garde'!A45</f>
        <v>0-00 + Testostérone</v>
      </c>
      <c r="B38" s="102"/>
      <c r="C38" s="90"/>
      <c r="D38" s="90"/>
      <c r="E38" s="85"/>
      <c r="F38" s="97" t="e">
        <f ca="1">HLOOKUP(A38,'pooled normalised values'!$B$74:$AK$83,10,FALSE)</f>
        <v>#NAME?</v>
      </c>
      <c r="G38" s="136" t="e">
        <f t="shared" ca="1" si="6"/>
        <v>#NAME?</v>
      </c>
      <c r="H38" s="127" t="str">
        <f>IF(VLOOKUP(A38,liste_groupe[],4,FALSE)="%",VLOOKUP(A38,liste_groupe[],3,FALSE)/100,IF(ISBLANK(VLOOKUP(A38,liste_groupe[],4,FALSE)),"Non","Non"))</f>
        <v>Non</v>
      </c>
      <c r="I38" s="136" t="e">
        <f t="shared" ca="1" si="7"/>
        <v>#NAME?</v>
      </c>
      <c r="J38" s="141" t="e">
        <f t="shared" ca="1" si="8"/>
        <v>#NAME?</v>
      </c>
      <c r="K38" s="142" t="e">
        <f t="shared" ca="1" si="9"/>
        <v>#NAME?</v>
      </c>
      <c r="L38" s="143"/>
      <c r="M38" s="135" t="e">
        <f t="shared" ca="1" si="10"/>
        <v>#NAME?</v>
      </c>
      <c r="N38" s="144" t="e">
        <f ca="1">IF(H38="Non",CONCATENATE(VLOOKUP(A38,liste_groupe[],5,FALSE),"-",VLOOKUP(A38,liste_groupe[],3,FALSE),VLOOKUP(A38,liste_groupe[],4,FALSE)," : ",ROUND(K38,0),"%"),CONCATENATE(VLOOKUP(A38,liste_groupe[],5,FALSE)," : ",ROUND(K38,0),"%"))</f>
        <v>#NAME?</v>
      </c>
    </row>
    <row r="39" spans="1:14" s="80" customFormat="1" ht="15.75" x14ac:dyDescent="0.25">
      <c r="A39" s="131" t="str">
        <f>'Page de garde'!A46</f>
        <v>0-00 + Testostérone</v>
      </c>
      <c r="B39" s="102"/>
      <c r="C39" s="90"/>
      <c r="D39" s="90"/>
      <c r="E39" s="85"/>
      <c r="F39" s="97" t="e">
        <f ca="1">HLOOKUP(A39,'pooled normalised values'!$B$74:$AK$83,10,FALSE)</f>
        <v>#NAME?</v>
      </c>
      <c r="G39" s="136" t="e">
        <f t="shared" ref="G39:G50" ca="1" si="11">IF(F39="NS","NC",ROUND(B39-$B$29,2-(1+INT(LOG10(ABS(B39-$B$29))))))</f>
        <v>#NAME?</v>
      </c>
      <c r="H39" s="127" t="str">
        <f>IF(VLOOKUP(A39,liste_groupe[],4,FALSE)="%",VLOOKUP(A39,liste_groupe[],3,FALSE)/100,IF(ISBLANK(VLOOKUP(A39,liste_groupe[],4,FALSE)),"Non","Non"))</f>
        <v>Non</v>
      </c>
      <c r="I39" s="136" t="e">
        <f t="shared" ca="1" si="7"/>
        <v>#NAME?</v>
      </c>
      <c r="J39" s="141" t="e">
        <f t="shared" ref="J39:J50" ca="1" si="12">IF(G39&lt;0,$G$31,$G$30)</f>
        <v>#NAME?</v>
      </c>
      <c r="K39" s="142" t="e">
        <f t="shared" ca="1" si="9"/>
        <v>#NAME?</v>
      </c>
      <c r="L39" s="143"/>
      <c r="M39" s="135" t="e">
        <f t="shared" ca="1" si="10"/>
        <v>#NAME?</v>
      </c>
      <c r="N39" s="144" t="e">
        <f ca="1">IF(H39="Non",CONCATENATE(VLOOKUP(A39,liste_groupe[],5,FALSE),"-",VLOOKUP(A39,liste_groupe[],3,FALSE),VLOOKUP(A39,liste_groupe[],4,FALSE)," : ",ROUND(K39,0),"%"),CONCATENATE(VLOOKUP(A39,liste_groupe[],5,FALSE)," : ",ROUND(K39,0),"%"))</f>
        <v>#NAME?</v>
      </c>
    </row>
    <row r="40" spans="1:14" s="80" customFormat="1" ht="15.75" x14ac:dyDescent="0.25">
      <c r="A40" s="131" t="str">
        <f>'Page de garde'!A47</f>
        <v>0-00 + Testostérone</v>
      </c>
      <c r="B40" s="102"/>
      <c r="C40" s="90"/>
      <c r="D40" s="90"/>
      <c r="E40" s="85"/>
      <c r="F40" s="97" t="e">
        <f ca="1">HLOOKUP(A40,'pooled normalised values'!$B$74:$AK$83,10,FALSE)</f>
        <v>#NAME?</v>
      </c>
      <c r="G40" s="136" t="e">
        <f t="shared" ca="1" si="11"/>
        <v>#NAME?</v>
      </c>
      <c r="H40" s="127" t="str">
        <f>IF(VLOOKUP(A40,liste_groupe[],4,FALSE)="%",VLOOKUP(A40,liste_groupe[],3,FALSE)/100,IF(ISBLANK(VLOOKUP(A40,liste_groupe[],4,FALSE)),"Non","Non"))</f>
        <v>Non</v>
      </c>
      <c r="I40" s="136" t="e">
        <f t="shared" ca="1" si="7"/>
        <v>#NAME?</v>
      </c>
      <c r="J40" s="141" t="e">
        <f t="shared" ca="1" si="12"/>
        <v>#NAME?</v>
      </c>
      <c r="K40" s="142" t="e">
        <f t="shared" ca="1" si="9"/>
        <v>#NAME?</v>
      </c>
      <c r="L40" s="143"/>
      <c r="M40" s="135" t="e">
        <f t="shared" ca="1" si="10"/>
        <v>#NAME?</v>
      </c>
      <c r="N40" s="144" t="e">
        <f ca="1">IF(H40="Non",CONCATENATE(VLOOKUP(A40,liste_groupe[],5,FALSE),"-",VLOOKUP(A40,liste_groupe[],3,FALSE),VLOOKUP(A40,liste_groupe[],4,FALSE)," : ",ROUND(K40,0),"%"),CONCATENATE(VLOOKUP(A40,liste_groupe[],5,FALSE)," : ",ROUND(K40,0),"%"))</f>
        <v>#NAME?</v>
      </c>
    </row>
    <row r="41" spans="1:14" s="80" customFormat="1" ht="15.75" x14ac:dyDescent="0.25">
      <c r="A41" s="131" t="str">
        <f>'Page de garde'!A48</f>
        <v>0-00 + Testostérone</v>
      </c>
      <c r="B41" s="102"/>
      <c r="C41" s="90"/>
      <c r="D41" s="90"/>
      <c r="E41" s="85"/>
      <c r="F41" s="97" t="e">
        <f ca="1">HLOOKUP(A41,'pooled normalised values'!$B$74:$AK$83,10,FALSE)</f>
        <v>#NAME?</v>
      </c>
      <c r="G41" s="136" t="e">
        <f t="shared" ca="1" si="11"/>
        <v>#NAME?</v>
      </c>
      <c r="H41" s="127" t="str">
        <f>IF(VLOOKUP(A41,liste_groupe[],4,FALSE)="%",VLOOKUP(A41,liste_groupe[],3,FALSE)/100,IF(ISBLANK(VLOOKUP(A41,liste_groupe[],4,FALSE)),"Non","Non"))</f>
        <v>Non</v>
      </c>
      <c r="I41" s="136" t="e">
        <f t="shared" ca="1" si="7"/>
        <v>#NAME?</v>
      </c>
      <c r="J41" s="141" t="e">
        <f t="shared" ca="1" si="12"/>
        <v>#NAME?</v>
      </c>
      <c r="K41" s="142" t="e">
        <f t="shared" ca="1" si="9"/>
        <v>#NAME?</v>
      </c>
      <c r="L41" s="143"/>
      <c r="M41" s="135" t="e">
        <f t="shared" ca="1" si="10"/>
        <v>#NAME?</v>
      </c>
      <c r="N41" s="144" t="e">
        <f ca="1">IF(H41="Non",CONCATENATE(VLOOKUP(A41,liste_groupe[],5,FALSE),"-",VLOOKUP(A41,liste_groupe[],3,FALSE),VLOOKUP(A41,liste_groupe[],4,FALSE)," : ",ROUND(K41,0),"%"),CONCATENATE(VLOOKUP(A41,liste_groupe[],5,FALSE)," : ",ROUND(K41,0),"%"))</f>
        <v>#NAME?</v>
      </c>
    </row>
    <row r="42" spans="1:14" s="80" customFormat="1" ht="15.75" x14ac:dyDescent="0.25">
      <c r="A42" s="131" t="str">
        <f>'Page de garde'!A49</f>
        <v>0-00 + Testostérone</v>
      </c>
      <c r="B42" s="102"/>
      <c r="C42" s="90"/>
      <c r="D42" s="90"/>
      <c r="E42" s="85"/>
      <c r="F42" s="97" t="e">
        <f ca="1">HLOOKUP(A42,'pooled normalised values'!$B$74:$AK$83,10,FALSE)</f>
        <v>#NAME?</v>
      </c>
      <c r="G42" s="136" t="e">
        <f t="shared" ca="1" si="11"/>
        <v>#NAME?</v>
      </c>
      <c r="H42" s="127" t="str">
        <f>IF(VLOOKUP(A42,liste_groupe[],4,FALSE)="%",VLOOKUP(A42,liste_groupe[],3,FALSE)/100,IF(ISBLANK(VLOOKUP(A42,liste_groupe[],4,FALSE)),"Non","Non"))</f>
        <v>Non</v>
      </c>
      <c r="I42" s="136" t="e">
        <f t="shared" ca="1" si="7"/>
        <v>#NAME?</v>
      </c>
      <c r="J42" s="141" t="e">
        <f t="shared" ca="1" si="12"/>
        <v>#NAME?</v>
      </c>
      <c r="K42" s="142" t="e">
        <f t="shared" ca="1" si="9"/>
        <v>#NAME?</v>
      </c>
      <c r="L42" s="143"/>
      <c r="M42" s="135" t="e">
        <f t="shared" ca="1" si="10"/>
        <v>#NAME?</v>
      </c>
      <c r="N42" s="144" t="e">
        <f ca="1">IF(H42="Non",CONCATENATE(VLOOKUP(A42,liste_groupe[],5,FALSE),"-",VLOOKUP(A42,liste_groupe[],3,FALSE),VLOOKUP(A42,liste_groupe[],4,FALSE)," : ",ROUND(K42,0),"%"),CONCATENATE(VLOOKUP(A42,liste_groupe[],5,FALSE)," : ",ROUND(K42,0),"%"))</f>
        <v>#NAME?</v>
      </c>
    </row>
    <row r="43" spans="1:14" s="80" customFormat="1" ht="15.75" x14ac:dyDescent="0.25">
      <c r="A43" s="131" t="str">
        <f>'Page de garde'!A50</f>
        <v>0-00 + Testostérone</v>
      </c>
      <c r="B43" s="102"/>
      <c r="C43" s="90"/>
      <c r="D43" s="90"/>
      <c r="E43" s="85"/>
      <c r="F43" s="97" t="e">
        <f ca="1">HLOOKUP(A43,'pooled normalised values'!$B$74:$AK$83,10,FALSE)</f>
        <v>#NAME?</v>
      </c>
      <c r="G43" s="136" t="e">
        <f t="shared" ca="1" si="11"/>
        <v>#NAME?</v>
      </c>
      <c r="H43" s="127" t="str">
        <f>IF(VLOOKUP(A43,liste_groupe[],4,FALSE)="%",VLOOKUP(A43,liste_groupe[],3,FALSE)/100,IF(ISBLANK(VLOOKUP(A43,liste_groupe[],4,FALSE)),"Non","Non"))</f>
        <v>Non</v>
      </c>
      <c r="I43" s="136" t="e">
        <f t="shared" ca="1" si="7"/>
        <v>#NAME?</v>
      </c>
      <c r="J43" s="141" t="e">
        <f t="shared" ca="1" si="12"/>
        <v>#NAME?</v>
      </c>
      <c r="K43" s="142" t="e">
        <f t="shared" ca="1" si="9"/>
        <v>#NAME?</v>
      </c>
      <c r="L43" s="143"/>
      <c r="M43" s="135" t="e">
        <f t="shared" ca="1" si="10"/>
        <v>#NAME?</v>
      </c>
      <c r="N43" s="144" t="e">
        <f ca="1">IF(H43="Non",CONCATENATE(VLOOKUP(A43,liste_groupe[],5,FALSE),"-",VLOOKUP(A43,liste_groupe[],3,FALSE),VLOOKUP(A43,liste_groupe[],4,FALSE)," : ",ROUND(K43,0),"%"),CONCATENATE(VLOOKUP(A43,liste_groupe[],5,FALSE)," : ",ROUND(K43,0),"%"))</f>
        <v>#NAME?</v>
      </c>
    </row>
    <row r="44" spans="1:14" s="80" customFormat="1" ht="15.75" x14ac:dyDescent="0.25">
      <c r="A44" s="131" t="str">
        <f>'Page de garde'!A51</f>
        <v>0-00 + Testostérone</v>
      </c>
      <c r="B44" s="102"/>
      <c r="C44" s="90"/>
      <c r="D44" s="90"/>
      <c r="E44" s="85"/>
      <c r="F44" s="97" t="e">
        <f ca="1">HLOOKUP(A44,'pooled normalised values'!$B$74:$AK$83,10,FALSE)</f>
        <v>#NAME?</v>
      </c>
      <c r="G44" s="136" t="e">
        <f t="shared" ca="1" si="11"/>
        <v>#NAME?</v>
      </c>
      <c r="H44" s="127" t="str">
        <f>IF(VLOOKUP(A44,liste_groupe[],4,FALSE)="%",VLOOKUP(A44,liste_groupe[],3,FALSE)/100,IF(ISBLANK(VLOOKUP(A44,liste_groupe[],4,FALSE)),"Non","Non"))</f>
        <v>Non</v>
      </c>
      <c r="I44" s="136" t="e">
        <f t="shared" ca="1" si="7"/>
        <v>#NAME?</v>
      </c>
      <c r="J44" s="141" t="e">
        <f t="shared" ca="1" si="12"/>
        <v>#NAME?</v>
      </c>
      <c r="K44" s="142" t="e">
        <f t="shared" ca="1" si="9"/>
        <v>#NAME?</v>
      </c>
      <c r="L44" s="143"/>
      <c r="M44" s="135" t="e">
        <f t="shared" ca="1" si="10"/>
        <v>#NAME?</v>
      </c>
      <c r="N44" s="144" t="e">
        <f ca="1">IF(H44="Non",CONCATENATE(VLOOKUP(A44,liste_groupe[],5,FALSE),"-",VLOOKUP(A44,liste_groupe[],3,FALSE),VLOOKUP(A44,liste_groupe[],4,FALSE)," : ",ROUND(K44,0),"%"),CONCATENATE(VLOOKUP(A44,liste_groupe[],5,FALSE)," : ",ROUND(K44,0),"%"))</f>
        <v>#NAME?</v>
      </c>
    </row>
    <row r="45" spans="1:14" s="80" customFormat="1" ht="15.75" x14ac:dyDescent="0.25">
      <c r="A45" s="131" t="str">
        <f>'Page de garde'!A52</f>
        <v>0-00 + Testostérone</v>
      </c>
      <c r="B45" s="102"/>
      <c r="C45" s="90"/>
      <c r="D45" s="90"/>
      <c r="E45" s="85"/>
      <c r="F45" s="97" t="e">
        <f ca="1">HLOOKUP(A45,'pooled normalised values'!$B$74:$AK$83,10,FALSE)</f>
        <v>#NAME?</v>
      </c>
      <c r="G45" s="136" t="e">
        <f t="shared" ca="1" si="11"/>
        <v>#NAME?</v>
      </c>
      <c r="H45" s="127" t="str">
        <f>IF(VLOOKUP(A45,liste_groupe[],4,FALSE)="%",VLOOKUP(A45,liste_groupe[],3,FALSE)/100,IF(ISBLANK(VLOOKUP(A45,liste_groupe[],4,FALSE)),"Non","Non"))</f>
        <v>Non</v>
      </c>
      <c r="I45" s="136" t="e">
        <f t="shared" ca="1" si="7"/>
        <v>#NAME?</v>
      </c>
      <c r="J45" s="141" t="e">
        <f t="shared" ca="1" si="12"/>
        <v>#NAME?</v>
      </c>
      <c r="K45" s="142" t="e">
        <f t="shared" ca="1" si="9"/>
        <v>#NAME?</v>
      </c>
      <c r="L45" s="143"/>
      <c r="M45" s="135" t="e">
        <f t="shared" ca="1" si="10"/>
        <v>#NAME?</v>
      </c>
      <c r="N45" s="144" t="e">
        <f ca="1">IF(H45="Non",CONCATENATE(VLOOKUP(A45,liste_groupe[],5,FALSE),"-",VLOOKUP(A45,liste_groupe[],3,FALSE),VLOOKUP(A45,liste_groupe[],4,FALSE)," : ",ROUND(K45,0),"%"),CONCATENATE(VLOOKUP(A45,liste_groupe[],5,FALSE)," : ",ROUND(K45,0),"%"))</f>
        <v>#NAME?</v>
      </c>
    </row>
    <row r="46" spans="1:14" s="80" customFormat="1" ht="15.75" x14ac:dyDescent="0.25">
      <c r="A46" s="131" t="str">
        <f>'Page de garde'!A53</f>
        <v>0-00 + Testostérone</v>
      </c>
      <c r="B46" s="102"/>
      <c r="C46" s="90"/>
      <c r="D46" s="90"/>
      <c r="E46" s="85"/>
      <c r="F46" s="97" t="e">
        <f ca="1">HLOOKUP(A46,'pooled normalised values'!$B$74:$AK$83,10,FALSE)</f>
        <v>#NAME?</v>
      </c>
      <c r="G46" s="136" t="e">
        <f t="shared" ca="1" si="11"/>
        <v>#NAME?</v>
      </c>
      <c r="H46" s="127" t="str">
        <f>IF(VLOOKUP(A46,liste_groupe[],4,FALSE)="%",VLOOKUP(A46,liste_groupe[],3,FALSE)/100,IF(ISBLANK(VLOOKUP(A46,liste_groupe[],4,FALSE)),"Non","Non"))</f>
        <v>Non</v>
      </c>
      <c r="I46" s="136" t="e">
        <f t="shared" ca="1" si="7"/>
        <v>#NAME?</v>
      </c>
      <c r="J46" s="141" t="e">
        <f t="shared" ca="1" si="12"/>
        <v>#NAME?</v>
      </c>
      <c r="K46" s="142" t="e">
        <f t="shared" ca="1" si="9"/>
        <v>#NAME?</v>
      </c>
      <c r="L46" s="143"/>
      <c r="M46" s="135" t="e">
        <f t="shared" ca="1" si="10"/>
        <v>#NAME?</v>
      </c>
      <c r="N46" s="144" t="e">
        <f ca="1">IF(H46="Non",CONCATENATE(VLOOKUP(A46,liste_groupe[],5,FALSE),"-",VLOOKUP(A46,liste_groupe[],3,FALSE),VLOOKUP(A46,liste_groupe[],4,FALSE)," : ",ROUND(K46,0),"%"),CONCATENATE(VLOOKUP(A46,liste_groupe[],5,FALSE)," : ",ROUND(K46,0),"%"))</f>
        <v>#NAME?</v>
      </c>
    </row>
    <row r="47" spans="1:14" s="80" customFormat="1" ht="15.75" x14ac:dyDescent="0.25">
      <c r="A47" s="131" t="str">
        <f>'Page de garde'!A54</f>
        <v>0-00 + Testostérone</v>
      </c>
      <c r="B47" s="102"/>
      <c r="C47" s="90"/>
      <c r="D47" s="90"/>
      <c r="E47" s="85"/>
      <c r="F47" s="97" t="e">
        <f ca="1">HLOOKUP(A47,'pooled normalised values'!$B$74:$AK$83,10,FALSE)</f>
        <v>#NAME?</v>
      </c>
      <c r="G47" s="136" t="e">
        <f t="shared" ca="1" si="11"/>
        <v>#NAME?</v>
      </c>
      <c r="H47" s="127" t="str">
        <f>IF(VLOOKUP(A47,liste_groupe[],4,FALSE)="%",VLOOKUP(A47,liste_groupe[],3,FALSE)/100,IF(ISBLANK(VLOOKUP(A47,liste_groupe[],4,FALSE)),"Non","Non"))</f>
        <v>Non</v>
      </c>
      <c r="I47" s="136" t="e">
        <f t="shared" ca="1" si="7"/>
        <v>#NAME?</v>
      </c>
      <c r="J47" s="141" t="e">
        <f t="shared" ca="1" si="12"/>
        <v>#NAME?</v>
      </c>
      <c r="K47" s="142" t="e">
        <f t="shared" ca="1" si="9"/>
        <v>#NAME?</v>
      </c>
      <c r="L47" s="143"/>
      <c r="M47" s="135" t="e">
        <f t="shared" ca="1" si="10"/>
        <v>#NAME?</v>
      </c>
      <c r="N47" s="144" t="e">
        <f ca="1">IF(H47="Non",CONCATENATE(VLOOKUP(A47,liste_groupe[],5,FALSE),"-",VLOOKUP(A47,liste_groupe[],3,FALSE),VLOOKUP(A47,liste_groupe[],4,FALSE)," : ",ROUND(K47,0),"%"),CONCATENATE(VLOOKUP(A47,liste_groupe[],5,FALSE)," : ",ROUND(K47,0),"%"))</f>
        <v>#NAME?</v>
      </c>
    </row>
    <row r="48" spans="1:14" s="80" customFormat="1" ht="15.75" x14ac:dyDescent="0.25">
      <c r="A48" s="131" t="str">
        <f>'Page de garde'!A55</f>
        <v>0-00 + Testostérone</v>
      </c>
      <c r="B48" s="102"/>
      <c r="C48" s="90"/>
      <c r="D48" s="90"/>
      <c r="E48" s="85"/>
      <c r="F48" s="97" t="e">
        <f ca="1">HLOOKUP(A48,'pooled normalised values'!$B$74:$AK$83,10,FALSE)</f>
        <v>#NAME?</v>
      </c>
      <c r="G48" s="136" t="e">
        <f t="shared" ca="1" si="11"/>
        <v>#NAME?</v>
      </c>
      <c r="H48" s="127" t="str">
        <f>IF(VLOOKUP(A48,liste_groupe[],4,FALSE)="%",VLOOKUP(A48,liste_groupe[],3,FALSE)/100,IF(ISBLANK(VLOOKUP(A48,liste_groupe[],4,FALSE)),"Non","Non"))</f>
        <v>Non</v>
      </c>
      <c r="I48" s="136" t="e">
        <f t="shared" ca="1" si="7"/>
        <v>#NAME?</v>
      </c>
      <c r="J48" s="141" t="e">
        <f t="shared" ca="1" si="12"/>
        <v>#NAME?</v>
      </c>
      <c r="K48" s="142" t="e">
        <f t="shared" ca="1" si="9"/>
        <v>#NAME?</v>
      </c>
      <c r="L48" s="143"/>
      <c r="M48" s="135" t="e">
        <f t="shared" ca="1" si="10"/>
        <v>#NAME?</v>
      </c>
      <c r="N48" s="144" t="e">
        <f ca="1">IF(H48="Non",CONCATENATE(VLOOKUP(A48,liste_groupe[],5,FALSE),"-",VLOOKUP(A48,liste_groupe[],3,FALSE),VLOOKUP(A48,liste_groupe[],4,FALSE)," : ",ROUND(K48,0),"%"),CONCATENATE(VLOOKUP(A48,liste_groupe[],5,FALSE)," : ",ROUND(K48,0),"%"))</f>
        <v>#NAME?</v>
      </c>
    </row>
    <row r="49" spans="1:15" s="80" customFormat="1" ht="15.75" x14ac:dyDescent="0.25">
      <c r="A49" s="131" t="str">
        <f>'Page de garde'!A56</f>
        <v>0-00 + Testostérone</v>
      </c>
      <c r="B49" s="102"/>
      <c r="C49" s="90"/>
      <c r="D49" s="90"/>
      <c r="E49" s="85"/>
      <c r="F49" s="97" t="e">
        <f ca="1">HLOOKUP(A49,'pooled normalised values'!$B$74:$AK$83,10,FALSE)</f>
        <v>#NAME?</v>
      </c>
      <c r="G49" s="136" t="e">
        <f t="shared" ca="1" si="11"/>
        <v>#NAME?</v>
      </c>
      <c r="H49" s="127" t="str">
        <f>IF(VLOOKUP(A49,liste_groupe[],4,FALSE)="%",VLOOKUP(A49,liste_groupe[],3,FALSE)/100,IF(ISBLANK(VLOOKUP(A49,liste_groupe[],4,FALSE)),"Non","Non"))</f>
        <v>Non</v>
      </c>
      <c r="I49" s="136" t="e">
        <f t="shared" ca="1" si="7"/>
        <v>#NAME?</v>
      </c>
      <c r="J49" s="141" t="e">
        <f t="shared" ca="1" si="12"/>
        <v>#NAME?</v>
      </c>
      <c r="K49" s="142" t="e">
        <f t="shared" ca="1" si="9"/>
        <v>#NAME?</v>
      </c>
      <c r="L49" s="143"/>
      <c r="M49" s="135" t="e">
        <f t="shared" ca="1" si="10"/>
        <v>#NAME?</v>
      </c>
      <c r="N49" s="144" t="e">
        <f ca="1">IF(H49="Non",CONCATENATE(VLOOKUP(A49,liste_groupe[],5,FALSE),"-",VLOOKUP(A49,liste_groupe[],3,FALSE),VLOOKUP(A49,liste_groupe[],4,FALSE)," : ",ROUND(K49,0),"%"),CONCATENATE(VLOOKUP(A49,liste_groupe[],5,FALSE)," : ",ROUND(K49,0),"%"))</f>
        <v>#NAME?</v>
      </c>
    </row>
    <row r="50" spans="1:15" s="80" customFormat="1" ht="15.75" x14ac:dyDescent="0.25">
      <c r="A50" s="131" t="str">
        <f>'Page de garde'!A57</f>
        <v>0-00 + Testostérone</v>
      </c>
      <c r="B50" s="102"/>
      <c r="C50" s="90"/>
      <c r="D50" s="90"/>
      <c r="E50" s="85"/>
      <c r="F50" s="97" t="e">
        <f ca="1">HLOOKUP(A50,'pooled normalised values'!$B$74:$AK$83,10,FALSE)</f>
        <v>#NAME?</v>
      </c>
      <c r="G50" s="136" t="e">
        <f t="shared" ca="1" si="11"/>
        <v>#NAME?</v>
      </c>
      <c r="H50" s="127" t="str">
        <f>IF(VLOOKUP(A50,liste_groupe[],4,FALSE)="%",VLOOKUP(A50,liste_groupe[],3,FALSE)/100,IF(ISBLANK(VLOOKUP(A50,liste_groupe[],4,FALSE)),"Non","Non"))</f>
        <v>Non</v>
      </c>
      <c r="I50" s="136" t="e">
        <f t="shared" ca="1" si="7"/>
        <v>#NAME?</v>
      </c>
      <c r="J50" s="141" t="e">
        <f t="shared" ca="1" si="12"/>
        <v>#NAME?</v>
      </c>
      <c r="K50" s="142" t="e">
        <f t="shared" ca="1" si="9"/>
        <v>#NAME?</v>
      </c>
      <c r="L50" s="143"/>
      <c r="M50" s="135" t="e">
        <f t="shared" ca="1" si="10"/>
        <v>#NAME?</v>
      </c>
      <c r="N50" s="144" t="e">
        <f ca="1">IF(H50="Non",CONCATENATE(VLOOKUP(A50,liste_groupe[],5,FALSE),"-",VLOOKUP(A50,liste_groupe[],3,FALSE),VLOOKUP(A50,liste_groupe[],4,FALSE)," : ",ROUND(K50,0),"%"),CONCATENATE(VLOOKUP(A50,liste_groupe[],5,FALSE)," : ",ROUND(K50,0),"%"))</f>
        <v>#NAME?</v>
      </c>
    </row>
    <row r="51" spans="1:15" s="80" customFormat="1" ht="15.75" x14ac:dyDescent="0.25">
      <c r="A51" s="131" t="str">
        <f>'Page de garde'!A58</f>
        <v>0-00 + Testostérone</v>
      </c>
      <c r="B51" s="102"/>
      <c r="C51" s="90"/>
      <c r="D51" s="90"/>
      <c r="E51" s="85"/>
      <c r="F51" s="97" t="e">
        <f ca="1">HLOOKUP(A51,'pooled normalised values'!$B$74:$AK$83,10,FALSE)</f>
        <v>#NAME?</v>
      </c>
      <c r="G51" s="136" t="e">
        <f t="shared" ca="1" si="6"/>
        <v>#NAME?</v>
      </c>
      <c r="H51" s="127" t="str">
        <f>IF(VLOOKUP(A51,liste_groupe[],4,FALSE)="%",VLOOKUP(A51,liste_groupe[],3,FALSE)/100,IF(ISBLANK(VLOOKUP(A51,liste_groupe[],4,FALSE)),"Non","Non"))</f>
        <v>Non</v>
      </c>
      <c r="I51" s="136" t="e">
        <f t="shared" ca="1" si="7"/>
        <v>#NAME?</v>
      </c>
      <c r="J51" s="141" t="e">
        <f t="shared" ca="1" si="8"/>
        <v>#NAME?</v>
      </c>
      <c r="K51" s="142" t="e">
        <f t="shared" ca="1" si="9"/>
        <v>#NAME?</v>
      </c>
      <c r="L51" s="143"/>
      <c r="M51" s="135" t="e">
        <f t="shared" ca="1" si="10"/>
        <v>#NAME?</v>
      </c>
      <c r="N51" s="144" t="e">
        <f ca="1">IF(H51="Non",CONCATENATE(VLOOKUP(A51,liste_groupe[],5,FALSE),"-",VLOOKUP(A51,liste_groupe[],3,FALSE),VLOOKUP(A51,liste_groupe[],4,FALSE)," : ",ROUND(K51,0),"%"),CONCATENATE(VLOOKUP(A51,liste_groupe[],5,FALSE)," : ",ROUND(K51,0),"%"))</f>
        <v>#NAME?</v>
      </c>
    </row>
    <row r="52" spans="1:15" s="80" customFormat="1" ht="16.5" thickBot="1" x14ac:dyDescent="0.3">
      <c r="E52" s="81"/>
      <c r="F52" s="81"/>
      <c r="G52" s="81"/>
      <c r="H52" s="81"/>
      <c r="I52" s="81"/>
      <c r="J52" s="81"/>
      <c r="K52" s="81"/>
      <c r="L52" s="81"/>
      <c r="M52" s="81"/>
      <c r="N52" s="81"/>
    </row>
    <row r="53" spans="1:15" s="49" customFormat="1" ht="27" thickBot="1" x14ac:dyDescent="0.3">
      <c r="A53" s="239" t="s">
        <v>60</v>
      </c>
      <c r="B53" s="240"/>
      <c r="C53" s="240"/>
      <c r="D53" s="240"/>
      <c r="E53" s="240"/>
      <c r="F53" s="240"/>
      <c r="G53" s="240"/>
      <c r="H53" s="240"/>
      <c r="I53" s="240"/>
      <c r="J53" s="240"/>
      <c r="K53" s="240"/>
      <c r="L53" s="240"/>
      <c r="M53" s="240"/>
      <c r="N53" s="240"/>
      <c r="O53" s="241"/>
    </row>
  </sheetData>
  <mergeCells count="3">
    <mergeCell ref="A2:O2"/>
    <mergeCell ref="A1:O1"/>
    <mergeCell ref="A53:O53"/>
  </mergeCells>
  <pageMargins left="0.7" right="0.7" top="0.75" bottom="0.75" header="0.3" footer="0.3"/>
  <pageSetup paperSize="9" orientation="portrait" r:id="rId1"/>
  <headerFooter>
    <oddFooter>&amp;C&amp;1#&amp;"Arial"&amp;10&amp;K000000Internal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defaultColWidth="11.42578125" defaultRowHeight="15" x14ac:dyDescent="0.25"/>
  <cols>
    <col min="1" max="1" width="22.85546875" style="185" customWidth="1"/>
    <col min="2" max="2" width="46.28515625" style="185" customWidth="1"/>
    <col min="3" max="3" width="15.28515625" style="185" customWidth="1"/>
    <col min="4" max="4" width="24.7109375" style="185" customWidth="1"/>
    <col min="5" max="5" width="24.42578125" style="185" customWidth="1"/>
    <col min="6" max="6" width="23.140625" style="185" customWidth="1"/>
    <col min="7" max="7" width="21.28515625" style="185" customWidth="1"/>
    <col min="8" max="16384" width="11.42578125" style="185"/>
  </cols>
  <sheetData>
    <row r="1" spans="1:7" ht="30.75" thickBot="1" x14ac:dyDescent="0.3">
      <c r="A1" s="190" t="s">
        <v>132</v>
      </c>
      <c r="B1" s="191" t="s">
        <v>133</v>
      </c>
      <c r="C1" s="191" t="s">
        <v>139</v>
      </c>
      <c r="D1" s="191" t="s">
        <v>138</v>
      </c>
      <c r="E1" s="191" t="s">
        <v>140</v>
      </c>
      <c r="F1" s="192" t="s">
        <v>141</v>
      </c>
      <c r="G1" s="193" t="s">
        <v>142</v>
      </c>
    </row>
    <row r="2" spans="1:7" ht="60" x14ac:dyDescent="0.25">
      <c r="A2" s="186" t="s">
        <v>134</v>
      </c>
      <c r="B2" s="187" t="s">
        <v>135</v>
      </c>
      <c r="C2" s="187" t="s">
        <v>136</v>
      </c>
      <c r="D2" s="187" t="s">
        <v>143</v>
      </c>
      <c r="E2" s="187" t="s">
        <v>137</v>
      </c>
      <c r="F2" s="188" t="s">
        <v>136</v>
      </c>
      <c r="G2" s="189" t="s">
        <v>136</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defaultColWidth="11.42578125"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19" width="14.85546875" style="17" customWidth="1"/>
    <col min="20" max="21" width="11.42578125" style="17"/>
    <col min="22" max="22" width="13.5703125" style="17" bestFit="1" customWidth="1"/>
    <col min="23" max="34" width="13.5703125" style="17" customWidth="1"/>
    <col min="35" max="35" width="13.5703125" style="17" bestFit="1" customWidth="1"/>
    <col min="36" max="282" width="11.42578125" style="17"/>
    <col min="283" max="283" width="18.7109375" style="17" customWidth="1"/>
    <col min="284" max="284" width="13.7109375" style="17" bestFit="1" customWidth="1"/>
    <col min="285" max="285" width="17.28515625" style="17" customWidth="1"/>
    <col min="286" max="286" width="11" style="17" customWidth="1"/>
    <col min="287" max="287" width="12" style="17" bestFit="1" customWidth="1"/>
    <col min="288" max="288" width="14.85546875" style="17" customWidth="1"/>
    <col min="289" max="538" width="11.42578125" style="17"/>
    <col min="539" max="539" width="18.7109375" style="17" customWidth="1"/>
    <col min="540" max="540" width="13.7109375" style="17" bestFit="1" customWidth="1"/>
    <col min="541" max="541" width="17.28515625" style="17" customWidth="1"/>
    <col min="542" max="542" width="11" style="17" customWidth="1"/>
    <col min="543" max="543" width="12" style="17" bestFit="1" customWidth="1"/>
    <col min="544" max="544" width="14.85546875" style="17" customWidth="1"/>
    <col min="545" max="794" width="11.42578125" style="17"/>
    <col min="795" max="795" width="18.7109375" style="17" customWidth="1"/>
    <col min="796" max="796" width="13.7109375" style="17" bestFit="1" customWidth="1"/>
    <col min="797" max="797" width="17.28515625" style="17" customWidth="1"/>
    <col min="798" max="798" width="11" style="17" customWidth="1"/>
    <col min="799" max="799" width="12" style="17" bestFit="1" customWidth="1"/>
    <col min="800" max="800" width="14.85546875" style="17" customWidth="1"/>
    <col min="801" max="1050" width="11.42578125" style="17"/>
    <col min="1051" max="1051" width="18.7109375" style="17" customWidth="1"/>
    <col min="1052" max="1052" width="13.7109375" style="17" bestFit="1" customWidth="1"/>
    <col min="1053" max="1053" width="17.28515625" style="17" customWidth="1"/>
    <col min="1054" max="1054" width="11" style="17" customWidth="1"/>
    <col min="1055" max="1055" width="12" style="17" bestFit="1" customWidth="1"/>
    <col min="1056" max="1056" width="14.85546875" style="17" customWidth="1"/>
    <col min="1057" max="1306" width="11.42578125" style="17"/>
    <col min="1307" max="1307" width="18.7109375" style="17" customWidth="1"/>
    <col min="1308" max="1308" width="13.7109375" style="17" bestFit="1" customWidth="1"/>
    <col min="1309" max="1309" width="17.28515625" style="17" customWidth="1"/>
    <col min="1310" max="1310" width="11" style="17" customWidth="1"/>
    <col min="1311" max="1311" width="12" style="17" bestFit="1" customWidth="1"/>
    <col min="1312" max="1312" width="14.85546875" style="17" customWidth="1"/>
    <col min="1313" max="1562" width="11.42578125" style="17"/>
    <col min="1563" max="1563" width="18.7109375" style="17" customWidth="1"/>
    <col min="1564" max="1564" width="13.7109375" style="17" bestFit="1" customWidth="1"/>
    <col min="1565" max="1565" width="17.28515625" style="17" customWidth="1"/>
    <col min="1566" max="1566" width="11" style="17" customWidth="1"/>
    <col min="1567" max="1567" width="12" style="17" bestFit="1" customWidth="1"/>
    <col min="1568" max="1568" width="14.85546875" style="17" customWidth="1"/>
    <col min="1569" max="1818" width="11.42578125" style="17"/>
    <col min="1819" max="1819" width="18.7109375" style="17" customWidth="1"/>
    <col min="1820" max="1820" width="13.7109375" style="17" bestFit="1" customWidth="1"/>
    <col min="1821" max="1821" width="17.28515625" style="17" customWidth="1"/>
    <col min="1822" max="1822" width="11" style="17" customWidth="1"/>
    <col min="1823" max="1823" width="12" style="17" bestFit="1" customWidth="1"/>
    <col min="1824" max="1824" width="14.85546875" style="17" customWidth="1"/>
    <col min="1825" max="2074" width="11.42578125" style="17"/>
    <col min="2075" max="2075" width="18.7109375" style="17" customWidth="1"/>
    <col min="2076" max="2076" width="13.7109375" style="17" bestFit="1" customWidth="1"/>
    <col min="2077" max="2077" width="17.28515625" style="17" customWidth="1"/>
    <col min="2078" max="2078" width="11" style="17" customWidth="1"/>
    <col min="2079" max="2079" width="12" style="17" bestFit="1" customWidth="1"/>
    <col min="2080" max="2080" width="14.85546875" style="17" customWidth="1"/>
    <col min="2081" max="2330" width="11.42578125" style="17"/>
    <col min="2331" max="2331" width="18.7109375" style="17" customWidth="1"/>
    <col min="2332" max="2332" width="13.7109375" style="17" bestFit="1" customWidth="1"/>
    <col min="2333" max="2333" width="17.28515625" style="17" customWidth="1"/>
    <col min="2334" max="2334" width="11" style="17" customWidth="1"/>
    <col min="2335" max="2335" width="12" style="17" bestFit="1" customWidth="1"/>
    <col min="2336" max="2336" width="14.85546875" style="17" customWidth="1"/>
    <col min="2337" max="2586" width="11.42578125" style="17"/>
    <col min="2587" max="2587" width="18.7109375" style="17" customWidth="1"/>
    <col min="2588" max="2588" width="13.7109375" style="17" bestFit="1" customWidth="1"/>
    <col min="2589" max="2589" width="17.28515625" style="17" customWidth="1"/>
    <col min="2590" max="2590" width="11" style="17" customWidth="1"/>
    <col min="2591" max="2591" width="12" style="17" bestFit="1" customWidth="1"/>
    <col min="2592" max="2592" width="14.85546875" style="17" customWidth="1"/>
    <col min="2593" max="2842" width="11.42578125" style="17"/>
    <col min="2843" max="2843" width="18.7109375" style="17" customWidth="1"/>
    <col min="2844" max="2844" width="13.7109375" style="17" bestFit="1" customWidth="1"/>
    <col min="2845" max="2845" width="17.28515625" style="17" customWidth="1"/>
    <col min="2846" max="2846" width="11" style="17" customWidth="1"/>
    <col min="2847" max="2847" width="12" style="17" bestFit="1" customWidth="1"/>
    <col min="2848" max="2848" width="14.85546875" style="17" customWidth="1"/>
    <col min="2849" max="3098" width="11.42578125" style="17"/>
    <col min="3099" max="3099" width="18.7109375" style="17" customWidth="1"/>
    <col min="3100" max="3100" width="13.7109375" style="17" bestFit="1" customWidth="1"/>
    <col min="3101" max="3101" width="17.28515625" style="17" customWidth="1"/>
    <col min="3102" max="3102" width="11" style="17" customWidth="1"/>
    <col min="3103" max="3103" width="12" style="17" bestFit="1" customWidth="1"/>
    <col min="3104" max="3104" width="14.85546875" style="17" customWidth="1"/>
    <col min="3105" max="3354" width="11.42578125" style="17"/>
    <col min="3355" max="3355" width="18.7109375" style="17" customWidth="1"/>
    <col min="3356" max="3356" width="13.7109375" style="17" bestFit="1" customWidth="1"/>
    <col min="3357" max="3357" width="17.28515625" style="17" customWidth="1"/>
    <col min="3358" max="3358" width="11" style="17" customWidth="1"/>
    <col min="3359" max="3359" width="12" style="17" bestFit="1" customWidth="1"/>
    <col min="3360" max="3360" width="14.85546875" style="17" customWidth="1"/>
    <col min="3361" max="3610" width="11.42578125" style="17"/>
    <col min="3611" max="3611" width="18.7109375" style="17" customWidth="1"/>
    <col min="3612" max="3612" width="13.7109375" style="17" bestFit="1" customWidth="1"/>
    <col min="3613" max="3613" width="17.28515625" style="17" customWidth="1"/>
    <col min="3614" max="3614" width="11" style="17" customWidth="1"/>
    <col min="3615" max="3615" width="12" style="17" bestFit="1" customWidth="1"/>
    <col min="3616" max="3616" width="14.85546875" style="17" customWidth="1"/>
    <col min="3617" max="3866" width="11.42578125" style="17"/>
    <col min="3867" max="3867" width="18.7109375" style="17" customWidth="1"/>
    <col min="3868" max="3868" width="13.7109375" style="17" bestFit="1" customWidth="1"/>
    <col min="3869" max="3869" width="17.28515625" style="17" customWidth="1"/>
    <col min="3870" max="3870" width="11" style="17" customWidth="1"/>
    <col min="3871" max="3871" width="12" style="17" bestFit="1" customWidth="1"/>
    <col min="3872" max="3872" width="14.85546875" style="17" customWidth="1"/>
    <col min="3873" max="4122" width="11.42578125" style="17"/>
    <col min="4123" max="4123" width="18.7109375" style="17" customWidth="1"/>
    <col min="4124" max="4124" width="13.7109375" style="17" bestFit="1" customWidth="1"/>
    <col min="4125" max="4125" width="17.28515625" style="17" customWidth="1"/>
    <col min="4126" max="4126" width="11" style="17" customWidth="1"/>
    <col min="4127" max="4127" width="12" style="17" bestFit="1" customWidth="1"/>
    <col min="4128" max="4128" width="14.85546875" style="17" customWidth="1"/>
    <col min="4129" max="4378" width="11.42578125" style="17"/>
    <col min="4379" max="4379" width="18.7109375" style="17" customWidth="1"/>
    <col min="4380" max="4380" width="13.7109375" style="17" bestFit="1" customWidth="1"/>
    <col min="4381" max="4381" width="17.28515625" style="17" customWidth="1"/>
    <col min="4382" max="4382" width="11" style="17" customWidth="1"/>
    <col min="4383" max="4383" width="12" style="17" bestFit="1" customWidth="1"/>
    <col min="4384" max="4384" width="14.85546875" style="17" customWidth="1"/>
    <col min="4385" max="4634" width="11.42578125" style="17"/>
    <col min="4635" max="4635" width="18.7109375" style="17" customWidth="1"/>
    <col min="4636" max="4636" width="13.7109375" style="17" bestFit="1" customWidth="1"/>
    <col min="4637" max="4637" width="17.28515625" style="17" customWidth="1"/>
    <col min="4638" max="4638" width="11" style="17" customWidth="1"/>
    <col min="4639" max="4639" width="12" style="17" bestFit="1" customWidth="1"/>
    <col min="4640" max="4640" width="14.85546875" style="17" customWidth="1"/>
    <col min="4641" max="4890" width="11.42578125" style="17"/>
    <col min="4891" max="4891" width="18.7109375" style="17" customWidth="1"/>
    <col min="4892" max="4892" width="13.7109375" style="17" bestFit="1" customWidth="1"/>
    <col min="4893" max="4893" width="17.28515625" style="17" customWidth="1"/>
    <col min="4894" max="4894" width="11" style="17" customWidth="1"/>
    <col min="4895" max="4895" width="12" style="17" bestFit="1" customWidth="1"/>
    <col min="4896" max="4896" width="14.85546875" style="17" customWidth="1"/>
    <col min="4897" max="5146" width="11.42578125" style="17"/>
    <col min="5147" max="5147" width="18.7109375" style="17" customWidth="1"/>
    <col min="5148" max="5148" width="13.7109375" style="17" bestFit="1" customWidth="1"/>
    <col min="5149" max="5149" width="17.28515625" style="17" customWidth="1"/>
    <col min="5150" max="5150" width="11" style="17" customWidth="1"/>
    <col min="5151" max="5151" width="12" style="17" bestFit="1" customWidth="1"/>
    <col min="5152" max="5152" width="14.85546875" style="17" customWidth="1"/>
    <col min="5153" max="5402" width="11.42578125" style="17"/>
    <col min="5403" max="5403" width="18.7109375" style="17" customWidth="1"/>
    <col min="5404" max="5404" width="13.7109375" style="17" bestFit="1" customWidth="1"/>
    <col min="5405" max="5405" width="17.28515625" style="17" customWidth="1"/>
    <col min="5406" max="5406" width="11" style="17" customWidth="1"/>
    <col min="5407" max="5407" width="12" style="17" bestFit="1" customWidth="1"/>
    <col min="5408" max="5408" width="14.85546875" style="17" customWidth="1"/>
    <col min="5409" max="5658" width="11.42578125" style="17"/>
    <col min="5659" max="5659" width="18.7109375" style="17" customWidth="1"/>
    <col min="5660" max="5660" width="13.7109375" style="17" bestFit="1" customWidth="1"/>
    <col min="5661" max="5661" width="17.28515625" style="17" customWidth="1"/>
    <col min="5662" max="5662" width="11" style="17" customWidth="1"/>
    <col min="5663" max="5663" width="12" style="17" bestFit="1" customWidth="1"/>
    <col min="5664" max="5664" width="14.85546875" style="17" customWidth="1"/>
    <col min="5665" max="5914" width="11.42578125" style="17"/>
    <col min="5915" max="5915" width="18.7109375" style="17" customWidth="1"/>
    <col min="5916" max="5916" width="13.7109375" style="17" bestFit="1" customWidth="1"/>
    <col min="5917" max="5917" width="17.28515625" style="17" customWidth="1"/>
    <col min="5918" max="5918" width="11" style="17" customWidth="1"/>
    <col min="5919" max="5919" width="12" style="17" bestFit="1" customWidth="1"/>
    <col min="5920" max="5920" width="14.85546875" style="17" customWidth="1"/>
    <col min="5921" max="6170" width="11.42578125" style="17"/>
    <col min="6171" max="6171" width="18.7109375" style="17" customWidth="1"/>
    <col min="6172" max="6172" width="13.7109375" style="17" bestFit="1" customWidth="1"/>
    <col min="6173" max="6173" width="17.28515625" style="17" customWidth="1"/>
    <col min="6174" max="6174" width="11" style="17" customWidth="1"/>
    <col min="6175" max="6175" width="12" style="17" bestFit="1" customWidth="1"/>
    <col min="6176" max="6176" width="14.85546875" style="17" customWidth="1"/>
    <col min="6177" max="6426" width="11.42578125" style="17"/>
    <col min="6427" max="6427" width="18.7109375" style="17" customWidth="1"/>
    <col min="6428" max="6428" width="13.7109375" style="17" bestFit="1" customWidth="1"/>
    <col min="6429" max="6429" width="17.28515625" style="17" customWidth="1"/>
    <col min="6430" max="6430" width="11" style="17" customWidth="1"/>
    <col min="6431" max="6431" width="12" style="17" bestFit="1" customWidth="1"/>
    <col min="6432" max="6432" width="14.85546875" style="17" customWidth="1"/>
    <col min="6433" max="6682" width="11.42578125" style="17"/>
    <col min="6683" max="6683" width="18.7109375" style="17" customWidth="1"/>
    <col min="6684" max="6684" width="13.7109375" style="17" bestFit="1" customWidth="1"/>
    <col min="6685" max="6685" width="17.28515625" style="17" customWidth="1"/>
    <col min="6686" max="6686" width="11" style="17" customWidth="1"/>
    <col min="6687" max="6687" width="12" style="17" bestFit="1" customWidth="1"/>
    <col min="6688" max="6688" width="14.85546875" style="17" customWidth="1"/>
    <col min="6689" max="6938" width="11.42578125" style="17"/>
    <col min="6939" max="6939" width="18.7109375" style="17" customWidth="1"/>
    <col min="6940" max="6940" width="13.7109375" style="17" bestFit="1" customWidth="1"/>
    <col min="6941" max="6941" width="17.28515625" style="17" customWidth="1"/>
    <col min="6942" max="6942" width="11" style="17" customWidth="1"/>
    <col min="6943" max="6943" width="12" style="17" bestFit="1" customWidth="1"/>
    <col min="6944" max="6944" width="14.85546875" style="17" customWidth="1"/>
    <col min="6945" max="7194" width="11.42578125" style="17"/>
    <col min="7195" max="7195" width="18.7109375" style="17" customWidth="1"/>
    <col min="7196" max="7196" width="13.7109375" style="17" bestFit="1" customWidth="1"/>
    <col min="7197" max="7197" width="17.28515625" style="17" customWidth="1"/>
    <col min="7198" max="7198" width="11" style="17" customWidth="1"/>
    <col min="7199" max="7199" width="12" style="17" bestFit="1" customWidth="1"/>
    <col min="7200" max="7200" width="14.85546875" style="17" customWidth="1"/>
    <col min="7201" max="7450" width="11.42578125" style="17"/>
    <col min="7451" max="7451" width="18.7109375" style="17" customWidth="1"/>
    <col min="7452" max="7452" width="13.7109375" style="17" bestFit="1" customWidth="1"/>
    <col min="7453" max="7453" width="17.28515625" style="17" customWidth="1"/>
    <col min="7454" max="7454" width="11" style="17" customWidth="1"/>
    <col min="7455" max="7455" width="12" style="17" bestFit="1" customWidth="1"/>
    <col min="7456" max="7456" width="14.85546875" style="17" customWidth="1"/>
    <col min="7457" max="7706" width="11.42578125" style="17"/>
    <col min="7707" max="7707" width="18.7109375" style="17" customWidth="1"/>
    <col min="7708" max="7708" width="13.7109375" style="17" bestFit="1" customWidth="1"/>
    <col min="7709" max="7709" width="17.28515625" style="17" customWidth="1"/>
    <col min="7710" max="7710" width="11" style="17" customWidth="1"/>
    <col min="7711" max="7711" width="12" style="17" bestFit="1" customWidth="1"/>
    <col min="7712" max="7712" width="14.85546875" style="17" customWidth="1"/>
    <col min="7713" max="7962" width="11.42578125" style="17"/>
    <col min="7963" max="7963" width="18.7109375" style="17" customWidth="1"/>
    <col min="7964" max="7964" width="13.7109375" style="17" bestFit="1" customWidth="1"/>
    <col min="7965" max="7965" width="17.28515625" style="17" customWidth="1"/>
    <col min="7966" max="7966" width="11" style="17" customWidth="1"/>
    <col min="7967" max="7967" width="12" style="17" bestFit="1" customWidth="1"/>
    <col min="7968" max="7968" width="14.85546875" style="17" customWidth="1"/>
    <col min="7969" max="8218" width="11.42578125" style="17"/>
    <col min="8219" max="8219" width="18.7109375" style="17" customWidth="1"/>
    <col min="8220" max="8220" width="13.7109375" style="17" bestFit="1" customWidth="1"/>
    <col min="8221" max="8221" width="17.28515625" style="17" customWidth="1"/>
    <col min="8222" max="8222" width="11" style="17" customWidth="1"/>
    <col min="8223" max="8223" width="12" style="17" bestFit="1" customWidth="1"/>
    <col min="8224" max="8224" width="14.85546875" style="17" customWidth="1"/>
    <col min="8225" max="8474" width="11.42578125" style="17"/>
    <col min="8475" max="8475" width="18.7109375" style="17" customWidth="1"/>
    <col min="8476" max="8476" width="13.7109375" style="17" bestFit="1" customWidth="1"/>
    <col min="8477" max="8477" width="17.28515625" style="17" customWidth="1"/>
    <col min="8478" max="8478" width="11" style="17" customWidth="1"/>
    <col min="8479" max="8479" width="12" style="17" bestFit="1" customWidth="1"/>
    <col min="8480" max="8480" width="14.85546875" style="17" customWidth="1"/>
    <col min="8481" max="8730" width="11.42578125" style="17"/>
    <col min="8731" max="8731" width="18.7109375" style="17" customWidth="1"/>
    <col min="8732" max="8732" width="13.7109375" style="17" bestFit="1" customWidth="1"/>
    <col min="8733" max="8733" width="17.28515625" style="17" customWidth="1"/>
    <col min="8734" max="8734" width="11" style="17" customWidth="1"/>
    <col min="8735" max="8735" width="12" style="17" bestFit="1" customWidth="1"/>
    <col min="8736" max="8736" width="14.85546875" style="17" customWidth="1"/>
    <col min="8737" max="8986" width="11.42578125" style="17"/>
    <col min="8987" max="8987" width="18.7109375" style="17" customWidth="1"/>
    <col min="8988" max="8988" width="13.7109375" style="17" bestFit="1" customWidth="1"/>
    <col min="8989" max="8989" width="17.28515625" style="17" customWidth="1"/>
    <col min="8990" max="8990" width="11" style="17" customWidth="1"/>
    <col min="8991" max="8991" width="12" style="17" bestFit="1" customWidth="1"/>
    <col min="8992" max="8992" width="14.85546875" style="17" customWidth="1"/>
    <col min="8993" max="9242" width="11.42578125" style="17"/>
    <col min="9243" max="9243" width="18.7109375" style="17" customWidth="1"/>
    <col min="9244" max="9244" width="13.7109375" style="17" bestFit="1" customWidth="1"/>
    <col min="9245" max="9245" width="17.28515625" style="17" customWidth="1"/>
    <col min="9246" max="9246" width="11" style="17" customWidth="1"/>
    <col min="9247" max="9247" width="12" style="17" bestFit="1" customWidth="1"/>
    <col min="9248" max="9248" width="14.85546875" style="17" customWidth="1"/>
    <col min="9249" max="9498" width="11.42578125" style="17"/>
    <col min="9499" max="9499" width="18.7109375" style="17" customWidth="1"/>
    <col min="9500" max="9500" width="13.7109375" style="17" bestFit="1" customWidth="1"/>
    <col min="9501" max="9501" width="17.28515625" style="17" customWidth="1"/>
    <col min="9502" max="9502" width="11" style="17" customWidth="1"/>
    <col min="9503" max="9503" width="12" style="17" bestFit="1" customWidth="1"/>
    <col min="9504" max="9504" width="14.85546875" style="17" customWidth="1"/>
    <col min="9505" max="9754" width="11.42578125" style="17"/>
    <col min="9755" max="9755" width="18.7109375" style="17" customWidth="1"/>
    <col min="9756" max="9756" width="13.7109375" style="17" bestFit="1" customWidth="1"/>
    <col min="9757" max="9757" width="17.28515625" style="17" customWidth="1"/>
    <col min="9758" max="9758" width="11" style="17" customWidth="1"/>
    <col min="9759" max="9759" width="12" style="17" bestFit="1" customWidth="1"/>
    <col min="9760" max="9760" width="14.85546875" style="17" customWidth="1"/>
    <col min="9761" max="10010" width="11.42578125" style="17"/>
    <col min="10011" max="10011" width="18.7109375" style="17" customWidth="1"/>
    <col min="10012" max="10012" width="13.7109375" style="17" bestFit="1" customWidth="1"/>
    <col min="10013" max="10013" width="17.28515625" style="17" customWidth="1"/>
    <col min="10014" max="10014" width="11" style="17" customWidth="1"/>
    <col min="10015" max="10015" width="12" style="17" bestFit="1" customWidth="1"/>
    <col min="10016" max="10016" width="14.85546875" style="17" customWidth="1"/>
    <col min="10017" max="10266" width="11.42578125" style="17"/>
    <col min="10267" max="10267" width="18.7109375" style="17" customWidth="1"/>
    <col min="10268" max="10268" width="13.7109375" style="17" bestFit="1" customWidth="1"/>
    <col min="10269" max="10269" width="17.28515625" style="17" customWidth="1"/>
    <col min="10270" max="10270" width="11" style="17" customWidth="1"/>
    <col min="10271" max="10271" width="12" style="17" bestFit="1" customWidth="1"/>
    <col min="10272" max="10272" width="14.85546875" style="17" customWidth="1"/>
    <col min="10273" max="10522" width="11.42578125" style="17"/>
    <col min="10523" max="10523" width="18.7109375" style="17" customWidth="1"/>
    <col min="10524" max="10524" width="13.7109375" style="17" bestFit="1" customWidth="1"/>
    <col min="10525" max="10525" width="17.28515625" style="17" customWidth="1"/>
    <col min="10526" max="10526" width="11" style="17" customWidth="1"/>
    <col min="10527" max="10527" width="12" style="17" bestFit="1" customWidth="1"/>
    <col min="10528" max="10528" width="14.85546875" style="17" customWidth="1"/>
    <col min="10529" max="10778" width="11.42578125" style="17"/>
    <col min="10779" max="10779" width="18.7109375" style="17" customWidth="1"/>
    <col min="10780" max="10780" width="13.7109375" style="17" bestFit="1" customWidth="1"/>
    <col min="10781" max="10781" width="17.28515625" style="17" customWidth="1"/>
    <col min="10782" max="10782" width="11" style="17" customWidth="1"/>
    <col min="10783" max="10783" width="12" style="17" bestFit="1" customWidth="1"/>
    <col min="10784" max="10784" width="14.85546875" style="17" customWidth="1"/>
    <col min="10785" max="11034" width="11.42578125" style="17"/>
    <col min="11035" max="11035" width="18.7109375" style="17" customWidth="1"/>
    <col min="11036" max="11036" width="13.7109375" style="17" bestFit="1" customWidth="1"/>
    <col min="11037" max="11037" width="17.28515625" style="17" customWidth="1"/>
    <col min="11038" max="11038" width="11" style="17" customWidth="1"/>
    <col min="11039" max="11039" width="12" style="17" bestFit="1" customWidth="1"/>
    <col min="11040" max="11040" width="14.85546875" style="17" customWidth="1"/>
    <col min="11041" max="11290" width="11.42578125" style="17"/>
    <col min="11291" max="11291" width="18.7109375" style="17" customWidth="1"/>
    <col min="11292" max="11292" width="13.7109375" style="17" bestFit="1" customWidth="1"/>
    <col min="11293" max="11293" width="17.28515625" style="17" customWidth="1"/>
    <col min="11294" max="11294" width="11" style="17" customWidth="1"/>
    <col min="11295" max="11295" width="12" style="17" bestFit="1" customWidth="1"/>
    <col min="11296" max="11296" width="14.85546875" style="17" customWidth="1"/>
    <col min="11297" max="11546" width="11.42578125" style="17"/>
    <col min="11547" max="11547" width="18.7109375" style="17" customWidth="1"/>
    <col min="11548" max="11548" width="13.7109375" style="17" bestFit="1" customWidth="1"/>
    <col min="11549" max="11549" width="17.28515625" style="17" customWidth="1"/>
    <col min="11550" max="11550" width="11" style="17" customWidth="1"/>
    <col min="11551" max="11551" width="12" style="17" bestFit="1" customWidth="1"/>
    <col min="11552" max="11552" width="14.85546875" style="17" customWidth="1"/>
    <col min="11553" max="11802" width="11.42578125" style="17"/>
    <col min="11803" max="11803" width="18.7109375" style="17" customWidth="1"/>
    <col min="11804" max="11804" width="13.7109375" style="17" bestFit="1" customWidth="1"/>
    <col min="11805" max="11805" width="17.28515625" style="17" customWidth="1"/>
    <col min="11806" max="11806" width="11" style="17" customWidth="1"/>
    <col min="11807" max="11807" width="12" style="17" bestFit="1" customWidth="1"/>
    <col min="11808" max="11808" width="14.85546875" style="17" customWidth="1"/>
    <col min="11809" max="12058" width="11.42578125" style="17"/>
    <col min="12059" max="12059" width="18.7109375" style="17" customWidth="1"/>
    <col min="12060" max="12060" width="13.7109375" style="17" bestFit="1" customWidth="1"/>
    <col min="12061" max="12061" width="17.28515625" style="17" customWidth="1"/>
    <col min="12062" max="12062" width="11" style="17" customWidth="1"/>
    <col min="12063" max="12063" width="12" style="17" bestFit="1" customWidth="1"/>
    <col min="12064" max="12064" width="14.85546875" style="17" customWidth="1"/>
    <col min="12065" max="12314" width="11.42578125" style="17"/>
    <col min="12315" max="12315" width="18.7109375" style="17" customWidth="1"/>
    <col min="12316" max="12316" width="13.7109375" style="17" bestFit="1" customWidth="1"/>
    <col min="12317" max="12317" width="17.28515625" style="17" customWidth="1"/>
    <col min="12318" max="12318" width="11" style="17" customWidth="1"/>
    <col min="12319" max="12319" width="12" style="17" bestFit="1" customWidth="1"/>
    <col min="12320" max="12320" width="14.85546875" style="17" customWidth="1"/>
    <col min="12321" max="12570" width="11.42578125" style="17"/>
    <col min="12571" max="12571" width="18.7109375" style="17" customWidth="1"/>
    <col min="12572" max="12572" width="13.7109375" style="17" bestFit="1" customWidth="1"/>
    <col min="12573" max="12573" width="17.28515625" style="17" customWidth="1"/>
    <col min="12574" max="12574" width="11" style="17" customWidth="1"/>
    <col min="12575" max="12575" width="12" style="17" bestFit="1" customWidth="1"/>
    <col min="12576" max="12576" width="14.85546875" style="17" customWidth="1"/>
    <col min="12577" max="12826" width="11.42578125" style="17"/>
    <col min="12827" max="12827" width="18.7109375" style="17" customWidth="1"/>
    <col min="12828" max="12828" width="13.7109375" style="17" bestFit="1" customWidth="1"/>
    <col min="12829" max="12829" width="17.28515625" style="17" customWidth="1"/>
    <col min="12830" max="12830" width="11" style="17" customWidth="1"/>
    <col min="12831" max="12831" width="12" style="17" bestFit="1" customWidth="1"/>
    <col min="12832" max="12832" width="14.85546875" style="17" customWidth="1"/>
    <col min="12833" max="13082" width="11.42578125" style="17"/>
    <col min="13083" max="13083" width="18.7109375" style="17" customWidth="1"/>
    <col min="13084" max="13084" width="13.7109375" style="17" bestFit="1" customWidth="1"/>
    <col min="13085" max="13085" width="17.28515625" style="17" customWidth="1"/>
    <col min="13086" max="13086" width="11" style="17" customWidth="1"/>
    <col min="13087" max="13087" width="12" style="17" bestFit="1" customWidth="1"/>
    <col min="13088" max="13088" width="14.85546875" style="17" customWidth="1"/>
    <col min="13089" max="13338" width="11.42578125" style="17"/>
    <col min="13339" max="13339" width="18.7109375" style="17" customWidth="1"/>
    <col min="13340" max="13340" width="13.7109375" style="17" bestFit="1" customWidth="1"/>
    <col min="13341" max="13341" width="17.28515625" style="17" customWidth="1"/>
    <col min="13342" max="13342" width="11" style="17" customWidth="1"/>
    <col min="13343" max="13343" width="12" style="17" bestFit="1" customWidth="1"/>
    <col min="13344" max="13344" width="14.85546875" style="17" customWidth="1"/>
    <col min="13345" max="13594" width="11.42578125" style="17"/>
    <col min="13595" max="13595" width="18.7109375" style="17" customWidth="1"/>
    <col min="13596" max="13596" width="13.7109375" style="17" bestFit="1" customWidth="1"/>
    <col min="13597" max="13597" width="17.28515625" style="17" customWidth="1"/>
    <col min="13598" max="13598" width="11" style="17" customWidth="1"/>
    <col min="13599" max="13599" width="12" style="17" bestFit="1" customWidth="1"/>
    <col min="13600" max="13600" width="14.85546875" style="17" customWidth="1"/>
    <col min="13601" max="13850" width="11.42578125" style="17"/>
    <col min="13851" max="13851" width="18.7109375" style="17" customWidth="1"/>
    <col min="13852" max="13852" width="13.7109375" style="17" bestFit="1" customWidth="1"/>
    <col min="13853" max="13853" width="17.28515625" style="17" customWidth="1"/>
    <col min="13854" max="13854" width="11" style="17" customWidth="1"/>
    <col min="13855" max="13855" width="12" style="17" bestFit="1" customWidth="1"/>
    <col min="13856" max="13856" width="14.85546875" style="17" customWidth="1"/>
    <col min="13857" max="14106" width="11.42578125" style="17"/>
    <col min="14107" max="14107" width="18.7109375" style="17" customWidth="1"/>
    <col min="14108" max="14108" width="13.7109375" style="17" bestFit="1" customWidth="1"/>
    <col min="14109" max="14109" width="17.28515625" style="17" customWidth="1"/>
    <col min="14110" max="14110" width="11" style="17" customWidth="1"/>
    <col min="14111" max="14111" width="12" style="17" bestFit="1" customWidth="1"/>
    <col min="14112" max="14112" width="14.85546875" style="17" customWidth="1"/>
    <col min="14113" max="14362" width="11.42578125" style="17"/>
    <col min="14363" max="14363" width="18.7109375" style="17" customWidth="1"/>
    <col min="14364" max="14364" width="13.7109375" style="17" bestFit="1" customWidth="1"/>
    <col min="14365" max="14365" width="17.28515625" style="17" customWidth="1"/>
    <col min="14366" max="14366" width="11" style="17" customWidth="1"/>
    <col min="14367" max="14367" width="12" style="17" bestFit="1" customWidth="1"/>
    <col min="14368" max="14368" width="14.85546875" style="17" customWidth="1"/>
    <col min="14369" max="14618" width="11.42578125" style="17"/>
    <col min="14619" max="14619" width="18.7109375" style="17" customWidth="1"/>
    <col min="14620" max="14620" width="13.7109375" style="17" bestFit="1" customWidth="1"/>
    <col min="14621" max="14621" width="17.28515625" style="17" customWidth="1"/>
    <col min="14622" max="14622" width="11" style="17" customWidth="1"/>
    <col min="14623" max="14623" width="12" style="17" bestFit="1" customWidth="1"/>
    <col min="14624" max="14624" width="14.85546875" style="17" customWidth="1"/>
    <col min="14625" max="14874" width="11.42578125" style="17"/>
    <col min="14875" max="14875" width="18.7109375" style="17" customWidth="1"/>
    <col min="14876" max="14876" width="13.7109375" style="17" bestFit="1" customWidth="1"/>
    <col min="14877" max="14877" width="17.28515625" style="17" customWidth="1"/>
    <col min="14878" max="14878" width="11" style="17" customWidth="1"/>
    <col min="14879" max="14879" width="12" style="17" bestFit="1" customWidth="1"/>
    <col min="14880" max="14880" width="14.85546875" style="17" customWidth="1"/>
    <col min="14881" max="15130" width="11.42578125" style="17"/>
    <col min="15131" max="15131" width="18.7109375" style="17" customWidth="1"/>
    <col min="15132" max="15132" width="13.7109375" style="17" bestFit="1" customWidth="1"/>
    <col min="15133" max="15133" width="17.28515625" style="17" customWidth="1"/>
    <col min="15134" max="15134" width="11" style="17" customWidth="1"/>
    <col min="15135" max="15135" width="12" style="17" bestFit="1" customWidth="1"/>
    <col min="15136" max="15136" width="14.85546875" style="17" customWidth="1"/>
    <col min="15137" max="15386" width="11.42578125" style="17"/>
    <col min="15387" max="15387" width="18.7109375" style="17" customWidth="1"/>
    <col min="15388" max="15388" width="13.7109375" style="17" bestFit="1" customWidth="1"/>
    <col min="15389" max="15389" width="17.28515625" style="17" customWidth="1"/>
    <col min="15390" max="15390" width="11" style="17" customWidth="1"/>
    <col min="15391" max="15391" width="12" style="17" bestFit="1" customWidth="1"/>
    <col min="15392" max="15392" width="14.85546875" style="17" customWidth="1"/>
    <col min="15393" max="15642" width="11.42578125" style="17"/>
    <col min="15643" max="15643" width="18.7109375" style="17" customWidth="1"/>
    <col min="15644" max="15644" width="13.7109375" style="17" bestFit="1" customWidth="1"/>
    <col min="15645" max="15645" width="17.28515625" style="17" customWidth="1"/>
    <col min="15646" max="15646" width="11" style="17" customWidth="1"/>
    <col min="15647" max="15647" width="12" style="17" bestFit="1" customWidth="1"/>
    <col min="15648" max="15648" width="14.85546875" style="17" customWidth="1"/>
    <col min="15649" max="15898" width="11.42578125" style="17"/>
    <col min="15899" max="15899" width="18.7109375" style="17" customWidth="1"/>
    <col min="15900" max="15900" width="13.7109375" style="17" bestFit="1" customWidth="1"/>
    <col min="15901" max="15901" width="17.28515625" style="17" customWidth="1"/>
    <col min="15902" max="15902" width="11" style="17" customWidth="1"/>
    <col min="15903" max="15903" width="12" style="17" bestFit="1" customWidth="1"/>
    <col min="15904" max="15904" width="14.85546875" style="17" customWidth="1"/>
    <col min="15905" max="16154" width="11.42578125" style="17"/>
    <col min="16155" max="16155" width="18.7109375" style="17" customWidth="1"/>
    <col min="16156" max="16156" width="13.7109375" style="17" bestFit="1" customWidth="1"/>
    <col min="16157" max="16157" width="17.28515625" style="17" customWidth="1"/>
    <col min="16158" max="16158" width="11" style="17" customWidth="1"/>
    <col min="16159" max="16159" width="12" style="17" bestFit="1" customWidth="1"/>
    <col min="16160" max="16160" width="14.85546875" style="17" customWidth="1"/>
    <col min="16161" max="16384" width="11.42578125" style="17"/>
  </cols>
  <sheetData>
    <row r="2" spans="1:37" x14ac:dyDescent="0.2">
      <c r="A2" s="17" t="s">
        <v>70</v>
      </c>
      <c r="B2" s="66">
        <f>'pooled normalised values'!B75</f>
        <v>0.1761917729053305</v>
      </c>
      <c r="D2" s="17" t="s">
        <v>9</v>
      </c>
      <c r="E2" s="18"/>
      <c r="F2" s="19" t="str">
        <f>'pooled normalised values'!J74</f>
        <v>Prochloraz-0,13mg/L</v>
      </c>
      <c r="G2" s="19" t="str">
        <f>'pooled normalised values'!K74</f>
        <v>Prochloraz-0,25mg/L</v>
      </c>
      <c r="H2" s="19" t="str">
        <f>'pooled normalised values'!L74</f>
        <v>Prochloraz-0,5mg/L</v>
      </c>
      <c r="I2" s="19" t="str">
        <f>'pooled normalised values'!M74</f>
        <v>Prochloraz-1mg/L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Prochloraz-0.063mg/L + Testostérone</v>
      </c>
      <c r="W2" s="19" t="str">
        <f>'pooled normalised values'!S74</f>
        <v>Prochloraz-0.13mg/L + Testostérone</v>
      </c>
      <c r="X2" s="19" t="str">
        <f>'pooled normalised values'!T74</f>
        <v>Prochloraz-0.25mg/L + Testostérone</v>
      </c>
      <c r="Y2" s="19" t="str">
        <f>'pooled normalised values'!U74</f>
        <v>Prochloraz-0.5mg/L + Testostérone</v>
      </c>
      <c r="Z2" s="19" t="str">
        <f>'pooled normalised values'!V74</f>
        <v>Prochloraz-1mg/L + Testostérone</v>
      </c>
      <c r="AA2" s="19" t="str">
        <f>'pooled normalised values'!W74</f>
        <v>0-00 + Testostérone</v>
      </c>
      <c r="AB2" s="19" t="str">
        <f>'pooled normalised values'!X74</f>
        <v>0-00 + Testostérone</v>
      </c>
      <c r="AC2" s="19" t="str">
        <f>'pooled normalised values'!Y74</f>
        <v>0-00 + Testostérone</v>
      </c>
      <c r="AD2" s="19" t="str">
        <f>'pooled normalised values'!Z74</f>
        <v>0-00 + Testostérone</v>
      </c>
      <c r="AE2" s="19" t="str">
        <f>'pooled normalised values'!AA74</f>
        <v>0-00 + Testostérone</v>
      </c>
      <c r="AF2" s="19" t="str">
        <f>'pooled normalised values'!AB74</f>
        <v>0-00 + Testostérone</v>
      </c>
      <c r="AG2" s="19" t="str">
        <f>'pooled normalised values'!AC74</f>
        <v>0-00 + Testostérone</v>
      </c>
      <c r="AH2" s="19" t="str">
        <f>'pooled normalised values'!AD74</f>
        <v>0-00 + Testostérone</v>
      </c>
      <c r="AI2" s="19" t="str">
        <f>'pooled normalised values'!AK74</f>
        <v>0-00 + Testostérone</v>
      </c>
      <c r="AJ2" s="20"/>
      <c r="AK2" s="17" t="s">
        <v>9</v>
      </c>
    </row>
    <row r="3" spans="1:37" x14ac:dyDescent="0.2">
      <c r="A3" s="17" t="s">
        <v>71</v>
      </c>
      <c r="B3" s="66">
        <f>'summary results'!E6</f>
        <v>0</v>
      </c>
      <c r="D3" s="21" t="s">
        <v>10</v>
      </c>
      <c r="E3" s="22"/>
      <c r="F3" s="19">
        <f>HLOOKUP(F2,'pooled normalised values'!B74:AK83,2,FALSE)</f>
        <v>0.15288605642303019</v>
      </c>
      <c r="G3" s="19">
        <f>HLOOKUP(G2,'pooled normalised values'!C74:AL83,2,FALSE)</f>
        <v>0.19447407328192554</v>
      </c>
      <c r="H3" s="19">
        <f>HLOOKUP(H2,'pooled normalised values'!C74:AM83,2,FALSE)</f>
        <v>0.21820997422941185</v>
      </c>
      <c r="I3" s="19">
        <f>HLOOKUP(I2,'pooled normalised values'!D74:AN83,2,FALSE)</f>
        <v>0.26038366020204934</v>
      </c>
      <c r="J3" s="19" t="e">
        <f>HLOOKUP(J2,'pooled normalised values'!E74:AO83,2,FALSE)</f>
        <v>#REF!</v>
      </c>
      <c r="K3" s="19" t="e">
        <f>HLOOKUP(K2,'pooled normalised values'!F74:AP83,2,FALSE)</f>
        <v>#REF!</v>
      </c>
      <c r="L3" s="19" t="e">
        <f>HLOOKUP(L2,'pooled normalised values'!G74:AQ83,2,FALSE)</f>
        <v>#REF!</v>
      </c>
      <c r="M3" s="19" t="e">
        <f>HLOOKUP(M2,'pooled normalised values'!H74:AR83,2,FALSE)</f>
        <v>#REF!</v>
      </c>
      <c r="N3" s="19" t="e">
        <f>HLOOKUP(N2,'pooled normalised values'!I74:AS83,2,FALSE)</f>
        <v>#REF!</v>
      </c>
      <c r="O3" s="19" t="e">
        <f>HLOOKUP(O2,'pooled normalised values'!J74:AT83,2,FALSE)</f>
        <v>#REF!</v>
      </c>
      <c r="P3" s="19" t="e">
        <f>HLOOKUP(P2,'pooled normalised values'!K74:AU83,2,FALSE)</f>
        <v>#REF!</v>
      </c>
      <c r="Q3" s="19" t="e">
        <f>HLOOKUP(Q2,'pooled normalised values'!L74:AV83,2,FALSE)</f>
        <v>#REF!</v>
      </c>
      <c r="R3" s="19" t="e">
        <f>HLOOKUP(R2,'pooled normalised values'!M74:AW83,2,FALSE)</f>
        <v>#REF!</v>
      </c>
      <c r="S3" s="19" t="e">
        <f>HLOOKUP(S2,'pooled normalised values'!N74:AX83,2,FALSE)</f>
        <v>#REF!</v>
      </c>
      <c r="T3" s="22"/>
      <c r="U3" s="20"/>
      <c r="V3" s="19">
        <f>HLOOKUP(V2,'pooled normalised values'!N74:BA83,2,FALSE)</f>
        <v>1.0724905773816678</v>
      </c>
      <c r="W3" s="19">
        <f>HLOOKUP(W2,'pooled normalised values'!N74:BB83,2,FALSE)</f>
        <v>1.0198364706741305</v>
      </c>
      <c r="X3" s="19">
        <f>HLOOKUP(X2,'pooled normalised values'!N74:BC83,2,FALSE)</f>
        <v>1.7589638293529548</v>
      </c>
      <c r="Y3" s="19">
        <f>HLOOKUP(Y2,'pooled normalised values'!N74:BD83,2,FALSE)</f>
        <v>0.88457464697723298</v>
      </c>
      <c r="Z3" s="19">
        <f>HLOOKUP(Z2,'pooled normalised values'!N74:BE83,2,FALSE)</f>
        <v>0.71539361382190625</v>
      </c>
      <c r="AA3" s="19" t="e">
        <f>HLOOKUP(AA2,'pooled normalised values'!N74:BF83,2,FALSE)</f>
        <v>#DIV/0!</v>
      </c>
      <c r="AB3" s="19" t="e">
        <f>HLOOKUP(AB2,'pooled normalised values'!N74:BG83,2,FALSE)</f>
        <v>#DIV/0!</v>
      </c>
      <c r="AC3" s="19" t="e">
        <f>HLOOKUP(AC2,'pooled normalised values'!N74:BH83,2,FALSE)</f>
        <v>#DIV/0!</v>
      </c>
      <c r="AD3" s="19" t="e">
        <f>HLOOKUP(AD2,'pooled normalised values'!N74:BI83,2,FALSE)</f>
        <v>#DIV/0!</v>
      </c>
      <c r="AE3" s="19" t="e">
        <f>HLOOKUP(AE2,'pooled normalised values'!N74:BJ83,2,FALSE)</f>
        <v>#DIV/0!</v>
      </c>
      <c r="AF3" s="19" t="e">
        <f>HLOOKUP(AF2,'pooled normalised values'!N74:BK83,2,FALSE)</f>
        <v>#DIV/0!</v>
      </c>
      <c r="AG3" s="19" t="e">
        <f>HLOOKUP(AG2,'pooled normalised values'!N74:BL83,2,FALSE)</f>
        <v>#DIV/0!</v>
      </c>
      <c r="AH3" s="19" t="e">
        <f>HLOOKUP(AH2,'pooled normalised values'!N74:BM83,2,FALSE)</f>
        <v>#DIV/0!</v>
      </c>
      <c r="AI3" s="19" t="e">
        <f>HLOOKUP(AI2,'pooled normalised values'!N74:BN83,2,FALSE)</f>
        <v>#DIV/0!</v>
      </c>
      <c r="AJ3" s="20"/>
      <c r="AK3" s="21" t="s">
        <v>10</v>
      </c>
    </row>
    <row r="4" spans="1:37" x14ac:dyDescent="0.2">
      <c r="A4" s="17" t="s">
        <v>72</v>
      </c>
      <c r="B4" s="66">
        <f>'pooled normalised values'!O75</f>
        <v>1.0000000000000002</v>
      </c>
      <c r="D4" s="21" t="s">
        <v>2</v>
      </c>
      <c r="E4" s="22"/>
      <c r="F4" s="19">
        <f>HLOOKUP(F2,'pooled normalised values'!B74:AK83,3,FALSE)</f>
        <v>2.0255552020591774E-2</v>
      </c>
      <c r="G4" s="19">
        <f>HLOOKUP(G2,'pooled normalised values'!C74:AL83,3,FALSE)</f>
        <v>2.8933670909426643E-2</v>
      </c>
      <c r="H4" s="19">
        <f>HLOOKUP(H2,'pooled normalised values'!C74:AM83,3,FALSE)</f>
        <v>2.199699606471189E-2</v>
      </c>
      <c r="I4" s="19">
        <f>HLOOKUP(I2,'pooled normalised values'!D74:AN83,3,FALSE)</f>
        <v>3.0435409140734535E-2</v>
      </c>
      <c r="J4" s="19" t="e">
        <f>HLOOKUP(J2,'pooled normalised values'!E74:AO83,3,FALSE)</f>
        <v>#REF!</v>
      </c>
      <c r="K4" s="19" t="e">
        <f>HLOOKUP(K2,'pooled normalised values'!F74:AP83,3,FALSE)</f>
        <v>#REF!</v>
      </c>
      <c r="L4" s="19" t="e">
        <f>HLOOKUP(L2,'pooled normalised values'!G74:AQ83,3,FALSE)</f>
        <v>#REF!</v>
      </c>
      <c r="M4" s="19" t="e">
        <f>HLOOKUP(M2,'pooled normalised values'!H74:AR83,3,FALSE)</f>
        <v>#REF!</v>
      </c>
      <c r="N4" s="19" t="e">
        <f>HLOOKUP(N2,'pooled normalised values'!I74:AS83,3,FALSE)</f>
        <v>#REF!</v>
      </c>
      <c r="O4" s="19" t="e">
        <f>HLOOKUP(O2,'pooled normalised values'!J74:AT83,3,FALSE)</f>
        <v>#REF!</v>
      </c>
      <c r="P4" s="19" t="e">
        <f>HLOOKUP(P2,'pooled normalised values'!K74:AU83,3,FALSE)</f>
        <v>#REF!</v>
      </c>
      <c r="Q4" s="19" t="e">
        <f>HLOOKUP(Q2,'pooled normalised values'!L74:AV83,3,FALSE)</f>
        <v>#REF!</v>
      </c>
      <c r="R4" s="19" t="e">
        <f>HLOOKUP(R2,'pooled normalised values'!M74:AW83,3,FALSE)</f>
        <v>#REF!</v>
      </c>
      <c r="S4" s="19" t="e">
        <f>HLOOKUP(S2,'pooled normalised values'!N74:AX83,3,FALSE)</f>
        <v>#REF!</v>
      </c>
      <c r="T4" s="22"/>
      <c r="U4" s="20"/>
      <c r="V4" s="19">
        <f>HLOOKUP(V2,'pooled normalised values'!N74:BA83,3,FALSE)</f>
        <v>0.20221060178736505</v>
      </c>
      <c r="W4" s="19">
        <f>HLOOKUP(W2,'pooled normalised values'!N74:BB83,3,FALSE)</f>
        <v>0.16519817004261689</v>
      </c>
      <c r="X4" s="19">
        <f>HLOOKUP(X2,'pooled normalised values'!N74:BC83,3,FALSE)</f>
        <v>0.38343803780849234</v>
      </c>
      <c r="Y4" s="19">
        <f>HLOOKUP(Y2,'pooled normalised values'!N74:BD83,3,FALSE)</f>
        <v>0.10502031135173165</v>
      </c>
      <c r="Z4" s="19">
        <f>HLOOKUP(Z2,'pooled normalised values'!N74:BE83,3,FALSE)</f>
        <v>0.13724384547120111</v>
      </c>
      <c r="AA4" s="19" t="e">
        <f>HLOOKUP(AA2,'pooled normalised values'!N74:BF83,3,FALSE)</f>
        <v>#DIV/0!</v>
      </c>
      <c r="AB4" s="19" t="e">
        <f>HLOOKUP(AB2,'pooled normalised values'!N74:BG83,3,FALSE)</f>
        <v>#DIV/0!</v>
      </c>
      <c r="AC4" s="19" t="e">
        <f>HLOOKUP(AC2,'pooled normalised values'!N74:BH83,3,FALSE)</f>
        <v>#DIV/0!</v>
      </c>
      <c r="AD4" s="19" t="e">
        <f>HLOOKUP(AD2,'pooled normalised values'!N74:BI83,3,FALSE)</f>
        <v>#DIV/0!</v>
      </c>
      <c r="AE4" s="19" t="e">
        <f>HLOOKUP(AE2,'pooled normalised values'!N74:BJ83,3,FALSE)</f>
        <v>#DIV/0!</v>
      </c>
      <c r="AF4" s="19" t="e">
        <f>HLOOKUP(AF2,'pooled normalised values'!N74:BK83,3,FALSE)</f>
        <v>#DIV/0!</v>
      </c>
      <c r="AG4" s="19" t="e">
        <f>HLOOKUP(AG2,'pooled normalised values'!N74:BL83,3,FALSE)</f>
        <v>#DIV/0!</v>
      </c>
      <c r="AH4" s="19" t="e">
        <f>HLOOKUP(AH2,'pooled normalised values'!N74:BM83,3,FALSE)</f>
        <v>#DIV/0!</v>
      </c>
      <c r="AI4" s="19" t="e">
        <f>HLOOKUP(AI2,'pooled normalised values'!N74:BN83,3,FALSE)</f>
        <v>#DIV/0!</v>
      </c>
      <c r="AJ4" s="20"/>
      <c r="AK4" s="21" t="s">
        <v>2</v>
      </c>
    </row>
    <row r="5" spans="1:37" x14ac:dyDescent="0.2">
      <c r="A5" s="17" t="s">
        <v>73</v>
      </c>
      <c r="B5" s="66">
        <f>'pooled normalised values'!P75</f>
        <v>2.8382114886089091</v>
      </c>
      <c r="D5" s="23" t="s">
        <v>11</v>
      </c>
      <c r="E5" s="22"/>
      <c r="F5" s="19" t="str">
        <f>HLOOKUP(F2,'pooled normalised values'!B74:AK83,10,FALSE)</f>
        <v>NS</v>
      </c>
      <c r="G5" s="19" t="str">
        <f>HLOOKUP(G2,'pooled normalised values'!C74:AL83,10,FALSE)</f>
        <v>NS</v>
      </c>
      <c r="H5" s="19" t="str">
        <f>HLOOKUP(H2,'pooled normalised values'!C74:AM83,10,FALSE)</f>
        <v>NS</v>
      </c>
      <c r="I5" s="19" t="str">
        <f>HLOOKUP(I2,'pooled normalised values'!D74:AN83,10,FALSE)</f>
        <v>NS</v>
      </c>
      <c r="J5" s="19" t="e">
        <f>HLOOKUP(J2,'pooled normalised values'!E74:AO83,10,FALSE)</f>
        <v>#REF!</v>
      </c>
      <c r="K5" s="19" t="e">
        <f>HLOOKUP(K2,'pooled normalised values'!F74:AP83,10,FALSE)</f>
        <v>#REF!</v>
      </c>
      <c r="L5" s="19" t="e">
        <f>HLOOKUP(L2,'pooled normalised values'!G74:AQ83,10,FALSE)</f>
        <v>#REF!</v>
      </c>
      <c r="M5" s="19" t="e">
        <f>HLOOKUP(M2,'pooled normalised values'!H74:AR83,10,FALSE)</f>
        <v>#REF!</v>
      </c>
      <c r="N5" s="19" t="e">
        <f>HLOOKUP(N2,'pooled normalised values'!I74:AS83,10,FALSE)</f>
        <v>#REF!</v>
      </c>
      <c r="O5" s="19" t="e">
        <f>HLOOKUP(O2,'pooled normalised values'!J74:AT83,10,FALSE)</f>
        <v>#REF!</v>
      </c>
      <c r="P5" s="19" t="e">
        <f>HLOOKUP(P2,'pooled normalised values'!K74:AU83,10,FALSE)</f>
        <v>#REF!</v>
      </c>
      <c r="Q5" s="19" t="e">
        <f>HLOOKUP(Q2,'pooled normalised values'!L74:AV83,10,FALSE)</f>
        <v>#REF!</v>
      </c>
      <c r="R5" s="19" t="e">
        <f>HLOOKUP(R2,'pooled normalised values'!M74:AW83,10,FALSE)</f>
        <v>#REF!</v>
      </c>
      <c r="S5" s="19" t="e">
        <f>HLOOKUP(S2,'pooled normalised values'!N74:AX83,10,FALSE)</f>
        <v>#REF!</v>
      </c>
      <c r="T5" s="22"/>
      <c r="U5" s="20"/>
      <c r="V5" s="19" t="str">
        <f>HLOOKUP(V2,'pooled normalised values'!N74:BA83,10,FALSE)</f>
        <v>NS</v>
      </c>
      <c r="W5" s="19" t="str">
        <f>HLOOKUP(W2,'pooled normalised values'!N74:BB83,10,FALSE)</f>
        <v>NS</v>
      </c>
      <c r="X5" s="19" t="str">
        <f>HLOOKUP(X2,'pooled normalised values'!N74:BC83,10,FALSE)</f>
        <v>NS</v>
      </c>
      <c r="Y5" s="19" t="str">
        <f>HLOOKUP(Y2,'pooled normalised values'!N74:BD83,10,FALSE)</f>
        <v>NS</v>
      </c>
      <c r="Z5" s="19" t="str">
        <f>HLOOKUP(Z2,'pooled normalised values'!N74:BE83,10,FALSE)</f>
        <v>NS</v>
      </c>
      <c r="AA5" s="19" t="e">
        <f ca="1">HLOOKUP(AA2,'pooled normalised values'!N74:BF83,10,FALSE)</f>
        <v>#NAME?</v>
      </c>
      <c r="AB5" s="19" t="e">
        <f ca="1">HLOOKUP(AB2,'pooled normalised values'!N74:BG83,10,FALSE)</f>
        <v>#NAME?</v>
      </c>
      <c r="AC5" s="19" t="e">
        <f ca="1">HLOOKUP(AC2,'pooled normalised values'!N74:BH83,10,FALSE)</f>
        <v>#NAME?</v>
      </c>
      <c r="AD5" s="19" t="e">
        <f ca="1">HLOOKUP(AD2,'pooled normalised values'!N74:BI83,10,FALSE)</f>
        <v>#NAME?</v>
      </c>
      <c r="AE5" s="19" t="e">
        <f ca="1">HLOOKUP(AE2,'pooled normalised values'!N74:BJ83,10,FALSE)</f>
        <v>#NAME?</v>
      </c>
      <c r="AF5" s="19" t="e">
        <f ca="1">HLOOKUP(AF2,'pooled normalised values'!N74:BK83,10,FALSE)</f>
        <v>#NAME?</v>
      </c>
      <c r="AG5" s="19" t="e">
        <f ca="1">HLOOKUP(AG2,'pooled normalised values'!N74:BL83,10,FALSE)</f>
        <v>#NAME?</v>
      </c>
      <c r="AH5" s="19" t="e">
        <f ca="1">HLOOKUP(AH2,'pooled normalised values'!N74:BM83,10,FALSE)</f>
        <v>#NAME?</v>
      </c>
      <c r="AI5" s="19" t="e">
        <f ca="1">HLOOKUP(AI2,'pooled normalised values'!N74:BN83,10,FALSE)</f>
        <v>#NAME?</v>
      </c>
      <c r="AJ5" s="20"/>
      <c r="AK5" s="23" t="s">
        <v>11</v>
      </c>
    </row>
    <row r="6" spans="1:37" x14ac:dyDescent="0.2">
      <c r="A6" s="17" t="s">
        <v>74</v>
      </c>
      <c r="B6" s="66">
        <f>'pooled normalised values'!Q75</f>
        <v>0.13346629850774602</v>
      </c>
      <c r="D6" s="21" t="s">
        <v>12</v>
      </c>
      <c r="E6" s="24">
        <f>$B$2</f>
        <v>0.1761917729053305</v>
      </c>
      <c r="F6" s="24">
        <f>$B$2</f>
        <v>0.1761917729053305</v>
      </c>
      <c r="G6" s="24">
        <f t="shared" ref="G6:R6" si="0">$B$2</f>
        <v>0.1761917729053305</v>
      </c>
      <c r="H6" s="24">
        <f t="shared" si="0"/>
        <v>0.1761917729053305</v>
      </c>
      <c r="I6" s="24">
        <f t="shared" si="0"/>
        <v>0.1761917729053305</v>
      </c>
      <c r="J6" s="24">
        <f t="shared" si="0"/>
        <v>0.1761917729053305</v>
      </c>
      <c r="K6" s="24">
        <f t="shared" si="0"/>
        <v>0.1761917729053305</v>
      </c>
      <c r="L6" s="24">
        <f t="shared" si="0"/>
        <v>0.1761917729053305</v>
      </c>
      <c r="M6" s="24">
        <f t="shared" si="0"/>
        <v>0.1761917729053305</v>
      </c>
      <c r="N6" s="24">
        <f t="shared" si="0"/>
        <v>0.1761917729053305</v>
      </c>
      <c r="O6" s="24">
        <f t="shared" si="0"/>
        <v>0.1761917729053305</v>
      </c>
      <c r="P6" s="24">
        <f t="shared" si="0"/>
        <v>0.1761917729053305</v>
      </c>
      <c r="Q6" s="24">
        <f t="shared" si="0"/>
        <v>0.1761917729053305</v>
      </c>
      <c r="R6" s="24">
        <f t="shared" si="0"/>
        <v>0.1761917729053305</v>
      </c>
      <c r="S6" s="24">
        <f>$B$2</f>
        <v>0.1761917729053305</v>
      </c>
      <c r="T6" s="24">
        <f>$B$2</f>
        <v>0.1761917729053305</v>
      </c>
      <c r="U6" s="25"/>
      <c r="V6" s="25"/>
      <c r="W6" s="25"/>
      <c r="X6" s="25"/>
      <c r="Y6" s="25"/>
      <c r="Z6" s="25"/>
      <c r="AA6" s="25"/>
      <c r="AB6" s="25"/>
      <c r="AC6" s="25"/>
      <c r="AD6" s="25"/>
      <c r="AE6" s="25"/>
      <c r="AF6" s="25"/>
      <c r="AG6" s="25"/>
      <c r="AH6" s="25"/>
      <c r="AI6" s="25"/>
      <c r="AJ6" s="25"/>
      <c r="AK6" s="21" t="s">
        <v>12</v>
      </c>
    </row>
    <row r="7" spans="1:37" x14ac:dyDescent="0.2">
      <c r="B7" s="26"/>
      <c r="D7" s="26" t="s">
        <v>13</v>
      </c>
      <c r="E7" s="24"/>
      <c r="F7" s="24"/>
      <c r="G7" s="24"/>
      <c r="H7" s="24"/>
      <c r="I7" s="24"/>
      <c r="J7" s="24"/>
      <c r="K7" s="24"/>
      <c r="L7" s="24"/>
      <c r="M7" s="24"/>
      <c r="N7" s="24"/>
      <c r="O7" s="24"/>
      <c r="P7" s="24"/>
      <c r="Q7" s="24"/>
      <c r="R7" s="24"/>
      <c r="S7" s="24"/>
      <c r="T7" s="27"/>
      <c r="U7" s="25">
        <f t="shared" ref="U7:AJ7" si="1">$B$4</f>
        <v>1.0000000000000002</v>
      </c>
      <c r="V7" s="25">
        <f t="shared" si="1"/>
        <v>1.0000000000000002</v>
      </c>
      <c r="W7" s="25">
        <f t="shared" si="1"/>
        <v>1.0000000000000002</v>
      </c>
      <c r="X7" s="25">
        <f t="shared" si="1"/>
        <v>1.0000000000000002</v>
      </c>
      <c r="Y7" s="25">
        <f t="shared" si="1"/>
        <v>1.0000000000000002</v>
      </c>
      <c r="Z7" s="25">
        <f t="shared" si="1"/>
        <v>1.0000000000000002</v>
      </c>
      <c r="AA7" s="25">
        <f t="shared" si="1"/>
        <v>1.0000000000000002</v>
      </c>
      <c r="AB7" s="25">
        <f t="shared" si="1"/>
        <v>1.0000000000000002</v>
      </c>
      <c r="AC7" s="25">
        <f t="shared" si="1"/>
        <v>1.0000000000000002</v>
      </c>
      <c r="AD7" s="25">
        <f t="shared" si="1"/>
        <v>1.0000000000000002</v>
      </c>
      <c r="AE7" s="25">
        <f t="shared" si="1"/>
        <v>1.0000000000000002</v>
      </c>
      <c r="AF7" s="25">
        <f t="shared" si="1"/>
        <v>1.0000000000000002</v>
      </c>
      <c r="AG7" s="25">
        <f t="shared" si="1"/>
        <v>1.0000000000000002</v>
      </c>
      <c r="AH7" s="25">
        <f t="shared" si="1"/>
        <v>1.0000000000000002</v>
      </c>
      <c r="AI7" s="25">
        <f t="shared" si="1"/>
        <v>1.0000000000000002</v>
      </c>
      <c r="AJ7" s="25">
        <f t="shared" si="1"/>
        <v>1.0000000000000002</v>
      </c>
      <c r="AK7" s="26" t="s">
        <v>13</v>
      </c>
    </row>
    <row r="8" spans="1:37" x14ac:dyDescent="0.2">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0.13346629850774602</v>
      </c>
      <c r="V8" s="25">
        <f t="shared" ref="V8:AJ8" si="2">$B$6</f>
        <v>0.13346629850774602</v>
      </c>
      <c r="W8" s="25">
        <f t="shared" si="2"/>
        <v>0.13346629850774602</v>
      </c>
      <c r="X8" s="25">
        <f t="shared" si="2"/>
        <v>0.13346629850774602</v>
      </c>
      <c r="Y8" s="25">
        <f t="shared" si="2"/>
        <v>0.13346629850774602</v>
      </c>
      <c r="Z8" s="25">
        <f t="shared" si="2"/>
        <v>0.13346629850774602</v>
      </c>
      <c r="AA8" s="25">
        <f t="shared" si="2"/>
        <v>0.13346629850774602</v>
      </c>
      <c r="AB8" s="25">
        <f t="shared" si="2"/>
        <v>0.13346629850774602</v>
      </c>
      <c r="AC8" s="25">
        <f t="shared" si="2"/>
        <v>0.13346629850774602</v>
      </c>
      <c r="AD8" s="25">
        <f t="shared" si="2"/>
        <v>0.13346629850774602</v>
      </c>
      <c r="AE8" s="25">
        <f t="shared" si="2"/>
        <v>0.13346629850774602</v>
      </c>
      <c r="AF8" s="25">
        <f t="shared" si="2"/>
        <v>0.13346629850774602</v>
      </c>
      <c r="AG8" s="25">
        <f t="shared" si="2"/>
        <v>0.13346629850774602</v>
      </c>
      <c r="AH8" s="25">
        <f t="shared" si="2"/>
        <v>0.13346629850774602</v>
      </c>
      <c r="AI8" s="25">
        <f t="shared" si="2"/>
        <v>0.13346629850774602</v>
      </c>
      <c r="AJ8" s="25">
        <f t="shared" si="2"/>
        <v>0.13346629850774602</v>
      </c>
      <c r="AK8" s="28" t="s">
        <v>14</v>
      </c>
    </row>
    <row r="9" spans="1:37" x14ac:dyDescent="0.2">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2.7047451901011632</v>
      </c>
      <c r="V9" s="25">
        <f>$B$5-V8</f>
        <v>2.7047451901011632</v>
      </c>
      <c r="W9" s="25">
        <f t="shared" ref="W9:AH9" si="4">$B$5-W8</f>
        <v>2.7047451901011632</v>
      </c>
      <c r="X9" s="25">
        <f t="shared" si="4"/>
        <v>2.7047451901011632</v>
      </c>
      <c r="Y9" s="25">
        <f t="shared" si="4"/>
        <v>2.7047451901011632</v>
      </c>
      <c r="Z9" s="25">
        <f t="shared" si="4"/>
        <v>2.7047451901011632</v>
      </c>
      <c r="AA9" s="25">
        <f t="shared" si="4"/>
        <v>2.7047451901011632</v>
      </c>
      <c r="AB9" s="25">
        <f t="shared" si="4"/>
        <v>2.7047451901011632</v>
      </c>
      <c r="AC9" s="25">
        <f t="shared" si="4"/>
        <v>2.7047451901011632</v>
      </c>
      <c r="AD9" s="25">
        <f t="shared" si="4"/>
        <v>2.7047451901011632</v>
      </c>
      <c r="AE9" s="25">
        <f t="shared" si="4"/>
        <v>2.7047451901011632</v>
      </c>
      <c r="AF9" s="25">
        <f t="shared" si="4"/>
        <v>2.7047451901011632</v>
      </c>
      <c r="AG9" s="25">
        <f t="shared" si="4"/>
        <v>2.7047451901011632</v>
      </c>
      <c r="AH9" s="25">
        <f t="shared" si="4"/>
        <v>2.7047451901011632</v>
      </c>
      <c r="AI9" s="25">
        <f>$B$5-AI8</f>
        <v>2.7047451901011632</v>
      </c>
      <c r="AJ9" s="25">
        <f>$B$5-AJ8</f>
        <v>2.7047451901011632</v>
      </c>
      <c r="AK9" s="28" t="s">
        <v>15</v>
      </c>
    </row>
    <row r="10" spans="1:37" x14ac:dyDescent="0.2">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-0.20474519010116321</v>
      </c>
      <c r="V10" s="25">
        <f>2.5-V9</f>
        <v>-0.20474519010116321</v>
      </c>
      <c r="W10" s="25">
        <f t="shared" ref="W10:AH10" si="6">2.5-W9</f>
        <v>-0.20474519010116321</v>
      </c>
      <c r="X10" s="25">
        <f t="shared" si="6"/>
        <v>-0.20474519010116321</v>
      </c>
      <c r="Y10" s="25">
        <f t="shared" si="6"/>
        <v>-0.20474519010116321</v>
      </c>
      <c r="Z10" s="25">
        <f t="shared" si="6"/>
        <v>-0.20474519010116321</v>
      </c>
      <c r="AA10" s="25">
        <f t="shared" si="6"/>
        <v>-0.20474519010116321</v>
      </c>
      <c r="AB10" s="25">
        <f t="shared" si="6"/>
        <v>-0.20474519010116321</v>
      </c>
      <c r="AC10" s="25">
        <f t="shared" si="6"/>
        <v>-0.20474519010116321</v>
      </c>
      <c r="AD10" s="25">
        <f t="shared" si="6"/>
        <v>-0.20474519010116321</v>
      </c>
      <c r="AE10" s="25">
        <f t="shared" si="6"/>
        <v>-0.20474519010116321</v>
      </c>
      <c r="AF10" s="25">
        <f t="shared" si="6"/>
        <v>-0.20474519010116321</v>
      </c>
      <c r="AG10" s="25">
        <f t="shared" si="6"/>
        <v>-0.20474519010116321</v>
      </c>
      <c r="AH10" s="25">
        <f t="shared" si="6"/>
        <v>-0.20474519010116321</v>
      </c>
      <c r="AI10" s="25">
        <f>2.5-AI9</f>
        <v>-0.20474519010116321</v>
      </c>
      <c r="AJ10" s="25">
        <f>2.5-AJ9</f>
        <v>-0.20474519010116321</v>
      </c>
      <c r="AK10" s="28" t="s">
        <v>16</v>
      </c>
    </row>
    <row r="17" spans="2:20" x14ac:dyDescent="0.2">
      <c r="C17" s="23"/>
      <c r="D17" s="23"/>
    </row>
    <row r="18" spans="2:20" x14ac:dyDescent="0.2">
      <c r="B18" s="30"/>
    </row>
    <row r="19" spans="2:20" x14ac:dyDescent="0.2">
      <c r="B19" s="30"/>
    </row>
    <row r="20" spans="2:20" x14ac:dyDescent="0.2">
      <c r="B20" s="31"/>
    </row>
    <row r="21" spans="2:20" x14ac:dyDescent="0.2">
      <c r="B21" s="30"/>
    </row>
    <row r="22" spans="2:20" x14ac:dyDescent="0.2">
      <c r="B22" s="30"/>
      <c r="T22" s="23"/>
    </row>
    <row r="23" spans="2:20" x14ac:dyDescent="0.2">
      <c r="B23" s="31"/>
      <c r="T23" s="23"/>
    </row>
    <row r="24" spans="2:20" x14ac:dyDescent="0.2">
      <c r="T24" s="23"/>
    </row>
  </sheetData>
  <pageMargins left="0.7" right="0.7" top="0.75" bottom="0.75" header="0.3" footer="0.3"/>
  <pageSetup paperSize="9" orientation="portrait" horizontalDpi="300" verticalDpi="300" r:id="rId1"/>
  <headerFooter>
    <oddFooter>&amp;C&amp;1#&amp;"Arial"&amp;10&amp;K000000Internal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defaultColWidth="11.42578125"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6" width="14.85546875" style="17" customWidth="1"/>
    <col min="7" max="8" width="11.42578125" style="17"/>
    <col min="9" max="9" width="13.5703125" style="17" bestFit="1" customWidth="1"/>
    <col min="10" max="256" width="11.42578125" style="17"/>
    <col min="257" max="257" width="18.7109375" style="17" customWidth="1"/>
    <col min="258" max="258" width="13.7109375" style="17" bestFit="1" customWidth="1"/>
    <col min="259" max="259" width="17.28515625" style="17" customWidth="1"/>
    <col min="260" max="260" width="11" style="17" customWidth="1"/>
    <col min="261" max="261" width="12" style="17" bestFit="1" customWidth="1"/>
    <col min="262" max="262" width="14.85546875" style="17" customWidth="1"/>
    <col min="263" max="512" width="11.42578125" style="17"/>
    <col min="513" max="513" width="18.7109375" style="17" customWidth="1"/>
    <col min="514" max="514" width="13.7109375" style="17" bestFit="1" customWidth="1"/>
    <col min="515" max="515" width="17.28515625" style="17" customWidth="1"/>
    <col min="516" max="516" width="11" style="17" customWidth="1"/>
    <col min="517" max="517" width="12" style="17" bestFit="1" customWidth="1"/>
    <col min="518" max="518" width="14.85546875" style="17" customWidth="1"/>
    <col min="519" max="768" width="11.42578125" style="17"/>
    <col min="769" max="769" width="18.7109375" style="17" customWidth="1"/>
    <col min="770" max="770" width="13.7109375" style="17" bestFit="1" customWidth="1"/>
    <col min="771" max="771" width="17.28515625" style="17" customWidth="1"/>
    <col min="772" max="772" width="11" style="17" customWidth="1"/>
    <col min="773" max="773" width="12" style="17" bestFit="1" customWidth="1"/>
    <col min="774" max="774" width="14.85546875" style="17" customWidth="1"/>
    <col min="775" max="1024" width="11.42578125" style="17"/>
    <col min="1025" max="1025" width="18.7109375" style="17" customWidth="1"/>
    <col min="1026" max="1026" width="13.7109375" style="17" bestFit="1" customWidth="1"/>
    <col min="1027" max="1027" width="17.28515625" style="17" customWidth="1"/>
    <col min="1028" max="1028" width="11" style="17" customWidth="1"/>
    <col min="1029" max="1029" width="12" style="17" bestFit="1" customWidth="1"/>
    <col min="1030" max="1030" width="14.85546875" style="17" customWidth="1"/>
    <col min="1031" max="1280" width="11.42578125" style="17"/>
    <col min="1281" max="1281" width="18.7109375" style="17" customWidth="1"/>
    <col min="1282" max="1282" width="13.7109375" style="17" bestFit="1" customWidth="1"/>
    <col min="1283" max="1283" width="17.28515625" style="17" customWidth="1"/>
    <col min="1284" max="1284" width="11" style="17" customWidth="1"/>
    <col min="1285" max="1285" width="12" style="17" bestFit="1" customWidth="1"/>
    <col min="1286" max="1286" width="14.85546875" style="17" customWidth="1"/>
    <col min="1287" max="1536" width="11.42578125" style="17"/>
    <col min="1537" max="1537" width="18.7109375" style="17" customWidth="1"/>
    <col min="1538" max="1538" width="13.7109375" style="17" bestFit="1" customWidth="1"/>
    <col min="1539" max="1539" width="17.28515625" style="17" customWidth="1"/>
    <col min="1540" max="1540" width="11" style="17" customWidth="1"/>
    <col min="1541" max="1541" width="12" style="17" bestFit="1" customWidth="1"/>
    <col min="1542" max="1542" width="14.85546875" style="17" customWidth="1"/>
    <col min="1543" max="1792" width="11.42578125" style="17"/>
    <col min="1793" max="1793" width="18.7109375" style="17" customWidth="1"/>
    <col min="1794" max="1794" width="13.7109375" style="17" bestFit="1" customWidth="1"/>
    <col min="1795" max="1795" width="17.28515625" style="17" customWidth="1"/>
    <col min="1796" max="1796" width="11" style="17" customWidth="1"/>
    <col min="1797" max="1797" width="12" style="17" bestFit="1" customWidth="1"/>
    <col min="1798" max="1798" width="14.85546875" style="17" customWidth="1"/>
    <col min="1799" max="2048" width="11.42578125" style="17"/>
    <col min="2049" max="2049" width="18.7109375" style="17" customWidth="1"/>
    <col min="2050" max="2050" width="13.7109375" style="17" bestFit="1" customWidth="1"/>
    <col min="2051" max="2051" width="17.28515625" style="17" customWidth="1"/>
    <col min="2052" max="2052" width="11" style="17" customWidth="1"/>
    <col min="2053" max="2053" width="12" style="17" bestFit="1" customWidth="1"/>
    <col min="2054" max="2054" width="14.85546875" style="17" customWidth="1"/>
    <col min="2055" max="2304" width="11.42578125" style="17"/>
    <col min="2305" max="2305" width="18.7109375" style="17" customWidth="1"/>
    <col min="2306" max="2306" width="13.7109375" style="17" bestFit="1" customWidth="1"/>
    <col min="2307" max="2307" width="17.28515625" style="17" customWidth="1"/>
    <col min="2308" max="2308" width="11" style="17" customWidth="1"/>
    <col min="2309" max="2309" width="12" style="17" bestFit="1" customWidth="1"/>
    <col min="2310" max="2310" width="14.85546875" style="17" customWidth="1"/>
    <col min="2311" max="2560" width="11.42578125" style="17"/>
    <col min="2561" max="2561" width="18.7109375" style="17" customWidth="1"/>
    <col min="2562" max="2562" width="13.7109375" style="17" bestFit="1" customWidth="1"/>
    <col min="2563" max="2563" width="17.28515625" style="17" customWidth="1"/>
    <col min="2564" max="2564" width="11" style="17" customWidth="1"/>
    <col min="2565" max="2565" width="12" style="17" bestFit="1" customWidth="1"/>
    <col min="2566" max="2566" width="14.85546875" style="17" customWidth="1"/>
    <col min="2567" max="2816" width="11.42578125" style="17"/>
    <col min="2817" max="2817" width="18.7109375" style="17" customWidth="1"/>
    <col min="2818" max="2818" width="13.7109375" style="17" bestFit="1" customWidth="1"/>
    <col min="2819" max="2819" width="17.28515625" style="17" customWidth="1"/>
    <col min="2820" max="2820" width="11" style="17" customWidth="1"/>
    <col min="2821" max="2821" width="12" style="17" bestFit="1" customWidth="1"/>
    <col min="2822" max="2822" width="14.85546875" style="17" customWidth="1"/>
    <col min="2823" max="3072" width="11.42578125" style="17"/>
    <col min="3073" max="3073" width="18.7109375" style="17" customWidth="1"/>
    <col min="3074" max="3074" width="13.7109375" style="17" bestFit="1" customWidth="1"/>
    <col min="3075" max="3075" width="17.28515625" style="17" customWidth="1"/>
    <col min="3076" max="3076" width="11" style="17" customWidth="1"/>
    <col min="3077" max="3077" width="12" style="17" bestFit="1" customWidth="1"/>
    <col min="3078" max="3078" width="14.85546875" style="17" customWidth="1"/>
    <col min="3079" max="3328" width="11.42578125" style="17"/>
    <col min="3329" max="3329" width="18.7109375" style="17" customWidth="1"/>
    <col min="3330" max="3330" width="13.7109375" style="17" bestFit="1" customWidth="1"/>
    <col min="3331" max="3331" width="17.28515625" style="17" customWidth="1"/>
    <col min="3332" max="3332" width="11" style="17" customWidth="1"/>
    <col min="3333" max="3333" width="12" style="17" bestFit="1" customWidth="1"/>
    <col min="3334" max="3334" width="14.85546875" style="17" customWidth="1"/>
    <col min="3335" max="3584" width="11.42578125" style="17"/>
    <col min="3585" max="3585" width="18.7109375" style="17" customWidth="1"/>
    <col min="3586" max="3586" width="13.7109375" style="17" bestFit="1" customWidth="1"/>
    <col min="3587" max="3587" width="17.28515625" style="17" customWidth="1"/>
    <col min="3588" max="3588" width="11" style="17" customWidth="1"/>
    <col min="3589" max="3589" width="12" style="17" bestFit="1" customWidth="1"/>
    <col min="3590" max="3590" width="14.85546875" style="17" customWidth="1"/>
    <col min="3591" max="3840" width="11.42578125" style="17"/>
    <col min="3841" max="3841" width="18.7109375" style="17" customWidth="1"/>
    <col min="3842" max="3842" width="13.7109375" style="17" bestFit="1" customWidth="1"/>
    <col min="3843" max="3843" width="17.28515625" style="17" customWidth="1"/>
    <col min="3844" max="3844" width="11" style="17" customWidth="1"/>
    <col min="3845" max="3845" width="12" style="17" bestFit="1" customWidth="1"/>
    <col min="3846" max="3846" width="14.85546875" style="17" customWidth="1"/>
    <col min="3847" max="4096" width="11.42578125" style="17"/>
    <col min="4097" max="4097" width="18.7109375" style="17" customWidth="1"/>
    <col min="4098" max="4098" width="13.7109375" style="17" bestFit="1" customWidth="1"/>
    <col min="4099" max="4099" width="17.28515625" style="17" customWidth="1"/>
    <col min="4100" max="4100" width="11" style="17" customWidth="1"/>
    <col min="4101" max="4101" width="12" style="17" bestFit="1" customWidth="1"/>
    <col min="4102" max="4102" width="14.85546875" style="17" customWidth="1"/>
    <col min="4103" max="4352" width="11.42578125" style="17"/>
    <col min="4353" max="4353" width="18.7109375" style="17" customWidth="1"/>
    <col min="4354" max="4354" width="13.7109375" style="17" bestFit="1" customWidth="1"/>
    <col min="4355" max="4355" width="17.28515625" style="17" customWidth="1"/>
    <col min="4356" max="4356" width="11" style="17" customWidth="1"/>
    <col min="4357" max="4357" width="12" style="17" bestFit="1" customWidth="1"/>
    <col min="4358" max="4358" width="14.85546875" style="17" customWidth="1"/>
    <col min="4359" max="4608" width="11.42578125" style="17"/>
    <col min="4609" max="4609" width="18.7109375" style="17" customWidth="1"/>
    <col min="4610" max="4610" width="13.7109375" style="17" bestFit="1" customWidth="1"/>
    <col min="4611" max="4611" width="17.28515625" style="17" customWidth="1"/>
    <col min="4612" max="4612" width="11" style="17" customWidth="1"/>
    <col min="4613" max="4613" width="12" style="17" bestFit="1" customWidth="1"/>
    <col min="4614" max="4614" width="14.85546875" style="17" customWidth="1"/>
    <col min="4615" max="4864" width="11.42578125" style="17"/>
    <col min="4865" max="4865" width="18.7109375" style="17" customWidth="1"/>
    <col min="4866" max="4866" width="13.7109375" style="17" bestFit="1" customWidth="1"/>
    <col min="4867" max="4867" width="17.28515625" style="17" customWidth="1"/>
    <col min="4868" max="4868" width="11" style="17" customWidth="1"/>
    <col min="4869" max="4869" width="12" style="17" bestFit="1" customWidth="1"/>
    <col min="4870" max="4870" width="14.85546875" style="17" customWidth="1"/>
    <col min="4871" max="5120" width="11.42578125" style="17"/>
    <col min="5121" max="5121" width="18.7109375" style="17" customWidth="1"/>
    <col min="5122" max="5122" width="13.7109375" style="17" bestFit="1" customWidth="1"/>
    <col min="5123" max="5123" width="17.28515625" style="17" customWidth="1"/>
    <col min="5124" max="5124" width="11" style="17" customWidth="1"/>
    <col min="5125" max="5125" width="12" style="17" bestFit="1" customWidth="1"/>
    <col min="5126" max="5126" width="14.85546875" style="17" customWidth="1"/>
    <col min="5127" max="5376" width="11.42578125" style="17"/>
    <col min="5377" max="5377" width="18.7109375" style="17" customWidth="1"/>
    <col min="5378" max="5378" width="13.7109375" style="17" bestFit="1" customWidth="1"/>
    <col min="5379" max="5379" width="17.28515625" style="17" customWidth="1"/>
    <col min="5380" max="5380" width="11" style="17" customWidth="1"/>
    <col min="5381" max="5381" width="12" style="17" bestFit="1" customWidth="1"/>
    <col min="5382" max="5382" width="14.85546875" style="17" customWidth="1"/>
    <col min="5383" max="5632" width="11.42578125" style="17"/>
    <col min="5633" max="5633" width="18.7109375" style="17" customWidth="1"/>
    <col min="5634" max="5634" width="13.7109375" style="17" bestFit="1" customWidth="1"/>
    <col min="5635" max="5635" width="17.28515625" style="17" customWidth="1"/>
    <col min="5636" max="5636" width="11" style="17" customWidth="1"/>
    <col min="5637" max="5637" width="12" style="17" bestFit="1" customWidth="1"/>
    <col min="5638" max="5638" width="14.85546875" style="17" customWidth="1"/>
    <col min="5639" max="5888" width="11.42578125" style="17"/>
    <col min="5889" max="5889" width="18.7109375" style="17" customWidth="1"/>
    <col min="5890" max="5890" width="13.7109375" style="17" bestFit="1" customWidth="1"/>
    <col min="5891" max="5891" width="17.28515625" style="17" customWidth="1"/>
    <col min="5892" max="5892" width="11" style="17" customWidth="1"/>
    <col min="5893" max="5893" width="12" style="17" bestFit="1" customWidth="1"/>
    <col min="5894" max="5894" width="14.85546875" style="17" customWidth="1"/>
    <col min="5895" max="6144" width="11.42578125" style="17"/>
    <col min="6145" max="6145" width="18.7109375" style="17" customWidth="1"/>
    <col min="6146" max="6146" width="13.7109375" style="17" bestFit="1" customWidth="1"/>
    <col min="6147" max="6147" width="17.28515625" style="17" customWidth="1"/>
    <col min="6148" max="6148" width="11" style="17" customWidth="1"/>
    <col min="6149" max="6149" width="12" style="17" bestFit="1" customWidth="1"/>
    <col min="6150" max="6150" width="14.85546875" style="17" customWidth="1"/>
    <col min="6151" max="6400" width="11.42578125" style="17"/>
    <col min="6401" max="6401" width="18.7109375" style="17" customWidth="1"/>
    <col min="6402" max="6402" width="13.7109375" style="17" bestFit="1" customWidth="1"/>
    <col min="6403" max="6403" width="17.28515625" style="17" customWidth="1"/>
    <col min="6404" max="6404" width="11" style="17" customWidth="1"/>
    <col min="6405" max="6405" width="12" style="17" bestFit="1" customWidth="1"/>
    <col min="6406" max="6406" width="14.85546875" style="17" customWidth="1"/>
    <col min="6407" max="6656" width="11.42578125" style="17"/>
    <col min="6657" max="6657" width="18.7109375" style="17" customWidth="1"/>
    <col min="6658" max="6658" width="13.7109375" style="17" bestFit="1" customWidth="1"/>
    <col min="6659" max="6659" width="17.28515625" style="17" customWidth="1"/>
    <col min="6660" max="6660" width="11" style="17" customWidth="1"/>
    <col min="6661" max="6661" width="12" style="17" bestFit="1" customWidth="1"/>
    <col min="6662" max="6662" width="14.85546875" style="17" customWidth="1"/>
    <col min="6663" max="6912" width="11.42578125" style="17"/>
    <col min="6913" max="6913" width="18.7109375" style="17" customWidth="1"/>
    <col min="6914" max="6914" width="13.7109375" style="17" bestFit="1" customWidth="1"/>
    <col min="6915" max="6915" width="17.28515625" style="17" customWidth="1"/>
    <col min="6916" max="6916" width="11" style="17" customWidth="1"/>
    <col min="6917" max="6917" width="12" style="17" bestFit="1" customWidth="1"/>
    <col min="6918" max="6918" width="14.85546875" style="17" customWidth="1"/>
    <col min="6919" max="7168" width="11.42578125" style="17"/>
    <col min="7169" max="7169" width="18.7109375" style="17" customWidth="1"/>
    <col min="7170" max="7170" width="13.7109375" style="17" bestFit="1" customWidth="1"/>
    <col min="7171" max="7171" width="17.28515625" style="17" customWidth="1"/>
    <col min="7172" max="7172" width="11" style="17" customWidth="1"/>
    <col min="7173" max="7173" width="12" style="17" bestFit="1" customWidth="1"/>
    <col min="7174" max="7174" width="14.85546875" style="17" customWidth="1"/>
    <col min="7175" max="7424" width="11.42578125" style="17"/>
    <col min="7425" max="7425" width="18.7109375" style="17" customWidth="1"/>
    <col min="7426" max="7426" width="13.7109375" style="17" bestFit="1" customWidth="1"/>
    <col min="7427" max="7427" width="17.28515625" style="17" customWidth="1"/>
    <col min="7428" max="7428" width="11" style="17" customWidth="1"/>
    <col min="7429" max="7429" width="12" style="17" bestFit="1" customWidth="1"/>
    <col min="7430" max="7430" width="14.85546875" style="17" customWidth="1"/>
    <col min="7431" max="7680" width="11.42578125" style="17"/>
    <col min="7681" max="7681" width="18.7109375" style="17" customWidth="1"/>
    <col min="7682" max="7682" width="13.7109375" style="17" bestFit="1" customWidth="1"/>
    <col min="7683" max="7683" width="17.28515625" style="17" customWidth="1"/>
    <col min="7684" max="7684" width="11" style="17" customWidth="1"/>
    <col min="7685" max="7685" width="12" style="17" bestFit="1" customWidth="1"/>
    <col min="7686" max="7686" width="14.85546875" style="17" customWidth="1"/>
    <col min="7687" max="7936" width="11.42578125" style="17"/>
    <col min="7937" max="7937" width="18.7109375" style="17" customWidth="1"/>
    <col min="7938" max="7938" width="13.7109375" style="17" bestFit="1" customWidth="1"/>
    <col min="7939" max="7939" width="17.28515625" style="17" customWidth="1"/>
    <col min="7940" max="7940" width="11" style="17" customWidth="1"/>
    <col min="7941" max="7941" width="12" style="17" bestFit="1" customWidth="1"/>
    <col min="7942" max="7942" width="14.85546875" style="17" customWidth="1"/>
    <col min="7943" max="8192" width="11.42578125" style="17"/>
    <col min="8193" max="8193" width="18.7109375" style="17" customWidth="1"/>
    <col min="8194" max="8194" width="13.7109375" style="17" bestFit="1" customWidth="1"/>
    <col min="8195" max="8195" width="17.28515625" style="17" customWidth="1"/>
    <col min="8196" max="8196" width="11" style="17" customWidth="1"/>
    <col min="8197" max="8197" width="12" style="17" bestFit="1" customWidth="1"/>
    <col min="8198" max="8198" width="14.85546875" style="17" customWidth="1"/>
    <col min="8199" max="8448" width="11.42578125" style="17"/>
    <col min="8449" max="8449" width="18.7109375" style="17" customWidth="1"/>
    <col min="8450" max="8450" width="13.7109375" style="17" bestFit="1" customWidth="1"/>
    <col min="8451" max="8451" width="17.28515625" style="17" customWidth="1"/>
    <col min="8452" max="8452" width="11" style="17" customWidth="1"/>
    <col min="8453" max="8453" width="12" style="17" bestFit="1" customWidth="1"/>
    <col min="8454" max="8454" width="14.85546875" style="17" customWidth="1"/>
    <col min="8455" max="8704" width="11.42578125" style="17"/>
    <col min="8705" max="8705" width="18.7109375" style="17" customWidth="1"/>
    <col min="8706" max="8706" width="13.7109375" style="17" bestFit="1" customWidth="1"/>
    <col min="8707" max="8707" width="17.28515625" style="17" customWidth="1"/>
    <col min="8708" max="8708" width="11" style="17" customWidth="1"/>
    <col min="8709" max="8709" width="12" style="17" bestFit="1" customWidth="1"/>
    <col min="8710" max="8710" width="14.85546875" style="17" customWidth="1"/>
    <col min="8711" max="8960" width="11.42578125" style="17"/>
    <col min="8961" max="8961" width="18.7109375" style="17" customWidth="1"/>
    <col min="8962" max="8962" width="13.7109375" style="17" bestFit="1" customWidth="1"/>
    <col min="8963" max="8963" width="17.28515625" style="17" customWidth="1"/>
    <col min="8964" max="8964" width="11" style="17" customWidth="1"/>
    <col min="8965" max="8965" width="12" style="17" bestFit="1" customWidth="1"/>
    <col min="8966" max="8966" width="14.85546875" style="17" customWidth="1"/>
    <col min="8967" max="9216" width="11.42578125" style="17"/>
    <col min="9217" max="9217" width="18.7109375" style="17" customWidth="1"/>
    <col min="9218" max="9218" width="13.7109375" style="17" bestFit="1" customWidth="1"/>
    <col min="9219" max="9219" width="17.28515625" style="17" customWidth="1"/>
    <col min="9220" max="9220" width="11" style="17" customWidth="1"/>
    <col min="9221" max="9221" width="12" style="17" bestFit="1" customWidth="1"/>
    <col min="9222" max="9222" width="14.85546875" style="17" customWidth="1"/>
    <col min="9223" max="9472" width="11.42578125" style="17"/>
    <col min="9473" max="9473" width="18.7109375" style="17" customWidth="1"/>
    <col min="9474" max="9474" width="13.7109375" style="17" bestFit="1" customWidth="1"/>
    <col min="9475" max="9475" width="17.28515625" style="17" customWidth="1"/>
    <col min="9476" max="9476" width="11" style="17" customWidth="1"/>
    <col min="9477" max="9477" width="12" style="17" bestFit="1" customWidth="1"/>
    <col min="9478" max="9478" width="14.85546875" style="17" customWidth="1"/>
    <col min="9479" max="9728" width="11.42578125" style="17"/>
    <col min="9729" max="9729" width="18.7109375" style="17" customWidth="1"/>
    <col min="9730" max="9730" width="13.7109375" style="17" bestFit="1" customWidth="1"/>
    <col min="9731" max="9731" width="17.28515625" style="17" customWidth="1"/>
    <col min="9732" max="9732" width="11" style="17" customWidth="1"/>
    <col min="9733" max="9733" width="12" style="17" bestFit="1" customWidth="1"/>
    <col min="9734" max="9734" width="14.85546875" style="17" customWidth="1"/>
    <col min="9735" max="9984" width="11.42578125" style="17"/>
    <col min="9985" max="9985" width="18.7109375" style="17" customWidth="1"/>
    <col min="9986" max="9986" width="13.7109375" style="17" bestFit="1" customWidth="1"/>
    <col min="9987" max="9987" width="17.28515625" style="17" customWidth="1"/>
    <col min="9988" max="9988" width="11" style="17" customWidth="1"/>
    <col min="9989" max="9989" width="12" style="17" bestFit="1" customWidth="1"/>
    <col min="9990" max="9990" width="14.85546875" style="17" customWidth="1"/>
    <col min="9991" max="10240" width="11.42578125" style="17"/>
    <col min="10241" max="10241" width="18.7109375" style="17" customWidth="1"/>
    <col min="10242" max="10242" width="13.7109375" style="17" bestFit="1" customWidth="1"/>
    <col min="10243" max="10243" width="17.28515625" style="17" customWidth="1"/>
    <col min="10244" max="10244" width="11" style="17" customWidth="1"/>
    <col min="10245" max="10245" width="12" style="17" bestFit="1" customWidth="1"/>
    <col min="10246" max="10246" width="14.85546875" style="17" customWidth="1"/>
    <col min="10247" max="10496" width="11.42578125" style="17"/>
    <col min="10497" max="10497" width="18.7109375" style="17" customWidth="1"/>
    <col min="10498" max="10498" width="13.7109375" style="17" bestFit="1" customWidth="1"/>
    <col min="10499" max="10499" width="17.28515625" style="17" customWidth="1"/>
    <col min="10500" max="10500" width="11" style="17" customWidth="1"/>
    <col min="10501" max="10501" width="12" style="17" bestFit="1" customWidth="1"/>
    <col min="10502" max="10502" width="14.85546875" style="17" customWidth="1"/>
    <col min="10503" max="10752" width="11.42578125" style="17"/>
    <col min="10753" max="10753" width="18.7109375" style="17" customWidth="1"/>
    <col min="10754" max="10754" width="13.7109375" style="17" bestFit="1" customWidth="1"/>
    <col min="10755" max="10755" width="17.28515625" style="17" customWidth="1"/>
    <col min="10756" max="10756" width="11" style="17" customWidth="1"/>
    <col min="10757" max="10757" width="12" style="17" bestFit="1" customWidth="1"/>
    <col min="10758" max="10758" width="14.85546875" style="17" customWidth="1"/>
    <col min="10759" max="11008" width="11.42578125" style="17"/>
    <col min="11009" max="11009" width="18.7109375" style="17" customWidth="1"/>
    <col min="11010" max="11010" width="13.7109375" style="17" bestFit="1" customWidth="1"/>
    <col min="11011" max="11011" width="17.28515625" style="17" customWidth="1"/>
    <col min="11012" max="11012" width="11" style="17" customWidth="1"/>
    <col min="11013" max="11013" width="12" style="17" bestFit="1" customWidth="1"/>
    <col min="11014" max="11014" width="14.85546875" style="17" customWidth="1"/>
    <col min="11015" max="11264" width="11.42578125" style="17"/>
    <col min="11265" max="11265" width="18.7109375" style="17" customWidth="1"/>
    <col min="11266" max="11266" width="13.7109375" style="17" bestFit="1" customWidth="1"/>
    <col min="11267" max="11267" width="17.28515625" style="17" customWidth="1"/>
    <col min="11268" max="11268" width="11" style="17" customWidth="1"/>
    <col min="11269" max="11269" width="12" style="17" bestFit="1" customWidth="1"/>
    <col min="11270" max="11270" width="14.85546875" style="17" customWidth="1"/>
    <col min="11271" max="11520" width="11.42578125" style="17"/>
    <col min="11521" max="11521" width="18.7109375" style="17" customWidth="1"/>
    <col min="11522" max="11522" width="13.7109375" style="17" bestFit="1" customWidth="1"/>
    <col min="11523" max="11523" width="17.28515625" style="17" customWidth="1"/>
    <col min="11524" max="11524" width="11" style="17" customWidth="1"/>
    <col min="11525" max="11525" width="12" style="17" bestFit="1" customWidth="1"/>
    <col min="11526" max="11526" width="14.85546875" style="17" customWidth="1"/>
    <col min="11527" max="11776" width="11.42578125" style="17"/>
    <col min="11777" max="11777" width="18.7109375" style="17" customWidth="1"/>
    <col min="11778" max="11778" width="13.7109375" style="17" bestFit="1" customWidth="1"/>
    <col min="11779" max="11779" width="17.28515625" style="17" customWidth="1"/>
    <col min="11780" max="11780" width="11" style="17" customWidth="1"/>
    <col min="11781" max="11781" width="12" style="17" bestFit="1" customWidth="1"/>
    <col min="11782" max="11782" width="14.85546875" style="17" customWidth="1"/>
    <col min="11783" max="12032" width="11.42578125" style="17"/>
    <col min="12033" max="12033" width="18.7109375" style="17" customWidth="1"/>
    <col min="12034" max="12034" width="13.7109375" style="17" bestFit="1" customWidth="1"/>
    <col min="12035" max="12035" width="17.28515625" style="17" customWidth="1"/>
    <col min="12036" max="12036" width="11" style="17" customWidth="1"/>
    <col min="12037" max="12037" width="12" style="17" bestFit="1" customWidth="1"/>
    <col min="12038" max="12038" width="14.85546875" style="17" customWidth="1"/>
    <col min="12039" max="12288" width="11.42578125" style="17"/>
    <col min="12289" max="12289" width="18.7109375" style="17" customWidth="1"/>
    <col min="12290" max="12290" width="13.7109375" style="17" bestFit="1" customWidth="1"/>
    <col min="12291" max="12291" width="17.28515625" style="17" customWidth="1"/>
    <col min="12292" max="12292" width="11" style="17" customWidth="1"/>
    <col min="12293" max="12293" width="12" style="17" bestFit="1" customWidth="1"/>
    <col min="12294" max="12294" width="14.85546875" style="17" customWidth="1"/>
    <col min="12295" max="12544" width="11.42578125" style="17"/>
    <col min="12545" max="12545" width="18.7109375" style="17" customWidth="1"/>
    <col min="12546" max="12546" width="13.7109375" style="17" bestFit="1" customWidth="1"/>
    <col min="12547" max="12547" width="17.28515625" style="17" customWidth="1"/>
    <col min="12548" max="12548" width="11" style="17" customWidth="1"/>
    <col min="12549" max="12549" width="12" style="17" bestFit="1" customWidth="1"/>
    <col min="12550" max="12550" width="14.85546875" style="17" customWidth="1"/>
    <col min="12551" max="12800" width="11.42578125" style="17"/>
    <col min="12801" max="12801" width="18.7109375" style="17" customWidth="1"/>
    <col min="12802" max="12802" width="13.7109375" style="17" bestFit="1" customWidth="1"/>
    <col min="12803" max="12803" width="17.28515625" style="17" customWidth="1"/>
    <col min="12804" max="12804" width="11" style="17" customWidth="1"/>
    <col min="12805" max="12805" width="12" style="17" bestFit="1" customWidth="1"/>
    <col min="12806" max="12806" width="14.85546875" style="17" customWidth="1"/>
    <col min="12807" max="13056" width="11.42578125" style="17"/>
    <col min="13057" max="13057" width="18.7109375" style="17" customWidth="1"/>
    <col min="13058" max="13058" width="13.7109375" style="17" bestFit="1" customWidth="1"/>
    <col min="13059" max="13059" width="17.28515625" style="17" customWidth="1"/>
    <col min="13060" max="13060" width="11" style="17" customWidth="1"/>
    <col min="13061" max="13061" width="12" style="17" bestFit="1" customWidth="1"/>
    <col min="13062" max="13062" width="14.85546875" style="17" customWidth="1"/>
    <col min="13063" max="13312" width="11.42578125" style="17"/>
    <col min="13313" max="13313" width="18.7109375" style="17" customWidth="1"/>
    <col min="13314" max="13314" width="13.7109375" style="17" bestFit="1" customWidth="1"/>
    <col min="13315" max="13315" width="17.28515625" style="17" customWidth="1"/>
    <col min="13316" max="13316" width="11" style="17" customWidth="1"/>
    <col min="13317" max="13317" width="12" style="17" bestFit="1" customWidth="1"/>
    <col min="13318" max="13318" width="14.85546875" style="17" customWidth="1"/>
    <col min="13319" max="13568" width="11.42578125" style="17"/>
    <col min="13569" max="13569" width="18.7109375" style="17" customWidth="1"/>
    <col min="13570" max="13570" width="13.7109375" style="17" bestFit="1" customWidth="1"/>
    <col min="13571" max="13571" width="17.28515625" style="17" customWidth="1"/>
    <col min="13572" max="13572" width="11" style="17" customWidth="1"/>
    <col min="13573" max="13573" width="12" style="17" bestFit="1" customWidth="1"/>
    <col min="13574" max="13574" width="14.85546875" style="17" customWidth="1"/>
    <col min="13575" max="13824" width="11.42578125" style="17"/>
    <col min="13825" max="13825" width="18.7109375" style="17" customWidth="1"/>
    <col min="13826" max="13826" width="13.7109375" style="17" bestFit="1" customWidth="1"/>
    <col min="13827" max="13827" width="17.28515625" style="17" customWidth="1"/>
    <col min="13828" max="13828" width="11" style="17" customWidth="1"/>
    <col min="13829" max="13829" width="12" style="17" bestFit="1" customWidth="1"/>
    <col min="13830" max="13830" width="14.85546875" style="17" customWidth="1"/>
    <col min="13831" max="14080" width="11.42578125" style="17"/>
    <col min="14081" max="14081" width="18.7109375" style="17" customWidth="1"/>
    <col min="14082" max="14082" width="13.7109375" style="17" bestFit="1" customWidth="1"/>
    <col min="14083" max="14083" width="17.28515625" style="17" customWidth="1"/>
    <col min="14084" max="14084" width="11" style="17" customWidth="1"/>
    <col min="14085" max="14085" width="12" style="17" bestFit="1" customWidth="1"/>
    <col min="14086" max="14086" width="14.85546875" style="17" customWidth="1"/>
    <col min="14087" max="14336" width="11.42578125" style="17"/>
    <col min="14337" max="14337" width="18.7109375" style="17" customWidth="1"/>
    <col min="14338" max="14338" width="13.7109375" style="17" bestFit="1" customWidth="1"/>
    <col min="14339" max="14339" width="17.28515625" style="17" customWidth="1"/>
    <col min="14340" max="14340" width="11" style="17" customWidth="1"/>
    <col min="14341" max="14341" width="12" style="17" bestFit="1" customWidth="1"/>
    <col min="14342" max="14342" width="14.85546875" style="17" customWidth="1"/>
    <col min="14343" max="14592" width="11.42578125" style="17"/>
    <col min="14593" max="14593" width="18.7109375" style="17" customWidth="1"/>
    <col min="14594" max="14594" width="13.7109375" style="17" bestFit="1" customWidth="1"/>
    <col min="14595" max="14595" width="17.28515625" style="17" customWidth="1"/>
    <col min="14596" max="14596" width="11" style="17" customWidth="1"/>
    <col min="14597" max="14597" width="12" style="17" bestFit="1" customWidth="1"/>
    <col min="14598" max="14598" width="14.85546875" style="17" customWidth="1"/>
    <col min="14599" max="14848" width="11.42578125" style="17"/>
    <col min="14849" max="14849" width="18.7109375" style="17" customWidth="1"/>
    <col min="14850" max="14850" width="13.7109375" style="17" bestFit="1" customWidth="1"/>
    <col min="14851" max="14851" width="17.28515625" style="17" customWidth="1"/>
    <col min="14852" max="14852" width="11" style="17" customWidth="1"/>
    <col min="14853" max="14853" width="12" style="17" bestFit="1" customWidth="1"/>
    <col min="14854" max="14854" width="14.85546875" style="17" customWidth="1"/>
    <col min="14855" max="15104" width="11.42578125" style="17"/>
    <col min="15105" max="15105" width="18.7109375" style="17" customWidth="1"/>
    <col min="15106" max="15106" width="13.7109375" style="17" bestFit="1" customWidth="1"/>
    <col min="15107" max="15107" width="17.28515625" style="17" customWidth="1"/>
    <col min="15108" max="15108" width="11" style="17" customWidth="1"/>
    <col min="15109" max="15109" width="12" style="17" bestFit="1" customWidth="1"/>
    <col min="15110" max="15110" width="14.85546875" style="17" customWidth="1"/>
    <col min="15111" max="15360" width="11.42578125" style="17"/>
    <col min="15361" max="15361" width="18.7109375" style="17" customWidth="1"/>
    <col min="15362" max="15362" width="13.7109375" style="17" bestFit="1" customWidth="1"/>
    <col min="15363" max="15363" width="17.28515625" style="17" customWidth="1"/>
    <col min="15364" max="15364" width="11" style="17" customWidth="1"/>
    <col min="15365" max="15365" width="12" style="17" bestFit="1" customWidth="1"/>
    <col min="15366" max="15366" width="14.85546875" style="17" customWidth="1"/>
    <col min="15367" max="15616" width="11.42578125" style="17"/>
    <col min="15617" max="15617" width="18.7109375" style="17" customWidth="1"/>
    <col min="15618" max="15618" width="13.7109375" style="17" bestFit="1" customWidth="1"/>
    <col min="15619" max="15619" width="17.28515625" style="17" customWidth="1"/>
    <col min="15620" max="15620" width="11" style="17" customWidth="1"/>
    <col min="15621" max="15621" width="12" style="17" bestFit="1" customWidth="1"/>
    <col min="15622" max="15622" width="14.85546875" style="17" customWidth="1"/>
    <col min="15623" max="15872" width="11.42578125" style="17"/>
    <col min="15873" max="15873" width="18.7109375" style="17" customWidth="1"/>
    <col min="15874" max="15874" width="13.7109375" style="17" bestFit="1" customWidth="1"/>
    <col min="15875" max="15875" width="17.28515625" style="17" customWidth="1"/>
    <col min="15876" max="15876" width="11" style="17" customWidth="1"/>
    <col min="15877" max="15877" width="12" style="17" bestFit="1" customWidth="1"/>
    <col min="15878" max="15878" width="14.85546875" style="17" customWidth="1"/>
    <col min="15879" max="16128" width="11.42578125" style="17"/>
    <col min="16129" max="16129" width="18.7109375" style="17" customWidth="1"/>
    <col min="16130" max="16130" width="13.7109375" style="17" bestFit="1" customWidth="1"/>
    <col min="16131" max="16131" width="17.28515625" style="17" customWidth="1"/>
    <col min="16132" max="16132" width="11" style="17" customWidth="1"/>
    <col min="16133" max="16133" width="12" style="17" bestFit="1" customWidth="1"/>
    <col min="16134" max="16134" width="14.85546875" style="17" customWidth="1"/>
    <col min="16135" max="16384" width="11.42578125" style="17"/>
  </cols>
  <sheetData>
    <row r="2" spans="1:11" x14ac:dyDescent="0.2">
      <c r="A2" s="17" t="s">
        <v>70</v>
      </c>
      <c r="B2" s="66">
        <f>'pooled normalised values'!B75</f>
        <v>0.1761917729053305</v>
      </c>
      <c r="D2" s="17" t="s">
        <v>9</v>
      </c>
      <c r="E2" s="18"/>
      <c r="F2" s="19" t="str">
        <f>'pooled normalised values'!J74</f>
        <v>Prochloraz-0,13mg/L</v>
      </c>
      <c r="G2" s="18"/>
      <c r="H2" s="20"/>
      <c r="I2" s="19" t="str">
        <f>'pooled normalised values'!R74</f>
        <v>Prochloraz-0.063mg/L + Testostérone</v>
      </c>
      <c r="J2" s="20"/>
      <c r="K2" s="17" t="s">
        <v>9</v>
      </c>
    </row>
    <row r="3" spans="1:11" x14ac:dyDescent="0.2">
      <c r="A3" s="17" t="s">
        <v>71</v>
      </c>
      <c r="B3" s="66">
        <f>'summary results'!E6</f>
        <v>0</v>
      </c>
      <c r="D3" s="21" t="s">
        <v>10</v>
      </c>
      <c r="E3" s="22"/>
      <c r="F3" s="19">
        <f>HLOOKUP(F2,'pooled normalised values'!B74:AK83,2,FALSE)</f>
        <v>0.15288605642303019</v>
      </c>
      <c r="G3" s="22"/>
      <c r="H3" s="20"/>
      <c r="I3" s="19">
        <f>HLOOKUP(I2,'pooled normalised values'!N74:BA83,2,FALSE)</f>
        <v>1.0724905773816678</v>
      </c>
      <c r="J3" s="20"/>
      <c r="K3" s="21" t="s">
        <v>10</v>
      </c>
    </row>
    <row r="4" spans="1:11" x14ac:dyDescent="0.2">
      <c r="A4" s="17" t="s">
        <v>72</v>
      </c>
      <c r="B4" s="66">
        <f>'pooled normalised values'!O75</f>
        <v>1.0000000000000002</v>
      </c>
      <c r="D4" s="21" t="s">
        <v>2</v>
      </c>
      <c r="E4" s="22"/>
      <c r="F4" s="19">
        <f>HLOOKUP(F2,'pooled normalised values'!B74:AK83,3,FALSE)</f>
        <v>2.0255552020591774E-2</v>
      </c>
      <c r="G4" s="22"/>
      <c r="H4" s="20"/>
      <c r="I4" s="19">
        <f>HLOOKUP(I2,'pooled normalised values'!N74:BA83,3,FALSE)</f>
        <v>0.20221060178736505</v>
      </c>
      <c r="J4" s="20"/>
      <c r="K4" s="21" t="s">
        <v>2</v>
      </c>
    </row>
    <row r="5" spans="1:11" x14ac:dyDescent="0.2">
      <c r="A5" s="17" t="s">
        <v>73</v>
      </c>
      <c r="B5" s="66">
        <f>'pooled normalised values'!P75</f>
        <v>2.8382114886089091</v>
      </c>
      <c r="D5" s="23" t="s">
        <v>11</v>
      </c>
      <c r="E5" s="22"/>
      <c r="F5" s="19" t="str">
        <f>HLOOKUP(F2,'pooled normalised values'!B74:AK83,10,FALSE)</f>
        <v>NS</v>
      </c>
      <c r="G5" s="22"/>
      <c r="H5" s="20"/>
      <c r="I5" s="19" t="str">
        <f>HLOOKUP(I2,'pooled normalised values'!N74:BA83,10,FALSE)</f>
        <v>NS</v>
      </c>
      <c r="J5" s="20"/>
      <c r="K5" s="23" t="s">
        <v>11</v>
      </c>
    </row>
    <row r="6" spans="1:11" x14ac:dyDescent="0.2">
      <c r="A6" s="17" t="s">
        <v>74</v>
      </c>
      <c r="B6" s="66">
        <f>'pooled normalised values'!Q75</f>
        <v>0.13346629850774602</v>
      </c>
      <c r="D6" s="21" t="s">
        <v>12</v>
      </c>
      <c r="E6" s="24">
        <f>$B$2</f>
        <v>0.1761917729053305</v>
      </c>
      <c r="F6" s="24">
        <f>$B$2</f>
        <v>0.1761917729053305</v>
      </c>
      <c r="G6" s="24">
        <f>$B$2</f>
        <v>0.1761917729053305</v>
      </c>
      <c r="H6" s="25"/>
      <c r="I6" s="25"/>
      <c r="J6" s="25"/>
      <c r="K6" s="21" t="s">
        <v>12</v>
      </c>
    </row>
    <row r="7" spans="1:11" x14ac:dyDescent="0.2">
      <c r="B7" s="26"/>
      <c r="D7" s="26" t="s">
        <v>13</v>
      </c>
      <c r="E7" s="24"/>
      <c r="F7" s="24"/>
      <c r="G7" s="27"/>
      <c r="H7" s="25">
        <f t="shared" ref="H7:J7" si="0">$B$4</f>
        <v>1.0000000000000002</v>
      </c>
      <c r="I7" s="25">
        <f t="shared" si="0"/>
        <v>1.0000000000000002</v>
      </c>
      <c r="J7" s="25">
        <f t="shared" si="0"/>
        <v>1.0000000000000002</v>
      </c>
      <c r="K7" s="26" t="s">
        <v>13</v>
      </c>
    </row>
    <row r="8" spans="1:11" x14ac:dyDescent="0.2">
      <c r="D8" s="28" t="s">
        <v>14</v>
      </c>
      <c r="E8" s="24">
        <v>0</v>
      </c>
      <c r="F8" s="24">
        <v>0</v>
      </c>
      <c r="G8" s="27">
        <v>0</v>
      </c>
      <c r="H8" s="25">
        <f>$B$6</f>
        <v>0.13346629850774602</v>
      </c>
      <c r="I8" s="25">
        <f t="shared" ref="I8:J8" si="1">$B$6</f>
        <v>0.13346629850774602</v>
      </c>
      <c r="J8" s="25">
        <f t="shared" si="1"/>
        <v>0.13346629850774602</v>
      </c>
      <c r="K8" s="28" t="s">
        <v>14</v>
      </c>
    </row>
    <row r="9" spans="1:11" x14ac:dyDescent="0.2">
      <c r="D9" s="28" t="s">
        <v>15</v>
      </c>
      <c r="E9" s="29">
        <f>$B$3-E8</f>
        <v>0</v>
      </c>
      <c r="F9" s="29">
        <f>$B$3-F8</f>
        <v>0</v>
      </c>
      <c r="G9" s="29">
        <f>$B$3-G8</f>
        <v>0</v>
      </c>
      <c r="H9" s="25">
        <f>$B$5-H8</f>
        <v>2.7047451901011632</v>
      </c>
      <c r="I9" s="25">
        <f>$B$5-I8</f>
        <v>2.7047451901011632</v>
      </c>
      <c r="J9" s="25">
        <f>$B$5-J8</f>
        <v>2.7047451901011632</v>
      </c>
      <c r="K9" s="28" t="s">
        <v>15</v>
      </c>
    </row>
    <row r="10" spans="1:11" x14ac:dyDescent="0.2">
      <c r="D10" s="28" t="s">
        <v>16</v>
      </c>
      <c r="E10" s="27">
        <f t="shared" ref="E10:J10" si="2">2.5-E9</f>
        <v>2.5</v>
      </c>
      <c r="F10" s="27">
        <f t="shared" si="2"/>
        <v>2.5</v>
      </c>
      <c r="G10" s="27">
        <f t="shared" si="2"/>
        <v>2.5</v>
      </c>
      <c r="H10" s="25">
        <f t="shared" si="2"/>
        <v>-0.20474519010116321</v>
      </c>
      <c r="I10" s="25">
        <f t="shared" si="2"/>
        <v>-0.20474519010116321</v>
      </c>
      <c r="J10" s="25">
        <f t="shared" si="2"/>
        <v>-0.20474519010116321</v>
      </c>
      <c r="K10" s="28" t="s">
        <v>16</v>
      </c>
    </row>
    <row r="17" spans="2:7" x14ac:dyDescent="0.2">
      <c r="C17" s="23"/>
      <c r="D17" s="23"/>
    </row>
    <row r="18" spans="2:7" x14ac:dyDescent="0.2">
      <c r="B18" s="30"/>
    </row>
    <row r="19" spans="2:7" x14ac:dyDescent="0.2">
      <c r="B19" s="30"/>
    </row>
    <row r="20" spans="2:7" x14ac:dyDescent="0.2">
      <c r="B20" s="31"/>
    </row>
    <row r="21" spans="2:7" x14ac:dyDescent="0.2">
      <c r="B21" s="30"/>
    </row>
    <row r="22" spans="2:7" x14ac:dyDescent="0.2">
      <c r="B22" s="30"/>
      <c r="G22" s="23"/>
    </row>
    <row r="23" spans="2:7" x14ac:dyDescent="0.2">
      <c r="B23" s="31"/>
      <c r="G23" s="23"/>
    </row>
    <row r="24" spans="2:7" x14ac:dyDescent="0.2">
      <c r="G24" s="23"/>
    </row>
  </sheetData>
  <pageMargins left="0.7" right="0.7" top="0.75" bottom="0.75" header="0.3" footer="0.3"/>
  <pageSetup paperSize="9" orientation="portrait" horizontalDpi="300" verticalDpi="300" r:id="rId1"/>
  <headerFooter>
    <oddFooter>&amp;C&amp;1#&amp;"Arial"&amp;10&amp;K000000Internal</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1000000}">
          <x14:formula1>
            <xm:f>'pooled normalised values'!$R$74:$AK$74</xm:f>
          </x14:formula1>
          <xm:sqref>I2</xm:sqref>
        </x14:dataValidation>
        <x14:dataValidation type="list" allowBlank="1" showInputMessage="1" showErrorMessage="1" xr:uid="{00000000-0002-0000-1000-000000000000}">
          <x14:formula1>
            <xm:f>'pooled normalised values'!$J$74:$M$74</xm:f>
          </x14:formula1>
          <xm:sqref>F2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defaultColWidth="11.42578125" defaultRowHeight="15" x14ac:dyDescent="0.25"/>
  <cols>
    <col min="1" max="1" width="11.42578125" style="1"/>
    <col min="3" max="3" width="15.28515625" customWidth="1"/>
    <col min="4" max="4" width="13.7109375" customWidth="1"/>
    <col min="5" max="5" width="18.28515625" customWidth="1"/>
    <col min="6" max="6" width="14" customWidth="1"/>
    <col min="7" max="7" width="14.42578125" customWidth="1"/>
    <col min="8" max="8" width="14.28515625" customWidth="1"/>
    <col min="9" max="9" width="17" customWidth="1"/>
    <col min="10" max="10" width="12.5703125" customWidth="1"/>
    <col min="11" max="11" width="13.140625" customWidth="1"/>
    <col min="12" max="12" width="15.7109375" customWidth="1"/>
    <col min="13" max="14" width="16.140625" customWidth="1"/>
    <col min="17" max="23" width="9.7109375" customWidth="1"/>
  </cols>
  <sheetData>
    <row r="1" spans="1:23" ht="45.75" thickBot="1" x14ac:dyDescent="0.3">
      <c r="A1" s="150" t="s">
        <v>102</v>
      </c>
      <c r="B1" s="150" t="s">
        <v>103</v>
      </c>
      <c r="C1" s="147" t="s">
        <v>86</v>
      </c>
      <c r="D1" s="147" t="s">
        <v>87</v>
      </c>
      <c r="E1" s="148" t="s">
        <v>88</v>
      </c>
      <c r="F1" s="148" t="s">
        <v>89</v>
      </c>
      <c r="G1" s="147" t="s">
        <v>90</v>
      </c>
      <c r="H1" s="147" t="s">
        <v>91</v>
      </c>
      <c r="I1" s="147" t="s">
        <v>92</v>
      </c>
      <c r="J1" s="147" t="s">
        <v>93</v>
      </c>
      <c r="K1" s="147" t="s">
        <v>94</v>
      </c>
      <c r="L1" s="147" t="s">
        <v>95</v>
      </c>
      <c r="M1" s="147" t="s">
        <v>96</v>
      </c>
      <c r="N1" s="147" t="s">
        <v>97</v>
      </c>
      <c r="Q1" s="242" t="s">
        <v>99</v>
      </c>
      <c r="R1" s="242"/>
      <c r="S1" s="242"/>
      <c r="U1" s="242" t="s">
        <v>98</v>
      </c>
      <c r="V1" s="242"/>
      <c r="W1" s="242"/>
    </row>
    <row r="2" spans="1:23" x14ac:dyDescent="0.2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values'!$B$74:$AK$83,4,FALSE)</f>
        <v>#N/A</v>
      </c>
      <c r="F2" s="1" t="e">
        <f>HLOOKUP(Tableau3[[#This Row],[Nom ND]],'pooled normalised values'!$B$74:$AK$83,8,FALSE)</f>
        <v>#N/A</v>
      </c>
      <c r="G2" t="e">
        <f>VLOOKUP(Tableau3[[#This Row],[Nom ND]],'summary results'!$A$6:$N$26,9,FALSE)</f>
        <v>#N/A</v>
      </c>
      <c r="H2" s="1" t="e">
        <f>VLOOKUP(Tableau3[[#This Row],[Nom ND]],'summary results'!$A$6:$N$26,11,FALSE)</f>
        <v>#N/A</v>
      </c>
      <c r="I2" s="1" t="e">
        <f>HLOOKUP(Tableau3[[#This Row],[Nom D]],'pooled normalised values'!$B$74:$AK$83,4,FALSE)</f>
        <v>#DIV/0!</v>
      </c>
      <c r="J2" s="1" t="e">
        <f ca="1">HLOOKUP(Tableau3[[#This Row],[Nom D]],'pooled normalised values'!$B$74:$AK$83,8,FALSE)</f>
        <v>#NAME?</v>
      </c>
      <c r="K2" s="1" t="e">
        <f ca="1">VLOOKUP(Tableau3[[#This Row],[Nom D]],'summary results'!$A$29:$N$51,9,FALSE)</f>
        <v>#NAME?</v>
      </c>
      <c r="L2" s="1" t="e">
        <f ca="1">VLOOKUP(Tableau3[[#This Row],[Nom D]],'summary results'!$A$29:$N$51,11,FALSE)</f>
        <v>#NAME?</v>
      </c>
      <c r="M2" t="e">
        <f>'summary results'!$G$30</f>
        <v>#NUM!</v>
      </c>
      <c r="N2" t="e">
        <f>'summary results'!$G$31</f>
        <v>#NUM!</v>
      </c>
      <c r="Q2" s="122" t="s">
        <v>7</v>
      </c>
      <c r="R2" s="1" t="s">
        <v>131</v>
      </c>
      <c r="U2" s="122" t="s">
        <v>7</v>
      </c>
      <c r="V2" s="1" t="s">
        <v>131</v>
      </c>
    </row>
    <row r="3" spans="1:23" x14ac:dyDescent="0.25">
      <c r="A3" s="1" t="str">
        <f>Q7</f>
        <v>Prochloraz-0,063mg/L</v>
      </c>
      <c r="B3" t="str">
        <f t="shared" si="0"/>
        <v>Prochloraz-0,063mg/L + Testostérone</v>
      </c>
      <c r="D3" t="str">
        <f>CONCATENATE(VLOOKUP(Tableau3[[#This Row],[Nom ND]],liste_groupe[],3,FALSE),VLOOKUP(Tableau3[[#This Row],[Nom ND]],liste_groupe[],4,FALSE))</f>
        <v>0.063mg/L</v>
      </c>
      <c r="E3">
        <f>HLOOKUP(Tableau3[[#This Row],[Nom ND]],'pooled normalised values'!$B$74:$AK$83,4,FALSE)</f>
        <v>7.6782343495347476</v>
      </c>
      <c r="F3" t="str">
        <f ca="1">HLOOKUP(Tableau3[[#This Row],[Nom ND]],'pooled normalised values'!$B$74:$AK$83,8,FALSE)</f>
        <v>ANOVA</v>
      </c>
      <c r="G3" t="str">
        <f>VLOOKUP(Tableau3[[#This Row],[Nom ND]],'summary results'!$A$6:$N$26,9,FALSE)</f>
        <v>NC</v>
      </c>
      <c r="H3">
        <f>VLOOKUP(Tableau3[[#This Row],[Nom ND]],'summary results'!$A$6:$N$26,11,FALSE)</f>
        <v>0</v>
      </c>
      <c r="I3" t="e">
        <f>HLOOKUP(Tableau3[[#This Row],[Nom D]],'pooled normalised values'!$B$74:$AK$83,4,FALSE)</f>
        <v>#N/A</v>
      </c>
      <c r="J3" t="e">
        <f>HLOOKUP(Tableau3[[#This Row],[Nom D]],'pooled normalised values'!$B$74:$AK$83,8,FALSE)</f>
        <v>#N/A</v>
      </c>
      <c r="K3" t="e">
        <f>VLOOKUP(Tableau3[[#This Row],[Nom D]],'summary results'!$A$29:$N$51,9,FALSE)</f>
        <v>#N/A</v>
      </c>
      <c r="L3" t="e">
        <f>VLOOKUP(Tableau3[[#This Row],[Nom D]],'summary results'!$A$29:$N$51,11,FALSE)</f>
        <v>#N/A</v>
      </c>
      <c r="M3" s="1" t="e">
        <f>'summary results'!$G$30</f>
        <v>#NUM!</v>
      </c>
      <c r="N3" s="1" t="e">
        <f>'summary results'!$G$31</f>
        <v>#NUM!</v>
      </c>
      <c r="Q3" s="122" t="s">
        <v>78</v>
      </c>
      <c r="R3" s="1" t="s">
        <v>106</v>
      </c>
      <c r="U3" s="122" t="s">
        <v>78</v>
      </c>
      <c r="V3" s="1" t="s">
        <v>50</v>
      </c>
    </row>
    <row r="4" spans="1:23" x14ac:dyDescent="0.25">
      <c r="A4" s="1" t="str">
        <f t="shared" ref="A4:A15" si="1">Q8</f>
        <v>Prochloraz-0,13mg/L</v>
      </c>
      <c r="B4" s="44" t="str">
        <f t="shared" ref="B4:B15" si="2">U8</f>
        <v>Prochloraz-0,13mg/L + Testostérone</v>
      </c>
      <c r="D4" s="44" t="str">
        <f>CONCATENATE(VLOOKUP(Tableau3[[#This Row],[Nom ND]],liste_groupe[],3,FALSE),VLOOKUP(Tableau3[[#This Row],[Nom ND]],liste_groupe[],4,FALSE))</f>
        <v>0.13mg/L</v>
      </c>
      <c r="E4" s="44">
        <f>HLOOKUP(Tableau3[[#This Row],[Nom ND]],'pooled normalised values'!$B$74:$AK$83,4,FALSE)</f>
        <v>-13.227471463620887</v>
      </c>
      <c r="F4" s="44" t="e">
        <f ca="1">HLOOKUP(Tableau3[[#This Row],[Nom ND]],'pooled normalised values'!$B$74:$AK$83,8,FALSE)</f>
        <v>#NAME?</v>
      </c>
      <c r="G4" s="44" t="str">
        <f>VLOOKUP(Tableau3[[#This Row],[Nom ND]],'summary results'!$A$6:$N$26,9,FALSE)</f>
        <v>NC</v>
      </c>
      <c r="H4" s="44">
        <f>VLOOKUP(Tableau3[[#This Row],[Nom ND]],'summary results'!$A$6:$N$26,11,FALSE)</f>
        <v>0</v>
      </c>
      <c r="I4" s="44" t="e">
        <f>HLOOKUP(Tableau3[[#This Row],[Nom D]],'pooled normalised values'!$B$74:$AK$83,4,FALSE)</f>
        <v>#N/A</v>
      </c>
      <c r="J4" s="44" t="e">
        <f>HLOOKUP(Tableau3[[#This Row],[Nom D]],'pooled normalised values'!$B$74:$AK$83,8,FALSE)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25">
      <c r="A5" s="1" t="str">
        <f t="shared" si="1"/>
        <v>Prochloraz-0,25mg/L</v>
      </c>
      <c r="B5" s="44" t="str">
        <f t="shared" si="2"/>
        <v>Prochloraz-0,25mg/L + Testostérone</v>
      </c>
      <c r="D5" s="44" t="str">
        <f>CONCATENATE(VLOOKUP(Tableau3[[#This Row],[Nom ND]],liste_groupe[],3,FALSE),VLOOKUP(Tableau3[[#This Row],[Nom ND]],liste_groupe[],4,FALSE))</f>
        <v>0.25mg/L</v>
      </c>
      <c r="E5" s="44">
        <f>HLOOKUP(Tableau3[[#This Row],[Nom ND]],'pooled normalised values'!$B$74:$AK$83,4,FALSE)</f>
        <v>10.376364387012714</v>
      </c>
      <c r="F5" s="44" t="e">
        <f ca="1">HLOOKUP(Tableau3[[#This Row],[Nom ND]],'pooled normalised values'!$B$74:$AK$83,8,FALSE)</f>
        <v>#NAME?</v>
      </c>
      <c r="G5" s="44" t="str">
        <f>VLOOKUP(Tableau3[[#This Row],[Nom ND]],'summary results'!$A$6:$N$26,9,FALSE)</f>
        <v>NC</v>
      </c>
      <c r="H5" s="44">
        <f>VLOOKUP(Tableau3[[#This Row],[Nom ND]],'summary results'!$A$6:$N$26,11,FALSE)</f>
        <v>0</v>
      </c>
      <c r="I5" s="44" t="e">
        <f>HLOOKUP(Tableau3[[#This Row],[Nom D]],'pooled normalised values'!$B$74:$AK$83,4,FALSE)</f>
        <v>#N/A</v>
      </c>
      <c r="J5" s="44" t="e">
        <f>HLOOKUP(Tableau3[[#This Row],[Nom D]],'pooled normalised values'!$B$74:$AK$83,8,FALSE)</f>
        <v>#N/A</v>
      </c>
      <c r="K5" s="44" t="e">
        <f>VLOOKUP(Tableau3[[#This Row],[Nom D]],'summary results'!$A$29:$N$51,9,FALSE)</f>
        <v>#N/A</v>
      </c>
      <c r="L5" s="44" t="e">
        <f>VLOOKUP(Tableau3[[#This Row],[Nom D]],'summary results'!$A$29:$N$51,11,FALSE)</f>
        <v>#N/A</v>
      </c>
      <c r="M5" t="e">
        <f>'summary results'!$G$30</f>
        <v>#NUM!</v>
      </c>
      <c r="N5" t="e">
        <f>'summary results'!$G$31</f>
        <v>#NUM!</v>
      </c>
      <c r="Q5" s="122" t="s">
        <v>100</v>
      </c>
      <c r="U5" s="122" t="s">
        <v>100</v>
      </c>
    </row>
    <row r="6" spans="1:23" x14ac:dyDescent="0.25">
      <c r="A6" s="1" t="str">
        <f t="shared" si="1"/>
        <v>Prochloraz-0,5mg/L</v>
      </c>
      <c r="B6" s="44" t="str">
        <f t="shared" si="2"/>
        <v>Prochloraz-0,5mg/L + Testostérone</v>
      </c>
      <c r="D6" s="44" t="str">
        <f>CONCATENATE(VLOOKUP(Tableau3[[#This Row],[Nom ND]],liste_groupe[],3,FALSE),VLOOKUP(Tableau3[[#This Row],[Nom ND]],liste_groupe[],4,FALSE))</f>
        <v>0.5mg/L</v>
      </c>
      <c r="E6" s="44">
        <f>HLOOKUP(Tableau3[[#This Row],[Nom ND]],'pooled normalised values'!$B$74:$AK$83,4,FALSE)</f>
        <v>23.847992804214613</v>
      </c>
      <c r="F6" s="44" t="e">
        <f ca="1">HLOOKUP(Tableau3[[#This Row],[Nom ND]],'pooled normalised values'!$B$74:$AK$83,8,FALSE)</f>
        <v>#NAME?</v>
      </c>
      <c r="G6" s="44" t="str">
        <f>VLOOKUP(Tableau3[[#This Row],[Nom ND]],'summary results'!$A$6:$N$26,9,FALSE)</f>
        <v>NC</v>
      </c>
      <c r="H6" s="44">
        <f>VLOOKUP(Tableau3[[#This Row],[Nom ND]],'summary results'!$A$6:$N$26,11,FALSE)</f>
        <v>0</v>
      </c>
      <c r="I6" s="44" t="e">
        <f>HLOOKUP(Tableau3[[#This Row],[Nom D]],'pooled normalised values'!$B$74:$AK$83,4,FALSE)</f>
        <v>#N/A</v>
      </c>
      <c r="J6" s="44" t="e">
        <f>HLOOKUP(Tableau3[[#This Row],[Nom D]],'pooled normalised values'!$B$74:$AK$83,8,FALSE)</f>
        <v>#N/A</v>
      </c>
      <c r="K6" s="44" t="e">
        <f>VLOOKUP(Tableau3[[#This Row],[Nom D]],'summary results'!$A$29:$N$51,9,FALSE)</f>
        <v>#N/A</v>
      </c>
      <c r="L6" s="44" t="e">
        <f>VLOOKUP(Tableau3[[#This Row],[Nom D]],'summary results'!$A$29:$N$51,11,FALSE)</f>
        <v>#N/A</v>
      </c>
      <c r="M6" t="e">
        <f>'summary results'!$G$30</f>
        <v>#NUM!</v>
      </c>
      <c r="N6" t="e">
        <f>'summary results'!$G$31</f>
        <v>#NUM!</v>
      </c>
      <c r="Q6" s="149" t="s">
        <v>112</v>
      </c>
      <c r="U6" s="149" t="s">
        <v>101</v>
      </c>
    </row>
    <row r="7" spans="1:23" x14ac:dyDescent="0.25">
      <c r="A7" s="1" t="str">
        <f t="shared" si="1"/>
        <v>Prochloraz-1mg/L</v>
      </c>
      <c r="B7" s="44" t="str">
        <f t="shared" si="2"/>
        <v>Prochloraz-1mg/L + Testostérone</v>
      </c>
      <c r="D7" s="44" t="str">
        <f>CONCATENATE(VLOOKUP(Tableau3[[#This Row],[Nom ND]],liste_groupe[],3,FALSE),VLOOKUP(Tableau3[[#This Row],[Nom ND]],liste_groupe[],4,FALSE))</f>
        <v>1mg/L</v>
      </c>
      <c r="E7" s="44">
        <f>HLOOKUP(Tableau3[[#This Row],[Nom ND]],'pooled normalised values'!$B$74:$AK$83,4,FALSE)</f>
        <v>47.784233002727035</v>
      </c>
      <c r="F7" s="44" t="e">
        <f ca="1">HLOOKUP(Tableau3[[#This Row],[Nom ND]],'pooled normalised values'!$B$74:$AK$83,8,FALSE)</f>
        <v>#NAME?</v>
      </c>
      <c r="G7" s="44" t="str">
        <f>VLOOKUP(Tableau3[[#This Row],[Nom ND]],'summary results'!$A$6:$N$26,9,FALSE)</f>
        <v>NC</v>
      </c>
      <c r="H7" s="44">
        <f>VLOOKUP(Tableau3[[#This Row],[Nom ND]],'summary results'!$A$6:$N$26,11,FALSE)</f>
        <v>0</v>
      </c>
      <c r="I7" s="44">
        <f>HLOOKUP(Tableau3[[#This Row],[Nom D]],'pooled normalised values'!$B$74:$AK$83,4,FALSE)</f>
        <v>-28.460638617809394</v>
      </c>
      <c r="J7" s="44" t="e">
        <f ca="1">HLOOKUP(Tableau3[[#This Row],[Nom D]],'pooled normalised values'!$B$74:$AK$83,8,FALSE)</f>
        <v>#NAME?</v>
      </c>
      <c r="K7" s="44" t="str">
        <f>VLOOKUP(Tableau3[[#This Row],[Nom D]],'summary results'!$A$29:$N$51,9,FALSE)</f>
        <v>NC</v>
      </c>
      <c r="L7" s="44">
        <f>VLOOKUP(Tableau3[[#This Row],[Nom D]],'summary results'!$A$29:$N$51,11,FALSE)</f>
        <v>0</v>
      </c>
      <c r="M7" t="e">
        <f>'summary results'!$G$30</f>
        <v>#NUM!</v>
      </c>
      <c r="N7" t="e">
        <f>'summary results'!$G$31</f>
        <v>#NUM!</v>
      </c>
      <c r="Q7" s="149" t="s">
        <v>1656</v>
      </c>
      <c r="U7" s="149" t="s">
        <v>2951</v>
      </c>
    </row>
    <row r="8" spans="1:23" x14ac:dyDescent="0.25">
      <c r="A8" s="1">
        <f t="shared" si="1"/>
        <v>0</v>
      </c>
      <c r="B8" s="44">
        <f t="shared" si="2"/>
        <v>0</v>
      </c>
      <c r="D8" s="44" t="e">
        <f>CONCATENATE(VLOOKUP(Tableau3[[#This Row],[Nom ND]],liste_groupe[],3,FALSE),VLOOKUP(Tableau3[[#This Row],[Nom ND]],liste_groupe[],4,FALSE))</f>
        <v>#N/A</v>
      </c>
      <c r="E8" s="151" t="e">
        <f>HLOOKUP(Tableau3[[#This Row],[Nom ND]],'pooled normalised values'!$B$74:$AK$83,4,FALSE)</f>
        <v>#N/A</v>
      </c>
      <c r="F8" s="44" t="e">
        <f>HLOOKUP(Tableau3[[#This Row],[Nom ND]],'pooled normalised values'!$B$74:$AK$83,8,FALSE)</f>
        <v>#N/A</v>
      </c>
      <c r="G8" s="44" t="e">
        <f>VLOOKUP(Tableau3[[#This Row],[Nom ND]],'summary results'!$A$6:$N$26,9,FALSE)</f>
        <v>#N/A</v>
      </c>
      <c r="H8" s="44" t="e">
        <f>VLOOKUP(Tableau3[[#This Row],[Nom ND]],'summary results'!$A$6:$N$26,11,FALSE)</f>
        <v>#N/A</v>
      </c>
      <c r="I8" s="44" t="e">
        <f>HLOOKUP(Tableau3[[#This Row],[Nom D]],'pooled normalised values'!$B$74:$AK$83,4,FALSE)</f>
        <v>#N/A</v>
      </c>
      <c r="J8" s="44" t="e">
        <f>HLOOKUP(Tableau3[[#This Row],[Nom D]],'pooled normalised values'!$B$74:$AK$83,8,FALSE)</f>
        <v>#N/A</v>
      </c>
      <c r="K8" s="44" t="e">
        <f>VLOOKUP(Tableau3[[#This Row],[Nom D]],'summary results'!$A$29:$N$51,9,FALSE)</f>
        <v>#N/A</v>
      </c>
      <c r="L8" s="44" t="e">
        <f>VLOOKUP(Tableau3[[#This Row],[Nom D]],'summary results'!$A$29:$N$51,11,FALSE)</f>
        <v>#N/A</v>
      </c>
      <c r="M8" t="e">
        <f>'summary results'!$G$30</f>
        <v>#NUM!</v>
      </c>
      <c r="N8" t="e">
        <f>'summary results'!$G$31</f>
        <v>#NUM!</v>
      </c>
      <c r="Q8" s="149" t="s">
        <v>1657</v>
      </c>
      <c r="U8" s="149" t="s">
        <v>2952</v>
      </c>
    </row>
    <row r="9" spans="1:23" x14ac:dyDescent="0.25">
      <c r="A9" s="1">
        <f t="shared" si="1"/>
        <v>0</v>
      </c>
      <c r="B9" s="44">
        <f t="shared" si="2"/>
        <v>0</v>
      </c>
      <c r="D9" s="44" t="e">
        <f>CONCATENATE(VLOOKUP(Tableau3[[#This Row],[Nom ND]],liste_groupe[],3,FALSE),VLOOKUP(Tableau3[[#This Row],[Nom ND]],liste_groupe[],4,FALSE))</f>
        <v>#N/A</v>
      </c>
      <c r="E9" s="44" t="e">
        <f>HLOOKUP(Tableau3[[#This Row],[Nom ND]],'pooled normalised values'!$B$74:$AK$83,4,FALSE)</f>
        <v>#N/A</v>
      </c>
      <c r="F9" s="44" t="e">
        <f>HLOOKUP(Tableau3[[#This Row],[Nom ND]],'pooled normalised values'!$B$74:$AK$83,8,FALSE)</f>
        <v>#N/A</v>
      </c>
      <c r="G9" s="44" t="e">
        <f>VLOOKUP(Tableau3[[#This Row],[Nom ND]],'summary results'!$A$6:$N$26,9,FALSE)</f>
        <v>#N/A</v>
      </c>
      <c r="H9" s="44" t="e">
        <f>VLOOKUP(Tableau3[[#This Row],[Nom ND]],'summary results'!$A$6:$N$26,11,FALSE)</f>
        <v>#N/A</v>
      </c>
      <c r="I9" s="44" t="e">
        <f>HLOOKUP(Tableau3[[#This Row],[Nom D]],'pooled normalised values'!$B$74:$AK$83,4,FALSE)</f>
        <v>#N/A</v>
      </c>
      <c r="J9" s="44" t="e">
        <f>HLOOKUP(Tableau3[[#This Row],[Nom D]],'pooled normalised values'!$B$74:$AK$83,8,FALSE)</f>
        <v>#N/A</v>
      </c>
      <c r="K9" s="44" t="e">
        <f>VLOOKUP(Tableau3[[#This Row],[Nom D]],'summary results'!$A$29:$N$51,9,FALSE)</f>
        <v>#N/A</v>
      </c>
      <c r="L9" s="44" t="e">
        <f>VLOOKUP(Tableau3[[#This Row],[Nom D]],'summary results'!$A$29:$N$51,11,FALSE)</f>
        <v>#N/A</v>
      </c>
      <c r="M9" t="e">
        <f>'summary results'!$G$30</f>
        <v>#NUM!</v>
      </c>
      <c r="N9" t="e">
        <f>'summary results'!$G$31</f>
        <v>#NUM!</v>
      </c>
      <c r="Q9" s="149" t="s">
        <v>1658</v>
      </c>
      <c r="U9" s="149" t="s">
        <v>2953</v>
      </c>
    </row>
    <row r="10" spans="1:23" x14ac:dyDescent="0.25">
      <c r="A10" s="1">
        <f t="shared" si="1"/>
        <v>0</v>
      </c>
      <c r="B10" s="44">
        <f t="shared" si="2"/>
        <v>0</v>
      </c>
      <c r="D10" s="44" t="e">
        <f>CONCATENATE(VLOOKUP(Tableau3[[#This Row],[Nom ND]],liste_groupe[],3,FALSE),VLOOKUP(Tableau3[[#This Row],[Nom ND]],liste_groupe[],4,FALSE))</f>
        <v>#N/A</v>
      </c>
      <c r="E10" s="44" t="e">
        <f>HLOOKUP(Tableau3[[#This Row],[Nom ND]],'pooled normalised values'!$B$74:$AK$83,4,FALSE)</f>
        <v>#N/A</v>
      </c>
      <c r="F10" s="44" t="e">
        <f>HLOOKUP(Tableau3[[#This Row],[Nom ND]],'pooled normalised values'!$B$74:$AK$83,8,FALSE)</f>
        <v>#N/A</v>
      </c>
      <c r="G10" s="44" t="e">
        <f>VLOOKUP(Tableau3[[#This Row],[Nom ND]],'summary results'!$A$6:$N$26,9,FALSE)</f>
        <v>#N/A</v>
      </c>
      <c r="H10" s="44" t="e">
        <f>VLOOKUP(Tableau3[[#This Row],[Nom ND]],'summary results'!$A$6:$N$26,11,FALSE)</f>
        <v>#N/A</v>
      </c>
      <c r="I10" s="44" t="e">
        <f>HLOOKUP(Tableau3[[#This Row],[Nom D]],'pooled normalised values'!$B$74:$AK$83,4,FALSE)</f>
        <v>#N/A</v>
      </c>
      <c r="J10" s="44" t="e">
        <f>HLOOKUP(Tableau3[[#This Row],[Nom D]],'pooled normalised values'!$B$74:$AK$83,8,FALSE)</f>
        <v>#N/A</v>
      </c>
      <c r="K10" s="44" t="e">
        <f>VLOOKUP(Tableau3[[#This Row],[Nom D]],'summary results'!$A$29:$N$51,9,FALSE)</f>
        <v>#N/A</v>
      </c>
      <c r="L10" s="44" t="e">
        <f>VLOOKUP(Tableau3[[#This Row],[Nom D]],'summary results'!$A$29:$N$51,11,FALSE)</f>
        <v>#N/A</v>
      </c>
      <c r="M10" t="e">
        <f>'summary results'!$G$30</f>
        <v>#NUM!</v>
      </c>
      <c r="N10" t="e">
        <f>'summary results'!$G$31</f>
        <v>#NUM!</v>
      </c>
      <c r="Q10" s="149" t="s">
        <v>1659</v>
      </c>
      <c r="U10" s="149" t="s">
        <v>2954</v>
      </c>
    </row>
    <row r="11" spans="1:23" x14ac:dyDescent="0.25">
      <c r="A11" s="1">
        <f t="shared" si="1"/>
        <v>0</v>
      </c>
      <c r="B11" s="44">
        <f t="shared" si="2"/>
        <v>0</v>
      </c>
      <c r="D11" s="44" t="e">
        <f>CONCATENATE(VLOOKUP(Tableau3[[#This Row],[Nom ND]],liste_groupe[],3,FALSE),VLOOKUP(Tableau3[[#This Row],[Nom ND]],liste_groupe[],4,FALSE))</f>
        <v>#N/A</v>
      </c>
      <c r="E11" s="44" t="e">
        <f>HLOOKUP(Tableau3[[#This Row],[Nom ND]],'pooled normalised values'!$B$74:$AK$83,4,FALSE)</f>
        <v>#N/A</v>
      </c>
      <c r="F11" s="44" t="e">
        <f>HLOOKUP(Tableau3[[#This Row],[Nom ND]],'pooled normalised values'!$B$74:$AK$83,8,FALSE)</f>
        <v>#N/A</v>
      </c>
      <c r="G11" s="44" t="e">
        <f>VLOOKUP(Tableau3[[#This Row],[Nom ND]],'summary results'!$A$6:$N$26,9,FALSE)</f>
        <v>#N/A</v>
      </c>
      <c r="H11" s="44" t="e">
        <f>VLOOKUP(Tableau3[[#This Row],[Nom ND]],'summary results'!$A$6:$N$26,11,FALSE)</f>
        <v>#N/A</v>
      </c>
      <c r="I11" s="44" t="e">
        <f>HLOOKUP(Tableau3[[#This Row],[Nom D]],'pooled normalised values'!$B$74:$AK$83,4,FALSE)</f>
        <v>#N/A</v>
      </c>
      <c r="J11" s="44" t="e">
        <f>HLOOKUP(Tableau3[[#This Row],[Nom D]],'pooled normalised values'!$B$74:$AK$83,8,FALSE)</f>
        <v>#N/A</v>
      </c>
      <c r="K11" s="44" t="e">
        <f>VLOOKUP(Tableau3[[#This Row],[Nom D]],'summary results'!$A$29:$N$51,9,FALSE)</f>
        <v>#N/A</v>
      </c>
      <c r="L11" s="44" t="e">
        <f>VLOOKUP(Tableau3[[#This Row],[Nom D]],'summary results'!$A$29:$N$51,11,FALSE)</f>
        <v>#N/A</v>
      </c>
      <c r="M11" t="e">
        <f>'summary results'!$G$30</f>
        <v>#NUM!</v>
      </c>
      <c r="N11" t="e">
        <f>'summary results'!$G$31</f>
        <v>#NUM!</v>
      </c>
      <c r="Q11" s="149" t="s">
        <v>1660</v>
      </c>
      <c r="U11" s="149" t="s">
        <v>2955</v>
      </c>
    </row>
    <row r="12" spans="1:23" x14ac:dyDescent="0.25">
      <c r="A12" s="1">
        <f t="shared" si="1"/>
        <v>0</v>
      </c>
      <c r="B12" s="44">
        <f t="shared" si="2"/>
        <v>0</v>
      </c>
      <c r="D12" s="44" t="e">
        <f>CONCATENATE(VLOOKUP(Tableau3[[#This Row],[Nom ND]],liste_groupe[],3,FALSE),VLOOKUP(Tableau3[[#This Row],[Nom ND]],liste_groupe[],4,FALSE))</f>
        <v>#N/A</v>
      </c>
      <c r="E12" s="44" t="e">
        <f>HLOOKUP(Tableau3[[#This Row],[Nom ND]],'pooled normalised values'!$B$74:$AK$83,4,FALSE)</f>
        <v>#N/A</v>
      </c>
      <c r="F12" s="44" t="e">
        <f>HLOOKUP(Tableau3[[#This Row],[Nom ND]],'pooled normalised values'!$B$74:$AK$83,8,FALSE)</f>
        <v>#N/A</v>
      </c>
      <c r="G12" s="44" t="e">
        <f>VLOOKUP(Tableau3[[#This Row],[Nom ND]],'summary results'!$A$6:$N$26,9,FALSE)</f>
        <v>#N/A</v>
      </c>
      <c r="H12" s="44" t="e">
        <f>VLOOKUP(Tableau3[[#This Row],[Nom ND]],'summary results'!$A$6:$N$26,11,FALSE)</f>
        <v>#N/A</v>
      </c>
      <c r="I12" s="44" t="e">
        <f>HLOOKUP(Tableau3[[#This Row],[Nom D]],'pooled normalised values'!$B$74:$AK$83,4,FALSE)</f>
        <v>#N/A</v>
      </c>
      <c r="J12" s="44" t="e">
        <f>HLOOKUP(Tableau3[[#This Row],[Nom D]],'pooled normalised values'!$B$74:$AK$83,8,FALSE)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25">
      <c r="A13" s="1">
        <f t="shared" si="1"/>
        <v>0</v>
      </c>
      <c r="B13" s="44">
        <f t="shared" si="2"/>
        <v>0</v>
      </c>
      <c r="D13" s="44" t="e">
        <f>CONCATENATE(VLOOKUP(Tableau3[[#This Row],[Nom ND]],liste_groupe[],3,FALSE),VLOOKUP(Tableau3[[#This Row],[Nom ND]],liste_groupe[],4,FALSE))</f>
        <v>#N/A</v>
      </c>
      <c r="E13" s="44" t="e">
        <f>HLOOKUP(Tableau3[[#This Row],[Nom ND]],'pooled normalised values'!$B$74:$AK$83,4,FALSE)</f>
        <v>#N/A</v>
      </c>
      <c r="F13" s="44" t="e">
        <f>HLOOKUP(Tableau3[[#This Row],[Nom ND]],'pooled normalised values'!$B$74:$AK$83,8,FALSE)</f>
        <v>#N/A</v>
      </c>
      <c r="G13" s="44" t="e">
        <f>VLOOKUP(Tableau3[[#This Row],[Nom ND]],'summary results'!$A$6:$N$26,9,FALSE)</f>
        <v>#N/A</v>
      </c>
      <c r="H13" s="44" t="e">
        <f>VLOOKUP(Tableau3[[#This Row],[Nom ND]],'summary results'!$A$6:$N$26,11,FALSE)</f>
        <v>#N/A</v>
      </c>
      <c r="I13" s="44" t="e">
        <f>HLOOKUP(Tableau3[[#This Row],[Nom D]],'pooled normalised values'!$B$74:$AK$83,4,FALSE)</f>
        <v>#N/A</v>
      </c>
      <c r="J13" s="44" t="e">
        <f>HLOOKUP(Tableau3[[#This Row],[Nom D]],'pooled normalised values'!$B$74:$AK$83,8,FALSE)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25">
      <c r="A14" s="1">
        <f t="shared" si="1"/>
        <v>0</v>
      </c>
      <c r="B14" s="44">
        <f t="shared" si="2"/>
        <v>0</v>
      </c>
      <c r="D14" s="44" t="e">
        <f>CONCATENATE(VLOOKUP(Tableau3[[#This Row],[Nom ND]],liste_groupe[],3,FALSE),VLOOKUP(Tableau3[[#This Row],[Nom ND]],liste_groupe[],4,FALSE))</f>
        <v>#N/A</v>
      </c>
      <c r="E14" s="44" t="e">
        <f>HLOOKUP(Tableau3[[#This Row],[Nom ND]],'pooled normalised values'!$B$74:$AK$83,4,FALSE)</f>
        <v>#N/A</v>
      </c>
      <c r="F14" s="44" t="e">
        <f>HLOOKUP(Tableau3[[#This Row],[Nom ND]],'pooled normalised values'!$B$74:$AK$83,8,FALSE)</f>
        <v>#N/A</v>
      </c>
      <c r="G14" s="44" t="e">
        <f>VLOOKUP(Tableau3[[#This Row],[Nom ND]],'summary results'!$A$6:$N$26,9,FALSE)</f>
        <v>#N/A</v>
      </c>
      <c r="H14" s="44" t="e">
        <f>VLOOKUP(Tableau3[[#This Row],[Nom ND]],'summary results'!$A$6:$N$26,11,FALSE)</f>
        <v>#N/A</v>
      </c>
      <c r="I14" s="44" t="e">
        <f>HLOOKUP(Tableau3[[#This Row],[Nom D]],'pooled normalised values'!$B$74:$AK$83,4,FALSE)</f>
        <v>#N/A</v>
      </c>
      <c r="J14" s="44" t="e">
        <f>HLOOKUP(Tableau3[[#This Row],[Nom D]],'pooled normalised values'!$B$74:$AK$83,8,FALSE)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25">
      <c r="A15" s="1">
        <f t="shared" si="1"/>
        <v>0</v>
      </c>
      <c r="B15" s="44">
        <f t="shared" si="2"/>
        <v>0</v>
      </c>
      <c r="D15" s="44" t="e">
        <f>CONCATENATE(VLOOKUP(Tableau3[[#This Row],[Nom ND]],liste_groupe[],3,FALSE),VLOOKUP(Tableau3[[#This Row],[Nom ND]],liste_groupe[],4,FALSE))</f>
        <v>#N/A</v>
      </c>
      <c r="E15" s="44" t="e">
        <f>HLOOKUP(Tableau3[[#This Row],[Nom ND]],'pooled normalised values'!$B$74:$AK$83,4,FALSE)</f>
        <v>#N/A</v>
      </c>
      <c r="F15" s="44" t="e">
        <f>HLOOKUP(Tableau3[[#This Row],[Nom ND]],'pooled normalised values'!$B$74:$AK$83,8,FALSE)</f>
        <v>#N/A</v>
      </c>
      <c r="G15" s="44" t="e">
        <f>VLOOKUP(Tableau3[[#This Row],[Nom ND]],'summary results'!$A$6:$N$26,9,FALSE)</f>
        <v>#N/A</v>
      </c>
      <c r="H15" s="44" t="e">
        <f>VLOOKUP(Tableau3[[#This Row],[Nom ND]],'summary results'!$A$6:$N$26,11,FALSE)</f>
        <v>#N/A</v>
      </c>
      <c r="I15" s="44" t="e">
        <f>HLOOKUP(Tableau3[[#This Row],[Nom D]],'pooled normalised values'!$B$74:$AK$83,4,FALSE)</f>
        <v>#N/A</v>
      </c>
      <c r="J15" s="44" t="e">
        <f>HLOOKUP(Tableau3[[#This Row],[Nom D]],'pooled normalised values'!$B$74:$AK$83,8,FALSE)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pageSetup paperSize="9" orientation="portrait" horizontalDpi="300" verticalDpi="300" r:id="rId3"/>
  <headerFooter>
    <oddFooter>&amp;C&amp;1#&amp;"Arial"&amp;10&amp;K000000Internal</oddFooter>
  </headerFooter>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90FFBD-350B-4C2A-A11A-42862FD133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58732D7-1032-4246-8173-6E3B7ABCB2A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14</vt:i4>
      </vt:variant>
      <vt:variant>
        <vt:lpstr>Charts</vt:lpstr>
      </vt:variant>
      <vt:variant>
        <vt:i4>4</vt:i4>
      </vt:variant>
      <vt:variant>
        <vt:lpstr>Named Ranges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2023-02-02T12:26:59Z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2023-02-02T12:26:56Z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6fcaed99-715a-4b7d-808a-f2fc0744df5d</vt:lpwstr>
  </property>
  <property fmtid="{D5CDD505-2E9C-101B-9397-08002B2CF9AE}" pid="8" name="MSIP_Label_06530cf4-8573-4c29-a912-bbcdac835909_ContentBits">
    <vt:lpwstr>2</vt:lpwstr>
  </property>
</Properties>
</file>