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4.xml" ContentType="application/vnd.openxmlformats-officedocument.spreadsheetml.table+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hidePivotFieldList="1" defaultThemeVersion="124226"/>
  <xr:revisionPtr revIDLastSave="0" documentId="13_ncr:1_{283E7FC1-D37E-428A-8103-9147BD4FCF3F}" xr6:coauthVersionLast="47" xr6:coauthVersionMax="47" xr10:uidLastSave="{00000000-0000-0000-0000-000000000000}"/>
  <bookViews>
    <workbookView xWindow="-110" yWindow="-110" windowWidth="19420" windowHeight="10420" firstSheet="11"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garde'!$A$1:$I$52</definedName>
  </definedNames>
  <calcPr calcId="181029"/>
  <pivotCaches>
    <pivotCache cacheId="52" r:id="rId21"/>
    <pivotCache cacheId="53" r:id="rId22"/>
    <pivotCache cacheId="54" r:id="rId23"/>
    <pivotCache cacheId="55" r:id="rId24"/>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R83" i="4" l="1"/>
  <c r="A2" i="35"/>
  <c r="B2" i="35"/>
  <c r="A3" i="35"/>
  <c r="B3" i="35"/>
  <c r="A4" i="35"/>
  <c r="B4" i="35"/>
  <c r="A5" i="35"/>
  <c r="B5" i="35"/>
  <c r="A6" i="35"/>
  <c r="B6" i="35"/>
  <c r="A7" i="35"/>
  <c r="B7" i="35"/>
  <c r="A8" i="35"/>
  <c r="B8" i="35"/>
  <c r="A9" i="35"/>
  <c r="B9" i="35"/>
  <c r="A10" i="35"/>
  <c r="B10" i="35"/>
  <c r="A11" i="35"/>
  <c r="B11" i="35"/>
  <c r="A12" i="35"/>
  <c r="B12" i="35"/>
  <c r="A13" i="35"/>
  <c r="B13" i="35"/>
  <c r="A14" i="35"/>
  <c r="B14" i="35"/>
  <c r="A15" i="35"/>
  <c r="B15" i="35"/>
  <c r="A16" i="35"/>
  <c r="B16" i="35"/>
  <c r="A17" i="35"/>
  <c r="B17" i="35"/>
  <c r="A18" i="35"/>
  <c r="B18" i="35"/>
  <c r="A19" i="35"/>
  <c r="B19" i="35"/>
  <c r="A20" i="35"/>
  <c r="B20" i="35"/>
  <c r="A21" i="35"/>
  <c r="B21" i="35"/>
  <c r="A22" i="35"/>
  <c r="B22" i="35"/>
  <c r="A23" i="35"/>
  <c r="B23" i="35"/>
  <c r="A24" i="35"/>
  <c r="B24" i="35"/>
  <c r="A25" i="35"/>
  <c r="B25" i="35"/>
  <c r="A26" i="35"/>
  <c r="B26" i="35"/>
  <c r="A27" i="35"/>
  <c r="B27" i="35"/>
  <c r="A28" i="35"/>
  <c r="B28" i="35"/>
  <c r="A29" i="35"/>
  <c r="B29" i="35"/>
  <c r="A30" i="35"/>
  <c r="B30" i="35"/>
  <c r="A31" i="35"/>
  <c r="B31" i="35"/>
  <c r="A32" i="35"/>
  <c r="B32" i="35"/>
  <c r="A33" i="35"/>
  <c r="B33" i="35"/>
  <c r="A34" i="35"/>
  <c r="B34" i="35"/>
  <c r="A35" i="35"/>
  <c r="B35" i="35"/>
  <c r="A36" i="35"/>
  <c r="B36" i="35"/>
  <c r="A37" i="35"/>
  <c r="B37" i="35"/>
  <c r="A38" i="35"/>
  <c r="B38" i="35"/>
  <c r="A39" i="35"/>
  <c r="B39" i="35"/>
  <c r="A40" i="35"/>
  <c r="B40" i="35"/>
  <c r="A41" i="35"/>
  <c r="B41" i="35"/>
  <c r="A42" i="35"/>
  <c r="B42" i="35"/>
  <c r="A43" i="35"/>
  <c r="B43" i="35"/>
  <c r="A44" i="35"/>
  <c r="B44" i="35"/>
  <c r="A45" i="35"/>
  <c r="B45" i="35"/>
  <c r="A46" i="35"/>
  <c r="B46" i="35"/>
  <c r="A47" i="35"/>
  <c r="B47" i="35"/>
  <c r="A48" i="35"/>
  <c r="B48" i="35"/>
  <c r="A49" i="35"/>
  <c r="B49" i="35"/>
  <c r="A50" i="35"/>
  <c r="B50" i="35"/>
  <c r="A51" i="35"/>
  <c r="B51" i="35"/>
  <c r="A52" i="35"/>
  <c r="B52" i="35"/>
  <c r="A53" i="35"/>
  <c r="B53" i="35"/>
  <c r="A54" i="35"/>
  <c r="B54" i="35"/>
  <c r="A55" i="35"/>
  <c r="B55" i="35"/>
  <c r="A56" i="35"/>
  <c r="B56" i="35"/>
  <c r="A57" i="35"/>
  <c r="B57" i="35"/>
  <c r="A58" i="35"/>
  <c r="B58" i="35"/>
  <c r="A59" i="35"/>
  <c r="B59" i="35"/>
  <c r="A60" i="35"/>
  <c r="B60" i="35"/>
  <c r="A61" i="35"/>
  <c r="B61" i="35"/>
  <c r="A62" i="35"/>
  <c r="B62" i="35"/>
  <c r="A63" i="35"/>
  <c r="B63" i="35"/>
  <c r="A64" i="35"/>
  <c r="B64" i="35"/>
  <c r="A65" i="35"/>
  <c r="B65" i="35"/>
  <c r="A66" i="35"/>
  <c r="B66" i="35"/>
  <c r="A67" i="35"/>
  <c r="B67" i="35"/>
  <c r="A68" i="35"/>
  <c r="B68" i="35"/>
  <c r="A69" i="35"/>
  <c r="B69" i="35"/>
  <c r="A70" i="35"/>
  <c r="B70" i="35"/>
  <c r="A71" i="35"/>
  <c r="B71" i="35"/>
  <c r="A72" i="35"/>
  <c r="B72" i="35"/>
  <c r="A73" i="35"/>
  <c r="B73" i="35"/>
  <c r="A74" i="35"/>
  <c r="B74" i="35"/>
  <c r="A75" i="35"/>
  <c r="B75" i="35"/>
  <c r="A76" i="35"/>
  <c r="B76" i="35"/>
  <c r="A77" i="35"/>
  <c r="B77" i="35"/>
  <c r="A78" i="35"/>
  <c r="B78" i="35"/>
  <c r="A79" i="35"/>
  <c r="B79" i="35"/>
  <c r="A80" i="35"/>
  <c r="B80" i="35"/>
  <c r="A81" i="35"/>
  <c r="B81" i="35"/>
  <c r="A82" i="35"/>
  <c r="B82" i="35"/>
  <c r="A83" i="35"/>
  <c r="B83" i="35"/>
  <c r="A84" i="35"/>
  <c r="B84" i="35"/>
  <c r="A85" i="35"/>
  <c r="B85" i="35"/>
  <c r="A86" i="35"/>
  <c r="B86" i="35"/>
  <c r="A87" i="35"/>
  <c r="B87" i="35"/>
  <c r="A88" i="35"/>
  <c r="B88" i="35"/>
  <c r="A89" i="35"/>
  <c r="B89" i="35"/>
  <c r="A90" i="35"/>
  <c r="B90" i="35"/>
  <c r="A91" i="35"/>
  <c r="B91" i="35"/>
  <c r="A92" i="35"/>
  <c r="B92" i="35"/>
  <c r="A93" i="35"/>
  <c r="B93" i="35"/>
  <c r="A94" i="35"/>
  <c r="B94" i="35"/>
  <c r="A95" i="35"/>
  <c r="B95" i="35"/>
  <c r="A96" i="35"/>
  <c r="B96" i="35"/>
  <c r="A97" i="35"/>
  <c r="B97" i="35"/>
  <c r="A98" i="35"/>
  <c r="B98" i="35"/>
  <c r="A99" i="35"/>
  <c r="B99" i="35"/>
  <c r="A100" i="35"/>
  <c r="B100" i="35"/>
  <c r="A101" i="35"/>
  <c r="B101" i="35"/>
  <c r="A102" i="35"/>
  <c r="B102" i="35"/>
  <c r="A103" i="35"/>
  <c r="B103" i="35"/>
  <c r="A104" i="35"/>
  <c r="B104" i="35"/>
  <c r="A105" i="35"/>
  <c r="B105" i="35"/>
  <c r="A106" i="35"/>
  <c r="B106" i="35"/>
  <c r="A107" i="35"/>
  <c r="B107" i="35"/>
  <c r="A108" i="35"/>
  <c r="B108" i="35"/>
  <c r="A109" i="35"/>
  <c r="B109" i="35"/>
  <c r="A110" i="35"/>
  <c r="B110" i="35"/>
  <c r="A111" i="35"/>
  <c r="B111" i="35"/>
  <c r="A112" i="35"/>
  <c r="B112" i="35"/>
  <c r="A113" i="35"/>
  <c r="B113" i="35"/>
  <c r="A114" i="35"/>
  <c r="B114" i="35"/>
  <c r="A115" i="35"/>
  <c r="B115" i="35"/>
  <c r="A116" i="35"/>
  <c r="B116" i="35"/>
  <c r="A117" i="35"/>
  <c r="B117" i="35"/>
  <c r="A118" i="35"/>
  <c r="B118" i="35"/>
  <c r="A119" i="35"/>
  <c r="B119" i="35"/>
  <c r="A120" i="35"/>
  <c r="B120" i="35"/>
  <c r="A121" i="35"/>
  <c r="B121" i="35"/>
  <c r="A122" i="35"/>
  <c r="B122" i="35"/>
  <c r="A123" i="35"/>
  <c r="B123" i="35"/>
  <c r="A124" i="35"/>
  <c r="B124" i="35"/>
  <c r="A125" i="35"/>
  <c r="B125" i="35"/>
  <c r="A126" i="35"/>
  <c r="B126" i="35"/>
  <c r="A127" i="35"/>
  <c r="B127" i="35"/>
  <c r="A128" i="35"/>
  <c r="B128" i="35"/>
  <c r="A129" i="35"/>
  <c r="B129" i="35"/>
  <c r="A130" i="35"/>
  <c r="B130" i="35"/>
  <c r="A131" i="35"/>
  <c r="B131" i="35"/>
  <c r="A132" i="35"/>
  <c r="B132" i="35"/>
  <c r="A133" i="35"/>
  <c r="B133" i="35"/>
  <c r="A134" i="35"/>
  <c r="B134" i="35"/>
  <c r="A135" i="35"/>
  <c r="B135" i="35"/>
  <c r="A136" i="35"/>
  <c r="B136" i="35"/>
  <c r="A137" i="35"/>
  <c r="B137" i="35"/>
  <c r="A138" i="35"/>
  <c r="B138" i="35"/>
  <c r="A139" i="35"/>
  <c r="B139" i="35"/>
  <c r="A140" i="35"/>
  <c r="B140" i="35"/>
  <c r="A141" i="35"/>
  <c r="B141" i="35"/>
  <c r="A142" i="35"/>
  <c r="B142" i="35"/>
  <c r="A143" i="35"/>
  <c r="B143" i="35"/>
  <c r="A144" i="35"/>
  <c r="B144" i="35"/>
  <c r="A145" i="35"/>
  <c r="B145" i="35"/>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56" i="33"/>
  <c r="C56" i="33"/>
  <c r="I56" i="33"/>
  <c r="L56" i="33"/>
  <c r="F56" i="33"/>
  <c r="J56" i="33"/>
  <c r="H56" i="33"/>
  <c r="D56" i="33"/>
  <c r="K56" i="33"/>
  <c r="G56" i="33"/>
  <c r="E56" i="33"/>
  <c r="M56" i="33"/>
  <c r="G78" i="4"/>
  <c r="N78" i="4"/>
  <c r="P78" i="4"/>
  <c r="E78" i="4"/>
  <c r="U78" i="4"/>
  <c r="C78" i="4"/>
  <c r="V78" i="4"/>
  <c r="B78" i="4"/>
  <c r="K78" i="4"/>
  <c r="D78" i="4"/>
  <c r="T78" i="4"/>
  <c r="I78" i="4"/>
  <c r="F78" i="4"/>
  <c r="L78" i="4"/>
  <c r="O78" i="4"/>
  <c r="H78" i="4"/>
  <c r="J78" i="4"/>
  <c r="M78" i="4"/>
  <c r="R78" i="4"/>
  <c r="S78" i="4"/>
  <c r="Q78" i="4"/>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146" i="35" l="1"/>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52" i="33" l="1"/>
  <c r="A45" i="33"/>
  <c r="AK43" i="33"/>
  <c r="AJ43" i="33"/>
  <c r="AI43" i="33"/>
  <c r="AH43" i="33"/>
  <c r="AG43" i="33"/>
  <c r="AF43" i="33"/>
  <c r="AE43" i="33"/>
  <c r="AD43" i="33"/>
  <c r="AC43" i="33"/>
  <c r="AB43" i="33"/>
  <c r="AA43" i="33"/>
  <c r="Z43" i="33"/>
  <c r="Y43" i="33"/>
  <c r="X43" i="33"/>
  <c r="W43"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AK42" i="33"/>
  <c r="AJ42" i="33"/>
  <c r="AI42" i="33"/>
  <c r="AH42" i="33"/>
  <c r="AG42" i="33"/>
  <c r="AF42" i="33"/>
  <c r="AE42" i="33"/>
  <c r="AD42" i="33"/>
  <c r="AC42" i="33"/>
  <c r="AB42" i="33"/>
  <c r="AA42" i="33"/>
  <c r="Z42" i="33"/>
  <c r="Y42" i="33"/>
  <c r="X42" i="33"/>
  <c r="W42" i="33"/>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AK41" i="33"/>
  <c r="AJ41" i="33"/>
  <c r="AI41" i="33"/>
  <c r="AH41" i="33"/>
  <c r="AG41" i="33"/>
  <c r="AF41" i="33"/>
  <c r="AE41" i="33"/>
  <c r="AD41" i="33"/>
  <c r="AC41" i="33"/>
  <c r="AB41" i="33"/>
  <c r="AA41" i="33"/>
  <c r="Z41" i="33"/>
  <c r="Y41" i="33"/>
  <c r="X41" i="33"/>
  <c r="W41" i="33"/>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AK40" i="33"/>
  <c r="AJ40" i="33"/>
  <c r="AI40" i="33"/>
  <c r="AH40" i="33"/>
  <c r="AG40" i="33"/>
  <c r="AF40" i="33"/>
  <c r="AE40" i="33"/>
  <c r="AD40" i="33"/>
  <c r="AC40" i="33"/>
  <c r="AB40" i="33"/>
  <c r="AA40" i="33"/>
  <c r="Z40" i="33"/>
  <c r="Y40" i="33"/>
  <c r="X40" i="33"/>
  <c r="W40" i="33"/>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AK39" i="33"/>
  <c r="AJ39" i="33"/>
  <c r="AI39" i="33"/>
  <c r="AH39" i="33"/>
  <c r="AG39" i="33"/>
  <c r="AF39" i="33"/>
  <c r="AE39" i="33"/>
  <c r="AD39" i="33"/>
  <c r="AC39" i="33"/>
  <c r="AB39" i="33"/>
  <c r="AA39" i="33"/>
  <c r="Z39" i="33"/>
  <c r="Y39" i="33"/>
  <c r="X39" i="33"/>
  <c r="W39" i="33"/>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AK38" i="33"/>
  <c r="AJ38" i="33"/>
  <c r="AI38" i="33"/>
  <c r="AH38" i="33"/>
  <c r="AG38" i="33"/>
  <c r="AF38" i="33"/>
  <c r="AE38" i="33"/>
  <c r="AD38" i="33"/>
  <c r="AC38" i="33"/>
  <c r="AB38" i="33"/>
  <c r="AA38" i="33"/>
  <c r="Z38" i="33"/>
  <c r="Y38" i="33"/>
  <c r="X38" i="33"/>
  <c r="W38" i="33"/>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AK37" i="33"/>
  <c r="AJ37" i="33"/>
  <c r="AI37" i="33"/>
  <c r="AH37" i="33"/>
  <c r="AG37" i="33"/>
  <c r="AF37" i="33"/>
  <c r="AE37" i="33"/>
  <c r="AD37" i="33"/>
  <c r="AC37" i="33"/>
  <c r="AB37" i="33"/>
  <c r="AA37" i="33"/>
  <c r="Z37" i="33"/>
  <c r="Y37" i="33"/>
  <c r="X37" i="33"/>
  <c r="W37" i="33"/>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AK36" i="33"/>
  <c r="AJ36" i="33"/>
  <c r="AI36" i="33"/>
  <c r="AH36" i="33"/>
  <c r="AG36" i="33"/>
  <c r="AF36" i="33"/>
  <c r="AE36" i="33"/>
  <c r="AD36" i="33"/>
  <c r="AC36" i="33"/>
  <c r="AB36" i="33"/>
  <c r="AA36" i="33"/>
  <c r="Z36" i="33"/>
  <c r="Y36" i="33"/>
  <c r="X36" i="33"/>
  <c r="W36" i="33"/>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AK35" i="33"/>
  <c r="AJ35" i="33"/>
  <c r="AI35" i="33"/>
  <c r="AH35" i="33"/>
  <c r="AG35" i="33"/>
  <c r="AF35" i="33"/>
  <c r="AE35" i="33"/>
  <c r="AD35" i="33"/>
  <c r="AC35" i="33"/>
  <c r="AB35" i="33"/>
  <c r="AA35" i="33"/>
  <c r="Z35" i="33"/>
  <c r="Y35" i="33"/>
  <c r="X35" i="33"/>
  <c r="W35" i="33"/>
  <c r="S35" i="33"/>
  <c r="S45" i="4" s="1"/>
  <c r="P35" i="33"/>
  <c r="P45" i="4" s="1"/>
  <c r="M35" i="33"/>
  <c r="M45" i="4" s="1"/>
  <c r="AK34" i="33"/>
  <c r="AJ34" i="33"/>
  <c r="AI34" i="33"/>
  <c r="AH34" i="33"/>
  <c r="AG34" i="33"/>
  <c r="AF34" i="33"/>
  <c r="AE34" i="33"/>
  <c r="AD34" i="33"/>
  <c r="AC34" i="33"/>
  <c r="AB34" i="33"/>
  <c r="AA34" i="33"/>
  <c r="Z34" i="33"/>
  <c r="Y34" i="33"/>
  <c r="X34" i="33"/>
  <c r="W34" i="33"/>
  <c r="M34" i="33"/>
  <c r="M44" i="4" s="1"/>
  <c r="AK33" i="33"/>
  <c r="AJ33" i="33"/>
  <c r="AI33" i="33"/>
  <c r="AH33" i="33"/>
  <c r="AG33" i="33"/>
  <c r="AF33" i="33"/>
  <c r="AE33" i="33"/>
  <c r="AD33" i="33"/>
  <c r="AC33" i="33"/>
  <c r="AB33" i="33"/>
  <c r="AA33" i="33"/>
  <c r="Z33" i="33"/>
  <c r="Y33" i="33"/>
  <c r="X33" i="33"/>
  <c r="W33" i="33"/>
  <c r="P33" i="33"/>
  <c r="P43" i="4" s="1"/>
  <c r="M33" i="33"/>
  <c r="M43" i="4" s="1"/>
  <c r="AK32" i="33"/>
  <c r="AJ32" i="33"/>
  <c r="AI32" i="33"/>
  <c r="AH32" i="33"/>
  <c r="AG32" i="33"/>
  <c r="AF32" i="33"/>
  <c r="AE32" i="33"/>
  <c r="AD32" i="33"/>
  <c r="AC32" i="33"/>
  <c r="AB32" i="33"/>
  <c r="AA32" i="33"/>
  <c r="Z32" i="33"/>
  <c r="Y32" i="33"/>
  <c r="X32" i="33"/>
  <c r="W32" i="33"/>
  <c r="H32" i="33"/>
  <c r="H42" i="4" s="1"/>
  <c r="AK31" i="33"/>
  <c r="AJ31" i="33"/>
  <c r="AI31" i="33"/>
  <c r="AH31" i="33"/>
  <c r="AG31" i="33"/>
  <c r="AF31" i="33"/>
  <c r="AE31" i="33"/>
  <c r="AD31" i="33"/>
  <c r="AC31" i="33"/>
  <c r="AB31" i="33"/>
  <c r="AA31" i="33"/>
  <c r="Z31" i="33"/>
  <c r="Y31" i="33"/>
  <c r="X31" i="33"/>
  <c r="W31" i="33"/>
  <c r="P31" i="33"/>
  <c r="P41" i="4" s="1"/>
  <c r="AK30" i="33"/>
  <c r="AJ30" i="33"/>
  <c r="AI30" i="33"/>
  <c r="AH30" i="33"/>
  <c r="AG30" i="33"/>
  <c r="AF30" i="33"/>
  <c r="AE30" i="33"/>
  <c r="AD30" i="33"/>
  <c r="AC30" i="33"/>
  <c r="AB30" i="33"/>
  <c r="AA30" i="33"/>
  <c r="Z30" i="33"/>
  <c r="Y30" i="33"/>
  <c r="X30" i="33"/>
  <c r="W30" i="33"/>
  <c r="S30" i="33"/>
  <c r="S40" i="4" s="1"/>
  <c r="AK29" i="33"/>
  <c r="AJ29" i="33"/>
  <c r="AI29" i="33"/>
  <c r="AH29" i="33"/>
  <c r="AG29" i="33"/>
  <c r="AF29" i="33"/>
  <c r="AE29" i="33"/>
  <c r="AD29" i="33"/>
  <c r="AC29" i="33"/>
  <c r="AB29" i="33"/>
  <c r="AA29" i="33"/>
  <c r="Z29" i="33"/>
  <c r="Y29" i="33"/>
  <c r="X29" i="33"/>
  <c r="W29" i="33"/>
  <c r="S29" i="33"/>
  <c r="S39" i="4" s="1"/>
  <c r="R29" i="33"/>
  <c r="R39" i="4" s="1"/>
  <c r="AK28" i="33"/>
  <c r="AJ28" i="33"/>
  <c r="AI28" i="33"/>
  <c r="AH28" i="33"/>
  <c r="AG28" i="33"/>
  <c r="AF28" i="33"/>
  <c r="AE28" i="33"/>
  <c r="AD28" i="33"/>
  <c r="AC28" i="33"/>
  <c r="AB28" i="33"/>
  <c r="AA28" i="33"/>
  <c r="Z28" i="33"/>
  <c r="Y28" i="33"/>
  <c r="X28" i="33"/>
  <c r="W28" i="33"/>
  <c r="S28" i="33"/>
  <c r="AK24" i="33"/>
  <c r="AJ24" i="33"/>
  <c r="AI24" i="33"/>
  <c r="AH24" i="33"/>
  <c r="AG24" i="33"/>
  <c r="AF24" i="33"/>
  <c r="AE24" i="33"/>
  <c r="AD24" i="33"/>
  <c r="AC24" i="33"/>
  <c r="AB24" i="33"/>
  <c r="AA24" i="33"/>
  <c r="Z24" i="33"/>
  <c r="Y24" i="33"/>
  <c r="X24" i="33"/>
  <c r="W24" i="33"/>
  <c r="V24" i="33"/>
  <c r="U24" i="33"/>
  <c r="T24" i="33"/>
  <c r="S24" i="33"/>
  <c r="R24" i="33"/>
  <c r="Q24" i="33"/>
  <c r="P24" i="33"/>
  <c r="O24" i="33"/>
  <c r="L24" i="33"/>
  <c r="J24" i="33"/>
  <c r="I24" i="33"/>
  <c r="H24" i="33"/>
  <c r="G24" i="33"/>
  <c r="F24" i="33"/>
  <c r="E24" i="33"/>
  <c r="D24" i="33"/>
  <c r="C24" i="33"/>
  <c r="B24" i="33"/>
  <c r="AK23" i="33"/>
  <c r="AJ23" i="33"/>
  <c r="AI23" i="33"/>
  <c r="AH23" i="33"/>
  <c r="AG23" i="33"/>
  <c r="AF23" i="33"/>
  <c r="AE23" i="33"/>
  <c r="AD23" i="33"/>
  <c r="AC23" i="33"/>
  <c r="AB23" i="33"/>
  <c r="AA23" i="33"/>
  <c r="Z23" i="33"/>
  <c r="Y23" i="33"/>
  <c r="X23" i="33"/>
  <c r="W23" i="33"/>
  <c r="V23" i="33"/>
  <c r="U23" i="33"/>
  <c r="T23" i="33"/>
  <c r="S23" i="33"/>
  <c r="R23" i="33"/>
  <c r="Q23" i="33"/>
  <c r="P23" i="33"/>
  <c r="O23" i="33"/>
  <c r="B28" i="33" s="1"/>
  <c r="B38" i="4" s="1"/>
  <c r="L23" i="33"/>
  <c r="J23" i="33"/>
  <c r="I23" i="33"/>
  <c r="H23" i="33"/>
  <c r="G23" i="33"/>
  <c r="F23" i="33"/>
  <c r="E23" i="33"/>
  <c r="D23" i="33"/>
  <c r="C23" i="33"/>
  <c r="B23" i="33"/>
  <c r="A22" i="33"/>
  <c r="H22" i="33"/>
  <c r="G45" i="33"/>
  <c r="F27" i="33"/>
  <c r="F52" i="33" s="1"/>
  <c r="E45" i="33"/>
  <c r="D22" i="33"/>
  <c r="C45" i="33"/>
  <c r="B45" i="33"/>
  <c r="X56" i="33"/>
  <c r="Q56" i="33"/>
  <c r="V56" i="33"/>
  <c r="AE56" i="33"/>
  <c r="AK56" i="33"/>
  <c r="AB56" i="33"/>
  <c r="W56" i="33"/>
  <c r="U56" i="33"/>
  <c r="AI56" i="33"/>
  <c r="Z56" i="33"/>
  <c r="T56" i="33"/>
  <c r="AD56" i="33"/>
  <c r="S56" i="33"/>
  <c r="AG56" i="33"/>
  <c r="AC56" i="33"/>
  <c r="O56" i="33"/>
  <c r="AH56" i="33"/>
  <c r="Y56" i="33"/>
  <c r="P56" i="33"/>
  <c r="R56" i="33"/>
  <c r="AF56" i="33"/>
  <c r="AJ56" i="33"/>
  <c r="AA56" i="33"/>
  <c r="V29" i="33" l="1"/>
  <c r="V39" i="4" s="1"/>
  <c r="T32" i="33"/>
  <c r="T42" i="4" s="1"/>
  <c r="T34" i="33"/>
  <c r="T44" i="4" s="1"/>
  <c r="T35" i="33"/>
  <c r="T45" i="4" s="1"/>
  <c r="Q28" i="33"/>
  <c r="T31" i="33"/>
  <c r="T41" i="4" s="1"/>
  <c r="P34" i="33"/>
  <c r="P44" i="4" s="1"/>
  <c r="U28" i="33"/>
  <c r="P32" i="33"/>
  <c r="P42" i="4" s="1"/>
  <c r="T33" i="33"/>
  <c r="T43" i="4" s="1"/>
  <c r="R28" i="33"/>
  <c r="V28" i="33"/>
  <c r="P30" i="33"/>
  <c r="P40" i="4" s="1"/>
  <c r="T30" i="33"/>
  <c r="T40" i="4" s="1"/>
  <c r="Q31" i="33"/>
  <c r="Q41" i="4" s="1"/>
  <c r="U31" i="33"/>
  <c r="U41" i="4" s="1"/>
  <c r="Q32" i="33"/>
  <c r="Q42" i="4" s="1"/>
  <c r="U32" i="33"/>
  <c r="U42" i="4" s="1"/>
  <c r="Q33" i="33"/>
  <c r="Q43" i="4" s="1"/>
  <c r="U33" i="33"/>
  <c r="U43" i="4" s="1"/>
  <c r="Q34" i="33"/>
  <c r="Q44" i="4" s="1"/>
  <c r="U34" i="33"/>
  <c r="U44" i="4" s="1"/>
  <c r="Q35" i="33"/>
  <c r="Q45" i="4" s="1"/>
  <c r="U35" i="33"/>
  <c r="U45" i="4" s="1"/>
  <c r="P29" i="33"/>
  <c r="P39" i="4" s="1"/>
  <c r="T29" i="33"/>
  <c r="T39" i="4" s="1"/>
  <c r="Q30" i="33"/>
  <c r="Q40" i="4" s="1"/>
  <c r="U30" i="33"/>
  <c r="U40" i="4" s="1"/>
  <c r="R31" i="33"/>
  <c r="R41" i="4" s="1"/>
  <c r="V31" i="33"/>
  <c r="V41" i="4" s="1"/>
  <c r="R32" i="33"/>
  <c r="R42" i="4" s="1"/>
  <c r="V32" i="33"/>
  <c r="V42" i="4" s="1"/>
  <c r="R33" i="33"/>
  <c r="R43" i="4" s="1"/>
  <c r="V33" i="33"/>
  <c r="V43" i="4" s="1"/>
  <c r="R34" i="33"/>
  <c r="R44" i="4" s="1"/>
  <c r="V34" i="33"/>
  <c r="V44" i="4" s="1"/>
  <c r="R35" i="33"/>
  <c r="R45" i="4" s="1"/>
  <c r="V35" i="33"/>
  <c r="V45" i="4" s="1"/>
  <c r="P28" i="33"/>
  <c r="P46" i="33" s="1"/>
  <c r="P53" i="33" s="1"/>
  <c r="T28" i="33"/>
  <c r="T38" i="4" s="1"/>
  <c r="Q29" i="33"/>
  <c r="Q39" i="4" s="1"/>
  <c r="U29" i="33"/>
  <c r="U39" i="4" s="1"/>
  <c r="R30" i="33"/>
  <c r="R40" i="4" s="1"/>
  <c r="V30" i="33"/>
  <c r="V40" i="4" s="1"/>
  <c r="S31" i="33"/>
  <c r="S41" i="4" s="1"/>
  <c r="S32" i="33"/>
  <c r="S42" i="4" s="1"/>
  <c r="S33" i="33"/>
  <c r="S43" i="4" s="1"/>
  <c r="S34" i="33"/>
  <c r="S44" i="4" s="1"/>
  <c r="O36" i="33"/>
  <c r="O46" i="4" s="1"/>
  <c r="O37" i="33"/>
  <c r="O47" i="4" s="1"/>
  <c r="O38" i="33"/>
  <c r="O48" i="4" s="1"/>
  <c r="O39" i="33"/>
  <c r="O49" i="4" s="1"/>
  <c r="O40" i="33"/>
  <c r="O50" i="4" s="1"/>
  <c r="O41" i="33"/>
  <c r="O51" i="4" s="1"/>
  <c r="O42" i="33"/>
  <c r="O52" i="4" s="1"/>
  <c r="O43" i="33"/>
  <c r="O53" i="4" s="1"/>
  <c r="D28" i="33"/>
  <c r="D38" i="4" s="1"/>
  <c r="J34" i="33"/>
  <c r="J44" i="4" s="1"/>
  <c r="O34" i="33"/>
  <c r="O44" i="4" s="1"/>
  <c r="C35" i="33"/>
  <c r="C45" i="4" s="1"/>
  <c r="E28" i="33"/>
  <c r="E38" i="4" s="1"/>
  <c r="I28" i="33"/>
  <c r="I38" i="4" s="1"/>
  <c r="M28" i="33"/>
  <c r="M38" i="4" s="1"/>
  <c r="F29" i="33"/>
  <c r="F39" i="4" s="1"/>
  <c r="J29" i="33"/>
  <c r="J39" i="4" s="1"/>
  <c r="O29" i="33"/>
  <c r="O39" i="4" s="1"/>
  <c r="C30" i="33"/>
  <c r="C40" i="4" s="1"/>
  <c r="G30" i="33"/>
  <c r="G40" i="4" s="1"/>
  <c r="K30" i="33"/>
  <c r="K40" i="4" s="1"/>
  <c r="D31" i="33"/>
  <c r="D41" i="4" s="1"/>
  <c r="H31" i="33"/>
  <c r="H41" i="4" s="1"/>
  <c r="L31" i="33"/>
  <c r="L41" i="4" s="1"/>
  <c r="E32" i="33"/>
  <c r="E42" i="4" s="1"/>
  <c r="I32" i="33"/>
  <c r="I42" i="4" s="1"/>
  <c r="M32" i="33"/>
  <c r="M42" i="4" s="1"/>
  <c r="F33" i="33"/>
  <c r="F43" i="4" s="1"/>
  <c r="J33" i="33"/>
  <c r="J43" i="4" s="1"/>
  <c r="O33" i="33"/>
  <c r="O43" i="4" s="1"/>
  <c r="C34" i="33"/>
  <c r="C44" i="4" s="1"/>
  <c r="G34" i="33"/>
  <c r="G44" i="4" s="1"/>
  <c r="K34" i="33"/>
  <c r="K44" i="4" s="1"/>
  <c r="D35" i="33"/>
  <c r="D45" i="4" s="1"/>
  <c r="H35" i="33"/>
  <c r="H45" i="4" s="1"/>
  <c r="L35" i="33"/>
  <c r="L45" i="4" s="1"/>
  <c r="H28" i="33"/>
  <c r="H38" i="4" s="1"/>
  <c r="E29" i="33"/>
  <c r="E39" i="4" s="1"/>
  <c r="M29" i="33"/>
  <c r="M39" i="4" s="1"/>
  <c r="F30" i="33"/>
  <c r="F40" i="4" s="1"/>
  <c r="G31" i="33"/>
  <c r="G41" i="4" s="1"/>
  <c r="K31" i="33"/>
  <c r="K41" i="4" s="1"/>
  <c r="D32" i="33"/>
  <c r="D42" i="4" s="1"/>
  <c r="L32" i="33"/>
  <c r="L42" i="4" s="1"/>
  <c r="E33" i="33"/>
  <c r="E43" i="4" s="1"/>
  <c r="I33" i="33"/>
  <c r="I43" i="4" s="1"/>
  <c r="F34" i="33"/>
  <c r="F44" i="4" s="1"/>
  <c r="F28" i="33"/>
  <c r="J28" i="33"/>
  <c r="O28" i="33"/>
  <c r="O38" i="4" s="1"/>
  <c r="C29" i="33"/>
  <c r="C39" i="4" s="1"/>
  <c r="G29" i="33"/>
  <c r="G39" i="4" s="1"/>
  <c r="K29" i="33"/>
  <c r="K39" i="4" s="1"/>
  <c r="D30" i="33"/>
  <c r="D40" i="4" s="1"/>
  <c r="H30" i="33"/>
  <c r="H40" i="4" s="1"/>
  <c r="L30" i="33"/>
  <c r="L40" i="4" s="1"/>
  <c r="E31" i="33"/>
  <c r="E41" i="4" s="1"/>
  <c r="I31" i="33"/>
  <c r="I41" i="4" s="1"/>
  <c r="M31" i="33"/>
  <c r="M41" i="4" s="1"/>
  <c r="F32" i="33"/>
  <c r="F42" i="4" s="1"/>
  <c r="J32" i="33"/>
  <c r="J42" i="4" s="1"/>
  <c r="O32" i="33"/>
  <c r="O42" i="4" s="1"/>
  <c r="C33" i="33"/>
  <c r="C43" i="4" s="1"/>
  <c r="G33" i="33"/>
  <c r="G43" i="4" s="1"/>
  <c r="K33" i="33"/>
  <c r="K43" i="4" s="1"/>
  <c r="D34" i="33"/>
  <c r="D44" i="4" s="1"/>
  <c r="H34" i="33"/>
  <c r="H44" i="4" s="1"/>
  <c r="L34" i="33"/>
  <c r="L44" i="4" s="1"/>
  <c r="E35" i="33"/>
  <c r="E45" i="4" s="1"/>
  <c r="I35" i="33"/>
  <c r="I45" i="4" s="1"/>
  <c r="L28" i="33"/>
  <c r="L38" i="4" s="1"/>
  <c r="I29" i="33"/>
  <c r="I39" i="4" s="1"/>
  <c r="J30" i="33"/>
  <c r="J40" i="4" s="1"/>
  <c r="O30" i="33"/>
  <c r="O40" i="4" s="1"/>
  <c r="C31" i="33"/>
  <c r="C41" i="4" s="1"/>
  <c r="G35" i="33"/>
  <c r="G45" i="4" s="1"/>
  <c r="K35" i="33"/>
  <c r="K45" i="4" s="1"/>
  <c r="C28" i="33"/>
  <c r="C38" i="4" s="1"/>
  <c r="G28" i="33"/>
  <c r="G38" i="4" s="1"/>
  <c r="K28" i="33"/>
  <c r="K38" i="4" s="1"/>
  <c r="D29" i="33"/>
  <c r="D39" i="4" s="1"/>
  <c r="H29" i="33"/>
  <c r="H39" i="4" s="1"/>
  <c r="L29" i="33"/>
  <c r="L39" i="4" s="1"/>
  <c r="E30" i="33"/>
  <c r="E40" i="4" s="1"/>
  <c r="I30" i="33"/>
  <c r="I40" i="4" s="1"/>
  <c r="M30" i="33"/>
  <c r="M40" i="4" s="1"/>
  <c r="F31" i="33"/>
  <c r="F41" i="4" s="1"/>
  <c r="J31" i="33"/>
  <c r="J41" i="4" s="1"/>
  <c r="O31" i="33"/>
  <c r="O41" i="4" s="1"/>
  <c r="C32" i="33"/>
  <c r="C42" i="4" s="1"/>
  <c r="G32" i="33"/>
  <c r="G42" i="4" s="1"/>
  <c r="K32" i="33"/>
  <c r="K42" i="4" s="1"/>
  <c r="D33" i="33"/>
  <c r="D43" i="4" s="1"/>
  <c r="H33" i="33"/>
  <c r="H43" i="4" s="1"/>
  <c r="L33" i="33"/>
  <c r="L43" i="4" s="1"/>
  <c r="E34" i="33"/>
  <c r="E44" i="4" s="1"/>
  <c r="I34" i="33"/>
  <c r="I44" i="4" s="1"/>
  <c r="F35" i="33"/>
  <c r="F45" i="4" s="1"/>
  <c r="J35" i="33"/>
  <c r="J45" i="4" s="1"/>
  <c r="O35" i="33"/>
  <c r="O45" i="4" s="1"/>
  <c r="B29" i="33"/>
  <c r="B39" i="4" s="1"/>
  <c r="B31" i="33"/>
  <c r="B41" i="4" s="1"/>
  <c r="B32" i="33"/>
  <c r="B42" i="4" s="1"/>
  <c r="B33" i="33"/>
  <c r="B43" i="4" s="1"/>
  <c r="B34" i="33"/>
  <c r="B44" i="4" s="1"/>
  <c r="B35" i="33"/>
  <c r="B45" i="4" s="1"/>
  <c r="B30" i="33"/>
  <c r="B40" i="4" s="1"/>
  <c r="U38" i="4"/>
  <c r="R38" i="4"/>
  <c r="V38" i="4"/>
  <c r="B22" i="33"/>
  <c r="E22" i="33"/>
  <c r="I45" i="33"/>
  <c r="I52" i="33"/>
  <c r="I27" i="33"/>
  <c r="X47" i="33"/>
  <c r="X48" i="33" s="1"/>
  <c r="X54" i="33" s="1"/>
  <c r="X46" i="33"/>
  <c r="X53" i="33" s="1"/>
  <c r="AB47" i="33"/>
  <c r="AB48" i="33" s="1"/>
  <c r="AB54" i="33" s="1"/>
  <c r="AB46" i="33"/>
  <c r="AB53" i="33" s="1"/>
  <c r="AF46" i="33"/>
  <c r="AF53" i="33" s="1"/>
  <c r="AF47" i="33"/>
  <c r="AF48" i="33" s="1"/>
  <c r="AF54" i="33" s="1"/>
  <c r="AJ46" i="33"/>
  <c r="AJ53" i="33" s="1"/>
  <c r="AJ47" i="33"/>
  <c r="AJ48" i="33" s="1"/>
  <c r="AJ54" i="33" s="1"/>
  <c r="B27" i="33"/>
  <c r="B52" i="33" s="1"/>
  <c r="Q38" i="4"/>
  <c r="AC46" i="33"/>
  <c r="AC53" i="33" s="1"/>
  <c r="AG47" i="33"/>
  <c r="AG48" i="33" s="1"/>
  <c r="AG54" i="33" s="1"/>
  <c r="D27" i="33"/>
  <c r="D52" i="33" s="1"/>
  <c r="I22" i="33"/>
  <c r="E27" i="33"/>
  <c r="E52" i="33" s="1"/>
  <c r="J38" i="4"/>
  <c r="S38" i="4"/>
  <c r="W46" i="33"/>
  <c r="W53" i="33" s="1"/>
  <c r="W47" i="33"/>
  <c r="W48" i="33" s="1"/>
  <c r="W54" i="33" s="1"/>
  <c r="AA46" i="33"/>
  <c r="AA53" i="33" s="1"/>
  <c r="AA47" i="33"/>
  <c r="AA48" i="33" s="1"/>
  <c r="AA54" i="33" s="1"/>
  <c r="AE46" i="33"/>
  <c r="AE53" i="33" s="1"/>
  <c r="AE47" i="33"/>
  <c r="AE48" i="33" s="1"/>
  <c r="AE54" i="33" s="1"/>
  <c r="AI47" i="33"/>
  <c r="AI48" i="33" s="1"/>
  <c r="AI54" i="33" s="1"/>
  <c r="AI46" i="33"/>
  <c r="AI53" i="33" s="1"/>
  <c r="D45" i="33"/>
  <c r="G57" i="33"/>
  <c r="T57" i="33"/>
  <c r="AA57" i="33"/>
  <c r="AI57" i="33"/>
  <c r="H57" i="33"/>
  <c r="O57" i="33"/>
  <c r="U57" i="33"/>
  <c r="AC57" i="33"/>
  <c r="AJ57" i="33"/>
  <c r="C57" i="33"/>
  <c r="J57" i="33"/>
  <c r="P57" i="33"/>
  <c r="X57" i="33"/>
  <c r="AE57" i="33"/>
  <c r="AK57" i="33"/>
  <c r="D57" i="33"/>
  <c r="L57" i="33"/>
  <c r="S57" i="33"/>
  <c r="Y57" i="33"/>
  <c r="AF57" i="33"/>
  <c r="F57" i="33"/>
  <c r="K57" i="33"/>
  <c r="Q57" i="33"/>
  <c r="W57" i="33"/>
  <c r="AB57" i="33"/>
  <c r="AG57" i="33"/>
  <c r="B57" i="33"/>
  <c r="E57" i="33"/>
  <c r="I57" i="33"/>
  <c r="M57" i="33"/>
  <c r="R57" i="33"/>
  <c r="V57" i="33"/>
  <c r="Z57" i="33"/>
  <c r="AD57" i="33"/>
  <c r="AH57" i="33"/>
  <c r="Y46" i="33"/>
  <c r="Y53" i="33" s="1"/>
  <c r="Y47" i="33"/>
  <c r="Y48" i="33" s="1"/>
  <c r="Y54" i="33" s="1"/>
  <c r="AK46" i="33"/>
  <c r="AK53" i="33" s="1"/>
  <c r="AK47" i="33"/>
  <c r="AK48" i="33" s="1"/>
  <c r="AK54" i="33" s="1"/>
  <c r="AG46" i="33"/>
  <c r="AG53" i="33" s="1"/>
  <c r="AC47" i="33"/>
  <c r="AC48" i="33" s="1"/>
  <c r="AC54" i="33" s="1"/>
  <c r="F22" i="33"/>
  <c r="R47" i="33"/>
  <c r="R48" i="33" s="1"/>
  <c r="R54" i="33" s="1"/>
  <c r="V46" i="33"/>
  <c r="V53" i="33" s="1"/>
  <c r="Z47" i="33"/>
  <c r="Z48" i="33" s="1"/>
  <c r="Z54" i="33" s="1"/>
  <c r="Z46" i="33"/>
  <c r="Z53" i="33" s="1"/>
  <c r="AD47" i="33"/>
  <c r="AD48" i="33" s="1"/>
  <c r="AD54" i="33" s="1"/>
  <c r="AD46" i="33"/>
  <c r="AD53" i="33" s="1"/>
  <c r="AH47" i="33"/>
  <c r="AH48" i="33" s="1"/>
  <c r="AH54" i="33" s="1"/>
  <c r="AH46" i="33"/>
  <c r="AH53" i="33" s="1"/>
  <c r="F45" i="33"/>
  <c r="G22" i="33"/>
  <c r="G27" i="33"/>
  <c r="G52" i="33" s="1"/>
  <c r="C22" i="33"/>
  <c r="C27" i="33"/>
  <c r="C52" i="33" s="1"/>
  <c r="H27" i="33"/>
  <c r="H52" i="33" s="1"/>
  <c r="H45" i="33"/>
  <c r="R46" i="33" l="1"/>
  <c r="R53" i="33" s="1"/>
  <c r="P47" i="33"/>
  <c r="P48" i="33" s="1"/>
  <c r="P54" i="33" s="1"/>
  <c r="Q46" i="33"/>
  <c r="Q53" i="33" s="1"/>
  <c r="P38" i="4"/>
  <c r="M46" i="33"/>
  <c r="M53" i="33" s="1"/>
  <c r="S47" i="33"/>
  <c r="S48" i="33" s="1"/>
  <c r="S54" i="33" s="1"/>
  <c r="Q47" i="33"/>
  <c r="Q48" i="33" s="1"/>
  <c r="Q54" i="33" s="1"/>
  <c r="V47" i="33"/>
  <c r="V48" i="33" s="1"/>
  <c r="V54" i="33" s="1"/>
  <c r="S46" i="33"/>
  <c r="S53" i="33" s="1"/>
  <c r="M47" i="33"/>
  <c r="M48" i="33" s="1"/>
  <c r="M54" i="33" s="1"/>
  <c r="U47" i="33"/>
  <c r="U48" i="33" s="1"/>
  <c r="U54" i="33" s="1"/>
  <c r="T47" i="33"/>
  <c r="T48" i="33" s="1"/>
  <c r="T54" i="33" s="1"/>
  <c r="F47" i="33"/>
  <c r="F48" i="33" s="1"/>
  <c r="F54" i="33" s="1"/>
  <c r="U46" i="33"/>
  <c r="U53" i="33" s="1"/>
  <c r="T46" i="33"/>
  <c r="T53" i="33" s="1"/>
  <c r="D47" i="33"/>
  <c r="D48" i="33" s="1"/>
  <c r="D54" i="33" s="1"/>
  <c r="H46" i="33"/>
  <c r="H53" i="33" s="1"/>
  <c r="D46" i="33"/>
  <c r="D53" i="33" s="1"/>
  <c r="C47" i="33"/>
  <c r="C48" i="33" s="1"/>
  <c r="C54" i="33" s="1"/>
  <c r="F46" i="33"/>
  <c r="F53" i="33" s="1"/>
  <c r="E47" i="33"/>
  <c r="E48" i="33" s="1"/>
  <c r="E54" i="33" s="1"/>
  <c r="O47" i="33"/>
  <c r="O48" i="33" s="1"/>
  <c r="O54" i="33" s="1"/>
  <c r="H47" i="33"/>
  <c r="H48" i="33" s="1"/>
  <c r="H54" i="33" s="1"/>
  <c r="K47" i="33"/>
  <c r="K48" i="33" s="1"/>
  <c r="K54" i="33" s="1"/>
  <c r="I46" i="33"/>
  <c r="I53" i="33" s="1"/>
  <c r="B46" i="33"/>
  <c r="B53" i="33" s="1"/>
  <c r="M55" i="33" s="1"/>
  <c r="J47" i="33"/>
  <c r="J48" i="33" s="1"/>
  <c r="J54" i="33" s="1"/>
  <c r="F38" i="4"/>
  <c r="G47" i="33"/>
  <c r="G48" i="33" s="1"/>
  <c r="G54" i="33" s="1"/>
  <c r="I47" i="33"/>
  <c r="I48" i="33" s="1"/>
  <c r="I54" i="33" s="1"/>
  <c r="L47" i="33"/>
  <c r="L48" i="33" s="1"/>
  <c r="L54" i="33" s="1"/>
  <c r="J46" i="33"/>
  <c r="J53" i="33" s="1"/>
  <c r="G46" i="33"/>
  <c r="G53" i="33" s="1"/>
  <c r="L46" i="33"/>
  <c r="L53" i="33" s="1"/>
  <c r="K46" i="33"/>
  <c r="K53" i="33" s="1"/>
  <c r="B47" i="33"/>
  <c r="B48" i="33" s="1"/>
  <c r="B54" i="33" s="1"/>
  <c r="E46" i="33"/>
  <c r="E53" i="33" s="1"/>
  <c r="O46" i="33"/>
  <c r="O53" i="33" s="1"/>
  <c r="O55" i="33" s="1"/>
  <c r="C46" i="33"/>
  <c r="C53" i="33" s="1"/>
  <c r="O59" i="33"/>
  <c r="J59" i="33"/>
  <c r="F59" i="33"/>
  <c r="I59" i="33"/>
  <c r="D59" i="33"/>
  <c r="H59" i="33"/>
  <c r="M59" i="33"/>
  <c r="G59" i="33"/>
  <c r="L59" i="33"/>
  <c r="E59" i="33"/>
  <c r="K59" i="33"/>
  <c r="C59" i="33"/>
  <c r="AI59" i="33"/>
  <c r="AE59" i="33"/>
  <c r="AA59" i="33"/>
  <c r="W59" i="33"/>
  <c r="S59" i="33"/>
  <c r="AK59" i="33"/>
  <c r="AF59" i="33"/>
  <c r="Z59" i="33"/>
  <c r="U59" i="33"/>
  <c r="P59" i="33"/>
  <c r="AJ59" i="33"/>
  <c r="AC59" i="33"/>
  <c r="V59" i="33"/>
  <c r="AH59" i="33"/>
  <c r="AB59" i="33"/>
  <c r="T59" i="33"/>
  <c r="AG59" i="33"/>
  <c r="Y59" i="33"/>
  <c r="R59" i="33"/>
  <c r="AD59" i="33"/>
  <c r="X59" i="33"/>
  <c r="Q59" i="33"/>
  <c r="Y55" i="33" l="1"/>
  <c r="R55" i="33"/>
  <c r="AJ55" i="33"/>
  <c r="W55" i="33"/>
  <c r="B64" i="33"/>
  <c r="B65" i="33"/>
  <c r="AB55" i="33"/>
  <c r="P55" i="33"/>
  <c r="AG55" i="33"/>
  <c r="AA55" i="33"/>
  <c r="AC55" i="33"/>
  <c r="T55" i="33"/>
  <c r="V55" i="33"/>
  <c r="AE55" i="33"/>
  <c r="Z55" i="33"/>
  <c r="X55" i="33"/>
  <c r="U55" i="33"/>
  <c r="AD55" i="33"/>
  <c r="S55" i="33"/>
  <c r="AI55" i="33"/>
  <c r="AH55" i="33"/>
  <c r="AF55" i="33"/>
  <c r="AK55" i="33"/>
  <c r="Q55" i="33"/>
  <c r="V60" i="33"/>
  <c r="V61" i="33" s="1"/>
  <c r="AI60" i="33"/>
  <c r="AI61" i="33" s="1"/>
  <c r="AG60" i="33"/>
  <c r="AG61" i="33" s="1"/>
  <c r="S60" i="33"/>
  <c r="S61" i="33" s="1"/>
  <c r="AD60" i="33"/>
  <c r="AD61" i="33" s="1"/>
  <c r="X60" i="33"/>
  <c r="X61" i="33" s="1"/>
  <c r="U60" i="33"/>
  <c r="U61" i="33" s="1"/>
  <c r="T60" i="33"/>
  <c r="T61" i="33" s="1"/>
  <c r="AC60" i="33"/>
  <c r="AC61" i="33" s="1"/>
  <c r="Z60" i="33"/>
  <c r="Z61" i="33" s="1"/>
  <c r="W60" i="33"/>
  <c r="W61" i="33" s="1"/>
  <c r="R60" i="33"/>
  <c r="R61" i="33" s="1"/>
  <c r="AB60" i="33"/>
  <c r="AB61" i="33" s="1"/>
  <c r="AJ60" i="33"/>
  <c r="AJ61" i="33" s="1"/>
  <c r="AF60" i="33"/>
  <c r="AF61" i="33" s="1"/>
  <c r="AA60" i="33"/>
  <c r="AA61" i="33" s="1"/>
  <c r="Q60" i="33"/>
  <c r="Q61" i="33" s="1"/>
  <c r="Y60" i="33"/>
  <c r="Y61" i="33" s="1"/>
  <c r="AH60" i="33"/>
  <c r="AH61" i="33" s="1"/>
  <c r="P60" i="33"/>
  <c r="P61" i="33" s="1"/>
  <c r="AK60" i="33"/>
  <c r="AK61" i="33" s="1"/>
  <c r="AE60" i="33"/>
  <c r="AE61" i="33" s="1"/>
  <c r="J60" i="33"/>
  <c r="J61" i="33" s="1"/>
  <c r="C60" i="33"/>
  <c r="C61" i="33" s="1"/>
  <c r="E60" i="33"/>
  <c r="E61" i="33" s="1"/>
  <c r="G60" i="33"/>
  <c r="G61" i="33" s="1"/>
  <c r="H60" i="33"/>
  <c r="H61" i="33" s="1"/>
  <c r="D60" i="33"/>
  <c r="D61" i="33" s="1"/>
  <c r="O60" i="33"/>
  <c r="O61" i="33" s="1"/>
  <c r="K60" i="33"/>
  <c r="K61" i="33" s="1"/>
  <c r="L60" i="33"/>
  <c r="L61" i="33" s="1"/>
  <c r="M60" i="33"/>
  <c r="M61" i="33" s="1"/>
  <c r="I60" i="33"/>
  <c r="I61" i="33" s="1"/>
  <c r="F60" i="33"/>
  <c r="F61" i="33" s="1"/>
  <c r="D55" i="33"/>
  <c r="B55" i="33"/>
  <c r="K55" i="33"/>
  <c r="L55" i="33"/>
  <c r="G55" i="33"/>
  <c r="F55" i="33"/>
  <c r="C55" i="33"/>
  <c r="J55" i="33"/>
  <c r="H55" i="33"/>
  <c r="I55" i="33"/>
  <c r="E55" i="33"/>
  <c r="L22" i="33" l="1"/>
  <c r="K22" i="33"/>
  <c r="J52" i="33"/>
  <c r="M45" i="33"/>
  <c r="M52" i="33"/>
  <c r="M27" i="33"/>
  <c r="M22" i="33"/>
  <c r="K45" i="33"/>
  <c r="K52" i="33" l="1"/>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U29" i="23"/>
  <c r="U23" i="4" s="1"/>
  <c r="P36" i="23"/>
  <c r="P30" i="4" s="1"/>
  <c r="Q36" i="23"/>
  <c r="Q30" i="4" s="1"/>
  <c r="R36" i="23"/>
  <c r="R30" i="4" s="1"/>
  <c r="S36" i="23"/>
  <c r="S30" i="4" s="1"/>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P42" i="23"/>
  <c r="P36" i="4" s="1"/>
  <c r="Q42" i="23"/>
  <c r="Q36" i="4" s="1"/>
  <c r="R42" i="23"/>
  <c r="R36" i="4" s="1"/>
  <c r="S42" i="23"/>
  <c r="S36" i="4" s="1"/>
  <c r="T42" i="23"/>
  <c r="T36" i="4" s="1"/>
  <c r="U42" i="23"/>
  <c r="U36" i="4" s="1"/>
  <c r="V42" i="23"/>
  <c r="V36" i="4" s="1"/>
  <c r="P43" i="23"/>
  <c r="Q43" i="23"/>
  <c r="Q37" i="4" s="1"/>
  <c r="R43" i="23"/>
  <c r="S43" i="23"/>
  <c r="T43" i="23"/>
  <c r="U43" i="23"/>
  <c r="U37" i="4" s="1"/>
  <c r="V43" i="23"/>
  <c r="O36" i="23"/>
  <c r="O30" i="4" s="1"/>
  <c r="K29" i="23"/>
  <c r="K23" i="4" s="1"/>
  <c r="L30" i="23"/>
  <c r="L24"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28" i="1"/>
  <c r="T28" i="1"/>
  <c r="U28" i="1"/>
  <c r="V28" i="1"/>
  <c r="S29" i="1"/>
  <c r="S7" i="4" s="1"/>
  <c r="T29" i="1"/>
  <c r="T7" i="4" s="1"/>
  <c r="U29" i="1"/>
  <c r="U7" i="4" s="1"/>
  <c r="V29" i="1"/>
  <c r="V7" i="4" s="1"/>
  <c r="S30" i="1"/>
  <c r="S8" i="4" s="1"/>
  <c r="T30" i="1"/>
  <c r="T8" i="4" s="1"/>
  <c r="U30" i="1"/>
  <c r="U8" i="4" s="1"/>
  <c r="V30" i="1"/>
  <c r="V8" i="4" s="1"/>
  <c r="S31" i="1"/>
  <c r="S9" i="4" s="1"/>
  <c r="T31" i="1"/>
  <c r="T9" i="4" s="1"/>
  <c r="U31" i="1"/>
  <c r="U9" i="4" s="1"/>
  <c r="V31" i="1"/>
  <c r="V9" i="4" s="1"/>
  <c r="S32" i="1"/>
  <c r="S10" i="4" s="1"/>
  <c r="T32" i="1"/>
  <c r="T10" i="4" s="1"/>
  <c r="U32" i="1"/>
  <c r="U10" i="4" s="1"/>
  <c r="V32" i="1"/>
  <c r="V10" i="4" s="1"/>
  <c r="S33" i="1"/>
  <c r="S11" i="4" s="1"/>
  <c r="T33" i="1"/>
  <c r="T11" i="4" s="1"/>
  <c r="U33" i="1"/>
  <c r="U11" i="4" s="1"/>
  <c r="V33" i="1"/>
  <c r="V11" i="4" s="1"/>
  <c r="S34" i="1"/>
  <c r="S12" i="4" s="1"/>
  <c r="T34" i="1"/>
  <c r="T12" i="4" s="1"/>
  <c r="U34" i="1"/>
  <c r="U12" i="4" s="1"/>
  <c r="V34" i="1"/>
  <c r="V12" i="4" s="1"/>
  <c r="S35" i="1"/>
  <c r="S13" i="4" s="1"/>
  <c r="T35" i="1"/>
  <c r="T13" i="4" s="1"/>
  <c r="U35" i="1"/>
  <c r="U13"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M34" i="1"/>
  <c r="M12" i="4" s="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V35" i="4"/>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E30" i="23"/>
  <c r="E24" i="4" s="1"/>
  <c r="C28" i="23"/>
  <c r="J40" i="23"/>
  <c r="J34" i="4" s="1"/>
  <c r="J36" i="23"/>
  <c r="J30" i="4" s="1"/>
  <c r="C35" i="23"/>
  <c r="C29" i="4" s="1"/>
  <c r="G31" i="23"/>
  <c r="G25" i="4" s="1"/>
  <c r="D30" i="23"/>
  <c r="D24" i="4" s="1"/>
  <c r="J42" i="23"/>
  <c r="J36" i="4" s="1"/>
  <c r="J38" i="23"/>
  <c r="J32" i="4" s="1"/>
  <c r="E31" i="23"/>
  <c r="E25" i="4" s="1"/>
  <c r="C29" i="23"/>
  <c r="C23" i="4" s="1"/>
  <c r="J41" i="23"/>
  <c r="J35" i="4" s="1"/>
  <c r="J37" i="23"/>
  <c r="J31" i="4" s="1"/>
  <c r="H35" i="23"/>
  <c r="H29" i="4" s="1"/>
  <c r="I34" i="23"/>
  <c r="I28" i="4" s="1"/>
  <c r="E34" i="23"/>
  <c r="E28" i="4" s="1"/>
  <c r="C32" i="23"/>
  <c r="C26" i="4" s="1"/>
  <c r="J43" i="23"/>
  <c r="J39" i="23"/>
  <c r="J33" i="4" s="1"/>
  <c r="J35" i="23"/>
  <c r="J29" i="4" s="1"/>
  <c r="F35" i="23"/>
  <c r="F29" i="4" s="1"/>
  <c r="G34" i="23"/>
  <c r="G28" i="4" s="1"/>
  <c r="C34" i="23"/>
  <c r="C28" i="4" s="1"/>
  <c r="H33" i="23"/>
  <c r="H27" i="4" s="1"/>
  <c r="D33" i="23"/>
  <c r="D27" i="4" s="1"/>
  <c r="I32" i="23"/>
  <c r="I26" i="4" s="1"/>
  <c r="E32" i="23"/>
  <c r="E26" i="4" s="1"/>
  <c r="J31" i="23"/>
  <c r="J25" i="4" s="1"/>
  <c r="F31" i="23"/>
  <c r="F25" i="4" s="1"/>
  <c r="G30" i="23"/>
  <c r="G24" i="4" s="1"/>
  <c r="C30" i="23"/>
  <c r="C24" i="4" s="1"/>
  <c r="H29" i="23"/>
  <c r="H23" i="4" s="1"/>
  <c r="D29" i="23"/>
  <c r="D23" i="4" s="1"/>
  <c r="I28" i="23"/>
  <c r="E28" i="23"/>
  <c r="I35" i="23"/>
  <c r="I29" i="4" s="1"/>
  <c r="E35" i="23"/>
  <c r="E29" i="4" s="1"/>
  <c r="G33" i="23"/>
  <c r="G27" i="4" s="1"/>
  <c r="D32" i="23"/>
  <c r="D26" i="4" s="1"/>
  <c r="G29" i="23"/>
  <c r="G23" i="4" s="1"/>
  <c r="H28" i="23"/>
  <c r="D35" i="23"/>
  <c r="D29" i="4" s="1"/>
  <c r="J33" i="23"/>
  <c r="J27" i="4" s="1"/>
  <c r="F33" i="23"/>
  <c r="F27" i="4" s="1"/>
  <c r="G32" i="23"/>
  <c r="G26" i="4" s="1"/>
  <c r="H31" i="23"/>
  <c r="H25" i="4" s="1"/>
  <c r="G28" i="23"/>
  <c r="I30" i="23"/>
  <c r="I24"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R33" i="1"/>
  <c r="R11" i="4" s="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0" i="1"/>
  <c r="H8" i="4" s="1"/>
  <c r="H34" i="1"/>
  <c r="H12" i="4" s="1"/>
  <c r="H35" i="1"/>
  <c r="H13" i="4" s="1"/>
  <c r="I30" i="1"/>
  <c r="I8" i="4" s="1"/>
  <c r="F35" i="1"/>
  <c r="F13" i="4" s="1"/>
  <c r="H32" i="1"/>
  <c r="H10" i="4" s="1"/>
  <c r="G35" i="1"/>
  <c r="G13" i="4" s="1"/>
  <c r="G30" i="1"/>
  <c r="G8" i="4" s="1"/>
  <c r="G34" i="1"/>
  <c r="G12" i="4" s="1"/>
  <c r="O39" i="1"/>
  <c r="O17" i="4" s="1"/>
  <c r="O43" i="1"/>
  <c r="Q31" i="1"/>
  <c r="Q9" i="4" s="1"/>
  <c r="Q34" i="1"/>
  <c r="Q12" i="4" s="1"/>
  <c r="O42" i="1"/>
  <c r="O20" i="4" s="1"/>
  <c r="O32" i="1"/>
  <c r="O10" i="4" s="1"/>
  <c r="O40" i="1"/>
  <c r="O18" i="4" s="1"/>
  <c r="P28" i="1"/>
  <c r="P30" i="1"/>
  <c r="P8" i="4" s="1"/>
  <c r="P33" i="1"/>
  <c r="P11" i="4" s="1"/>
  <c r="P34" i="1"/>
  <c r="P12" i="4" s="1"/>
  <c r="O41" i="1"/>
  <c r="O19" i="4" s="1"/>
  <c r="B33" i="1"/>
  <c r="B11"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52" i="23"/>
  <c r="L27" i="23"/>
  <c r="T56" i="23"/>
  <c r="S56" i="23"/>
  <c r="Q56" i="23"/>
  <c r="U56" i="23"/>
  <c r="J56" i="1"/>
  <c r="P56" i="23"/>
  <c r="I56" i="23"/>
  <c r="G56" i="23"/>
  <c r="E56" i="23"/>
  <c r="U56" i="1"/>
  <c r="L56" i="1"/>
  <c r="M56" i="1"/>
  <c r="L56" i="23"/>
  <c r="K56" i="1"/>
  <c r="M56" i="23"/>
  <c r="V56" i="23"/>
  <c r="C56" i="23"/>
  <c r="F56" i="23"/>
  <c r="S56" i="1"/>
  <c r="R56" i="23"/>
  <c r="H56" i="23"/>
  <c r="T56" i="1"/>
  <c r="V56" i="1"/>
  <c r="D56" i="23"/>
  <c r="K56" i="23"/>
  <c r="J56" i="23"/>
  <c r="O9" i="12" l="1"/>
  <c r="O10" i="12" s="1"/>
  <c r="F30" i="23"/>
  <c r="F24" i="4" s="1"/>
  <c r="H32" i="23"/>
  <c r="H26" i="4" s="1"/>
  <c r="J34" i="23"/>
  <c r="J28" i="4" s="1"/>
  <c r="E29" i="23"/>
  <c r="E23" i="4" s="1"/>
  <c r="I33" i="23"/>
  <c r="I27" i="4" s="1"/>
  <c r="D28" i="23"/>
  <c r="J30" i="23"/>
  <c r="J24" i="4" s="1"/>
  <c r="C33" i="23"/>
  <c r="C27" i="4" s="1"/>
  <c r="I29" i="23"/>
  <c r="I23" i="4" s="1"/>
  <c r="F32" i="23"/>
  <c r="F26" i="4" s="1"/>
  <c r="H34" i="23"/>
  <c r="H28" i="4" s="1"/>
  <c r="J29" i="23"/>
  <c r="J23" i="4" s="1"/>
  <c r="I31" i="23"/>
  <c r="I25" i="4" s="1"/>
  <c r="F34" i="23"/>
  <c r="F28" i="4" s="1"/>
  <c r="F28" i="23"/>
  <c r="C31" i="23"/>
  <c r="C25" i="4" s="1"/>
  <c r="E33" i="23"/>
  <c r="E27" i="4" s="1"/>
  <c r="D31" i="23"/>
  <c r="D25" i="4" s="1"/>
  <c r="J28" i="23"/>
  <c r="J47" i="23" s="1"/>
  <c r="J48" i="23" s="1"/>
  <c r="J54" i="23" s="1"/>
  <c r="H30" i="23"/>
  <c r="H24" i="4" s="1"/>
  <c r="J32" i="23"/>
  <c r="J26" i="4" s="1"/>
  <c r="D34" i="23"/>
  <c r="D28" i="4" s="1"/>
  <c r="F29" i="23"/>
  <c r="F23" i="4" s="1"/>
  <c r="G35" i="23"/>
  <c r="G29" i="4" s="1"/>
  <c r="M35" i="23"/>
  <c r="M29" i="4" s="1"/>
  <c r="L34" i="23"/>
  <c r="L28" i="4" s="1"/>
  <c r="K33" i="23"/>
  <c r="K27" i="4" s="1"/>
  <c r="K31" i="23"/>
  <c r="K25" i="4" s="1"/>
  <c r="M30" i="23"/>
  <c r="M24" i="4" s="1"/>
  <c r="L29" i="23"/>
  <c r="L23" i="4" s="1"/>
  <c r="K28" i="23"/>
  <c r="K22" i="4" s="1"/>
  <c r="S35" i="23"/>
  <c r="S29" i="4" s="1"/>
  <c r="T34" i="23"/>
  <c r="T28" i="4" s="1"/>
  <c r="T33" i="23"/>
  <c r="T27" i="4" s="1"/>
  <c r="U32" i="23"/>
  <c r="U26" i="4" s="1"/>
  <c r="U31" i="23"/>
  <c r="U25" i="4" s="1"/>
  <c r="Q31" i="23"/>
  <c r="Q25" i="4" s="1"/>
  <c r="V30" i="23"/>
  <c r="V24" i="4" s="1"/>
  <c r="R30" i="23"/>
  <c r="R24" i="4" s="1"/>
  <c r="V29" i="23"/>
  <c r="V23" i="4" s="1"/>
  <c r="R29" i="23"/>
  <c r="R23" i="4" s="1"/>
  <c r="S28" i="23"/>
  <c r="S22" i="4" s="1"/>
  <c r="L35" i="23"/>
  <c r="L29" i="4" s="1"/>
  <c r="K34" i="23"/>
  <c r="K28" i="4" s="1"/>
  <c r="M32" i="23"/>
  <c r="M26" i="4" s="1"/>
  <c r="V35" i="23"/>
  <c r="V29" i="4" s="1"/>
  <c r="R35" i="23"/>
  <c r="R29" i="4" s="1"/>
  <c r="S34" i="23"/>
  <c r="S28" i="4" s="1"/>
  <c r="S33" i="23"/>
  <c r="S27" i="4" s="1"/>
  <c r="T32" i="23"/>
  <c r="T26" i="4" s="1"/>
  <c r="T31" i="23"/>
  <c r="T25" i="4" s="1"/>
  <c r="U30" i="23"/>
  <c r="U24" i="4" s="1"/>
  <c r="Q29" i="23"/>
  <c r="Q23" i="4" s="1"/>
  <c r="V28" i="23"/>
  <c r="V22" i="4" s="1"/>
  <c r="R28" i="23"/>
  <c r="R22" i="4" s="1"/>
  <c r="K35" i="23"/>
  <c r="K29" i="4" s="1"/>
  <c r="M33" i="23"/>
  <c r="M27" i="4" s="1"/>
  <c r="L32" i="23"/>
  <c r="L26" i="4" s="1"/>
  <c r="M31" i="23"/>
  <c r="M25" i="4" s="1"/>
  <c r="K30" i="23"/>
  <c r="K24" i="4" s="1"/>
  <c r="M28" i="23"/>
  <c r="U35" i="23"/>
  <c r="U29" i="4" s="1"/>
  <c r="Q35" i="23"/>
  <c r="Q29" i="4" s="1"/>
  <c r="V34" i="23"/>
  <c r="V28" i="4" s="1"/>
  <c r="R34" i="23"/>
  <c r="R28" i="4" s="1"/>
  <c r="V33" i="23"/>
  <c r="V27" i="4" s="1"/>
  <c r="R33" i="23"/>
  <c r="R27" i="4" s="1"/>
  <c r="S32" i="23"/>
  <c r="S26" i="4" s="1"/>
  <c r="S31" i="23"/>
  <c r="S25" i="4" s="1"/>
  <c r="T30" i="23"/>
  <c r="T24" i="4" s="1"/>
  <c r="T29" i="23"/>
  <c r="T23" i="4" s="1"/>
  <c r="U28" i="23"/>
  <c r="U22" i="4" s="1"/>
  <c r="M34" i="23"/>
  <c r="M28" i="4" s="1"/>
  <c r="L33" i="23"/>
  <c r="L27" i="4" s="1"/>
  <c r="K32" i="23"/>
  <c r="K26" i="4" s="1"/>
  <c r="L31" i="23"/>
  <c r="L25" i="4" s="1"/>
  <c r="M29" i="23"/>
  <c r="M23" i="4" s="1"/>
  <c r="L28" i="23"/>
  <c r="L22" i="4" s="1"/>
  <c r="T35" i="23"/>
  <c r="T29" i="4" s="1"/>
  <c r="U34" i="23"/>
  <c r="U28" i="4" s="1"/>
  <c r="U33" i="23"/>
  <c r="U27" i="4" s="1"/>
  <c r="Q33" i="23"/>
  <c r="Q27" i="4" s="1"/>
  <c r="V32" i="23"/>
  <c r="V26" i="4" s="1"/>
  <c r="R32" i="23"/>
  <c r="R26" i="4" s="1"/>
  <c r="V31" i="23"/>
  <c r="V25" i="4" s="1"/>
  <c r="R31" i="23"/>
  <c r="R25" i="4" s="1"/>
  <c r="S30" i="23"/>
  <c r="S24" i="4" s="1"/>
  <c r="S29" i="23"/>
  <c r="S23" i="4" s="1"/>
  <c r="T28" i="23"/>
  <c r="T22" i="4" s="1"/>
  <c r="E33" i="1"/>
  <c r="E11" i="4" s="1"/>
  <c r="J28" i="1"/>
  <c r="C35" i="1"/>
  <c r="C13" i="4" s="1"/>
  <c r="F30" i="1"/>
  <c r="F8" i="4" s="1"/>
  <c r="H33" i="1"/>
  <c r="H11" i="4" s="1"/>
  <c r="D35" i="1"/>
  <c r="D13" i="4" s="1"/>
  <c r="G29" i="1"/>
  <c r="G7" i="4" s="1"/>
  <c r="J35" i="1"/>
  <c r="J13" i="4" s="1"/>
  <c r="K30" i="1"/>
  <c r="K8" i="4" s="1"/>
  <c r="F33" i="1"/>
  <c r="F11" i="4" s="1"/>
  <c r="F34" i="1"/>
  <c r="F12" i="4" s="1"/>
  <c r="E29" i="1"/>
  <c r="E7" i="4" s="1"/>
  <c r="D33" i="1"/>
  <c r="D11" i="4" s="1"/>
  <c r="E35" i="1"/>
  <c r="E13" i="4" s="1"/>
  <c r="J31" i="1"/>
  <c r="J9" i="4" s="1"/>
  <c r="L33" i="1"/>
  <c r="L11" i="4" s="1"/>
  <c r="M28" i="1"/>
  <c r="M6" i="4" s="1"/>
  <c r="E32" i="1"/>
  <c r="E10" i="4" s="1"/>
  <c r="C33" i="1"/>
  <c r="C11" i="4" s="1"/>
  <c r="J34" i="1"/>
  <c r="J12" i="4" s="1"/>
  <c r="J30" i="1"/>
  <c r="J8" i="4" s="1"/>
  <c r="M35" i="1"/>
  <c r="M13" i="4" s="1"/>
  <c r="L34" i="1"/>
  <c r="L12" i="4" s="1"/>
  <c r="K33" i="1"/>
  <c r="K11" i="4" s="1"/>
  <c r="M32" i="1"/>
  <c r="M10" i="4" s="1"/>
  <c r="M31" i="1"/>
  <c r="M9" i="4" s="1"/>
  <c r="M29" i="1"/>
  <c r="M7" i="4" s="1"/>
  <c r="L28" i="1"/>
  <c r="L6" i="4" s="1"/>
  <c r="F29" i="1"/>
  <c r="F7" i="4" s="1"/>
  <c r="I33" i="1"/>
  <c r="I11" i="4" s="1"/>
  <c r="I29" i="1"/>
  <c r="I34" i="1"/>
  <c r="I12" i="4" s="1"/>
  <c r="E30" i="1"/>
  <c r="E8" i="4" s="1"/>
  <c r="H31" i="1"/>
  <c r="F32" i="1"/>
  <c r="F10" i="4" s="1"/>
  <c r="J33" i="1"/>
  <c r="J11" i="4" s="1"/>
  <c r="J29" i="1"/>
  <c r="J7" i="4" s="1"/>
  <c r="L35" i="1"/>
  <c r="L13" i="4" s="1"/>
  <c r="K34" i="1"/>
  <c r="K12" i="4" s="1"/>
  <c r="L32" i="1"/>
  <c r="L10" i="4" s="1"/>
  <c r="L31" i="1"/>
  <c r="L9" i="4" s="1"/>
  <c r="M30" i="1"/>
  <c r="M8" i="4" s="1"/>
  <c r="L29" i="1"/>
  <c r="L7" i="4" s="1"/>
  <c r="K28" i="1"/>
  <c r="K6" i="4" s="1"/>
  <c r="J32" i="1"/>
  <c r="J10" i="4" s="1"/>
  <c r="K35" i="1"/>
  <c r="K13" i="4" s="1"/>
  <c r="M33" i="1"/>
  <c r="M11" i="4" s="1"/>
  <c r="K32" i="1"/>
  <c r="K10" i="4" s="1"/>
  <c r="K31" i="1"/>
  <c r="K9" i="4" s="1"/>
  <c r="L30" i="1"/>
  <c r="L8" i="4" s="1"/>
  <c r="K29" i="1"/>
  <c r="K7" i="4" s="1"/>
  <c r="P35" i="23"/>
  <c r="P29" i="4" s="1"/>
  <c r="P33" i="23"/>
  <c r="P27" i="4" s="1"/>
  <c r="P31" i="23"/>
  <c r="P25" i="4" s="1"/>
  <c r="P29" i="23"/>
  <c r="P23" i="4" s="1"/>
  <c r="Q34" i="23"/>
  <c r="Q28" i="4" s="1"/>
  <c r="Q32" i="23"/>
  <c r="Q26" i="4" s="1"/>
  <c r="Q30" i="23"/>
  <c r="Q24" i="4" s="1"/>
  <c r="Q28" i="23"/>
  <c r="P34" i="23"/>
  <c r="P28" i="4" s="1"/>
  <c r="P32" i="23"/>
  <c r="P26" i="4" s="1"/>
  <c r="P30" i="23"/>
  <c r="P24" i="4" s="1"/>
  <c r="P28" i="23"/>
  <c r="P22" i="4" s="1"/>
  <c r="O41" i="23"/>
  <c r="O35" i="4" s="1"/>
  <c r="O40" i="23"/>
  <c r="O34" i="4" s="1"/>
  <c r="O43" i="23"/>
  <c r="O37" i="4" s="1"/>
  <c r="O39" i="23"/>
  <c r="O33" i="4" s="1"/>
  <c r="O42" i="23"/>
  <c r="O36" i="4" s="1"/>
  <c r="O35" i="23"/>
  <c r="O29" i="4" s="1"/>
  <c r="O33" i="23"/>
  <c r="O27" i="4" s="1"/>
  <c r="O29" i="23"/>
  <c r="O23" i="4" s="1"/>
  <c r="E22" i="4"/>
  <c r="F22" i="4"/>
  <c r="T6" i="4"/>
  <c r="M22" i="4"/>
  <c r="P6" i="4"/>
  <c r="Q6" i="4"/>
  <c r="H22" i="4"/>
  <c r="I22" i="4"/>
  <c r="D22" i="4"/>
  <c r="J22" i="4"/>
  <c r="C22" i="4"/>
  <c r="J6" i="4"/>
  <c r="S6" i="4"/>
  <c r="Q22" i="4"/>
  <c r="G22" i="4"/>
  <c r="U6" i="4"/>
  <c r="AI4" i="33"/>
  <c r="AI27" i="33" s="1"/>
  <c r="AI52" i="33" s="1"/>
  <c r="AH4" i="33"/>
  <c r="AH22" i="33" s="1"/>
  <c r="AJ4" i="33"/>
  <c r="AJ22" i="33" s="1"/>
  <c r="AF4" i="33"/>
  <c r="AF27" i="33" s="1"/>
  <c r="AF52" i="33" s="1"/>
  <c r="AB4" i="33"/>
  <c r="AB27" i="33" s="1"/>
  <c r="AB52" i="33" s="1"/>
  <c r="X4" i="33"/>
  <c r="X45" i="33" s="1"/>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AD4" i="33"/>
  <c r="Z4" i="33"/>
  <c r="V37" i="4"/>
  <c r="R37" i="4"/>
  <c r="K37" i="4"/>
  <c r="I45" i="23"/>
  <c r="AK4" i="33"/>
  <c r="AG4" i="33"/>
  <c r="AC4" i="33"/>
  <c r="U4" i="33"/>
  <c r="O21" i="4"/>
  <c r="R21" i="4"/>
  <c r="Q21" i="4"/>
  <c r="AE4" i="33"/>
  <c r="AA4" i="33"/>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5" i="23"/>
  <c r="M27" i="23"/>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G47" i="23"/>
  <c r="G48" i="23" s="1"/>
  <c r="G54" i="23" s="1"/>
  <c r="B29" i="23"/>
  <c r="B23" i="4" s="1"/>
  <c r="Q32" i="1"/>
  <c r="P32" i="1"/>
  <c r="P10" i="4" s="1"/>
  <c r="D4" i="4"/>
  <c r="O29" i="1"/>
  <c r="O7" i="4" s="1"/>
  <c r="B27" i="23"/>
  <c r="B52" i="23" s="1"/>
  <c r="K45" i="23"/>
  <c r="E27" i="23"/>
  <c r="E52" i="23" s="1"/>
  <c r="Q30" i="1"/>
  <c r="Q8" i="4" s="1"/>
  <c r="B29" i="1"/>
  <c r="B7" i="4" s="1"/>
  <c r="P35" i="1"/>
  <c r="P13" i="4" s="1"/>
  <c r="P31" i="1"/>
  <c r="P9" i="4" s="1"/>
  <c r="H22" i="23"/>
  <c r="G46" i="23"/>
  <c r="G53" i="23" s="1"/>
  <c r="P37" i="1"/>
  <c r="F22" i="23"/>
  <c r="K46" i="23"/>
  <c r="K53" i="23" s="1"/>
  <c r="E46" i="23"/>
  <c r="E53" i="23" s="1"/>
  <c r="O36" i="1"/>
  <c r="H45" i="23"/>
  <c r="H47" i="23"/>
  <c r="H48" i="23" s="1"/>
  <c r="H54" i="23" s="1"/>
  <c r="R31" i="1"/>
  <c r="R9" i="4" s="1"/>
  <c r="J57" i="1"/>
  <c r="E57" i="23"/>
  <c r="M57" i="1"/>
  <c r="V57" i="1"/>
  <c r="U57" i="23"/>
  <c r="Q57" i="23"/>
  <c r="J57" i="23"/>
  <c r="H57" i="23"/>
  <c r="L57" i="1"/>
  <c r="U57" i="1"/>
  <c r="M57" i="23"/>
  <c r="T57" i="23"/>
  <c r="P57" i="23"/>
  <c r="C57" i="23"/>
  <c r="F57" i="23"/>
  <c r="I57" i="23"/>
  <c r="K57" i="1"/>
  <c r="T57" i="1"/>
  <c r="L57" i="23"/>
  <c r="S57" i="23"/>
  <c r="D57" i="23"/>
  <c r="G57" i="23"/>
  <c r="S57" i="1"/>
  <c r="K57" i="23"/>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D17" i="4"/>
  <c r="H9" i="4"/>
  <c r="C4" i="4"/>
  <c r="C47" i="23"/>
  <c r="C48" i="23" s="1"/>
  <c r="C54" i="23" s="1"/>
  <c r="E47" i="23"/>
  <c r="E48" i="23" s="1"/>
  <c r="E54" i="23" s="1"/>
  <c r="I46" i="23"/>
  <c r="I53" i="23" s="1"/>
  <c r="F47" i="23"/>
  <c r="F48" i="23" s="1"/>
  <c r="F54" i="23" s="1"/>
  <c r="A47" i="22"/>
  <c r="F46" i="23"/>
  <c r="F53" i="23" s="1"/>
  <c r="I47" i="23"/>
  <c r="I48" i="23" s="1"/>
  <c r="I54" i="23" s="1"/>
  <c r="C46" i="23"/>
  <c r="C53" i="23" s="1"/>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H56" i="1"/>
  <c r="B56" i="1"/>
  <c r="G56" i="1"/>
  <c r="B56" i="23"/>
  <c r="I56" i="1"/>
  <c r="O56" i="1"/>
  <c r="R56" i="1"/>
  <c r="C56" i="1"/>
  <c r="D56" i="1"/>
  <c r="E56" i="1"/>
  <c r="P56" i="1"/>
  <c r="Q56" i="1"/>
  <c r="F56" i="1"/>
  <c r="O56" i="23"/>
  <c r="AI45" i="33" l="1"/>
  <c r="AB45" i="33"/>
  <c r="AI22" i="33"/>
  <c r="AB22" i="33"/>
  <c r="J46" i="23"/>
  <c r="J53" i="23" s="1"/>
  <c r="V46" i="23"/>
  <c r="V53" i="23" s="1"/>
  <c r="H46" i="23"/>
  <c r="H53" i="23" s="1"/>
  <c r="K47" i="23"/>
  <c r="K48" i="23" s="1"/>
  <c r="K54" i="23" s="1"/>
  <c r="S47" i="23"/>
  <c r="S48" i="23" s="1"/>
  <c r="S54" i="23" s="1"/>
  <c r="U47" i="23"/>
  <c r="U48" i="23" s="1"/>
  <c r="U54" i="23" s="1"/>
  <c r="P47" i="23"/>
  <c r="P48" i="23" s="1"/>
  <c r="P54" i="23" s="1"/>
  <c r="S46" i="23"/>
  <c r="S53" i="23" s="1"/>
  <c r="T46" i="23"/>
  <c r="T53" i="23" s="1"/>
  <c r="Q47" i="23"/>
  <c r="Q48" i="23" s="1"/>
  <c r="Q54" i="23" s="1"/>
  <c r="L47" i="23"/>
  <c r="L48" i="23" s="1"/>
  <c r="L54" i="23" s="1"/>
  <c r="D47" i="23"/>
  <c r="D48" i="23" s="1"/>
  <c r="D54" i="23" s="1"/>
  <c r="V47" i="23"/>
  <c r="V48" i="23" s="1"/>
  <c r="V54" i="23" s="1"/>
  <c r="M46" i="23"/>
  <c r="M53" i="23" s="1"/>
  <c r="D46" i="23"/>
  <c r="D53" i="23" s="1"/>
  <c r="M47" i="23"/>
  <c r="M48" i="23" s="1"/>
  <c r="M54" i="23" s="1"/>
  <c r="T47" i="23"/>
  <c r="T48" i="23" s="1"/>
  <c r="T54" i="23" s="1"/>
  <c r="L46" i="23"/>
  <c r="L53" i="23" s="1"/>
  <c r="R47" i="23"/>
  <c r="R48" i="23" s="1"/>
  <c r="R54" i="23" s="1"/>
  <c r="Q46" i="23"/>
  <c r="Q53" i="23" s="1"/>
  <c r="U46" i="23"/>
  <c r="U53" i="23" s="1"/>
  <c r="R46" i="23"/>
  <c r="R53" i="23" s="1"/>
  <c r="K46" i="1"/>
  <c r="K53" i="1" s="1"/>
  <c r="L46" i="1"/>
  <c r="L53" i="1" s="1"/>
  <c r="L47" i="1"/>
  <c r="J47" i="1"/>
  <c r="J48" i="1" s="1"/>
  <c r="J54" i="1" s="1"/>
  <c r="S63" i="4"/>
  <c r="S64" i="4" s="1"/>
  <c r="K47" i="1"/>
  <c r="K48" i="1" s="1"/>
  <c r="K54" i="1" s="1"/>
  <c r="J46" i="1"/>
  <c r="J53" i="1" s="1"/>
  <c r="F46" i="1"/>
  <c r="F53" i="1" s="1"/>
  <c r="M47" i="1"/>
  <c r="M48" i="1" s="1"/>
  <c r="M54" i="1" s="1"/>
  <c r="M46" i="1"/>
  <c r="M53" i="1" s="1"/>
  <c r="L63" i="4"/>
  <c r="L64" i="4" s="1"/>
  <c r="L48" i="1"/>
  <c r="L54" i="1" s="1"/>
  <c r="P46" i="23"/>
  <c r="P53" i="23" s="1"/>
  <c r="M63" i="4"/>
  <c r="M64" i="4" s="1"/>
  <c r="P47" i="1"/>
  <c r="P48" i="1" s="1"/>
  <c r="P54" i="1" s="1"/>
  <c r="D6" i="4"/>
  <c r="R6" i="4"/>
  <c r="C6" i="4"/>
  <c r="B22" i="4"/>
  <c r="I6" i="4"/>
  <c r="P7" i="4"/>
  <c r="E6" i="4"/>
  <c r="H6" i="4"/>
  <c r="F6" i="4"/>
  <c r="O6" i="4"/>
  <c r="B6" i="4"/>
  <c r="G6" i="4"/>
  <c r="Q7" i="4"/>
  <c r="K63" i="4"/>
  <c r="K64" i="4" s="1"/>
  <c r="U63" i="4"/>
  <c r="U64" i="4" s="1"/>
  <c r="J63" i="4"/>
  <c r="J64" i="4" s="1"/>
  <c r="V63" i="4"/>
  <c r="V64" i="4" s="1"/>
  <c r="T63" i="4"/>
  <c r="T64" i="4" s="1"/>
  <c r="AH27" i="33"/>
  <c r="AH52" i="33" s="1"/>
  <c r="AJ27" i="33"/>
  <c r="AJ52" i="33" s="1"/>
  <c r="H47" i="22"/>
  <c r="H49" i="22"/>
  <c r="H44" i="22"/>
  <c r="AH45" i="33"/>
  <c r="AF45" i="33"/>
  <c r="A46" i="22"/>
  <c r="H46" i="22" s="1"/>
  <c r="T27" i="33"/>
  <c r="T52" i="33" s="1"/>
  <c r="AF22" i="33"/>
  <c r="AJ45" i="33"/>
  <c r="A34" i="22"/>
  <c r="H34" i="22" s="1"/>
  <c r="A35" i="22"/>
  <c r="H35" i="22" s="1"/>
  <c r="T45" i="33"/>
  <c r="A38" i="22"/>
  <c r="H38" i="22" s="1"/>
  <c r="X27" i="33"/>
  <c r="X52" i="33" s="1"/>
  <c r="A42" i="22"/>
  <c r="H42" i="22" s="1"/>
  <c r="X22" i="33"/>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W4" i="33"/>
  <c r="AC22" i="33"/>
  <c r="AC45" i="33"/>
  <c r="AC27" i="33"/>
  <c r="AC52" i="33" s="1"/>
  <c r="Z45" i="33"/>
  <c r="Z27" i="33"/>
  <c r="Z52" i="33" s="1"/>
  <c r="Z22" i="33"/>
  <c r="U57" i="4"/>
  <c r="U58" i="4" s="1"/>
  <c r="U76" i="4" s="1"/>
  <c r="L56" i="4"/>
  <c r="L75" i="4" s="1"/>
  <c r="S56" i="4"/>
  <c r="S75" i="4" s="1"/>
  <c r="K57" i="4"/>
  <c r="K58" i="4" s="1"/>
  <c r="K76" i="4" s="1"/>
  <c r="J56" i="4"/>
  <c r="J75" i="4" s="1"/>
  <c r="O55" i="4"/>
  <c r="O62" i="4"/>
  <c r="F55" i="4"/>
  <c r="F62" i="4"/>
  <c r="M55" i="4"/>
  <c r="M62" i="4"/>
  <c r="J55" i="4"/>
  <c r="J62" i="4"/>
  <c r="AA27" i="33"/>
  <c r="AA52" i="33" s="1"/>
  <c r="AA22" i="33"/>
  <c r="AA45" i="33"/>
  <c r="AG22" i="33"/>
  <c r="AG27" i="33"/>
  <c r="AG52" i="33" s="1"/>
  <c r="AG45" i="33"/>
  <c r="AD45" i="33"/>
  <c r="AD27" i="33"/>
  <c r="AD52" i="33" s="1"/>
  <c r="AD22" i="33"/>
  <c r="L57" i="4"/>
  <c r="L58" i="4" s="1"/>
  <c r="L76" i="4" s="1"/>
  <c r="K56" i="4"/>
  <c r="K75" i="4" s="1"/>
  <c r="J57" i="4"/>
  <c r="J58" i="4" s="1"/>
  <c r="J76" i="4" s="1"/>
  <c r="P55" i="4"/>
  <c r="P62" i="4"/>
  <c r="G55" i="4"/>
  <c r="G62" i="4"/>
  <c r="H74" i="4"/>
  <c r="H62" i="4"/>
  <c r="AE27" i="33"/>
  <c r="AE52" i="33" s="1"/>
  <c r="AE22" i="33"/>
  <c r="AE45" i="33"/>
  <c r="U22" i="33"/>
  <c r="U45" i="33"/>
  <c r="U27" i="33"/>
  <c r="U52" i="33" s="1"/>
  <c r="AK22" i="33"/>
  <c r="AK45" i="33"/>
  <c r="AK27" i="33"/>
  <c r="AK52" i="33" s="1"/>
  <c r="R45" i="33"/>
  <c r="R27" i="33"/>
  <c r="R52" i="33" s="1"/>
  <c r="R22" i="33"/>
  <c r="U56" i="4"/>
  <c r="U75" i="4" s="1"/>
  <c r="M56" i="4"/>
  <c r="M75" i="4" s="1"/>
  <c r="T56" i="4"/>
  <c r="T75" i="4" s="1"/>
  <c r="C74" i="4"/>
  <c r="C62" i="4"/>
  <c r="D55" i="4"/>
  <c r="D62" i="4"/>
  <c r="S27" i="33"/>
  <c r="S52" i="33" s="1"/>
  <c r="S22" i="33"/>
  <c r="S45" i="33"/>
  <c r="Y4" i="33"/>
  <c r="A36" i="22"/>
  <c r="H36" i="22" s="1"/>
  <c r="V4" i="33"/>
  <c r="S57" i="4"/>
  <c r="S58" i="4" s="1"/>
  <c r="S76" i="4" s="1"/>
  <c r="Q55" i="4"/>
  <c r="V4" i="1"/>
  <c r="V45" i="1" s="1"/>
  <c r="O32" i="4"/>
  <c r="Q10" i="4"/>
  <c r="B32" i="4"/>
  <c r="H55" i="4"/>
  <c r="R10" i="4"/>
  <c r="O14" i="4"/>
  <c r="P15" i="4"/>
  <c r="V4" i="23"/>
  <c r="V45" i="23" s="1"/>
  <c r="K79" i="4"/>
  <c r="B10" i="4"/>
  <c r="A32" i="22"/>
  <c r="H32" i="22" s="1"/>
  <c r="D13" i="28"/>
  <c r="D9" i="28"/>
  <c r="D5" i="28"/>
  <c r="D14" i="28"/>
  <c r="D10" i="28"/>
  <c r="D6" i="28"/>
  <c r="D15" i="28"/>
  <c r="D11" i="28"/>
  <c r="D7" i="28"/>
  <c r="D3" i="28"/>
  <c r="D12" i="28"/>
  <c r="D8" i="28"/>
  <c r="D4" i="28"/>
  <c r="L79" i="4"/>
  <c r="V79" i="4"/>
  <c r="M79" i="4"/>
  <c r="J79" i="4"/>
  <c r="U79" i="4"/>
  <c r="T79" i="4"/>
  <c r="S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F55" i="23"/>
  <c r="R47" i="1"/>
  <c r="R48" i="1" s="1"/>
  <c r="R54" i="1" s="1"/>
  <c r="Q57" i="1"/>
  <c r="D74" i="4"/>
  <c r="M2" i="12"/>
  <c r="R46" i="1"/>
  <c r="R53" i="1" s="1"/>
  <c r="C55" i="23"/>
  <c r="J2" i="12"/>
  <c r="C47" i="1"/>
  <c r="C48" i="1" s="1"/>
  <c r="C54" i="1" s="1"/>
  <c r="G74" i="4"/>
  <c r="D57" i="1"/>
  <c r="R57" i="1"/>
  <c r="P57" i="1"/>
  <c r="O57" i="1"/>
  <c r="C57" i="1"/>
  <c r="D10" i="4"/>
  <c r="C10" i="4"/>
  <c r="B57" i="1"/>
  <c r="C46" i="1"/>
  <c r="C53" i="1" s="1"/>
  <c r="B46" i="1"/>
  <c r="B53" i="1" s="1"/>
  <c r="G55" i="1" s="1"/>
  <c r="B47" i="1"/>
  <c r="B48" i="1" s="1"/>
  <c r="B54" i="1" s="1"/>
  <c r="D46" i="1"/>
  <c r="D53" i="1" s="1"/>
  <c r="O47" i="1"/>
  <c r="O48" i="1" s="1"/>
  <c r="O54" i="1" s="1"/>
  <c r="O46" i="1"/>
  <c r="O53" i="1" s="1"/>
  <c r="O55" i="1" s="1"/>
  <c r="D47" i="1"/>
  <c r="D48" i="1" s="1"/>
  <c r="D54" i="1" s="1"/>
  <c r="D8" i="4"/>
  <c r="T4" i="1"/>
  <c r="T4" i="23"/>
  <c r="F74" i="4"/>
  <c r="I74" i="4"/>
  <c r="O74" i="4"/>
  <c r="P74" i="4"/>
  <c r="AD2" i="12"/>
  <c r="V4" i="4" l="1"/>
  <c r="V55" i="4" s="1"/>
  <c r="C63" i="4"/>
  <c r="C64" i="4" s="1"/>
  <c r="F63" i="4"/>
  <c r="F64" i="4" s="1"/>
  <c r="H56" i="4"/>
  <c r="H75" i="4" s="1"/>
  <c r="I57" i="4"/>
  <c r="I58" i="4" s="1"/>
  <c r="I76" i="4" s="1"/>
  <c r="J4" i="12" s="1"/>
  <c r="R63" i="4"/>
  <c r="R64" i="4" s="1"/>
  <c r="I63" i="4"/>
  <c r="I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F4" i="12"/>
  <c r="L4" i="12"/>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W27" i="33"/>
  <c r="W52" i="33" s="1"/>
  <c r="W22" i="33"/>
  <c r="W45" i="33"/>
  <c r="O57" i="4"/>
  <c r="O58" i="4" s="1"/>
  <c r="O76" i="4" s="1"/>
  <c r="C57" i="4"/>
  <c r="C58" i="4" s="1"/>
  <c r="C76" i="4" s="1"/>
  <c r="Q2" i="12"/>
  <c r="Q4" i="12" s="1"/>
  <c r="P2" i="12"/>
  <c r="P4" i="12" s="1"/>
  <c r="Q56" i="4"/>
  <c r="Q75" i="4" s="1"/>
  <c r="O56" i="4"/>
  <c r="O75" i="4" s="1"/>
  <c r="T77" i="4" s="1"/>
  <c r="C56" i="4"/>
  <c r="C75" i="4" s="1"/>
  <c r="R2" i="12"/>
  <c r="R4" i="12" s="1"/>
  <c r="Y22" i="33"/>
  <c r="Y45" i="33"/>
  <c r="Y27" i="33"/>
  <c r="Y52" i="33" s="1"/>
  <c r="P56" i="4"/>
  <c r="R57" i="4"/>
  <c r="R58" i="4" s="1"/>
  <c r="R76" i="4" s="1"/>
  <c r="Q57" i="4"/>
  <c r="Q58" i="4" s="1"/>
  <c r="Q76" i="4" s="1"/>
  <c r="Q79" i="4"/>
  <c r="P79" i="4"/>
  <c r="R79" i="4"/>
  <c r="R80" i="4" s="1"/>
  <c r="U4" i="4"/>
  <c r="F2" i="27"/>
  <c r="F4" i="27" s="1"/>
  <c r="O2" i="12"/>
  <c r="O4" i="12" s="1"/>
  <c r="U27" i="1"/>
  <c r="U52" i="1" s="1"/>
  <c r="C79" i="4"/>
  <c r="D79" i="4"/>
  <c r="K15" i="28"/>
  <c r="K13" i="28"/>
  <c r="K11" i="28"/>
  <c r="K9" i="28"/>
  <c r="L14" i="28"/>
  <c r="L12" i="28"/>
  <c r="L10" i="28"/>
  <c r="L8" i="28"/>
  <c r="L15" i="28"/>
  <c r="L13" i="28"/>
  <c r="L11" i="28"/>
  <c r="L9" i="28"/>
  <c r="K14" i="28"/>
  <c r="K12" i="28"/>
  <c r="K10" i="28"/>
  <c r="K8"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H3" i="12"/>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G3" i="12"/>
  <c r="T27" i="23"/>
  <c r="T52" i="23" s="1"/>
  <c r="T45" i="23"/>
  <c r="T22" i="23"/>
  <c r="F3" i="12"/>
  <c r="J3" i="12"/>
  <c r="I3" i="12"/>
  <c r="T27" i="1"/>
  <c r="T52" i="1" s="1"/>
  <c r="T45" i="1"/>
  <c r="T4" i="4"/>
  <c r="T62" i="4" s="1"/>
  <c r="T22" i="1"/>
  <c r="AA2" i="12" l="1"/>
  <c r="V62" i="4"/>
  <c r="V74" i="4"/>
  <c r="Z2" i="12" s="1"/>
  <c r="H4" i="12"/>
  <c r="M4" i="12"/>
  <c r="I4" i="12"/>
  <c r="G4" i="12"/>
  <c r="B80" i="4"/>
  <c r="P75" i="4"/>
  <c r="B5" i="27" s="1"/>
  <c r="O81" i="4"/>
  <c r="AE2" i="12"/>
  <c r="U74" i="4"/>
  <c r="Y2" i="12" s="1"/>
  <c r="U62" i="4"/>
  <c r="B5" i="12"/>
  <c r="B6" i="12"/>
  <c r="B6" i="27"/>
  <c r="R61" i="23"/>
  <c r="U55" i="4"/>
  <c r="F3" i="27"/>
  <c r="V77" i="4"/>
  <c r="U77" i="4"/>
  <c r="O77" i="4"/>
  <c r="S77" i="4"/>
  <c r="Q77" i="4"/>
  <c r="R77" i="4"/>
  <c r="T81" i="4"/>
  <c r="U81" i="4"/>
  <c r="P81" i="4"/>
  <c r="V81" i="4"/>
  <c r="S81" i="4"/>
  <c r="Q81" i="4"/>
  <c r="R81" i="4"/>
  <c r="B86" i="4"/>
  <c r="B87" i="4"/>
  <c r="B75" i="4"/>
  <c r="M81" i="4"/>
  <c r="J81" i="4"/>
  <c r="K81" i="4"/>
  <c r="L81"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AB4" i="12" l="1"/>
  <c r="AD4" i="12"/>
  <c r="P77" i="4"/>
  <c r="AE4" i="12"/>
  <c r="Z4" i="12"/>
  <c r="W4" i="12"/>
  <c r="AG4" i="12"/>
  <c r="AC4" i="12"/>
  <c r="AH4" i="12"/>
  <c r="AF4" i="12"/>
  <c r="Y4" i="12"/>
  <c r="AA4" i="12"/>
  <c r="I81" i="4"/>
  <c r="F2" i="28" s="1"/>
  <c r="F81" i="4"/>
  <c r="F83" i="4" s="1"/>
  <c r="G81" i="4"/>
  <c r="H81" i="4"/>
  <c r="D81" i="4"/>
  <c r="D83" i="4" s="1"/>
  <c r="E81" i="4"/>
  <c r="C81" i="4"/>
  <c r="K77" i="4"/>
  <c r="E5" i="28" s="1"/>
  <c r="J77" i="4"/>
  <c r="G77" i="4"/>
  <c r="F77" i="4"/>
  <c r="L77" i="4"/>
  <c r="E6" i="28" s="1"/>
  <c r="B77" i="4"/>
  <c r="B2" i="27"/>
  <c r="G6" i="27" s="1"/>
  <c r="M77" i="4"/>
  <c r="E7" i="28" s="1"/>
  <c r="I77" i="4"/>
  <c r="E3" i="28" s="1"/>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L83" i="4"/>
  <c r="V83" i="4"/>
  <c r="T83" i="4"/>
  <c r="M83" i="4"/>
  <c r="P83" i="4"/>
  <c r="U83" i="4"/>
  <c r="S5" i="12"/>
  <c r="Q83" i="4"/>
  <c r="K83" i="4"/>
  <c r="J83" i="4"/>
  <c r="S83" i="4"/>
  <c r="O83" i="4"/>
  <c r="O61" i="23"/>
  <c r="AG3" i="12"/>
  <c r="AD3" i="12"/>
  <c r="AE3" i="12"/>
  <c r="AC3" i="12"/>
  <c r="W3" i="12"/>
  <c r="Y3" i="12"/>
  <c r="I2" i="27"/>
  <c r="I4" i="27" s="1"/>
  <c r="V2" i="12"/>
  <c r="V4" i="12" s="1"/>
  <c r="J2" i="28"/>
  <c r="K3" i="12"/>
  <c r="J3" i="28"/>
  <c r="F3" i="28"/>
  <c r="Z3" i="12"/>
  <c r="AA3" i="12"/>
  <c r="AH3" i="12"/>
  <c r="I3" i="28"/>
  <c r="I2"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J11" i="28"/>
  <c r="I6" i="28"/>
  <c r="J9" i="28"/>
  <c r="I8" i="28"/>
  <c r="F14" i="28"/>
  <c r="F12" i="28"/>
  <c r="J6" i="28"/>
  <c r="J7" i="28"/>
  <c r="E12" i="28"/>
  <c r="I10" i="28"/>
  <c r="I13" i="28"/>
  <c r="E15" i="28"/>
  <c r="E11" i="28"/>
  <c r="F11" i="28"/>
  <c r="F6" i="28"/>
  <c r="J14" i="28"/>
  <c r="I15" i="28"/>
  <c r="I9" i="28"/>
  <c r="J5" i="28"/>
  <c r="J8" i="28"/>
  <c r="F10" i="28"/>
  <c r="I5" i="28"/>
  <c r="I4" i="28"/>
  <c r="I7" i="28"/>
  <c r="E13" i="28"/>
  <c r="E9" i="28"/>
  <c r="J10" i="28"/>
  <c r="I14" i="28"/>
  <c r="J4" i="28"/>
  <c r="J12" i="28"/>
  <c r="I12" i="28"/>
  <c r="F7" i="28"/>
  <c r="J15" i="28"/>
  <c r="AI2" i="12"/>
  <c r="AI4" i="12" s="1"/>
  <c r="X2" i="12"/>
  <c r="X4" i="12" s="1"/>
  <c r="R5" i="12" l="1"/>
  <c r="Q5" i="12"/>
  <c r="P5" i="12"/>
  <c r="G83" i="4"/>
  <c r="I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I9" i="22" s="1"/>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K14" i="22" s="1"/>
  <c r="M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I36" i="22" l="1"/>
  <c r="K36" i="22" s="1"/>
  <c r="K18" i="22"/>
  <c r="M18" i="22" s="1"/>
  <c r="I32" i="22"/>
  <c r="I35" i="22"/>
  <c r="K35" i="22" s="1"/>
  <c r="L6" i="28" s="1"/>
  <c r="I34" i="22"/>
  <c r="K34" i="22" s="1"/>
  <c r="I33" i="22"/>
  <c r="K33" i="22" s="1"/>
  <c r="N33" i="22" s="1"/>
  <c r="M34" i="22"/>
  <c r="K5" i="28"/>
  <c r="M36" i="22"/>
  <c r="K7" i="28"/>
  <c r="N36" i="22"/>
  <c r="L7" i="28"/>
  <c r="N34" i="22"/>
  <c r="L5" i="28"/>
  <c r="K4" i="28"/>
  <c r="G13" i="22"/>
  <c r="K16" i="22"/>
  <c r="M16" i="22" s="1"/>
  <c r="I19" i="22"/>
  <c r="G12" i="22"/>
  <c r="I12" i="22"/>
  <c r="G15" i="22"/>
  <c r="I15" i="22"/>
  <c r="K26" i="22"/>
  <c r="M26" i="22" s="1"/>
  <c r="I14" i="22"/>
  <c r="I25" i="22"/>
  <c r="G14" i="22"/>
  <c r="K25" i="22"/>
  <c r="M25" i="22" s="1"/>
  <c r="I18" i="22"/>
  <c r="K19" i="22"/>
  <c r="M19" i="22" s="1"/>
  <c r="G10" i="22"/>
  <c r="I10" i="22" s="1"/>
  <c r="K10" i="22" s="1"/>
  <c r="K7" i="22"/>
  <c r="M7" i="22" s="1"/>
  <c r="G9" i="22"/>
  <c r="I24" i="22"/>
  <c r="I7" i="22"/>
  <c r="G3" i="28" s="1"/>
  <c r="G24" i="22"/>
  <c r="G22" i="22"/>
  <c r="K21" i="22"/>
  <c r="M21" i="22" s="1"/>
  <c r="G11" i="22"/>
  <c r="I11" i="22" s="1"/>
  <c r="K11" i="22" s="1"/>
  <c r="M11" i="22" s="1"/>
  <c r="I17" i="22"/>
  <c r="I26" i="22"/>
  <c r="G17" i="22"/>
  <c r="K13" i="22"/>
  <c r="M13" i="22" s="1"/>
  <c r="K9" i="22"/>
  <c r="M9" i="22" s="1"/>
  <c r="I16" i="22"/>
  <c r="G20" i="22"/>
  <c r="K8" i="22"/>
  <c r="M8" i="22" s="1"/>
  <c r="K23" i="22"/>
  <c r="M23" i="22" s="1"/>
  <c r="I21" i="22"/>
  <c r="K22" i="22"/>
  <c r="M22" i="22" s="1"/>
  <c r="I8" i="22"/>
  <c r="I23" i="22"/>
  <c r="K20" i="22"/>
  <c r="M20" i="22" s="1"/>
  <c r="N15" i="22"/>
  <c r="N12" i="22"/>
  <c r="N24" i="22"/>
  <c r="N17" i="22"/>
  <c r="N14" i="22"/>
  <c r="N18" i="22"/>
  <c r="L2" i="28"/>
  <c r="K3" i="28"/>
  <c r="K2" i="28"/>
  <c r="G12" i="28"/>
  <c r="H15" i="28"/>
  <c r="H12" i="28"/>
  <c r="H9" i="28"/>
  <c r="H14" i="28"/>
  <c r="H10" i="28"/>
  <c r="H13" i="28"/>
  <c r="H11" i="28"/>
  <c r="H8" i="28"/>
  <c r="N35" i="22" l="1"/>
  <c r="K6" i="28"/>
  <c r="M35" i="22"/>
  <c r="M33" i="22"/>
  <c r="L4" i="28"/>
  <c r="K32" i="22"/>
  <c r="M32" i="22" s="1"/>
  <c r="N10" i="22"/>
  <c r="H6" i="28"/>
  <c r="M10" i="22"/>
  <c r="N16" i="22"/>
  <c r="H4" i="28"/>
  <c r="N26" i="22"/>
  <c r="H5" i="28"/>
  <c r="H7" i="28"/>
  <c r="H3" i="28"/>
  <c r="G14" i="28"/>
  <c r="G7" i="28"/>
  <c r="G13" i="28"/>
  <c r="G15" i="28"/>
  <c r="G10" i="28"/>
  <c r="G6" i="28"/>
  <c r="G8" i="28"/>
  <c r="G11" i="28"/>
  <c r="G5" i="28"/>
  <c r="G9" i="28"/>
  <c r="G4" i="28"/>
  <c r="N25" i="22"/>
  <c r="N21" i="22"/>
  <c r="N19" i="22"/>
  <c r="H2" i="28"/>
  <c r="N7" i="22"/>
  <c r="N8" i="22"/>
  <c r="N20" i="22"/>
  <c r="N13" i="22"/>
  <c r="G2" i="28"/>
  <c r="N11" i="22"/>
  <c r="N9" i="22"/>
  <c r="N23" i="22"/>
  <c r="N22" i="22"/>
  <c r="L3" i="28" l="1"/>
  <c r="N3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<sst xmlns="http://schemas.openxmlformats.org/spreadsheetml/2006/main" count="7506" uniqueCount="4221">
  <si>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</si>
  <si>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</si>
  <si>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</si>
  <si>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</si>
  <si>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</si>
  <si>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</si>
  <si>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</si>
  <si>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</si>
  <si>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</si>
  <si>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</si>
  <si>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</si>
  <si>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</si>
  <si>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</si>
  <si>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</si>
  <si>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</si>
  <si>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</si>
  <si>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</si>
  <si>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</si>
  <si>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</si>
  <si>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</si>
  <si>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</si>
  <si>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</si>
  <si>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</si>
  <si>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</si>
  <si>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</si>
  <si>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</si>
  <si>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</si>
  <si>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</si>
  <si>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</si>
  <si>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</si>
  <si>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</si>
  <si>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</si>
  <si>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</si>
  <si>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</si>
  <si>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</si>
  <si>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</si>
  <si>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</si>
  <si>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</si>
  <si>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</si>
  <si>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</si>
  <si>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</si>
  <si>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</si>
  <si>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</si>
  <si>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</si>
  <si>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</si>
  <si>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</si>
  <si>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</si>
  <si>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</si>
  <si>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</si>
  <si>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</si>
  <si>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</si>
  <si>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</si>
  <si>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</si>
  <si>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</si>
  <si>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</si>
  <si>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</si>
  <si>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</si>
  <si>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</si>
  <si>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</si>
  <si>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</si>
  <si>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</si>
  <si>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</si>
  <si>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</si>
  <si>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</si>
  <si>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</si>
  <si>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</si>
  <si>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</si>
  <si>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</si>
  <si>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</si>
  <si>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</si>
  <si>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</si>
  <si>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</si>
  <si>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</si>
  <si>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</si>
  <si>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</si>
  <si>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</si>
  <si>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</si>
  <si>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</si>
  <si>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</si>
  <si>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</si>
  <si>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</si>
  <si>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</si>
  <si>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</si>
  <si>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</si>
  <si>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</si>
  <si>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</si>
  <si>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</si>
  <si>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</si>
  <si>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</si>
  <si>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</si>
  <si>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</si>
  <si>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</si>
  <si>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</si>
  <si>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</si>
  <si>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</si>
  <si>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</si>
  <si>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</si>
  <si>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</si>
  <si>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</si>
  <si>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</si>
  <si>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</si>
  <si>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</si>
  <si>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</si>
  <si>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</si>
  <si>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</si>
  <si>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</si>
  <si>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</si>
  <si>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</si>
  <si>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</si>
  <si>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</si>
  <si>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</si>
  <si>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</si>
  <si>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</si>
  <si>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</si>
  <si>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</si>
  <si>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</si>
  <si>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</si>
  <si>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</si>
  <si>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</si>
  <si>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</si>
  <si>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</si>
  <si>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</si>
  <si>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</si>
  <si>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</si>
  <si>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</si>
  <si>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</si>
  <si>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</si>
  <si>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</si>
  <si>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</si>
  <si>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</si>
  <si>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</si>
  <si>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</si>
  <si>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</si>
  <si>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</si>
  <si>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</si>
  <si>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</si>
  <si>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</si>
  <si>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</si>
  <si>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</si>
  <si>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</si>
  <si>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</si>
  <si>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</si>
  <si>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</si>
  <si>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</si>
  <si>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</si>
  <si>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</si>
  <si>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</si>
  <si>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</si>
  <si>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</si>
  <si>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</si>
  <si>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</si>
  <si>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</si>
  <si>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</si>
  <si>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</si>
  <si>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</si>
  <si>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</si>
  <si>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</si>
  <si>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</si>
  <si>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</si>
  <si>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</si>
  <si>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</si>
  <si>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</si>
  <si>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</si>
  <si>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</si>
  <si>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</si>
  <si>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</si>
  <si>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 xml:space="preserve"> 4823.4665 </t>
  </si>
  <si>
    <t xml:space="preserve"> 35.8161 </t>
  </si>
  <si>
    <t xml:space="preserve"> 5256.0644 </t>
  </si>
  <si>
    <t xml:space="preserve"> 35.6379 </t>
  </si>
  <si>
    <t xml:space="preserve"> 10360.7195 </t>
  </si>
  <si>
    <t xml:space="preserve"> 41.5491 </t>
  </si>
  <si>
    <t xml:space="preserve"> 10230.9402 </t>
  </si>
  <si>
    <t xml:space="preserve"> 40.814 </t>
  </si>
  <si>
    <t xml:space="preserve"> 4736.9469 </t>
  </si>
  <si>
    <t xml:space="preserve"> 39.0639 </t>
  </si>
  <si>
    <t xml:space="preserve"> 4239.4593 </t>
  </si>
  <si>
    <t xml:space="preserve"> 36.2551 </t>
  </si>
  <si>
    <t xml:space="preserve"> 3698.712 </t>
  </si>
  <si>
    <t xml:space="preserve"> 33.2222 </t>
  </si>
  <si>
    <t xml:space="preserve"> 6553.8581 </t>
  </si>
  <si>
    <t xml:space="preserve"> 38.5248 </t>
  </si>
  <si>
    <t xml:space="preserve"> 237.9288 </t>
  </si>
  <si>
    <t xml:space="preserve"> 31.4545 </t>
  </si>
  <si>
    <t xml:space="preserve"> 9387.3743 </t>
  </si>
  <si>
    <t xml:space="preserve"> 43.5783 </t>
  </si>
  <si>
    <t xml:space="preserve"> 10879.837 </t>
  </si>
  <si>
    <t xml:space="preserve"> 41.6163 </t>
  </si>
  <si>
    <t xml:space="preserve"> 5450.7334 </t>
  </si>
  <si>
    <t xml:space="preserve"> 35.4921 </t>
  </si>
  <si>
    <t xml:space="preserve"> 8111.2105 </t>
  </si>
  <si>
    <t xml:space="preserve"> 35.88 </t>
  </si>
  <si>
    <t xml:space="preserve"> 35.6281 </t>
  </si>
  <si>
    <t xml:space="preserve"> 2811.8863 </t>
  </si>
  <si>
    <t xml:space="preserve"> 34.5538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</si>
  <si>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</si>
  <si>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</si>
  <si>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</si>
  <si>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</si>
  <si>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</si>
  <si>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</si>
  <si>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</si>
  <si>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 34.9429 </t>
  </si>
  <si>
    <t xml:space="preserve"> 9.8925 </t>
  </si>
  <si>
    <t xml:space="preserve"> 222482.375 </t>
  </si>
  <si>
    <t xml:space="preserve"> 143318.787 </t>
  </si>
  <si>
    <t xml:space="preserve">file name </t>
  </si>
  <si>
    <t xml:space="preserve"> 2509.0678 </t>
  </si>
  <si>
    <t xml:space="preserve"> 33.5776 </t>
  </si>
  <si>
    <t xml:space="preserve"> 5861.7014 </t>
  </si>
  <si>
    <t xml:space="preserve"> 36.3911 </t>
  </si>
  <si>
    <t xml:space="preserve"> 10490.4989 </t>
  </si>
  <si>
    <t xml:space="preserve"> 43.5856 </t>
  </si>
  <si>
    <t xml:space="preserve"> 9819.9722 </t>
  </si>
  <si>
    <t xml:space="preserve"> 40.9163 </t>
  </si>
  <si>
    <t xml:space="preserve"> 7938.1713 </t>
  </si>
  <si>
    <t xml:space="preserve"> 38.6131 </t>
  </si>
  <si>
    <t xml:space="preserve"> 7310.9044 </t>
  </si>
  <si>
    <t xml:space="preserve"> 38.4172 </t>
  </si>
  <si>
    <t xml:space="preserve"> 4780.2067 </t>
  </si>
  <si>
    <t xml:space="preserve"> 38.1086 </t>
  </si>
  <si>
    <t xml:space="preserve"> 6597.1179 </t>
  </si>
  <si>
    <t xml:space="preserve"> 36.3148 </t>
  </si>
  <si>
    <t xml:space="preserve"> 33.8415 </t>
  </si>
  <si>
    <t xml:space="preserve"> 648.8968 </t>
  </si>
  <si>
    <t xml:space="preserve"> 31.5 </t>
  </si>
  <si>
    <t xml:space="preserve"> 1081.4947 </t>
  </si>
  <si>
    <t xml:space="preserve"> 32.48 </t>
  </si>
  <si>
    <t xml:space="preserve"> 389.3381 </t>
  </si>
  <si>
    <t xml:space="preserve"> 7592.093 </t>
  </si>
  <si>
    <t xml:space="preserve"> 39.2593 </t>
  </si>
  <si>
    <t xml:space="preserve"> 9322.4846 </t>
  </si>
  <si>
    <t xml:space="preserve"> 44.9049 </t>
  </si>
  <si>
    <t xml:space="preserve"> 4758.5768 </t>
  </si>
  <si>
    <t xml:space="preserve"> 34.9864 </t>
  </si>
  <si>
    <t xml:space="preserve"> 6510.5983 </t>
  </si>
  <si>
    <t xml:space="preserve"> 37.3787 </t>
  </si>
  <si>
    <t xml:space="preserve"> 36.9859 </t>
  </si>
  <si>
    <t xml:space="preserve"> 3.9983 </t>
  </si>
  <si>
    <t xml:space="preserve"> 217507.438 </t>
  </si>
  <si>
    <t xml:space="preserve"> 140667.469 </t>
  </si>
  <si>
    <t xml:space="preserve"> 5688.6623 </t>
  </si>
  <si>
    <t xml:space="preserve"> 38.9125 </t>
  </si>
  <si>
    <t xml:space="preserve"> 8478.9187 </t>
  </si>
  <si>
    <t xml:space="preserve"> 39.6837 </t>
  </si>
  <si>
    <t xml:space="preserve"> 64.8897 </t>
  </si>
  <si>
    <t xml:space="preserve"> 6315.9292 </t>
  </si>
  <si>
    <t xml:space="preserve"> 34.7671 </t>
  </si>
  <si>
    <t xml:space="preserve"> 7008.0859 </t>
  </si>
  <si>
    <t xml:space="preserve"> 37.9537 </t>
  </si>
  <si>
    <t xml:space="preserve"> 9971.3814 </t>
  </si>
  <si>
    <t xml:space="preserve"> 37.2885 </t>
  </si>
  <si>
    <t xml:space="preserve"> 9041.296 </t>
  </si>
  <si>
    <t xml:space="preserve"> 37.7919 </t>
  </si>
  <si>
    <t xml:space="preserve"> 3893.381 </t>
  </si>
  <si>
    <t xml:space="preserve"> 36.3556 </t>
  </si>
  <si>
    <t xml:space="preserve"> 1038.2349 </t>
  </si>
  <si>
    <t xml:space="preserve"> 32.1458 </t>
  </si>
  <si>
    <t xml:space="preserve"> 2206.2493 </t>
  </si>
  <si>
    <t xml:space="preserve"> 32.8529 </t>
  </si>
  <si>
    <t xml:space="preserve"> 865.1958 </t>
  </si>
  <si>
    <t xml:space="preserve"> 32.175 </t>
  </si>
  <si>
    <t xml:space="preserve"> 173.0392 </t>
  </si>
  <si>
    <t xml:space="preserve"> 31.875 </t>
  </si>
  <si>
    <t xml:space="preserve"> 1189.6442 </t>
  </si>
  <si>
    <t xml:space="preserve"> 32.5091 </t>
  </si>
  <si>
    <t xml:space="preserve"> 2292.7688 </t>
  </si>
  <si>
    <t xml:space="preserve"> 33.3679 </t>
  </si>
  <si>
    <t xml:space="preserve"> 40.5282 </t>
  </si>
  <si>
    <t xml:space="preserve"> 41.1541 </t>
  </si>
  <si>
    <t xml:space="preserve"> 86.5196 </t>
  </si>
  <si>
    <t xml:space="preserve"> 33.7548 </t>
  </si>
  <si>
    <t xml:space="preserve"> 15.0189 </t>
  </si>
  <si>
    <t xml:space="preserve"> 300158.204 </t>
  </si>
  <si>
    <t xml:space="preserve"> 12891.4172 </t>
  </si>
  <si>
    <t xml:space="preserve"> 33.7836 </t>
  </si>
  <si>
    <t xml:space="preserve"> 14427.1397 </t>
  </si>
  <si>
    <t xml:space="preserve"> 34.2804 </t>
  </si>
  <si>
    <t xml:space="preserve"> 10079.5309 </t>
  </si>
  <si>
    <t xml:space="preserve"> 33.3906 </t>
  </si>
  <si>
    <t xml:space="preserve"> 49943.4267 </t>
  </si>
  <si>
    <t xml:space="preserve"> 39.3114 </t>
  </si>
  <si>
    <t xml:space="preserve"> 38782.4011 </t>
  </si>
  <si>
    <t xml:space="preserve"> 37.261 </t>
  </si>
  <si>
    <t xml:space="preserve"> 33439.8171 </t>
  </si>
  <si>
    <t xml:space="preserve"> 37.7691 </t>
  </si>
  <si>
    <t xml:space="preserve"> 32033.8739 </t>
  </si>
  <si>
    <t xml:space="preserve"> 35.5334 </t>
  </si>
  <si>
    <t xml:space="preserve"> 43259.7893 </t>
  </si>
  <si>
    <t xml:space="preserve"> 38.153 </t>
  </si>
  <si>
    <t xml:space="preserve"> 76807.7558 </t>
  </si>
  <si>
    <t xml:space="preserve"> 47.4244 </t>
  </si>
  <si>
    <t xml:space="preserve"> 79511.4927 </t>
  </si>
  <si>
    <t xml:space="preserve"> 43.0297 </t>
  </si>
  <si>
    <t xml:space="preserve"> 72568.2965 </t>
  </si>
  <si>
    <t xml:space="preserve"> 43.1308 </t>
  </si>
  <si>
    <t xml:space="preserve"> 28573.0908 </t>
  </si>
  <si>
    <t xml:space="preserve"> 36.3581 </t>
  </si>
  <si>
    <t xml:space="preserve"> 20656.5494 </t>
  </si>
  <si>
    <t xml:space="preserve"> 35.7455 </t>
  </si>
  <si>
    <t xml:space="preserve"> 20570.0298 </t>
  </si>
  <si>
    <t xml:space="preserve"> 35.5657 </t>
  </si>
  <si>
    <t xml:space="preserve"> 38328.1733 </t>
  </si>
  <si>
    <t xml:space="preserve"> 36.7381 </t>
  </si>
  <si>
    <t xml:space="preserve"> 39409.668 </t>
  </si>
  <si>
    <t xml:space="preserve"> 38.8743 </t>
  </si>
  <si>
    <t xml:space="preserve"> 39171.7392 </t>
  </si>
  <si>
    <t xml:space="preserve"> 36.1734 </t>
  </si>
  <si>
    <t xml:space="preserve"> 44319.6541 </t>
  </si>
  <si>
    <t xml:space="preserve"> 42.8145 </t>
  </si>
  <si>
    <t xml:space="preserve"> 36554.5219 </t>
  </si>
  <si>
    <t xml:space="preserve"> 39.4024 </t>
  </si>
  <si>
    <t xml:space="preserve"> 46461.0137 </t>
  </si>
  <si>
    <t xml:space="preserve"> 39.9413 </t>
  </si>
  <si>
    <t xml:space="preserve"> 79641.272 </t>
  </si>
  <si>
    <t xml:space="preserve"> 44.5459 </t>
  </si>
  <si>
    <t xml:space="preserve"> 72698.0758 </t>
  </si>
  <si>
    <t xml:space="preserve"> 43.7025 </t>
  </si>
  <si>
    <t xml:space="preserve"> 69842.9298 </t>
  </si>
  <si>
    <t xml:space="preserve"> 44.6216 </t>
  </si>
  <si>
    <t xml:space="preserve"> 38.9202 </t>
  </si>
  <si>
    <t xml:space="preserve"> 3.907 </t>
  </si>
  <si>
    <t xml:space="preserve"> 1749689.96 </t>
  </si>
  <si>
    <t xml:space="preserve"> 1038018.4 </t>
  </si>
  <si>
    <t xml:space="preserve"> 17779.7734 </t>
  </si>
  <si>
    <t xml:space="preserve"> 35.163 </t>
  </si>
  <si>
    <t xml:space="preserve"> 26474.991 </t>
  </si>
  <si>
    <t xml:space="preserve"> 34.0441 </t>
  </si>
  <si>
    <t xml:space="preserve"> 30390.002 </t>
  </si>
  <si>
    <t xml:space="preserve"> 35.0256 </t>
  </si>
  <si>
    <t xml:space="preserve"> 53274.4305 </t>
  </si>
  <si>
    <t xml:space="preserve"> 40.1052 </t>
  </si>
  <si>
    <t xml:space="preserve"> 63721.6696 </t>
  </si>
  <si>
    <t xml:space="preserve"> 41.9745 </t>
  </si>
  <si>
    <t xml:space="preserve"> 52387.6048 </t>
  </si>
  <si>
    <t xml:space="preserve"> 39.6276 </t>
  </si>
  <si>
    <t xml:space="preserve"> 54399.185 </t>
  </si>
  <si>
    <t xml:space="preserve"> 38.0414 </t>
  </si>
  <si>
    <t xml:space="preserve"> 53598.8789 </t>
  </si>
  <si>
    <t xml:space="preserve"> 39.9374 </t>
  </si>
  <si>
    <t xml:space="preserve"> 59720.1391 </t>
  </si>
  <si>
    <t xml:space="preserve"> 40.5592 </t>
  </si>
  <si>
    <t xml:space="preserve"> 87276.6248 </t>
  </si>
  <si>
    <t xml:space="preserve"> 47.1299 </t>
  </si>
  <si>
    <t xml:space="preserve"> 86346.5394 </t>
  </si>
  <si>
    <t xml:space="preserve"> 50.2229 </t>
  </si>
  <si>
    <t xml:space="preserve"> 66728.2249 </t>
  </si>
  <si>
    <t xml:space="preserve"> 41.2703 </t>
  </si>
  <si>
    <t xml:space="preserve"> 55913.2776 </t>
  </si>
  <si>
    <t xml:space="preserve"> 38.5698 </t>
  </si>
  <si>
    <t xml:space="preserve"> 39258.2588 </t>
  </si>
  <si>
    <t xml:space="preserve"> 39.1609 </t>
  </si>
  <si>
    <t xml:space="preserve"> 46006.7859 </t>
  </si>
  <si>
    <t xml:space="preserve"> 40.0846 </t>
  </si>
  <si>
    <t xml:space="preserve"> 53512.3593 </t>
  </si>
  <si>
    <t xml:space="preserve"> 39.2846 </t>
  </si>
  <si>
    <t xml:space="preserve"> 48580.7433 </t>
  </si>
  <si>
    <t xml:space="preserve"> 38.6055 </t>
  </si>
  <si>
    <t xml:space="preserve"> 40253.2339 </t>
  </si>
  <si>
    <t xml:space="preserve"> 39.4283 </t>
  </si>
  <si>
    <t xml:space="preserve"> 43000.2305 </t>
  </si>
  <si>
    <t xml:space="preserve"> 39.5065 </t>
  </si>
  <si>
    <t xml:space="preserve"> 46374.4941 </t>
  </si>
  <si>
    <t xml:space="preserve"> 38.847 </t>
  </si>
  <si>
    <t xml:space="preserve"> 13388.9048 </t>
  </si>
  <si>
    <t xml:space="preserve"> 33.7431 </t>
  </si>
  <si>
    <t xml:space="preserve"> 11117.7658 </t>
  </si>
  <si>
    <t xml:space="preserve"> 33.4319 </t>
  </si>
  <si>
    <t xml:space="preserve"> 10252.5701 </t>
  </si>
  <si>
    <t xml:space="preserve"> 33.846 </t>
  </si>
  <si>
    <t xml:space="preserve"> 39.5245 </t>
  </si>
  <si>
    <t xml:space="preserve"> 4.621 </t>
  </si>
  <si>
    <t xml:space="preserve"> 1960315.54 </t>
  </si>
  <si>
    <t xml:space="preserve"> 1089906.12 </t>
  </si>
  <si>
    <t xml:space="preserve"> 68977.734 </t>
  </si>
  <si>
    <t xml:space="preserve"> 47.4008 </t>
  </si>
  <si>
    <t xml:space="preserve"> 74168.9087 </t>
  </si>
  <si>
    <t xml:space="preserve"> 45.058 </t>
  </si>
  <si>
    <t xml:space="preserve"> 66663.3352 </t>
  </si>
  <si>
    <t xml:space="preserve"> 43.5571 </t>
  </si>
  <si>
    <t xml:space="preserve"> 96144.8816 </t>
  </si>
  <si>
    <t xml:space="preserve"> 53.1618 </t>
  </si>
  <si>
    <t xml:space="preserve"> 89223.3153 </t>
  </si>
  <si>
    <t xml:space="preserve"> 49.0895 </t>
  </si>
  <si>
    <t xml:space="preserve"> 86865.6568 </t>
  </si>
  <si>
    <t xml:space="preserve"> 53.2271 </t>
  </si>
  <si>
    <t xml:space="preserve"> 82453.1583 </t>
  </si>
  <si>
    <t xml:space="preserve"> 54.7361 </t>
  </si>
  <si>
    <t xml:space="preserve"> 88379.7495 </t>
  </si>
  <si>
    <t xml:space="preserve"> 57.8769 </t>
  </si>
  <si>
    <t xml:space="preserve"> 71897.7697 </t>
  </si>
  <si>
    <t xml:space="preserve"> 59.5704 </t>
  </si>
  <si>
    <t xml:space="preserve"> 77845.9908 </t>
  </si>
  <si>
    <t xml:space="preserve"> 45.8361 </t>
  </si>
  <si>
    <t xml:space="preserve"> 85892.3116 </t>
  </si>
  <si>
    <t xml:space="preserve"> 48.789 </t>
  </si>
  <si>
    <t xml:space="preserve"> 84356.5891 </t>
  </si>
  <si>
    <t xml:space="preserve"> 46.6246 </t>
  </si>
  <si>
    <t xml:space="preserve"> 81068.8451 </t>
  </si>
  <si>
    <t xml:space="preserve"> 50.2359 </t>
  </si>
  <si>
    <t xml:space="preserve"> 49143.1206 </t>
  </si>
  <si>
    <t xml:space="preserve"> 47.7843 </t>
  </si>
  <si>
    <t xml:space="preserve"> 53014.8717 </t>
  </si>
  <si>
    <t xml:space="preserve"> 49.6202 </t>
  </si>
  <si>
    <t xml:space="preserve"> 55004.822 </t>
  </si>
  <si>
    <t xml:space="preserve"> 46.8537 </t>
  </si>
  <si>
    <t xml:space="preserve"> 79900.8308 </t>
  </si>
  <si>
    <t xml:space="preserve"> 48.6781 </t>
  </si>
  <si>
    <t xml:space="preserve"> 79554.7524 </t>
  </si>
  <si>
    <t xml:space="preserve"> 49.4407 </t>
  </si>
  <si>
    <t xml:space="preserve"> 78970.7453 </t>
  </si>
  <si>
    <t xml:space="preserve"> 54.6242 </t>
  </si>
  <si>
    <t xml:space="preserve"> 78797.7061 </t>
  </si>
  <si>
    <t xml:space="preserve"> 54.1672 </t>
  </si>
  <si>
    <t xml:space="preserve"> 78148.8093 </t>
  </si>
  <si>
    <t xml:space="preserve"> 52.6299 </t>
  </si>
  <si>
    <t xml:space="preserve"> 49.6402 </t>
  </si>
  <si>
    <t xml:space="preserve"> 5.3336 </t>
  </si>
  <si>
    <t xml:space="preserve"> 3745286.62 </t>
  </si>
  <si>
    <t xml:space="preserve"> 1027248.28 </t>
  </si>
  <si>
    <t xml:space="preserve"> 7613.7229 </t>
  </si>
  <si>
    <t xml:space="preserve"> 35.7358 </t>
  </si>
  <si>
    <t xml:space="preserve"> 35.9909 </t>
  </si>
  <si>
    <t xml:space="preserve"> 35.7066 </t>
  </si>
  <si>
    <t xml:space="preserve"> 6770.157 </t>
  </si>
  <si>
    <t xml:space="preserve"> 36.8179 </t>
  </si>
  <si>
    <t xml:space="preserve"> 3568.9326 </t>
  </si>
  <si>
    <t xml:space="preserve"> 33.6788 </t>
  </si>
  <si>
    <t xml:space="preserve"> 41.1016 </t>
  </si>
  <si>
    <t xml:space="preserve"> 2271.1389 </t>
  </si>
  <si>
    <t xml:space="preserve"> 31.9714 </t>
  </si>
  <si>
    <t xml:space="preserve"> 2984.9255 </t>
  </si>
  <si>
    <t xml:space="preserve"> 34.2971 </t>
  </si>
  <si>
    <t xml:space="preserve"> 3028.1852 </t>
  </si>
  <si>
    <t xml:space="preserve"> 33.6429 </t>
  </si>
  <si>
    <t xml:space="preserve"> 1254.5339 </t>
  </si>
  <si>
    <t xml:space="preserve"> 32.6379 </t>
  </si>
  <si>
    <t xml:space="preserve"> 475.8577 </t>
  </si>
  <si>
    <t xml:space="preserve"> 31.0909 </t>
  </si>
  <si>
    <t xml:space="preserve"> 1773.6514 </t>
  </si>
  <si>
    <t xml:space="preserve"> 33.7927 </t>
  </si>
  <si>
    <t xml:space="preserve"> 4693.6871 </t>
  </si>
  <si>
    <t xml:space="preserve"> 38.447 </t>
  </si>
  <si>
    <t xml:space="preserve"> 34.6784 </t>
  </si>
  <si>
    <t xml:space="preserve"> 36.0909 </t>
  </si>
  <si>
    <t xml:space="preserve"> 8868.2568 </t>
  </si>
  <si>
    <t xml:space="preserve"> 39.5439 </t>
  </si>
  <si>
    <t xml:space="preserve"> 1557.3524 </t>
  </si>
  <si>
    <t xml:space="preserve"> 34.375 </t>
  </si>
  <si>
    <t xml:space="preserve"> 31.3528 </t>
  </si>
  <si>
    <t xml:space="preserve"> 15.455 </t>
  </si>
  <si>
    <t xml:space="preserve"> 215029.917 </t>
  </si>
  <si>
    <t xml:space="preserve"> 275119.306 </t>
  </si>
  <si>
    <t xml:space="preserve"> 4325.9789 </t>
  </si>
  <si>
    <t xml:space="preserve"> 34.245 </t>
  </si>
  <si>
    <t xml:space="preserve"> 4628.7975 </t>
  </si>
  <si>
    <t xml:space="preserve"> 37.2103 </t>
  </si>
  <si>
    <t xml:space="preserve"> 5840.0715 </t>
  </si>
  <si>
    <t xml:space="preserve"> 38.7963 </t>
  </si>
  <si>
    <t xml:space="preserve"> 2465.808 </t>
  </si>
  <si>
    <t xml:space="preserve"> 34.6842 </t>
  </si>
  <si>
    <t xml:space="preserve"> 21.6299 </t>
  </si>
  <si>
    <t xml:space="preserve"> 454.2278 </t>
  </si>
  <si>
    <t xml:space="preserve"> 32.3333 </t>
  </si>
  <si>
    <t xml:space="preserve"> 5796.8118 </t>
  </si>
  <si>
    <t xml:space="preserve"> 38.9515 </t>
  </si>
  <si>
    <t xml:space="preserve"> 994.9752 </t>
  </si>
  <si>
    <t xml:space="preserve"> 39.5652 </t>
  </si>
  <si>
    <t xml:space="preserve"> 3763.6017 </t>
  </si>
  <si>
    <t xml:space="preserve"> 34.9713 </t>
  </si>
  <si>
    <t xml:space="preserve"> 34.7959 </t>
  </si>
  <si>
    <t xml:space="preserve"> 3612.1924 </t>
  </si>
  <si>
    <t xml:space="preserve"> 33.0958 </t>
  </si>
  <si>
    <t xml:space="preserve"> 7894.9115 </t>
  </si>
  <si>
    <t xml:space="preserve"> 36.2055 </t>
  </si>
  <si>
    <t xml:space="preserve"> 11355.6947 </t>
  </si>
  <si>
    <t xml:space="preserve"> 34.6438 </t>
  </si>
  <si>
    <t xml:space="preserve"> 35473.0272 </t>
  </si>
  <si>
    <t xml:space="preserve"> 35.8091 </t>
  </si>
  <si>
    <t xml:space="preserve"> 14665.0686 </t>
  </si>
  <si>
    <t xml:space="preserve"> 31.8879 </t>
  </si>
  <si>
    <t xml:space="preserve"> 13799.8728 </t>
  </si>
  <si>
    <t xml:space="preserve"> 43.3135 </t>
  </si>
  <si>
    <t xml:space="preserve"> 13713.3532 </t>
  </si>
  <si>
    <t xml:space="preserve"> 44.1877 </t>
  </si>
  <si>
    <t xml:space="preserve"> 11961.3317 </t>
  </si>
  <si>
    <t xml:space="preserve"> 45.4955 </t>
  </si>
  <si>
    <t xml:space="preserve"> 39.5858 </t>
  </si>
  <si>
    <t xml:space="preserve"> 6640.3777 </t>
  </si>
  <si>
    <t xml:space="preserve"> 38.8925 </t>
  </si>
  <si>
    <t xml:space="preserve"> 6662.0075 </t>
  </si>
  <si>
    <t xml:space="preserve"> 40.039 </t>
  </si>
  <si>
    <t xml:space="preserve"> 43.2704 </t>
  </si>
  <si>
    <t xml:space="preserve"> 10663.5381 </t>
  </si>
  <si>
    <t xml:space="preserve"> 41.4016 </t>
  </si>
  <si>
    <t xml:space="preserve"> 6791.7869 </t>
  </si>
  <si>
    <t xml:space="preserve"> 47.3248 </t>
  </si>
  <si>
    <t xml:space="preserve"> 38.1961 </t>
  </si>
  <si>
    <t xml:space="preserve"> 4.2809 </t>
  </si>
  <si>
    <t xml:space="preserve"> 319024.75 </t>
  </si>
  <si>
    <t xml:space="preserve"> 268850.788 </t>
  </si>
  <si>
    <t xml:space="preserve"> 2119.7297 </t>
  </si>
  <si>
    <t xml:space="preserve"> 33.949 </t>
  </si>
  <si>
    <t xml:space="preserve"> 627.2669 </t>
  </si>
  <si>
    <t xml:space="preserve"> 12480.4492 </t>
  </si>
  <si>
    <t xml:space="preserve"> 39.2513 </t>
  </si>
  <si>
    <t xml:space="preserve"> 16049.3818 </t>
  </si>
  <si>
    <t xml:space="preserve"> 42.8194 </t>
  </si>
  <si>
    <t xml:space="preserve"> 16006.122 </t>
  </si>
  <si>
    <t xml:space="preserve"> 47.0676 </t>
  </si>
  <si>
    <t xml:space="preserve"> 3049.8151 </t>
  </si>
  <si>
    <t xml:space="preserve"> 37.9929 </t>
  </si>
  <si>
    <t xml:space="preserve"> 4088.0501 </t>
  </si>
  <si>
    <t xml:space="preserve"> 35.455 </t>
  </si>
  <si>
    <t xml:space="preserve"> 5061.3953 </t>
  </si>
  <si>
    <t xml:space="preserve"> 37.3504 </t>
  </si>
  <si>
    <t xml:space="preserve"> 4109.68 </t>
  </si>
  <si>
    <t xml:space="preserve"> 37.1789 </t>
  </si>
  <si>
    <t xml:space="preserve"> 7397.424 </t>
  </si>
  <si>
    <t xml:space="preserve"> 42.2661 </t>
  </si>
  <si>
    <t xml:space="preserve"> 9798.3423 </t>
  </si>
  <si>
    <t xml:space="preserve"> 41.5806 </t>
  </si>
  <si>
    <t xml:space="preserve"> 11788.2926 </t>
  </si>
  <si>
    <t xml:space="preserve"> 41.2679 </t>
  </si>
  <si>
    <t xml:space="preserve"> 33.6531 </t>
  </si>
  <si>
    <t xml:space="preserve"> 3201.2244 </t>
  </si>
  <si>
    <t xml:space="preserve"> 34.9865 </t>
  </si>
  <si>
    <t xml:space="preserve"> 4520.648 </t>
  </si>
  <si>
    <t xml:space="preserve"> 33.11 </t>
  </si>
  <si>
    <t xml:space="preserve"> 9560.4134 </t>
  </si>
  <si>
    <t xml:space="preserve"> 41.4095 </t>
  </si>
  <si>
    <t xml:space="preserve"> 7072.9755 </t>
  </si>
  <si>
    <t xml:space="preserve"> 41.9419 </t>
  </si>
  <si>
    <t xml:space="preserve"> 39.5732 </t>
  </si>
  <si>
    <t xml:space="preserve"> 3482.413 </t>
  </si>
  <si>
    <t xml:space="preserve"> 34.8882 </t>
  </si>
  <si>
    <t xml:space="preserve"> 4715.317 </t>
  </si>
  <si>
    <t xml:space="preserve"> 36.4128 </t>
  </si>
  <si>
    <t xml:space="preserve"> 43.2598 </t>
  </si>
  <si>
    <t xml:space="preserve"> 34.6371 </t>
  </si>
  <si>
    <t xml:space="preserve"> 11.3424 </t>
  </si>
  <si>
    <t xml:space="preserve"> 243944.75 </t>
  </si>
  <si>
    <t xml:space="preserve"> 209807.607 </t>
  </si>
  <si>
    <t xml:space="preserve"> 31.2273 </t>
  </si>
  <si>
    <t xml:space="preserve"> 12047.8513 </t>
  </si>
  <si>
    <t xml:space="preserve"> 33.5081 </t>
  </si>
  <si>
    <t xml:space="preserve"> 1881.8008 </t>
  </si>
  <si>
    <t xml:space="preserve"> 31.4368 </t>
  </si>
  <si>
    <t xml:space="preserve"> 26821.0693 </t>
  </si>
  <si>
    <t xml:space="preserve"> 34.2944 </t>
  </si>
  <si>
    <t xml:space="preserve"> 26431.7312 </t>
  </si>
  <si>
    <t xml:space="preserve"> 34.3175 </t>
  </si>
  <si>
    <t xml:space="preserve"> 28053.9733 </t>
  </si>
  <si>
    <t xml:space="preserve"> 34.2891 </t>
  </si>
  <si>
    <t xml:space="preserve"> 16676.6488 </t>
  </si>
  <si>
    <t xml:space="preserve"> 34.546 </t>
  </si>
  <si>
    <t xml:space="preserve"> 12502.0791 </t>
  </si>
  <si>
    <t xml:space="preserve"> 33.1765 </t>
  </si>
  <si>
    <t xml:space="preserve"> 12069.4812 </t>
  </si>
  <si>
    <t xml:space="preserve"> 33.1846 </t>
  </si>
  <si>
    <t xml:space="preserve"> 25458.386 </t>
  </si>
  <si>
    <t xml:space="preserve"> 33.3976 </t>
  </si>
  <si>
    <t xml:space="preserve"> 38717.5114 </t>
  </si>
  <si>
    <t xml:space="preserve"> 35.8626 </t>
  </si>
  <si>
    <t xml:space="preserve"> 23035.8378 </t>
  </si>
  <si>
    <t xml:space="preserve"> 34.7333 </t>
  </si>
  <si>
    <t xml:space="preserve"> 8370.7692 </t>
  </si>
  <si>
    <t xml:space="preserve"> 34.2972 </t>
  </si>
  <si>
    <t xml:space="preserve"> 16979.4673 </t>
  </si>
  <si>
    <t xml:space="preserve"> 34.4369 </t>
  </si>
  <si>
    <t xml:space="preserve"> 11463.8442 </t>
  </si>
  <si>
    <t xml:space="preserve"> 32.5528 </t>
  </si>
  <si>
    <t xml:space="preserve"> 32271.8028 </t>
  </si>
  <si>
    <t xml:space="preserve"> 35.0476 </t>
  </si>
  <si>
    <t xml:space="preserve"> 38176.764 </t>
  </si>
  <si>
    <t xml:space="preserve"> 35.647 </t>
  </si>
  <si>
    <t xml:space="preserve"> 17952.8125 </t>
  </si>
  <si>
    <t xml:space="preserve"> 33.0988 </t>
  </si>
  <si>
    <t xml:space="preserve"> 55978.1673 </t>
  </si>
  <si>
    <t xml:space="preserve"> 36.3605 </t>
  </si>
  <si>
    <t xml:space="preserve"> 56843.3631 </t>
  </si>
  <si>
    <t xml:space="preserve"> 38.7249 </t>
  </si>
  <si>
    <t xml:space="preserve"> 55350.9004 </t>
  </si>
  <si>
    <t xml:space="preserve"> 37.8343 </t>
  </si>
  <si>
    <t xml:space="preserve"> 13410.5347 </t>
  </si>
  <si>
    <t xml:space="preserve"> 34.0468 </t>
  </si>
  <si>
    <t xml:space="preserve"> 16957.8374 </t>
  </si>
  <si>
    <t xml:space="preserve"> 34.8431 </t>
  </si>
  <si>
    <t xml:space="preserve"> 6207.7798 </t>
  </si>
  <si>
    <t xml:space="preserve"> 33.1742 </t>
  </si>
  <si>
    <t xml:space="preserve"> 34.3349 </t>
  </si>
  <si>
    <t xml:space="preserve"> 1.733 </t>
  </si>
  <si>
    <t xml:space="preserve"> 817173.792 </t>
  </si>
  <si>
    <t xml:space="preserve"> 615437.833 </t>
  </si>
  <si>
    <t xml:space="preserve"> 23814.514 </t>
  </si>
  <si>
    <t xml:space="preserve"> 34.0963 </t>
  </si>
  <si>
    <t xml:space="preserve"> 11031.2463 </t>
  </si>
  <si>
    <t xml:space="preserve"> 35.7765 </t>
  </si>
  <si>
    <t xml:space="preserve"> 15076.0366 </t>
  </si>
  <si>
    <t xml:space="preserve"> 33.6643 </t>
  </si>
  <si>
    <t xml:space="preserve"> 59438.9504 </t>
  </si>
  <si>
    <t xml:space="preserve"> 38.0073 </t>
  </si>
  <si>
    <t xml:space="preserve"> 52560.6439 </t>
  </si>
  <si>
    <t xml:space="preserve"> 41.8815 </t>
  </si>
  <si>
    <t xml:space="preserve"> 59547.0999 </t>
  </si>
  <si>
    <t xml:space="preserve"> 41.3985 </t>
  </si>
  <si>
    <t xml:space="preserve"> 59330.801 </t>
  </si>
  <si>
    <t xml:space="preserve"> 40.3066 </t>
  </si>
  <si>
    <t xml:space="preserve"> 60022.9576 </t>
  </si>
  <si>
    <t xml:space="preserve"> 40.2948 </t>
  </si>
  <si>
    <t xml:space="preserve"> 53425.8397 </t>
  </si>
  <si>
    <t xml:space="preserve"> 39.7733 </t>
  </si>
  <si>
    <t xml:space="preserve"> 88747.4577 </t>
  </si>
  <si>
    <t xml:space="preserve"> 41.8484 </t>
  </si>
  <si>
    <t xml:space="preserve"> 87168.4754 </t>
  </si>
  <si>
    <t xml:space="preserve"> 47.0104 </t>
  </si>
  <si>
    <t xml:space="preserve"> 98156.4618 </t>
  </si>
  <si>
    <t xml:space="preserve"> 46.4667 </t>
  </si>
  <si>
    <t xml:space="preserve"> 67506.9011 </t>
  </si>
  <si>
    <t xml:space="preserve"> 37.7126 </t>
  </si>
  <si>
    <t xml:space="preserve"> 53339.3202 </t>
  </si>
  <si>
    <t xml:space="preserve"> 35.09 </t>
  </si>
  <si>
    <t xml:space="preserve"> 60433.9256 </t>
  </si>
  <si>
    <t xml:space="preserve"> 35.9012 </t>
  </si>
  <si>
    <t xml:space="preserve"> 49208.0103 </t>
  </si>
  <si>
    <t xml:space="preserve"> 38.1473 </t>
  </si>
  <si>
    <t xml:space="preserve"> 36511.2621 </t>
  </si>
  <si>
    <t xml:space="preserve"> 36.4295 </t>
  </si>
  <si>
    <t xml:space="preserve"> 36619.4116 </t>
  </si>
  <si>
    <t xml:space="preserve"> 36.251 </t>
  </si>
  <si>
    <t xml:space="preserve"> 43173.2697 </t>
  </si>
  <si>
    <t xml:space="preserve"> 35.8938 </t>
  </si>
  <si>
    <t xml:space="preserve"> 42589.2625 </t>
  </si>
  <si>
    <t xml:space="preserve"> 35.7491 </t>
  </si>
  <si>
    <t xml:space="preserve"> 54031.4768 </t>
  </si>
  <si>
    <t xml:space="preserve"> 38.2782 </t>
  </si>
  <si>
    <t xml:space="preserve"> 81955.6707 </t>
  </si>
  <si>
    <t xml:space="preserve"> 40.9963 </t>
  </si>
  <si>
    <t xml:space="preserve"> 84810.8168 </t>
  </si>
  <si>
    <t xml:space="preserve"> 43.0138 </t>
  </si>
  <si>
    <t xml:space="preserve"> 73822.8304 </t>
  </si>
  <si>
    <t xml:space="preserve"> 38.482 </t>
  </si>
  <si>
    <t xml:space="preserve"> 38.8529 </t>
  </si>
  <si>
    <t xml:space="preserve"> 3.563 </t>
  </si>
  <si>
    <t xml:space="preserve"> 2252440.79 </t>
  </si>
  <si>
    <t xml:space="preserve"> 1067687.28 </t>
  </si>
  <si>
    <t xml:space="preserve"> 59958.0679 </t>
  </si>
  <si>
    <t xml:space="preserve"> 46.2763 </t>
  </si>
  <si>
    <t xml:space="preserve"> 58833.3134 </t>
  </si>
  <si>
    <t xml:space="preserve"> 50.2114 </t>
  </si>
  <si>
    <t xml:space="preserve"> 64932.9437 </t>
  </si>
  <si>
    <t xml:space="preserve"> 74774.5457 </t>
  </si>
  <si>
    <t xml:space="preserve"> 45.7226 </t>
  </si>
  <si>
    <t xml:space="preserve"> 82755.9769 </t>
  </si>
  <si>
    <t xml:space="preserve"> 47.1576 </t>
  </si>
  <si>
    <t xml:space="preserve"> 79489.8628 </t>
  </si>
  <si>
    <t xml:space="preserve"> 47.2789 </t>
  </si>
  <si>
    <t xml:space="preserve"> 65538.5807 </t>
  </si>
  <si>
    <t xml:space="preserve"> 45.7782 </t>
  </si>
  <si>
    <t xml:space="preserve"> 65452.0611 </t>
  </si>
  <si>
    <t xml:space="preserve"> 45.7442 </t>
  </si>
  <si>
    <t xml:space="preserve"> 65019.4633 </t>
  </si>
  <si>
    <t xml:space="preserve"> 46.3746 </t>
  </si>
  <si>
    <t xml:space="preserve"> 41572.6575 </t>
  </si>
  <si>
    <t xml:space="preserve"> 34.3059 </t>
  </si>
  <si>
    <t xml:space="preserve"> 38090.2444 </t>
  </si>
  <si>
    <t xml:space="preserve"> 34.2379 </t>
  </si>
  <si>
    <t xml:space="preserve"> 34348.2727 </t>
  </si>
  <si>
    <t xml:space="preserve"> 33.1058 </t>
  </si>
  <si>
    <t xml:space="preserve"> 91580.9739 </t>
  </si>
  <si>
    <t xml:space="preserve"> 56.8878 </t>
  </si>
  <si>
    <t xml:space="preserve"> 85611.1229 </t>
  </si>
  <si>
    <t xml:space="preserve"> 55.9219 </t>
  </si>
  <si>
    <t xml:space="preserve"> 87557.8135 </t>
  </si>
  <si>
    <t xml:space="preserve"> 59.1566 </t>
  </si>
  <si>
    <t xml:space="preserve"> 82323.379 </t>
  </si>
  <si>
    <t xml:space="preserve"> 61.4616 </t>
  </si>
  <si>
    <t xml:space="preserve"> 82842.4964 </t>
  </si>
  <si>
    <t xml:space="preserve"> 57.0099 </t>
  </si>
  <si>
    <t xml:space="preserve"> 56.5611 </t>
  </si>
  <si>
    <t xml:space="preserve"> 50570.6936 </t>
  </si>
  <si>
    <t xml:space="preserve"> 38.3875 </t>
  </si>
  <si>
    <t xml:space="preserve"> 56929.8827 </t>
  </si>
  <si>
    <t xml:space="preserve"> 40.1687 </t>
  </si>
  <si>
    <t xml:space="preserve"> 54226.1458 </t>
  </si>
  <si>
    <t xml:space="preserve"> 39.3674 </t>
  </si>
  <si>
    <t xml:space="preserve"> 76461.6775 </t>
  </si>
  <si>
    <t xml:space="preserve"> 48.0379 </t>
  </si>
  <si>
    <t xml:space="preserve"> 78343.4783 </t>
  </si>
  <si>
    <t xml:space="preserve"> 49.0519 </t>
  </si>
  <si>
    <t xml:space="preserve"> 79165.4143 </t>
  </si>
  <si>
    <t xml:space="preserve"> 50.5044 </t>
  </si>
  <si>
    <t xml:space="preserve"> 47.3348 </t>
  </si>
  <si>
    <t xml:space="preserve"> 7.9484 </t>
  </si>
  <si>
    <t xml:space="preserve"> 3342932.71 </t>
  </si>
  <si>
    <t xml:space="preserve"> 1231422.4 </t>
  </si>
  <si>
    <t xml:space="preserve"> 69972.7091 </t>
  </si>
  <si>
    <t xml:space="preserve"> 53.8482 </t>
  </si>
  <si>
    <t xml:space="preserve"> 93614.184 </t>
  </si>
  <si>
    <t xml:space="preserve"> 52.6296 </t>
  </si>
  <si>
    <t xml:space="preserve"> 83361.6139 </t>
  </si>
  <si>
    <t xml:space="preserve"> 55.9442 </t>
  </si>
  <si>
    <t xml:space="preserve"> 75639.7415 </t>
  </si>
  <si>
    <t xml:space="preserve"> 55.9371 </t>
  </si>
  <si>
    <t xml:space="preserve"> 61948.0182 </t>
  </si>
  <si>
    <t xml:space="preserve"> 60.6264 </t>
  </si>
  <si>
    <t xml:space="preserve"> 46763.8322 </t>
  </si>
  <si>
    <t xml:space="preserve"> 51.5291 </t>
  </si>
  <si>
    <t xml:space="preserve"> 43584.2377 </t>
  </si>
  <si>
    <t xml:space="preserve"> 52.0328 </t>
  </si>
  <si>
    <t xml:space="preserve"> 44817.1417 </t>
  </si>
  <si>
    <t xml:space="preserve"> 52.7017 </t>
  </si>
  <si>
    <t xml:space="preserve"> 80073.8699 </t>
  </si>
  <si>
    <t xml:space="preserve"> 57.4938 </t>
  </si>
  <si>
    <t xml:space="preserve"> 57.2506 </t>
  </si>
  <si>
    <t xml:space="preserve"> 82366.6387 </t>
  </si>
  <si>
    <t xml:space="preserve"> 57.8887 </t>
  </si>
  <si>
    <t xml:space="preserve"> 69951.0792 </t>
  </si>
  <si>
    <t xml:space="preserve"> 53.4879 </t>
  </si>
  <si>
    <t xml:space="preserve"> 55480.6797 </t>
  </si>
  <si>
    <t xml:space="preserve"> 55.4476 </t>
  </si>
  <si>
    <t xml:space="preserve"> 55891.6477 </t>
  </si>
  <si>
    <t xml:space="preserve"> 56.3514 </t>
  </si>
  <si>
    <t xml:space="preserve"> 84421.4787 </t>
  </si>
  <si>
    <t xml:space="preserve"> 51.7963 </t>
  </si>
  <si>
    <t xml:space="preserve"> 87644.333 </t>
  </si>
  <si>
    <t xml:space="preserve"> 55.6273 </t>
  </si>
  <si>
    <t xml:space="preserve"> 54.5726 </t>
  </si>
  <si>
    <t xml:space="preserve"> 66490.2961 </t>
  </si>
  <si>
    <t xml:space="preserve"> 50.1675 </t>
  </si>
  <si>
    <t xml:space="preserve"> 62942.9934 </t>
  </si>
  <si>
    <t xml:space="preserve"> 49.6732 </t>
  </si>
  <si>
    <t xml:space="preserve"> 62705.0645 </t>
  </si>
  <si>
    <t xml:space="preserve"> 48.8917 </t>
  </si>
  <si>
    <t xml:space="preserve"> 55.3415 </t>
  </si>
  <si>
    <t xml:space="preserve"> 4.0827 </t>
  </si>
  <si>
    <t xml:space="preserve"> 3807723.96 </t>
  </si>
  <si>
    <t xml:space="preserve"> 866063.873 </t>
  </si>
  <si>
    <t xml:space="preserve"> 31.675 </t>
  </si>
  <si>
    <t xml:space="preserve"> 2314.3987 </t>
  </si>
  <si>
    <t xml:space="preserve"> 33.4299 </t>
  </si>
  <si>
    <t xml:space="preserve"> 38.0296 </t>
  </si>
  <si>
    <t xml:space="preserve"> 10944.7267 </t>
  </si>
  <si>
    <t xml:space="preserve"> 36.1443 </t>
  </si>
  <si>
    <t xml:space="preserve"> 15292.3355 </t>
  </si>
  <si>
    <t xml:space="preserve"> 36.2348 </t>
  </si>
  <si>
    <t xml:space="preserve"> 31.8621 </t>
  </si>
  <si>
    <t xml:space="preserve"> 367.7082 </t>
  </si>
  <si>
    <t xml:space="preserve"> 31.5882 </t>
  </si>
  <si>
    <t xml:space="preserve"> 31.4286 </t>
  </si>
  <si>
    <t xml:space="preserve"> 259.5587 </t>
  </si>
  <si>
    <t xml:space="preserve"> 30.5 </t>
  </si>
  <si>
    <t xml:space="preserve"> 5623.7726 </t>
  </si>
  <si>
    <t xml:space="preserve"> 35.8269 </t>
  </si>
  <si>
    <t xml:space="preserve"> 34.7249 </t>
  </si>
  <si>
    <t xml:space="preserve"> 32.2027 </t>
  </si>
  <si>
    <t xml:space="preserve"> 13064.4564 </t>
  </si>
  <si>
    <t xml:space="preserve"> 32.5497 </t>
  </si>
  <si>
    <t xml:space="preserve"> 9084.5557 </t>
  </si>
  <si>
    <t xml:space="preserve"> 33.169 </t>
  </si>
  <si>
    <t xml:space="preserve"> 519.1175 </t>
  </si>
  <si>
    <t xml:space="preserve"> 32.875 </t>
  </si>
  <si>
    <t xml:space="preserve"> 4196.1996 </t>
  </si>
  <si>
    <t xml:space="preserve"> 38.6804 </t>
  </si>
  <si>
    <t xml:space="preserve"> 6034.7406 </t>
  </si>
  <si>
    <t xml:space="preserve"> 36.1505 </t>
  </si>
  <si>
    <t xml:space="preserve"> 6532.2282 </t>
  </si>
  <si>
    <t xml:space="preserve"> 37.0033 </t>
  </si>
  <si>
    <t xml:space="preserve"> 6013.1107 </t>
  </si>
  <si>
    <t xml:space="preserve"> 36.3597 </t>
  </si>
  <si>
    <t xml:space="preserve"> 3936.6408 </t>
  </si>
  <si>
    <t xml:space="preserve"> 38.8956 </t>
  </si>
  <si>
    <t xml:space="preserve"> 9127.8155 </t>
  </si>
  <si>
    <t xml:space="preserve"> 39.6919 </t>
  </si>
  <si>
    <t xml:space="preserve"> 4347.6088 </t>
  </si>
  <si>
    <t xml:space="preserve"> 40.199 </t>
  </si>
  <si>
    <t xml:space="preserve"> 33.3842 </t>
  </si>
  <si>
    <t xml:space="preserve"> 7.6862 </t>
  </si>
  <si>
    <t xml:space="preserve"> 176219.708 </t>
  </si>
  <si>
    <t xml:space="preserve"> 153985.528 </t>
  </si>
  <si>
    <t xml:space="preserve"> 12956.3069 </t>
  </si>
  <si>
    <t xml:space="preserve"> 34.4391 </t>
  </si>
  <si>
    <t xml:space="preserve"> 1795.2813 </t>
  </si>
  <si>
    <t xml:space="preserve"> 31.9639 </t>
  </si>
  <si>
    <t xml:space="preserve"> 324.4484 </t>
  </si>
  <si>
    <t xml:space="preserve"> 30.6667 </t>
  </si>
  <si>
    <t xml:space="preserve"> 32.8995 </t>
  </si>
  <si>
    <t xml:space="preserve"> 42935.3408 </t>
  </si>
  <si>
    <t xml:space="preserve"> 37.262 </t>
  </si>
  <si>
    <t xml:space="preserve"> 50008.3164 </t>
  </si>
  <si>
    <t xml:space="preserve"> 37.6367 </t>
  </si>
  <si>
    <t xml:space="preserve"> 42416.2234 </t>
  </si>
  <si>
    <t xml:space="preserve"> 37.3845 </t>
  </si>
  <si>
    <t xml:space="preserve"> 41118.4297 </t>
  </si>
  <si>
    <t xml:space="preserve"> 37.5402 </t>
  </si>
  <si>
    <t xml:space="preserve"> 38760.7712 </t>
  </si>
  <si>
    <t xml:space="preserve"> 36.4079 </t>
  </si>
  <si>
    <t xml:space="preserve"> 26734.5498 </t>
  </si>
  <si>
    <t xml:space="preserve"> 34.1909 </t>
  </si>
  <si>
    <t xml:space="preserve"> 15140.9262 </t>
  </si>
  <si>
    <t xml:space="preserve"> 36.3757 </t>
  </si>
  <si>
    <t xml:space="preserve"> 12740.0079 </t>
  </si>
  <si>
    <t xml:space="preserve"> 31.708 </t>
  </si>
  <si>
    <t xml:space="preserve"> 32509.7316 </t>
  </si>
  <si>
    <t xml:space="preserve"> 34.1929 </t>
  </si>
  <si>
    <t xml:space="preserve"> 24203.8521 </t>
  </si>
  <si>
    <t xml:space="preserve"> 34.151 </t>
  </si>
  <si>
    <t xml:space="preserve"> 30736.0803 </t>
  </si>
  <si>
    <t xml:space="preserve"> 35.1879 </t>
  </si>
  <si>
    <t xml:space="preserve"> 39561.0773 </t>
  </si>
  <si>
    <t xml:space="preserve"> 34.9131 </t>
  </si>
  <si>
    <t xml:space="preserve"> 45747.2271 </t>
  </si>
  <si>
    <t xml:space="preserve"> 41.1953 </t>
  </si>
  <si>
    <t xml:space="preserve"> 52041.5265 </t>
  </si>
  <si>
    <t xml:space="preserve"> 36.9913 </t>
  </si>
  <si>
    <t xml:space="preserve"> 36.266 </t>
  </si>
  <si>
    <t xml:space="preserve"> 3.4029 </t>
  </si>
  <si>
    <t xml:space="preserve"> 1062861.42 </t>
  </si>
  <si>
    <t xml:space="preserve"> 641087.59 </t>
  </si>
  <si>
    <t xml:space="preserve"> 58379.0856 </t>
  </si>
  <si>
    <t xml:space="preserve"> 42.7988 </t>
  </si>
  <si>
    <t xml:space="preserve"> 44882.0314 </t>
  </si>
  <si>
    <t xml:space="preserve"> 43.4125 </t>
  </si>
  <si>
    <t xml:space="preserve"> 41399.6183 </t>
  </si>
  <si>
    <t xml:space="preserve"> 44.0063 </t>
  </si>
  <si>
    <t xml:space="preserve"> 33677.7459 </t>
  </si>
  <si>
    <t xml:space="preserve"> 33.2158 </t>
  </si>
  <si>
    <t xml:space="preserve"> 38566.1021 </t>
  </si>
  <si>
    <t xml:space="preserve"> 34.0404 </t>
  </si>
  <si>
    <t xml:space="preserve"> 48818.6722 </t>
  </si>
  <si>
    <t xml:space="preserve"> 35.6212 </t>
  </si>
  <si>
    <t xml:space="preserve"> 55696.9787 </t>
  </si>
  <si>
    <t xml:space="preserve"> 36.2718 </t>
  </si>
  <si>
    <t xml:space="preserve"> 67355.4919 </t>
  </si>
  <si>
    <t xml:space="preserve"> 38.5758 </t>
  </si>
  <si>
    <t xml:space="preserve"> 58638.6443 </t>
  </si>
  <si>
    <t xml:space="preserve"> 37.5692 </t>
  </si>
  <si>
    <t xml:space="preserve"> 40361.3834 </t>
  </si>
  <si>
    <t xml:space="preserve"> 40.2036 </t>
  </si>
  <si>
    <t xml:space="preserve"> 37592.7569 </t>
  </si>
  <si>
    <t xml:space="preserve"> 39.1381 </t>
  </si>
  <si>
    <t xml:space="preserve"> 49554.0886 </t>
  </si>
  <si>
    <t xml:space="preserve"> 38.7495 </t>
  </si>
  <si>
    <t xml:space="preserve"> 43865.4263 </t>
  </si>
  <si>
    <t xml:space="preserve"> 37.5947 </t>
  </si>
  <si>
    <t xml:space="preserve"> 38.0609 </t>
  </si>
  <si>
    <t xml:space="preserve"> 3.7541 </t>
  </si>
  <si>
    <t xml:space="preserve"> 1717225.29 </t>
  </si>
  <si>
    <t xml:space="preserve"> 618745.887 </t>
  </si>
  <si>
    <t xml:space="preserve"> 65062.723 </t>
  </si>
  <si>
    <t xml:space="preserve"> 45.4508 </t>
  </si>
  <si>
    <t xml:space="preserve"> 74277.0582 </t>
  </si>
  <si>
    <t xml:space="preserve"> 48.41 </t>
  </si>
  <si>
    <t xml:space="preserve"> 72330.3676 </t>
  </si>
  <si>
    <t xml:space="preserve"> 42.6462 </t>
  </si>
  <si>
    <t xml:space="preserve"> 30822.5998 </t>
  </si>
  <si>
    <t xml:space="preserve"> 35.5853 </t>
  </si>
  <si>
    <t xml:space="preserve"> 36705.9312 </t>
  </si>
  <si>
    <t xml:space="preserve"> 35.3253 </t>
  </si>
  <si>
    <t xml:space="preserve"> 37636.0167 </t>
  </si>
  <si>
    <t xml:space="preserve"> 36.4523 </t>
  </si>
  <si>
    <t xml:space="preserve"> 7851.6518 </t>
  </si>
  <si>
    <t xml:space="preserve"> 34.8457 </t>
  </si>
  <si>
    <t xml:space="preserve"> 8565.4383 </t>
  </si>
  <si>
    <t xml:space="preserve"> 33.3864 </t>
  </si>
  <si>
    <t xml:space="preserve"> 33.7415 </t>
  </si>
  <si>
    <t xml:space="preserve"> 5018.1356 </t>
  </si>
  <si>
    <t xml:space="preserve"> 34.0517 </t>
  </si>
  <si>
    <t xml:space="preserve"> 33.5981 </t>
  </si>
  <si>
    <t xml:space="preserve"> 75704.6312 </t>
  </si>
  <si>
    <t xml:space="preserve"> 45.7611 </t>
  </si>
  <si>
    <t xml:space="preserve"> 68523.5062 </t>
  </si>
  <si>
    <t xml:space="preserve"> 44.6408 </t>
  </si>
  <si>
    <t xml:space="preserve"> 66447.0363 </t>
  </si>
  <si>
    <t xml:space="preserve"> 46.4538 </t>
  </si>
  <si>
    <t xml:space="preserve"> 45336.2591 </t>
  </si>
  <si>
    <t xml:space="preserve"> 39.4499 </t>
  </si>
  <si>
    <t xml:space="preserve"> 47131.5404 </t>
  </si>
  <si>
    <t xml:space="preserve"> 39.4654 </t>
  </si>
  <si>
    <t xml:space="preserve"> 45552.5581 </t>
  </si>
  <si>
    <t xml:space="preserve"> 40.359 </t>
  </si>
  <si>
    <t xml:space="preserve"> 70491.8266 </t>
  </si>
  <si>
    <t xml:space="preserve"> 43.4511 </t>
  </si>
  <si>
    <t xml:space="preserve"> 72979.2645 </t>
  </si>
  <si>
    <t xml:space="preserve"> 45.0453 </t>
  </si>
  <si>
    <t xml:space="preserve"> 70189.0081 </t>
  </si>
  <si>
    <t xml:space="preserve"> 42.127 </t>
  </si>
  <si>
    <t xml:space="preserve"> 44860.4015 </t>
  </si>
  <si>
    <t xml:space="preserve"> 38.4392 </t>
  </si>
  <si>
    <t xml:space="preserve"> 37765.796 </t>
  </si>
  <si>
    <t xml:space="preserve"> 36.2468 </t>
  </si>
  <si>
    <t xml:space="preserve"> 44795.5118 </t>
  </si>
  <si>
    <t xml:space="preserve"> 39.1352 </t>
  </si>
  <si>
    <t xml:space="preserve"> 39.4428 </t>
  </si>
  <si>
    <t xml:space="preserve"> 4.8962 </t>
  </si>
  <si>
    <t xml:space="preserve"> 1830792.08 </t>
  </si>
  <si>
    <t xml:space="preserve"> 1208592.89 </t>
  </si>
  <si>
    <t xml:space="preserve"> 90131.7709 </t>
  </si>
  <si>
    <t xml:space="preserve"> 42.09 </t>
  </si>
  <si>
    <t xml:space="preserve"> 81263.5141 </t>
  </si>
  <si>
    <t xml:space="preserve"> 43.4072 </t>
  </si>
  <si>
    <t xml:space="preserve"> 78256.9588 </t>
  </si>
  <si>
    <t xml:space="preserve"> 41.5708 </t>
  </si>
  <si>
    <t xml:space="preserve"> 74731.2859 </t>
  </si>
  <si>
    <t xml:space="preserve"> 41.1835 </t>
  </si>
  <si>
    <t xml:space="preserve"> 52712.0532 </t>
  </si>
  <si>
    <t xml:space="preserve"> 43.3024 </t>
  </si>
  <si>
    <t xml:space="preserve"> 46915.2415 </t>
  </si>
  <si>
    <t xml:space="preserve"> 47.8405 </t>
  </si>
  <si>
    <t xml:space="preserve"> 57643.6692 </t>
  </si>
  <si>
    <t xml:space="preserve"> 45.46 </t>
  </si>
  <si>
    <t xml:space="preserve"> 75877.6704 </t>
  </si>
  <si>
    <t xml:space="preserve"> 42.6174 </t>
  </si>
  <si>
    <t xml:space="preserve"> 79338.4535 </t>
  </si>
  <si>
    <t xml:space="preserve"> 44.208 </t>
  </si>
  <si>
    <t xml:space="preserve"> 79273.5638 </t>
  </si>
  <si>
    <t xml:space="preserve"> 44.292 </t>
  </si>
  <si>
    <t xml:space="preserve"> 41.3679 </t>
  </si>
  <si>
    <t xml:space="preserve"> 4.6469 </t>
  </si>
  <si>
    <t xml:space="preserve"> 2559131.08 </t>
  </si>
  <si>
    <t xml:space="preserve"> 1167507.97 </t>
  </si>
  <si>
    <t xml:space="preserve"> 93332.9953 </t>
  </si>
  <si>
    <t xml:space="preserve"> 52.7101 </t>
  </si>
  <si>
    <t xml:space="preserve"> 83707.6922 </t>
  </si>
  <si>
    <t xml:space="preserve"> 54.0881 </t>
  </si>
  <si>
    <t xml:space="preserve"> 90304.8101 </t>
  </si>
  <si>
    <t xml:space="preserve"> 52.3988 </t>
  </si>
  <si>
    <t xml:space="preserve"> 70513.4565 </t>
  </si>
  <si>
    <t xml:space="preserve"> 49.1344 </t>
  </si>
  <si>
    <t xml:space="preserve"> 70794.6451 </t>
  </si>
  <si>
    <t xml:space="preserve"> 47.8417 </t>
  </si>
  <si>
    <t xml:space="preserve"> 81220.2543 </t>
  </si>
  <si>
    <t xml:space="preserve"> 46.1688 </t>
  </si>
  <si>
    <t xml:space="preserve"> 62099.4275 </t>
  </si>
  <si>
    <t xml:space="preserve"> 44.4734 </t>
  </si>
  <si>
    <t xml:space="preserve"> 59482.2102 </t>
  </si>
  <si>
    <t xml:space="preserve"> 43.3178 </t>
  </si>
  <si>
    <t xml:space="preserve"> 62250.8367 </t>
  </si>
  <si>
    <t xml:space="preserve"> 44.6727 </t>
  </si>
  <si>
    <t xml:space="preserve"> 90348.0699 </t>
  </si>
  <si>
    <t xml:space="preserve"> 49.6505 </t>
  </si>
  <si>
    <t xml:space="preserve"> 90283.1802 </t>
  </si>
  <si>
    <t xml:space="preserve"> 47.8816 </t>
  </si>
  <si>
    <t xml:space="preserve"> 88509.5288 </t>
  </si>
  <si>
    <t xml:space="preserve"> 48.8519 </t>
  </si>
  <si>
    <t xml:space="preserve"> 81176.9945 </t>
  </si>
  <si>
    <t xml:space="preserve"> 49.4889 </t>
  </si>
  <si>
    <t xml:space="preserve"> 71832.8801 </t>
  </si>
  <si>
    <t xml:space="preserve"> 50.1575 </t>
  </si>
  <si>
    <t xml:space="preserve"> 73173.9335 </t>
  </si>
  <si>
    <t xml:space="preserve"> 48.5223 </t>
  </si>
  <si>
    <t xml:space="preserve"> 50895.1421 </t>
  </si>
  <si>
    <t xml:space="preserve"> 39.8287 </t>
  </si>
  <si>
    <t xml:space="preserve"> 52906.7223 </t>
  </si>
  <si>
    <t xml:space="preserve"> 40.9886 </t>
  </si>
  <si>
    <t xml:space="preserve"> 51522.409 </t>
  </si>
  <si>
    <t xml:space="preserve"> 41.3564 </t>
  </si>
  <si>
    <t xml:space="preserve"> 93917.0025 </t>
  </si>
  <si>
    <t xml:space="preserve"> 54.1214 </t>
  </si>
  <si>
    <t xml:space="preserve"> 92792.248 </t>
  </si>
  <si>
    <t xml:space="preserve"> 54.8669 </t>
  </si>
  <si>
    <t xml:space="preserve"> 67204.0826 </t>
  </si>
  <si>
    <t xml:space="preserve"> 47.4699 </t>
  </si>
  <si>
    <t xml:space="preserve"> 69929.4493 </t>
  </si>
  <si>
    <t xml:space="preserve"> 50.9521 </t>
  </si>
  <si>
    <t xml:space="preserve"> 47.6479 </t>
  </si>
  <si>
    <t xml:space="preserve"> 4.8845 </t>
  </si>
  <si>
    <t xml:space="preserve"> 3532968.46 </t>
  </si>
  <si>
    <t xml:space="preserve"> 1100635.34 </t>
  </si>
  <si>
    <t xml:space="preserve"> 90326.44 </t>
  </si>
  <si>
    <t xml:space="preserve"> 54.7565 </t>
  </si>
  <si>
    <t xml:space="preserve"> 89374.7246 </t>
  </si>
  <si>
    <t xml:space="preserve"> 54.855 </t>
  </si>
  <si>
    <t xml:space="preserve"> 80592.9874 </t>
  </si>
  <si>
    <t xml:space="preserve"> 50.4761 </t>
  </si>
  <si>
    <t xml:space="preserve"> 87254.9949 </t>
  </si>
  <si>
    <t xml:space="preserve"> 53.9388 </t>
  </si>
  <si>
    <t xml:space="preserve"> 75358.5529 </t>
  </si>
  <si>
    <t xml:space="preserve"> 53.8683 </t>
  </si>
  <si>
    <t xml:space="preserve"> 79078.8948 </t>
  </si>
  <si>
    <t xml:space="preserve"> 50.0246 </t>
  </si>
  <si>
    <t xml:space="preserve"> 102655.48 </t>
  </si>
  <si>
    <t xml:space="preserve"> 51.3778 </t>
  </si>
  <si>
    <t xml:space="preserve"> 101400.946 </t>
  </si>
  <si>
    <t xml:space="preserve"> 47.0875 </t>
  </si>
  <si>
    <t xml:space="preserve"> 102504.071 </t>
  </si>
  <si>
    <t xml:space="preserve"> 49.134 </t>
  </si>
  <si>
    <t xml:space="preserve"> 52690.4233 </t>
  </si>
  <si>
    <t xml:space="preserve"> 58.8448 </t>
  </si>
  <si>
    <t xml:space="preserve"> 75012.4746 </t>
  </si>
  <si>
    <t xml:space="preserve"> 53.355 </t>
  </si>
  <si>
    <t xml:space="preserve"> 77889.2506 </t>
  </si>
  <si>
    <t xml:space="preserve"> 49.5665 </t>
  </si>
  <si>
    <t xml:space="preserve"> 57513.8898 </t>
  </si>
  <si>
    <t xml:space="preserve"> 49.4389 </t>
  </si>
  <si>
    <t xml:space="preserve"> 71162.3533 </t>
  </si>
  <si>
    <t xml:space="preserve"> 49.907 </t>
  </si>
  <si>
    <t xml:space="preserve"> 79576.3823 </t>
  </si>
  <si>
    <t xml:space="preserve"> 46.9399 </t>
  </si>
  <si>
    <t xml:space="preserve"> 77110.5744 </t>
  </si>
  <si>
    <t xml:space="preserve"> 45.3638 </t>
  </si>
  <si>
    <t xml:space="preserve"> 79057.2649 </t>
  </si>
  <si>
    <t xml:space="preserve"> 44.4476 </t>
  </si>
  <si>
    <t xml:space="preserve"> 56367.5054 </t>
  </si>
  <si>
    <t xml:space="preserve"> 41.3292 </t>
  </si>
  <si>
    <t xml:space="preserve"> 64132.6376 </t>
  </si>
  <si>
    <t xml:space="preserve"> 45.3771 </t>
  </si>
  <si>
    <t xml:space="preserve"> 56583.8043 </t>
  </si>
  <si>
    <t xml:space="preserve"> 43.4679 </t>
  </si>
  <si>
    <t xml:space="preserve"> 48.7559 </t>
  </si>
  <si>
    <t xml:space="preserve"> 5.6791 </t>
  </si>
  <si>
    <t xml:space="preserve"> 3389870.54 </t>
  </si>
  <si>
    <t xml:space="preserve"> 1435815.88 </t>
  </si>
  <si>
    <t xml:space="preserve"> 49618.9783 </t>
  </si>
  <si>
    <t xml:space="preserve"> 43.5279 </t>
  </si>
  <si>
    <t xml:space="preserve"> 45.2942 </t>
  </si>
  <si>
    <t xml:space="preserve"> 50938.4019 </t>
  </si>
  <si>
    <t xml:space="preserve"> 46.8352 </t>
  </si>
  <si>
    <t xml:space="preserve"> 54.7964 </t>
  </si>
  <si>
    <t xml:space="preserve"> 69410.3319 </t>
  </si>
  <si>
    <t xml:space="preserve"> 47.3546 </t>
  </si>
  <si>
    <t xml:space="preserve"> 67723.2001 </t>
  </si>
  <si>
    <t xml:space="preserve"> 51.0156 </t>
  </si>
  <si>
    <t xml:space="preserve"> 82691.0872 </t>
  </si>
  <si>
    <t xml:space="preserve"> 52.1407 </t>
  </si>
  <si>
    <t xml:space="preserve"> 84486.3684 </t>
  </si>
  <si>
    <t xml:space="preserve"> 49.8989 </t>
  </si>
  <si>
    <t xml:space="preserve"> 83664.4324 </t>
  </si>
  <si>
    <t xml:space="preserve"> 49.5318 </t>
  </si>
  <si>
    <t xml:space="preserve"> 71681.4708 </t>
  </si>
  <si>
    <t xml:space="preserve"> 51.656 </t>
  </si>
  <si>
    <t xml:space="preserve"> 68934.4742 </t>
  </si>
  <si>
    <t xml:space="preserve"> 52.1312 </t>
  </si>
  <si>
    <t xml:space="preserve"> 93549.2943 </t>
  </si>
  <si>
    <t xml:space="preserve"> 48.4643 </t>
  </si>
  <si>
    <t xml:space="preserve"> 61104.4523 </t>
  </si>
  <si>
    <t xml:space="preserve"> 53.6 </t>
  </si>
  <si>
    <t xml:space="preserve"> 51003.2915 </t>
  </si>
  <si>
    <t xml:space="preserve"> 41.6832 </t>
  </si>
  <si>
    <t xml:space="preserve"> 46590.793 </t>
  </si>
  <si>
    <t xml:space="preserve"> 40.4805 </t>
  </si>
  <si>
    <t xml:space="preserve"> 42.2743 </t>
  </si>
  <si>
    <t xml:space="preserve"> 105553.886 </t>
  </si>
  <si>
    <t xml:space="preserve"> 53.7488 </t>
  </si>
  <si>
    <t xml:space="preserve"> 102850.149 </t>
  </si>
  <si>
    <t xml:space="preserve"> 56.7571 </t>
  </si>
  <si>
    <t xml:space="preserve"> 102417.551 </t>
  </si>
  <si>
    <t xml:space="preserve"> 56.7599 </t>
  </si>
  <si>
    <t xml:space="preserve"> 42481.1131 </t>
  </si>
  <si>
    <t xml:space="preserve"> 39.6461 </t>
  </si>
  <si>
    <t xml:space="preserve"> 42697.412 </t>
  </si>
  <si>
    <t xml:space="preserve"> 40.2371 </t>
  </si>
  <si>
    <t xml:space="preserve"> 44146.6149 </t>
  </si>
  <si>
    <t xml:space="preserve"> 42.4243 </t>
  </si>
  <si>
    <t xml:space="preserve"> 46.8834 </t>
  </si>
  <si>
    <t xml:space="preserve"> 6.9123 </t>
  </si>
  <si>
    <t xml:space="preserve"> 3099492.67 </t>
  </si>
  <si>
    <t xml:space="preserve"> 1574798.99 </t>
  </si>
  <si>
    <t xml:space="preserve"> 7786.7621 </t>
  </si>
  <si>
    <t xml:space="preserve"> 35.2222 </t>
  </si>
  <si>
    <t xml:space="preserve"> 9755.0825 </t>
  </si>
  <si>
    <t xml:space="preserve"> 39.1885 </t>
  </si>
  <si>
    <t xml:space="preserve"> 34.6866 </t>
  </si>
  <si>
    <t xml:space="preserve"> 33.844 </t>
  </si>
  <si>
    <t xml:space="preserve"> 1816.9111 </t>
  </si>
  <si>
    <t xml:space="preserve"> 33.8452 </t>
  </si>
  <si>
    <t xml:space="preserve"> 5039.7654 </t>
  </si>
  <si>
    <t xml:space="preserve"> 42.4077 </t>
  </si>
  <si>
    <t xml:space="preserve"> 7721.8724 </t>
  </si>
  <si>
    <t xml:space="preserve"> 42.0196 </t>
  </si>
  <si>
    <t xml:space="preserve"> 37.4953 </t>
  </si>
  <si>
    <t xml:space="preserve"> 7916.5414 </t>
  </si>
  <si>
    <t xml:space="preserve"> 41.847 </t>
  </si>
  <si>
    <t xml:space="preserve">C:\Users\andre\Desktop\REACTIV CEFAS\BPA\BPA/20201118_Cefas_Test6-Run3/Plate 3/@8/D2_02.tif </t>
  </si>
  <si>
    <t xml:space="preserve"> 4304.349 </t>
  </si>
  <si>
    <t xml:space="preserve"> 35.4874 </t>
  </si>
  <si>
    <t xml:space="preserve">C:\Users\andre\Desktop\REACTIV CEFAS\BPA\BPA/20201118_Cefas_Test6-Run3/Plate 3/@8/D2_03.tif </t>
  </si>
  <si>
    <t xml:space="preserve"> 38.0467 </t>
  </si>
  <si>
    <t xml:space="preserve">C:\Users\andre\Desktop\REACTIV CEFAS\BPA\BPA/20201118_Cefas_Test6-Run3/Plate 3/@8/E2_01.tif </t>
  </si>
  <si>
    <t xml:space="preserve"> 6359.189 </t>
  </si>
  <si>
    <t xml:space="preserve"> 34.2959 </t>
  </si>
  <si>
    <t xml:space="preserve">C:\Users\andre\Desktop\REACTIV CEFAS\BPA\BPA/20201118_Cefas_Test6-Run3/Plate 3/@8/E2_02.tif </t>
  </si>
  <si>
    <t xml:space="preserve">C:\Users\andre\Desktop\REACTIV CEFAS\BPA\BPA/20201118_Cefas_Test6-Run3/Plate 3/@8/E2_03.tif </t>
  </si>
  <si>
    <t xml:space="preserve"> 4261.0892 </t>
  </si>
  <si>
    <t xml:space="preserve"> 35.0914 </t>
  </si>
  <si>
    <t xml:space="preserve">C:\Users\andre\Desktop\REACTIV CEFAS\BPA\BPA/20201118_Cefas_Test6-Run3/Plate 3/@8/F2_01.tif </t>
  </si>
  <si>
    <t xml:space="preserve"> 2141.3596 </t>
  </si>
  <si>
    <t xml:space="preserve"> 33.2727 </t>
  </si>
  <si>
    <t xml:space="preserve">C:\Users\andre\Desktop\REACTIV CEFAS\BPA\BPA/20201118_Cefas_Test6-Run3/Plate 3/@8/F2_02.tif </t>
  </si>
  <si>
    <t xml:space="preserve"> 1362.6834 </t>
  </si>
  <si>
    <t xml:space="preserve"> 33.4921 </t>
  </si>
  <si>
    <t xml:space="preserve">C:\Users\andre\Desktop\REACTIV CEFAS\BPA\BPA/20201118_Cefas_Test6-Run3/Plate 3/@8/F2_03.tif </t>
  </si>
  <si>
    <t xml:space="preserve"> 2422.5482 </t>
  </si>
  <si>
    <t xml:space="preserve"> 35.3036 </t>
  </si>
  <si>
    <t xml:space="preserve">C:\Users\andre\Desktop\REACTIV CEFAS\BPA\BPA/20201118_Cefas_Test6-Run3/Plate 3/@8/G2_01.tif </t>
  </si>
  <si>
    <t xml:space="preserve"> 8803.3671 </t>
  </si>
  <si>
    <t xml:space="preserve"> 36.6143 </t>
  </si>
  <si>
    <t xml:space="preserve">C:\Users\andre\Desktop\REACTIV CEFAS\BPA\BPA/20201118_Cefas_Test6-Run3/Plate 3/@8/G2_02.tif </t>
  </si>
  <si>
    <t xml:space="preserve"> 34.1396 </t>
  </si>
  <si>
    <t xml:space="preserve">C:\Users\andre\Desktop\REACTIV CEFAS\BPA\BPA/20201118_Cefas_Test6-Run3/Plate 3/@8/G2_03.tif </t>
  </si>
  <si>
    <t xml:space="preserve"> 37.4428 </t>
  </si>
  <si>
    <t xml:space="preserve">C:\Users\andre\Desktop\REACTIV CEFAS\BPA\BPA/20201118_Cefas_Test6-Run3/Plate 3/@8/H2_01.tif </t>
  </si>
  <si>
    <t xml:space="preserve"> 10295.8298 </t>
  </si>
  <si>
    <t xml:space="preserve"> 47.6471 </t>
  </si>
  <si>
    <t xml:space="preserve">C:\Users\andre\Desktop\REACTIV CEFAS\BPA\BPA/20201118_Cefas_Test6-Run3/Plate 3/@8/H2_02.tif </t>
  </si>
  <si>
    <t xml:space="preserve"> 7375.7941 </t>
  </si>
  <si>
    <t xml:space="preserve"> 41.2991 </t>
  </si>
  <si>
    <t xml:space="preserve">C:\Users\andre\Desktop\REACTIV CEFAS\BPA\BPA/20201118_Cefas_Test6-Run3/Plate 3/@8/H2_03.tif </t>
  </si>
  <si>
    <t xml:space="preserve"> 5775.1819 </t>
  </si>
  <si>
    <t xml:space="preserve"> 39.6966 </t>
  </si>
  <si>
    <t xml:space="preserve">C:\Users\andre\Desktop\REACTIV CEFAS\BPA\BPA/20201118_Cefas_Test6-Run3/Plate 3/@8/ </t>
  </si>
  <si>
    <t xml:space="preserve"> 35.6349 </t>
  </si>
  <si>
    <t xml:space="preserve"> 8.4543 </t>
  </si>
  <si>
    <t xml:space="preserve"> 196811.333 </t>
  </si>
  <si>
    <t xml:space="preserve"> 120120.381 </t>
  </si>
  <si>
    <t xml:space="preserve">C:\Users\andre\Desktop\REACTIV CEFAS\BPA\BPA/20201118_Cefas_Test6-Run3/Plate 3/@9/A3_01.tif </t>
  </si>
  <si>
    <t xml:space="preserve"> 36.2047 </t>
  </si>
  <si>
    <t xml:space="preserve">C:\Users\andre\Desktop\REACTIV CEFAS\BPA\BPA/20201118_Cefas_Test6-Run3/Plate 3/@9/A3_02.tif </t>
  </si>
  <si>
    <t xml:space="preserve"> 3677.0821 </t>
  </si>
  <si>
    <t xml:space="preserve"> 36.0529 </t>
  </si>
  <si>
    <t xml:space="preserve">C:\Users\andre\Desktop\REACTIV CEFAS\BPA\BPA/20201118_Cefas_Test6-Run3/Plate 3/@9/A3_03.tif </t>
  </si>
  <si>
    <t xml:space="preserve"> 31.9167 </t>
  </si>
  <si>
    <t xml:space="preserve">C:\Users\andre\Desktop\REACTIV CEFAS\BPA\BPA/20201118_Cefas_Test6-Run3/Plate 3/@9/B3_01.tif </t>
  </si>
  <si>
    <t xml:space="preserve"> 3590.5625 </t>
  </si>
  <si>
    <t xml:space="preserve"> 35.5301 </t>
  </si>
  <si>
    <t xml:space="preserve">C:\Users\andre\Desktop\REACTIV CEFAS\BPA\BPA/20201118_Cefas_Test6-Run3/Plate 3/@9/B3_02.tif </t>
  </si>
  <si>
    <t xml:space="preserve"> 35.4136 </t>
  </si>
  <si>
    <t xml:space="preserve">C:\Users\andre\Desktop\REACTIV CEFAS\BPA\BPA/20201118_Cefas_Test6-Run3/Plate 3/@9/B3_03.tif </t>
  </si>
  <si>
    <t xml:space="preserve"> 35.3475 </t>
  </si>
  <si>
    <t xml:space="preserve">C:\Users\andre\Desktop\REACTIV CEFAS\BPA\BPA/20201118_Cefas_Test6-Run3/Plate 3/@9/C3_01.tif </t>
  </si>
  <si>
    <t xml:space="preserve">C:\Users\andre\Desktop\REACTIV CEFAS\BPA\BPA/20201118_Cefas_Test6-Run3/Plate 3/@9/C3_02.tif </t>
  </si>
  <si>
    <t xml:space="preserve"> 33.0159 </t>
  </si>
  <si>
    <t xml:space="preserve">C:\Users\andre\Desktop\REACTIV CEFAS\BPA\BPA/20201118_Cefas_Test6-Run3/Plate 3/@9/C3_03.tif </t>
  </si>
  <si>
    <t xml:space="preserve"> 281.1886 </t>
  </si>
  <si>
    <t xml:space="preserve"> 31.9231 </t>
  </si>
  <si>
    <t xml:space="preserve">C:\Users\andre\Desktop\REACTIV CEFAS\BPA\BPA/20201118_Cefas_Test6-Run3/Plate 3/@9/D3_01.tif </t>
  </si>
  <si>
    <t xml:space="preserve"> 33.6959 </t>
  </si>
  <si>
    <t xml:space="preserve">C:\Users\andre\Desktop\REACTIV CEFAS\BPA\BPA/20201118_Cefas_Test6-Run3/Plate 3/@9/D3_02.tif </t>
  </si>
  <si>
    <t xml:space="preserve"> 6683.6374 </t>
  </si>
  <si>
    <t xml:space="preserve"> 36.343 </t>
  </si>
  <si>
    <t xml:space="preserve">C:\Users\andre\Desktop\REACTIV CEFAS\BPA\BPA/20201118_Cefas_Test6-Run3/Plate 3/@9/D3_03.tif </t>
  </si>
  <si>
    <t xml:space="preserve"> 2855.1461 </t>
  </si>
  <si>
    <t xml:space="preserve"> 36.0833 </t>
  </si>
  <si>
    <t xml:space="preserve">C:\Users\andre\Desktop\REACTIV CEFAS\BPA\BPA/20201118_Cefas_Test6-Run3/Plate 3/@9/E3_01.tif </t>
  </si>
  <si>
    <t xml:space="preserve"> 6272.6694 </t>
  </si>
  <si>
    <t xml:space="preserve"> 37.2759 </t>
  </si>
  <si>
    <t xml:space="preserve">C:\Users\andre\Desktop\REACTIV CEFAS\BPA\BPA/20201118_Cefas_Test6-Run3/Plate 3/@9/E3_02.tif </t>
  </si>
  <si>
    <t xml:space="preserve"> 3958.2707 </t>
  </si>
  <si>
    <t xml:space="preserve"> 36.4699 </t>
  </si>
  <si>
    <t xml:space="preserve">C:\Users\andre\Desktop\REACTIV CEFAS\BPA\BPA/20201118_Cefas_Test6-Run3/Plate 3/@9/E3_03.tif </t>
  </si>
  <si>
    <t xml:space="preserve"> 3222.8543 </t>
  </si>
  <si>
    <t xml:space="preserve"> 38.8658 </t>
  </si>
  <si>
    <t xml:space="preserve">C:\Users\andre\Desktop\REACTIV CEFAS\BPA\BPA/20201118_Cefas_Test6-Run3/Plate 3/@9/F3_01.tif </t>
  </si>
  <si>
    <t xml:space="preserve"> 33.6351 </t>
  </si>
  <si>
    <t xml:space="preserve">C:\Users\andre\Desktop\REACTIV CEFAS\BPA\BPA/20201118_Cefas_Test6-Run3/Plate 3/@9/F3_02.tif </t>
  </si>
  <si>
    <t xml:space="preserve"> 1124.7545 </t>
  </si>
  <si>
    <t xml:space="preserve"> 31.25 </t>
  </si>
  <si>
    <t xml:space="preserve">C:\Users\andre\Desktop\REACTIV CEFAS\BPA\BPA/20201118_Cefas_Test6-Run3/Plate 3/@9/F3_03.tif </t>
  </si>
  <si>
    <t xml:space="preserve">C:\Users\andre\Desktop\REACTIV CEFAS\BPA\BPA/20201118_Cefas_Test6-Run3/Plate 3/@9/G3_01.tif </t>
  </si>
  <si>
    <t xml:space="preserve"> 6056.3705 </t>
  </si>
  <si>
    <t xml:space="preserve"> 39.1429 </t>
  </si>
  <si>
    <t xml:space="preserve">C:\Users\andre\Desktop\REACTIV CEFAS\BPA\BPA/20201118_Cefas_Test6-Run3/Plate 3/@9/G3_02.tif </t>
  </si>
  <si>
    <t xml:space="preserve"> 5753.552 </t>
  </si>
  <si>
    <t xml:space="preserve"> 36.9135 </t>
  </si>
  <si>
    <t xml:space="preserve">C:\Users\andre\Desktop\REACTIV CEFAS\BPA\BPA/20201118_Cefas_Test6-Run3/Plate 3/@9/G3_03.tif </t>
  </si>
  <si>
    <t xml:space="preserve"> 39.8597 </t>
  </si>
  <si>
    <t xml:space="preserve">C:\Users\andre\Desktop\REACTIV CEFAS\BPA\BPA/20201118_Cefas_Test6-Run3/Plate 3/@9/H3_01.tif </t>
  </si>
  <si>
    <t xml:space="preserve"> 40.4737 </t>
  </si>
  <si>
    <t xml:space="preserve">C:\Users\andre\Desktop\REACTIV CEFAS\BPA\BPA/20201118_Cefas_Test6-Run3/Plate 3/@9/H3_02.tif </t>
  </si>
  <si>
    <t xml:space="preserve"> 108.1495 </t>
  </si>
  <si>
    <t xml:space="preserve"> 33.2 </t>
  </si>
  <si>
    <t xml:space="preserve">C:\Users\andre\Desktop\REACTIV CEFAS\BPA\BPA/20201118_Cefas_Test6-Run3/Plate 3/@9/H3_03.tif </t>
  </si>
  <si>
    <t xml:space="preserve"> 6813.4168 </t>
  </si>
  <si>
    <t xml:space="preserve"> 40.4032 </t>
  </si>
  <si>
    <t xml:space="preserve">C:\Users\andre\Desktop\REACTIV CEFAS\BPA\BPA/20201118_Cefas_Test6-Run3/Plate 3/@9/ </t>
  </si>
  <si>
    <t xml:space="preserve"> 34.1257 </t>
  </si>
  <si>
    <t xml:space="preserve"> 7.8226 </t>
  </si>
  <si>
    <t xml:space="preserve"> 130594.208 </t>
  </si>
  <si>
    <t xml:space="preserve"> 93828.2256 </t>
  </si>
  <si>
    <t>Colonne1</t>
  </si>
  <si>
    <t>8</t>
  </si>
  <si>
    <t>9</t>
  </si>
  <si>
    <t>1</t>
  </si>
  <si>
    <t>13</t>
  </si>
  <si>
    <t>14</t>
  </si>
  <si>
    <t>15</t>
  </si>
  <si>
    <t>16</t>
  </si>
  <si>
    <t>2</t>
  </si>
  <si>
    <t>3</t>
  </si>
  <si>
    <t>4</t>
  </si>
  <si>
    <t>5</t>
  </si>
  <si>
    <t>6</t>
  </si>
  <si>
    <t>7</t>
  </si>
  <si>
    <t>10</t>
  </si>
  <si>
    <t>11</t>
  </si>
  <si>
    <t>12</t>
  </si>
  <si>
    <t>17</t>
  </si>
  <si>
    <t>18</t>
  </si>
  <si>
    <t>19</t>
  </si>
  <si>
    <t>20</t>
  </si>
  <si>
    <t>21</t>
  </si>
  <si>
    <t>B</t>
  </si>
  <si>
    <t>C</t>
  </si>
  <si>
    <t>D</t>
  </si>
  <si>
    <t>E</t>
  </si>
  <si>
    <t>F</t>
  </si>
  <si>
    <t>G</t>
  </si>
  <si>
    <t>H</t>
  </si>
  <si>
    <t>BPA-1mg/L</t>
  </si>
  <si>
    <t>BPA-2mg/L</t>
  </si>
  <si>
    <t>BPA-3mg/L</t>
  </si>
  <si>
    <t>BPA-4mg/L</t>
  </si>
  <si>
    <t>BPA-5mg/L</t>
  </si>
  <si>
    <t xml:space="preserve"> 1319.4236 </t>
  </si>
  <si>
    <t xml:space="preserve"> 34.2459 </t>
  </si>
  <si>
    <t xml:space="preserve"> 670.5267 </t>
  </si>
  <si>
    <t xml:space="preserve"> 33.1935 </t>
  </si>
  <si>
    <t xml:space="preserve"> 9928.1216 </t>
  </si>
  <si>
    <t xml:space="preserve"> 42.427 </t>
  </si>
  <si>
    <t xml:space="preserve"> 194.6691 </t>
  </si>
  <si>
    <t xml:space="preserve"> 34.1111 </t>
  </si>
  <si>
    <t xml:space="preserve"> 32.9091 </t>
  </si>
  <si>
    <t xml:space="preserve"> 38.0906 </t>
  </si>
  <si>
    <t xml:space="preserve"> 4672.0572 </t>
  </si>
  <si>
    <t xml:space="preserve"> 34.7917 </t>
  </si>
  <si>
    <t xml:space="preserve"> 4217.8295 </t>
  </si>
  <si>
    <t xml:space="preserve"> 34.0513 </t>
  </si>
  <si>
    <t xml:space="preserve"> 36.9211 </t>
  </si>
  <si>
    <t xml:space="preserve"> 3655.4522 </t>
  </si>
  <si>
    <t xml:space="preserve"> 39.2959 </t>
  </si>
  <si>
    <t xml:space="preserve"> 36.8529 </t>
  </si>
  <si>
    <t xml:space="preserve"> 2379.2884 </t>
  </si>
  <si>
    <t xml:space="preserve"> 33.5455 </t>
  </si>
  <si>
    <t xml:space="preserve"> 39.5799 </t>
  </si>
  <si>
    <t xml:space="preserve"> 39.395 </t>
  </si>
  <si>
    <t xml:space="preserve"> 6251.0395 </t>
  </si>
  <si>
    <t xml:space="preserve"> 38.6263 </t>
  </si>
  <si>
    <t xml:space="preserve"> 26.6335 </t>
  </si>
  <si>
    <t xml:space="preserve"> 16.0025 </t>
  </si>
  <si>
    <t xml:space="preserve"> 96127.75 </t>
  </si>
  <si>
    <t xml:space="preserve"> 118071.906 </t>
  </si>
  <si>
    <t xml:space="preserve"> 28162.1228 </t>
  </si>
  <si>
    <t xml:space="preserve"> 35.7427 </t>
  </si>
  <si>
    <t xml:space="preserve"> 31947.3544 </t>
  </si>
  <si>
    <t xml:space="preserve"> 35.4028 </t>
  </si>
  <si>
    <t xml:space="preserve"> 31752.6853 </t>
  </si>
  <si>
    <t xml:space="preserve"> 35.6199 </t>
  </si>
  <si>
    <t xml:space="preserve"> 62056.1677 </t>
  </si>
  <si>
    <t xml:space="preserve"> 40.4333 </t>
  </si>
  <si>
    <t xml:space="preserve"> 71551.6914 </t>
  </si>
  <si>
    <t xml:space="preserve"> 41.7288 </t>
  </si>
  <si>
    <t xml:space="preserve"> 62640.1748 </t>
  </si>
  <si>
    <t xml:space="preserve"> 41.0915 </t>
  </si>
  <si>
    <t xml:space="preserve"> 16135.9014 </t>
  </si>
  <si>
    <t xml:space="preserve"> 34.5965 </t>
  </si>
  <si>
    <t xml:space="preserve"> 6986.456 </t>
  </si>
  <si>
    <t xml:space="preserve"> 32.0836 </t>
  </si>
  <si>
    <t xml:space="preserve"> 12610.2286 </t>
  </si>
  <si>
    <t xml:space="preserve"> 33.8988 </t>
  </si>
  <si>
    <t xml:space="preserve"> 30281.8525 </t>
  </si>
  <si>
    <t xml:space="preserve"> 35.1586 </t>
  </si>
  <si>
    <t xml:space="preserve"> 35.8877 </t>
  </si>
  <si>
    <t xml:space="preserve"> 29654.5855 </t>
  </si>
  <si>
    <t xml:space="preserve"> 34.9555 </t>
  </si>
  <si>
    <t xml:space="preserve"> 46244.7147 </t>
  </si>
  <si>
    <t xml:space="preserve"> 39.5776 </t>
  </si>
  <si>
    <t xml:space="preserve"> 63829.819 </t>
  </si>
  <si>
    <t xml:space="preserve"> 43.0661 </t>
  </si>
  <si>
    <t xml:space="preserve"> 63548.6304 </t>
  </si>
  <si>
    <t xml:space="preserve"> 42.0218 </t>
  </si>
  <si>
    <t xml:space="preserve"> 66187.4776 </t>
  </si>
  <si>
    <t xml:space="preserve"> 44.6853 </t>
  </si>
  <si>
    <t xml:space="preserve"> 62207.577 </t>
  </si>
  <si>
    <t xml:space="preserve"> 42.9503 </t>
  </si>
  <si>
    <t xml:space="preserve"> 60001.3277 </t>
  </si>
  <si>
    <t xml:space="preserve"> 40.8983 </t>
  </si>
  <si>
    <t xml:space="preserve"> 32704.4007 </t>
  </si>
  <si>
    <t xml:space="preserve"> 36.6806 </t>
  </si>
  <si>
    <t xml:space="preserve"> 40815.6112 </t>
  </si>
  <si>
    <t xml:space="preserve"> 36.9565 </t>
  </si>
  <si>
    <t xml:space="preserve"> 27578.1157 </t>
  </si>
  <si>
    <t xml:space="preserve"> 36.28 </t>
  </si>
  <si>
    <t xml:space="preserve"> 31.4027 </t>
  </si>
  <si>
    <t xml:space="preserve"> 32.1763 </t>
  </si>
  <si>
    <t xml:space="preserve"> 4607.1676 </t>
  </si>
  <si>
    <t xml:space="preserve"> 32.3897 </t>
  </si>
  <si>
    <t xml:space="preserve"> 37.3202 </t>
  </si>
  <si>
    <t xml:space="preserve"> 3.9433 </t>
  </si>
  <si>
    <t xml:space="preserve"> 1484651.71 </t>
  </si>
  <si>
    <t xml:space="preserve"> 977127.389 </t>
  </si>
  <si>
    <t xml:space="preserve"> 65473.691 </t>
  </si>
  <si>
    <t xml:space="preserve"> 41.8427 </t>
  </si>
  <si>
    <t xml:space="preserve"> 65279.022 </t>
  </si>
  <si>
    <t xml:space="preserve"> 41.9433 </t>
  </si>
  <si>
    <t xml:space="preserve"> 69799.67 </t>
  </si>
  <si>
    <t xml:space="preserve"> 42.5931 </t>
  </si>
  <si>
    <t xml:space="preserve"> 44687.3623 </t>
  </si>
  <si>
    <t xml:space="preserve"> 37.4593 </t>
  </si>
  <si>
    <t xml:space="preserve"> 36.3853 </t>
  </si>
  <si>
    <t xml:space="preserve"> 49965.0566 </t>
  </si>
  <si>
    <t xml:space="preserve"> 38.1784 </t>
  </si>
  <si>
    <t xml:space="preserve"> 65884.659 </t>
  </si>
  <si>
    <t xml:space="preserve"> 48.4875 </t>
  </si>
  <si>
    <t xml:space="preserve"> 74190.5386 </t>
  </si>
  <si>
    <t xml:space="preserve"> 44.9469 </t>
  </si>
  <si>
    <t xml:space="preserve"> 70080.8586 </t>
  </si>
  <si>
    <t xml:space="preserve"> 49.0164 </t>
  </si>
  <si>
    <t xml:space="preserve"> 31.8952 </t>
  </si>
  <si>
    <t xml:space="preserve"> 6164.52 </t>
  </si>
  <si>
    <t xml:space="preserve"> 33.786 </t>
  </si>
  <si>
    <t xml:space="preserve"> 605.637 </t>
  </si>
  <si>
    <t xml:space="preserve"> 32.3214 </t>
  </si>
  <si>
    <t xml:space="preserve"> 30433.2617 </t>
  </si>
  <si>
    <t xml:space="preserve"> 34.9666 </t>
  </si>
  <si>
    <t xml:space="preserve"> 35.3497 </t>
  </si>
  <si>
    <t xml:space="preserve"> 23317.0264 </t>
  </si>
  <si>
    <t xml:space="preserve"> 32.8275 </t>
  </si>
  <si>
    <t xml:space="preserve"> 8651.9579 </t>
  </si>
  <si>
    <t xml:space="preserve"> 33.79 </t>
  </si>
  <si>
    <t xml:space="preserve"> 5212.8046 </t>
  </si>
  <si>
    <t xml:space="preserve"> 32.5726 </t>
  </si>
  <si>
    <t xml:space="preserve"> 8673.5877 </t>
  </si>
  <si>
    <t xml:space="preserve"> 33.9701 </t>
  </si>
  <si>
    <t xml:space="preserve"> 34.7864 </t>
  </si>
  <si>
    <t xml:space="preserve"> 24701.3397 </t>
  </si>
  <si>
    <t xml:space="preserve"> 35.4475 </t>
  </si>
  <si>
    <t xml:space="preserve"> 30022.2937 </t>
  </si>
  <si>
    <t xml:space="preserve"> 36.286 </t>
  </si>
  <si>
    <t xml:space="preserve"> 38.0158 </t>
  </si>
  <si>
    <t xml:space="preserve"> 5.0494 </t>
  </si>
  <si>
    <t xml:space="preserve"> 1502746.92 </t>
  </si>
  <si>
    <t xml:space="preserve"> 1134745.19 </t>
  </si>
  <si>
    <t xml:space="preserve"> 94111.6715 </t>
  </si>
  <si>
    <t xml:space="preserve"> 50.7378 </t>
  </si>
  <si>
    <t xml:space="preserve"> 88985.3865 </t>
  </si>
  <si>
    <t xml:space="preserve"> 45.1728 </t>
  </si>
  <si>
    <t xml:space="preserve"> 78776.0762 </t>
  </si>
  <si>
    <t xml:space="preserve"> 52.0695 </t>
  </si>
  <si>
    <t xml:space="preserve"> 54053.1067 </t>
  </si>
  <si>
    <t xml:space="preserve"> 44.0656 </t>
  </si>
  <si>
    <t xml:space="preserve"> 52344.345 </t>
  </si>
  <si>
    <t xml:space="preserve"> 45.3826 </t>
  </si>
  <si>
    <t xml:space="preserve"> 53166.281 </t>
  </si>
  <si>
    <t xml:space="preserve"> 46.6851 </t>
  </si>
  <si>
    <t xml:space="preserve"> 40296.4937 </t>
  </si>
  <si>
    <t xml:space="preserve"> 40.2979 </t>
  </si>
  <si>
    <t xml:space="preserve"> 57470.63 </t>
  </si>
  <si>
    <t xml:space="preserve"> 50.9364 </t>
  </si>
  <si>
    <t xml:space="preserve"> 44.3797 </t>
  </si>
  <si>
    <t xml:space="preserve"> 62878.1037 </t>
  </si>
  <si>
    <t xml:space="preserve"> 44.0791 </t>
  </si>
  <si>
    <t xml:space="preserve"> 93852.1128 </t>
  </si>
  <si>
    <t xml:space="preserve"> 56.575 </t>
  </si>
  <si>
    <t xml:space="preserve"> 98848.6185 </t>
  </si>
  <si>
    <t xml:space="preserve"> 53.0672 </t>
  </si>
  <si>
    <t xml:space="preserve"> 100362.711 </t>
  </si>
  <si>
    <t xml:space="preserve"> 56.5625 </t>
  </si>
  <si>
    <t xml:space="preserve"> 79727.7916 </t>
  </si>
  <si>
    <t xml:space="preserve"> 53.1039 </t>
  </si>
  <si>
    <t xml:space="preserve"> 81047.2152 </t>
  </si>
  <si>
    <t xml:space="preserve"> 55.6864 </t>
  </si>
  <si>
    <t xml:space="preserve"> 84443.1086 </t>
  </si>
  <si>
    <t xml:space="preserve"> 48.3135 </t>
  </si>
  <si>
    <t xml:space="preserve"> 82042.1903 </t>
  </si>
  <si>
    <t xml:space="preserve"> 41.1819 </t>
  </si>
  <si>
    <t xml:space="preserve"> 82799.2366 </t>
  </si>
  <si>
    <t xml:space="preserve"> 43.7244 </t>
  </si>
  <si>
    <t xml:space="preserve"> 66338.8868 </t>
  </si>
  <si>
    <t xml:space="preserve"> 43.0619 </t>
  </si>
  <si>
    <t xml:space="preserve"> 75034.1045 </t>
  </si>
  <si>
    <t xml:space="preserve"> 49.8818 </t>
  </si>
  <si>
    <t xml:space="preserve"> 82388.2686 </t>
  </si>
  <si>
    <t xml:space="preserve"> 49.4214 </t>
  </si>
  <si>
    <t xml:space="preserve"> 72611.5563 </t>
  </si>
  <si>
    <t xml:space="preserve"> 48.3324 </t>
  </si>
  <si>
    <t xml:space="preserve"> 47.5661 </t>
  </si>
  <si>
    <t xml:space="preserve"> 5.3066 </t>
  </si>
  <si>
    <t xml:space="preserve"> 3492183.46 </t>
  </si>
  <si>
    <t xml:space="preserve"> 1155670.21 </t>
  </si>
  <si>
    <t xml:space="preserve"> 129.7794 </t>
  </si>
  <si>
    <t xml:space="preserve"> 31.6667 </t>
  </si>
  <si>
    <t xml:space="preserve"> 8954.7764 </t>
  </si>
  <si>
    <t xml:space="preserve"> 38.5652 </t>
  </si>
  <si>
    <t xml:space="preserve"> 35.8609 </t>
  </si>
  <si>
    <t xml:space="preserve"> 36.1839 </t>
  </si>
  <si>
    <t xml:space="preserve"> 5731.9221 </t>
  </si>
  <si>
    <t xml:space="preserve"> 42.9057 </t>
  </si>
  <si>
    <t xml:space="preserve"> 8889.8867 </t>
  </si>
  <si>
    <t xml:space="preserve"> 46.292 </t>
  </si>
  <si>
    <t xml:space="preserve"> 1427.573 </t>
  </si>
  <si>
    <t xml:space="preserve"> 33.0758 </t>
  </si>
  <si>
    <t xml:space="preserve"> 9214.3351 </t>
  </si>
  <si>
    <t xml:space="preserve"> 39.6596 </t>
  </si>
  <si>
    <t xml:space="preserve"> 6445.7086 </t>
  </si>
  <si>
    <t xml:space="preserve"> 38.0839 </t>
  </si>
  <si>
    <t xml:space="preserve"> 31.3529 </t>
  </si>
  <si>
    <t xml:space="preserve"> 33.4512 </t>
  </si>
  <si>
    <t xml:space="preserve"> 3504.0429 </t>
  </si>
  <si>
    <t xml:space="preserve"> 37.642 </t>
  </si>
  <si>
    <t xml:space="preserve"> 39.0536 </t>
  </si>
  <si>
    <t xml:space="preserve"> 6705.2673 </t>
  </si>
  <si>
    <t xml:space="preserve"> 39.1 </t>
  </si>
  <si>
    <t xml:space="preserve"> 8154.4703 </t>
  </si>
  <si>
    <t xml:space="preserve"> 38.1459 </t>
  </si>
  <si>
    <t xml:space="preserve"> 37.0412 </t>
  </si>
  <si>
    <t xml:space="preserve"> 4390.8686 </t>
  </si>
  <si>
    <t xml:space="preserve"> 35.069 </t>
  </si>
  <si>
    <t xml:space="preserve"> 2033.2101 </t>
  </si>
  <si>
    <t xml:space="preserve"> 33.4574 </t>
  </si>
  <si>
    <t xml:space="preserve"> 6294.2993 </t>
  </si>
  <si>
    <t xml:space="preserve"> 36.4536 </t>
  </si>
  <si>
    <t xml:space="preserve"> 3071.445 </t>
  </si>
  <si>
    <t xml:space="preserve"> 36.831 </t>
  </si>
  <si>
    <t xml:space="preserve"> 36.9754 </t>
  </si>
  <si>
    <t xml:space="preserve"> 34.932 </t>
  </si>
  <si>
    <t xml:space="preserve"> 8.3269 </t>
  </si>
  <si>
    <t xml:space="preserve"> 171310.625 </t>
  </si>
  <si>
    <t xml:space="preserve"> 136205.397 </t>
  </si>
  <si>
    <t xml:space="preserve"> 4369.2387 </t>
  </si>
  <si>
    <t xml:space="preserve"> 40.5248 </t>
  </si>
  <si>
    <t xml:space="preserve"> 3460.7831 </t>
  </si>
  <si>
    <t xml:space="preserve"> 34.8188 </t>
  </si>
  <si>
    <t xml:space="preserve"> 3157.9646 </t>
  </si>
  <si>
    <t xml:space="preserve"> 36.2877 </t>
  </si>
  <si>
    <t xml:space="preserve"> 8716.8475 </t>
  </si>
  <si>
    <t xml:space="preserve"> 40.3474 </t>
  </si>
  <si>
    <t xml:space="preserve"> 3136.3347 </t>
  </si>
  <si>
    <t xml:space="preserve"> 32.3793 </t>
  </si>
  <si>
    <t xml:space="preserve"> 5104.6551 </t>
  </si>
  <si>
    <t xml:space="preserve"> 36.1017 </t>
  </si>
  <si>
    <t xml:space="preserve"> 7700.2425 </t>
  </si>
  <si>
    <t xml:space="preserve"> 37.1292 </t>
  </si>
  <si>
    <t xml:space="preserve"> 6078.0004 </t>
  </si>
  <si>
    <t xml:space="preserve"> 37.2527 </t>
  </si>
  <si>
    <t xml:space="preserve"> 33.0192 </t>
  </si>
  <si>
    <t xml:space="preserve"> 14470.3995 </t>
  </si>
  <si>
    <t xml:space="preserve"> 41.7175 </t>
  </si>
  <si>
    <t xml:space="preserve"> 216.2989 </t>
  </si>
  <si>
    <t xml:space="preserve"> 33.6 </t>
  </si>
  <si>
    <t xml:space="preserve"> 3417.5234 </t>
  </si>
  <si>
    <t xml:space="preserve"> 36.6456 </t>
  </si>
  <si>
    <t xml:space="preserve"> 36.1429 </t>
  </si>
  <si>
    <t xml:space="preserve"> 3871.7511 </t>
  </si>
  <si>
    <t xml:space="preserve"> 37.6983 </t>
  </si>
  <si>
    <t xml:space="preserve"> 35.7471 </t>
  </si>
  <si>
    <t xml:space="preserve"> 33.5932 </t>
  </si>
  <si>
    <t xml:space="preserve"> 14.3091 </t>
  </si>
  <si>
    <t xml:space="preserve"> 219280.333 </t>
  </si>
  <si>
    <t xml:space="preserve"> 257252.564 </t>
  </si>
  <si>
    <t xml:space="preserve"> 39.5619 </t>
  </si>
  <si>
    <t xml:space="preserve"> 692.1566 </t>
  </si>
  <si>
    <t xml:space="preserve"> 32.7812 </t>
  </si>
  <si>
    <t xml:space="preserve"> 34.4167 </t>
  </si>
  <si>
    <t xml:space="preserve"> 33.25 </t>
  </si>
  <si>
    <t xml:space="preserve"> 6121.2602 </t>
  </si>
  <si>
    <t xml:space="preserve"> 38.0813 </t>
  </si>
  <si>
    <t xml:space="preserve"> 584.0072 </t>
  </si>
  <si>
    <t xml:space="preserve"> 31.2222 </t>
  </si>
  <si>
    <t xml:space="preserve"> 33.0362 </t>
  </si>
  <si>
    <t xml:space="preserve"> 5320.9541 </t>
  </si>
  <si>
    <t xml:space="preserve"> 40.8171 </t>
  </si>
  <si>
    <t xml:space="preserve"> 37.7931 </t>
  </si>
  <si>
    <t xml:space="preserve"> 5169.5448 </t>
  </si>
  <si>
    <t xml:space="preserve"> 36.5272 </t>
  </si>
  <si>
    <t xml:space="preserve"> 5991.4808 </t>
  </si>
  <si>
    <t xml:space="preserve"> 36.1227 </t>
  </si>
  <si>
    <t xml:space="preserve"> 39.1768 </t>
  </si>
  <si>
    <t xml:space="preserve"> 36.3358 </t>
  </si>
  <si>
    <t xml:space="preserve"> 36.4317 </t>
  </si>
  <si>
    <t xml:space="preserve"> 32.6 </t>
  </si>
  <si>
    <t xml:space="preserve"> 31.9259 </t>
  </si>
  <si>
    <t xml:space="preserve"> 30.8566 </t>
  </si>
  <si>
    <t xml:space="preserve"> 12.3743 </t>
  </si>
  <si>
    <t xml:space="preserve"> 110473.833 </t>
  </si>
  <si>
    <t xml:space="preserve"> 125021.735 </t>
  </si>
  <si>
    <t xml:space="preserve"> 31.2 </t>
  </si>
  <si>
    <t xml:space="preserve"> 1146.3844 </t>
  </si>
  <si>
    <t xml:space="preserve"> 34.566 </t>
  </si>
  <si>
    <t xml:space="preserve"> 2184.6194 </t>
  </si>
  <si>
    <t xml:space="preserve"> 33.6733 </t>
  </si>
  <si>
    <t xml:space="preserve"> 32.8413 </t>
  </si>
  <si>
    <t xml:space="preserve"> 35.3793 </t>
  </si>
  <si>
    <t xml:space="preserve"> 30.75 </t>
  </si>
  <si>
    <t xml:space="preserve"> 33.8778 </t>
  </si>
  <si>
    <t xml:space="preserve"> 35.1158 </t>
  </si>
  <si>
    <t xml:space="preserve"> 37.214 </t>
  </si>
  <si>
    <t xml:space="preserve"> 302.8185 </t>
  </si>
  <si>
    <t xml:space="preserve"> 31.3571 </t>
  </si>
  <si>
    <t xml:space="preserve"> 5364.2139 </t>
  </si>
  <si>
    <t xml:space="preserve"> 40.3226 </t>
  </si>
  <si>
    <t xml:space="preserve"> 5948.221 </t>
  </si>
  <si>
    <t xml:space="preserve"> 39.2364 </t>
  </si>
  <si>
    <t xml:space="preserve"> 37.7806 </t>
  </si>
  <si>
    <t xml:space="preserve"> 4174.5697 </t>
  </si>
  <si>
    <t xml:space="preserve"> 36.9275 </t>
  </si>
  <si>
    <t xml:space="preserve"> 12026.2214 </t>
  </si>
  <si>
    <t xml:space="preserve"> 41.3094 </t>
  </si>
  <si>
    <t xml:space="preserve"> 34.8642 </t>
  </si>
  <si>
    <t xml:space="preserve"> 4023.1604 </t>
  </si>
  <si>
    <t xml:space="preserve"> 35.4946 </t>
  </si>
  <si>
    <t xml:space="preserve"> 38.1379 </t>
  </si>
  <si>
    <t xml:space="preserve"> 9279.2248 </t>
  </si>
  <si>
    <t xml:space="preserve"> 38.7902 </t>
  </si>
  <si>
    <t xml:space="preserve"> 34.3947 </t>
  </si>
  <si>
    <t xml:space="preserve"> 12.3707 </t>
  </si>
  <si>
    <t xml:space="preserve"> 205544.333 </t>
  </si>
  <si>
    <t xml:space="preserve"> 255013.901 </t>
  </si>
  <si>
    <t xml:space="preserve"> 25523.2757 </t>
  </si>
  <si>
    <t xml:space="preserve"> 33.15 </t>
  </si>
  <si>
    <t xml:space="preserve"> 39128.4794 </t>
  </si>
  <si>
    <t xml:space="preserve"> 35.4024 </t>
  </si>
  <si>
    <t xml:space="preserve"> 34845.7602 </t>
  </si>
  <si>
    <t xml:space="preserve"> 34.509 </t>
  </si>
  <si>
    <t xml:space="preserve"> 2011.5802 </t>
  </si>
  <si>
    <t xml:space="preserve"> 34.129 </t>
  </si>
  <si>
    <t xml:space="preserve"> 31.4688 </t>
  </si>
  <si>
    <t xml:space="preserve"> 30995.639 </t>
  </si>
  <si>
    <t xml:space="preserve"> 31.529 </t>
  </si>
  <si>
    <t xml:space="preserve"> 3525.6728 </t>
  </si>
  <si>
    <t xml:space="preserve"> 31.3926 </t>
  </si>
  <si>
    <t xml:space="preserve"> 14275.7305 </t>
  </si>
  <si>
    <t xml:space="preserve"> 31.4091 </t>
  </si>
  <si>
    <t xml:space="preserve"> 713.7865 </t>
  </si>
  <si>
    <t xml:space="preserve"> 31.1515 </t>
  </si>
  <si>
    <t xml:space="preserve"> 6424.0787 </t>
  </si>
  <si>
    <t xml:space="preserve"> 40.3232 </t>
  </si>
  <si>
    <t xml:space="preserve"> 3915.0109 </t>
  </si>
  <si>
    <t xml:space="preserve"> 36.9116 </t>
  </si>
  <si>
    <t xml:space="preserve"> 3741.9718 </t>
  </si>
  <si>
    <t xml:space="preserve"> 35.4682 </t>
  </si>
  <si>
    <t xml:space="preserve"> 2725.3667 </t>
  </si>
  <si>
    <t xml:space="preserve"> 33.3095 </t>
  </si>
  <si>
    <t xml:space="preserve"> 5602.1427 </t>
  </si>
  <si>
    <t xml:space="preserve"> 39.1506 </t>
  </si>
  <si>
    <t xml:space="preserve"> 2444.1781 </t>
  </si>
  <si>
    <t xml:space="preserve"> 34.2035 </t>
  </si>
  <si>
    <t xml:space="preserve"> 24.0956 </t>
  </si>
  <si>
    <t xml:space="preserve"> 15.9608 </t>
  </si>
  <si>
    <t xml:space="preserve"> 251220.417 </t>
  </si>
  <si>
    <t xml:space="preserve"> 412272.07 </t>
  </si>
  <si>
    <t xml:space="preserve"> 51154.7008 </t>
  </si>
  <si>
    <t xml:space="preserve"> 41.814 </t>
  </si>
  <si>
    <t xml:space="preserve"> 48861.932 </t>
  </si>
  <si>
    <t xml:space="preserve"> 44.9637 </t>
  </si>
  <si>
    <t xml:space="preserve"> 66036.0683 </t>
  </si>
  <si>
    <t xml:space="preserve"> 42.0606 </t>
  </si>
  <si>
    <t xml:space="preserve"> 46.118 </t>
  </si>
  <si>
    <t xml:space="preserve"> 53620.5088 </t>
  </si>
  <si>
    <t xml:space="preserve"> 42.1436 </t>
  </si>
  <si>
    <t xml:space="preserve"> 46742.2023 </t>
  </si>
  <si>
    <t xml:space="preserve"> 46.0639 </t>
  </si>
  <si>
    <t xml:space="preserve"> 61126.0822 </t>
  </si>
  <si>
    <t xml:space="preserve"> 46.3857 </t>
  </si>
  <si>
    <t xml:space="preserve"> 58681.9041 </t>
  </si>
  <si>
    <t xml:space="preserve"> 49.2525 </t>
  </si>
  <si>
    <t xml:space="preserve"> 61991.278 </t>
  </si>
  <si>
    <t xml:space="preserve"> 48.1553 </t>
  </si>
  <si>
    <t xml:space="preserve"> 99194.6968 </t>
  </si>
  <si>
    <t xml:space="preserve"> 50.1742 </t>
  </si>
  <si>
    <t xml:space="preserve"> 98653.9494 </t>
  </si>
  <si>
    <t xml:space="preserve"> 47.4389 </t>
  </si>
  <si>
    <t xml:space="preserve"> 92727.3583 </t>
  </si>
  <si>
    <t xml:space="preserve"> 45.7331 </t>
  </si>
  <si>
    <t xml:space="preserve"> 43.5066 </t>
  </si>
  <si>
    <t xml:space="preserve"> 47023.3909 </t>
  </si>
  <si>
    <t xml:space="preserve"> 45.4742 </t>
  </si>
  <si>
    <t xml:space="preserve"> 49792.0174 </t>
  </si>
  <si>
    <t xml:space="preserve"> 49.2024 </t>
  </si>
  <si>
    <t xml:space="preserve"> 68090.9083 </t>
  </si>
  <si>
    <t xml:space="preserve"> 43.0492 </t>
  </si>
  <si>
    <t xml:space="preserve"> 59417.3205 </t>
  </si>
  <si>
    <t xml:space="preserve"> 45.5941 </t>
  </si>
  <si>
    <t xml:space="preserve"> 54918.3025 </t>
  </si>
  <si>
    <t xml:space="preserve"> 42.0654 </t>
  </si>
  <si>
    <t xml:space="preserve"> 43.2634 </t>
  </si>
  <si>
    <t xml:space="preserve"> 62726.6944 </t>
  </si>
  <si>
    <t xml:space="preserve"> 40.13 </t>
  </si>
  <si>
    <t xml:space="preserve"> 56691.9538 </t>
  </si>
  <si>
    <t xml:space="preserve"> 44.2068 </t>
  </si>
  <si>
    <t xml:space="preserve"> 44.8068 </t>
  </si>
  <si>
    <t xml:space="preserve"> 2.6848 </t>
  </si>
  <si>
    <t xml:space="preserve"> 2605293.71 </t>
  </si>
  <si>
    <t xml:space="preserve"> 953547.293 </t>
  </si>
  <si>
    <t xml:space="preserve"> 80701.1369 </t>
  </si>
  <si>
    <t xml:space="preserve"> 58.9461 </t>
  </si>
  <si>
    <t xml:space="preserve"> 92035.2016 </t>
  </si>
  <si>
    <t xml:space="preserve"> 52.6531 </t>
  </si>
  <si>
    <t xml:space="preserve"> 89309.8349 </t>
  </si>
  <si>
    <t xml:space="preserve"> 57.2662 </t>
  </si>
  <si>
    <t xml:space="preserve"> 68004.3887 </t>
  </si>
  <si>
    <t xml:space="preserve"> 53.833 </t>
  </si>
  <si>
    <t xml:space="preserve"> 67377.1218 </t>
  </si>
  <si>
    <t xml:space="preserve"> 54.2421 </t>
  </si>
  <si>
    <t xml:space="preserve"> 67160.8228 </t>
  </si>
  <si>
    <t xml:space="preserve"> 53.9233 </t>
  </si>
  <si>
    <t xml:space="preserve"> 91191.6358 </t>
  </si>
  <si>
    <t xml:space="preserve"> 53.6708 </t>
  </si>
  <si>
    <t xml:space="preserve"> 77997.4 </t>
  </si>
  <si>
    <t xml:space="preserve"> 55.8747 </t>
  </si>
  <si>
    <t xml:space="preserve"> 81739.3718 </t>
  </si>
  <si>
    <t xml:space="preserve"> 55.7997 </t>
  </si>
  <si>
    <t xml:space="preserve"> 78429.9979 </t>
  </si>
  <si>
    <t xml:space="preserve"> 55.2722 </t>
  </si>
  <si>
    <t xml:space="preserve"> 80549.7276 </t>
  </si>
  <si>
    <t xml:space="preserve"> 57.1321 </t>
  </si>
  <si>
    <t xml:space="preserve"> 54.6028 </t>
  </si>
  <si>
    <t xml:space="preserve"> 65841.3993 </t>
  </si>
  <si>
    <t xml:space="preserve"> 59.1659 </t>
  </si>
  <si>
    <t xml:space="preserve"> 71205.6131 </t>
  </si>
  <si>
    <t xml:space="preserve"> 60.2846 </t>
  </si>
  <si>
    <t xml:space="preserve"> 59633.6195 </t>
  </si>
  <si>
    <t xml:space="preserve"> 62.5481 </t>
  </si>
  <si>
    <t xml:space="preserve"> 60152.737 </t>
  </si>
  <si>
    <t xml:space="preserve"> 60.8565 </t>
  </si>
  <si>
    <t xml:space="preserve"> 62.5782 </t>
  </si>
  <si>
    <t xml:space="preserve"> 59.5364 </t>
  </si>
  <si>
    <t xml:space="preserve"> 73022.5243 </t>
  </si>
  <si>
    <t xml:space="preserve"> 59.0649 </t>
  </si>
  <si>
    <t xml:space="preserve"> 104256.092 </t>
  </si>
  <si>
    <t xml:space="preserve"> 53.838 </t>
  </si>
  <si>
    <t xml:space="preserve"> 89180.0556 </t>
  </si>
  <si>
    <t xml:space="preserve"> 52.5768 </t>
  </si>
  <si>
    <t xml:space="preserve"> 89288.205 </t>
  </si>
  <si>
    <t xml:space="preserve"> 54.6105 </t>
  </si>
  <si>
    <t xml:space="preserve"> 56.6624 </t>
  </si>
  <si>
    <t xml:space="preserve"> 3.0301 </t>
  </si>
  <si>
    <t xml:space="preserve"> 4287507.5 </t>
  </si>
  <si>
    <t xml:space="preserve"> 665763.613 </t>
  </si>
  <si>
    <t xml:space="preserve"> 36.7712 </t>
  </si>
  <si>
    <t xml:space="preserve"> 6856.6766 </t>
  </si>
  <si>
    <t xml:space="preserve"> 37.0315 </t>
  </si>
  <si>
    <t xml:space="preserve"> 2703.7368 </t>
  </si>
  <si>
    <t xml:space="preserve"> 33.44 </t>
  </si>
  <si>
    <t xml:space="preserve"> 1276.1638 </t>
  </si>
  <si>
    <t xml:space="preserve"> 34.1695 </t>
  </si>
  <si>
    <t xml:space="preserve"> 36.624 </t>
  </si>
  <si>
    <t xml:space="preserve"> 35.3401 </t>
  </si>
  <si>
    <t xml:space="preserve"> 4650.4273 </t>
  </si>
  <si>
    <t xml:space="preserve"> 36.0512 </t>
  </si>
  <si>
    <t xml:space="preserve"> 37.6632 </t>
  </si>
  <si>
    <t xml:space="preserve"> 33.9485 </t>
  </si>
  <si>
    <t xml:space="preserve"> 33.0508 </t>
  </si>
  <si>
    <t xml:space="preserve"> 346.0783 </t>
  </si>
  <si>
    <t xml:space="preserve"> 31.4375 </t>
  </si>
  <si>
    <t xml:space="preserve"> 6402.4488 </t>
  </si>
  <si>
    <t xml:space="preserve"> 36.5676 </t>
  </si>
  <si>
    <t xml:space="preserve"> 36.1786 </t>
  </si>
  <si>
    <t xml:space="preserve"> 5.1225 </t>
  </si>
  <si>
    <t xml:space="preserve"> 203634.625 </t>
  </si>
  <si>
    <t xml:space="preserve"> 185859.932 </t>
  </si>
  <si>
    <t xml:space="preserve"> 11096.1359 </t>
  </si>
  <si>
    <t xml:space="preserve"> 39.5906 </t>
  </si>
  <si>
    <t xml:space="preserve"> 11723.4029 </t>
  </si>
  <si>
    <t xml:space="preserve"> 39.8321 </t>
  </si>
  <si>
    <t xml:space="preserve"> 15595.154 </t>
  </si>
  <si>
    <t xml:space="preserve"> 32.5354 </t>
  </si>
  <si>
    <t xml:space="preserve"> 22495.0904 </t>
  </si>
  <si>
    <t xml:space="preserve"> 33.1731 </t>
  </si>
  <si>
    <t xml:space="preserve"> 10187.6804 </t>
  </si>
  <si>
    <t xml:space="preserve"> 35.6921 </t>
  </si>
  <si>
    <t xml:space="preserve"> 17001.0972 </t>
  </si>
  <si>
    <t xml:space="preserve"> 34.9529 </t>
  </si>
  <si>
    <t xml:space="preserve"> 47520.8785 </t>
  </si>
  <si>
    <t xml:space="preserve"> 36.0332 </t>
  </si>
  <si>
    <t xml:space="preserve"> 39647.5969 </t>
  </si>
  <si>
    <t xml:space="preserve"> 36.7725 </t>
  </si>
  <si>
    <t xml:space="preserve"> 21305.4462 </t>
  </si>
  <si>
    <t xml:space="preserve"> 32.932 </t>
  </si>
  <si>
    <t xml:space="preserve"> 32.8793 </t>
  </si>
  <si>
    <t xml:space="preserve"> 70773.0152 </t>
  </si>
  <si>
    <t xml:space="preserve"> 37.3823 </t>
  </si>
  <si>
    <t xml:space="preserve"> 77326.8733 </t>
  </si>
  <si>
    <t xml:space="preserve"> 40.2408 </t>
  </si>
  <si>
    <t xml:space="preserve"> 15638.4138 </t>
  </si>
  <si>
    <t xml:space="preserve"> 32.3928 </t>
  </si>
  <si>
    <t xml:space="preserve"> 31.3333 </t>
  </si>
  <si>
    <t xml:space="preserve"> 36.0233 </t>
  </si>
  <si>
    <t xml:space="preserve"> 3.3103 </t>
  </si>
  <si>
    <t xml:space="preserve"> 946710.75 </t>
  </si>
  <si>
    <t xml:space="preserve"> 860303.699 </t>
  </si>
  <si>
    <t xml:space="preserve"> 37.4367 </t>
  </si>
  <si>
    <t xml:space="preserve"> 62380.6161 </t>
  </si>
  <si>
    <t xml:space="preserve"> 40.1983 </t>
  </si>
  <si>
    <t xml:space="preserve"> 44233.1345 </t>
  </si>
  <si>
    <t xml:space="preserve"> 35.2005 </t>
  </si>
  <si>
    <t xml:space="preserve"> 36143.5539 </t>
  </si>
  <si>
    <t xml:space="preserve"> 33.7193 </t>
  </si>
  <si>
    <t xml:space="preserve"> 60109.4772 </t>
  </si>
  <si>
    <t xml:space="preserve"> 41.9852 </t>
  </si>
  <si>
    <t xml:space="preserve"> 59027.9824 </t>
  </si>
  <si>
    <t xml:space="preserve"> 40.5079 </t>
  </si>
  <si>
    <t xml:space="preserve"> 25285.3468 </t>
  </si>
  <si>
    <t xml:space="preserve"> 34.2789 </t>
  </si>
  <si>
    <t xml:space="preserve"> 40404.6432 </t>
  </si>
  <si>
    <t xml:space="preserve"> 36.53 </t>
  </si>
  <si>
    <t xml:space="preserve"> 81761.0017 </t>
  </si>
  <si>
    <t xml:space="preserve"> 39.5315 </t>
  </si>
  <si>
    <t xml:space="preserve"> 92056.8315 </t>
  </si>
  <si>
    <t xml:space="preserve"> 43.6295 </t>
  </si>
  <si>
    <t xml:space="preserve"> 38393.063 </t>
  </si>
  <si>
    <t xml:space="preserve"> 37.8434 </t>
  </si>
  <si>
    <t xml:space="preserve"> 44535.953 </t>
  </si>
  <si>
    <t xml:space="preserve"> 38.7159 </t>
  </si>
  <si>
    <t xml:space="preserve"> 46893.6116 </t>
  </si>
  <si>
    <t xml:space="preserve"> 35.5613 </t>
  </si>
  <si>
    <t xml:space="preserve"> 53317.6903 </t>
  </si>
  <si>
    <t xml:space="preserve"> 37.312 </t>
  </si>
  <si>
    <t xml:space="preserve"> 80982.3255 </t>
  </si>
  <si>
    <t xml:space="preserve"> 45.5785 </t>
  </si>
  <si>
    <t xml:space="preserve"> 82258.4893 </t>
  </si>
  <si>
    <t xml:space="preserve"> 47.6363 </t>
  </si>
  <si>
    <t xml:space="preserve"> 39.1041 </t>
  </si>
  <si>
    <t xml:space="preserve"> 4.0106 </t>
  </si>
  <si>
    <t xml:space="preserve"> 2279101.38 </t>
  </si>
  <si>
    <t xml:space="preserve"> 982113.905 </t>
  </si>
  <si>
    <t xml:space="preserve"> 39.5761 </t>
  </si>
  <si>
    <t xml:space="preserve"> 53663.7686 </t>
  </si>
  <si>
    <t xml:space="preserve"> 37.9657 </t>
  </si>
  <si>
    <t xml:space="preserve"> 27383.4466 </t>
  </si>
  <si>
    <t xml:space="preserve"> 33.9463 </t>
  </si>
  <si>
    <t xml:space="preserve"> 27232.0373 </t>
  </si>
  <si>
    <t xml:space="preserve"> 33.9063 </t>
  </si>
  <si>
    <t xml:space="preserve"> 24744.5995 </t>
  </si>
  <si>
    <t xml:space="preserve"> 42.0017 </t>
  </si>
  <si>
    <t xml:space="preserve"> 30108.8133 </t>
  </si>
  <si>
    <t xml:space="preserve"> 42.9389 </t>
  </si>
  <si>
    <t xml:space="preserve"> 68653.2856 </t>
  </si>
  <si>
    <t xml:space="preserve"> 51.4883 </t>
  </si>
  <si>
    <t xml:space="preserve"> 72049.179 </t>
  </si>
  <si>
    <t xml:space="preserve"> 50.8793 </t>
  </si>
  <si>
    <t xml:space="preserve"> 49532.4587 </t>
  </si>
  <si>
    <t xml:space="preserve"> 37.2987 </t>
  </si>
  <si>
    <t xml:space="preserve"> 51284.4802 </t>
  </si>
  <si>
    <t xml:space="preserve"> 37.5188 </t>
  </si>
  <si>
    <t xml:space="preserve"> 29178.7279 </t>
  </si>
  <si>
    <t xml:space="preserve"> 35.6738 </t>
  </si>
  <si>
    <t xml:space="preserve"> 31320.0874 </t>
  </si>
  <si>
    <t xml:space="preserve"> 36.0117 </t>
  </si>
  <si>
    <t xml:space="preserve"> 50808.6225 </t>
  </si>
  <si>
    <t xml:space="preserve"> 39.6696 </t>
  </si>
  <si>
    <t xml:space="preserve"> 60304.1462 </t>
  </si>
  <si>
    <t xml:space="preserve"> 43.9473 </t>
  </si>
  <si>
    <t xml:space="preserve"> 68718.1752 </t>
  </si>
  <si>
    <t xml:space="preserve"> 45.0016 </t>
  </si>
  <si>
    <t xml:space="preserve"> 61904.7584 </t>
  </si>
  <si>
    <t xml:space="preserve"> 42.1778 </t>
  </si>
  <si>
    <t xml:space="preserve"> 40.6251 </t>
  </si>
  <si>
    <t xml:space="preserve"> 5.3439 </t>
  </si>
  <si>
    <t xml:space="preserve"> 1991942.94 </t>
  </si>
  <si>
    <t xml:space="preserve"> 915691.406 </t>
  </si>
  <si>
    <t xml:space="preserve"> 40.964 </t>
  </si>
  <si>
    <t xml:space="preserve"> 58768.4237 </t>
  </si>
  <si>
    <t xml:space="preserve"> 43.0162 </t>
  </si>
  <si>
    <t xml:space="preserve"> 43.0365 </t>
  </si>
  <si>
    <t xml:space="preserve"> 57816.7083 </t>
  </si>
  <si>
    <t xml:space="preserve"> 38.9865 </t>
  </si>
  <si>
    <t xml:space="preserve"> 69778.0401 </t>
  </si>
  <si>
    <t xml:space="preserve"> 44.3072 </t>
  </si>
  <si>
    <t xml:space="preserve"> 62142.6873 </t>
  </si>
  <si>
    <t xml:space="preserve"> 42.6805 </t>
  </si>
  <si>
    <t xml:space="preserve"> 49770.3875 </t>
  </si>
  <si>
    <t xml:space="preserve"> 47.1791 </t>
  </si>
  <si>
    <t xml:space="preserve"> 57081.2919 </t>
  </si>
  <si>
    <t xml:space="preserve"> 49.3361 </t>
  </si>
  <si>
    <t xml:space="preserve"> 77175.464 </t>
  </si>
  <si>
    <t xml:space="preserve"> 47.3433 </t>
  </si>
  <si>
    <t xml:space="preserve"> 71119.0935 </t>
  </si>
  <si>
    <t xml:space="preserve"> 45.5344 </t>
  </si>
  <si>
    <t xml:space="preserve"> 68047.6485 </t>
  </si>
  <si>
    <t xml:space="preserve"> 47.7003 </t>
  </si>
  <si>
    <t xml:space="preserve"> 66641.7054 </t>
  </si>
  <si>
    <t xml:space="preserve"> 44.6657 </t>
  </si>
  <si>
    <t xml:space="preserve"> 39.3977 </t>
  </si>
  <si>
    <t xml:space="preserve"> 54528.9644 </t>
  </si>
  <si>
    <t xml:space="preserve"> 37.0186 </t>
  </si>
  <si>
    <t xml:space="preserve"> 61472.1605 </t>
  </si>
  <si>
    <t xml:space="preserve"> 44.5373 </t>
  </si>
  <si>
    <t xml:space="preserve"> 52668.7934 </t>
  </si>
  <si>
    <t xml:space="preserve"> 43.9462 </t>
  </si>
  <si>
    <t xml:space="preserve"> 43.7281 </t>
  </si>
  <si>
    <t xml:space="preserve"> 3.3996 </t>
  </si>
  <si>
    <t xml:space="preserve"> 2745056.62 </t>
  </si>
  <si>
    <t xml:space="preserve"> 444815.381 </t>
  </si>
  <si>
    <t xml:space="preserve"> 35797.4756 </t>
  </si>
  <si>
    <t xml:space="preserve"> 47.5329 </t>
  </si>
  <si>
    <t xml:space="preserve"> 35602.8066 </t>
  </si>
  <si>
    <t xml:space="preserve"> 42.0802 </t>
  </si>
  <si>
    <t xml:space="preserve"> 95669.0239 </t>
  </si>
  <si>
    <t xml:space="preserve"> 55.3773 </t>
  </si>
  <si>
    <t xml:space="preserve"> 87190.1052 </t>
  </si>
  <si>
    <t xml:space="preserve"> 51.6467 </t>
  </si>
  <si>
    <t xml:space="preserve"> 68674.9154 </t>
  </si>
  <si>
    <t xml:space="preserve"> 42.668 </t>
  </si>
  <si>
    <t xml:space="preserve"> 69669.8906 </t>
  </si>
  <si>
    <t xml:space="preserve"> 42.1254 </t>
  </si>
  <si>
    <t xml:space="preserve"> 64175.8974 </t>
  </si>
  <si>
    <t xml:space="preserve"> 46.4277 </t>
  </si>
  <si>
    <t xml:space="preserve"> 60650.2245 </t>
  </si>
  <si>
    <t xml:space="preserve"> 44.5977 </t>
  </si>
  <si>
    <t xml:space="preserve"> 71811.2502 </t>
  </si>
  <si>
    <t xml:space="preserve"> 50.2386 </t>
  </si>
  <si>
    <t xml:space="preserve"> 67420.3816 </t>
  </si>
  <si>
    <t xml:space="preserve"> 48.4033 </t>
  </si>
  <si>
    <t xml:space="preserve"> 66879.6342 </t>
  </si>
  <si>
    <t xml:space="preserve"> 47.9903 </t>
  </si>
  <si>
    <t xml:space="preserve"> 70686.4956 </t>
  </si>
  <si>
    <t xml:space="preserve"> 44.1034 </t>
  </si>
  <si>
    <t xml:space="preserve"> 69020.9938 </t>
  </si>
  <si>
    <t xml:space="preserve"> 46.3049 </t>
  </si>
  <si>
    <t xml:space="preserve"> 61926.3883 </t>
  </si>
  <si>
    <t xml:space="preserve"> 47.4408 </t>
  </si>
  <si>
    <t xml:space="preserve"> 38.7563 </t>
  </si>
  <si>
    <t xml:space="preserve"> 55415.79 </t>
  </si>
  <si>
    <t xml:space="preserve"> 37.6885 </t>
  </si>
  <si>
    <t xml:space="preserve"> 45.8364 </t>
  </si>
  <si>
    <t xml:space="preserve"> 4.6216 </t>
  </si>
  <si>
    <t xml:space="preserve"> 3011438.38 </t>
  </si>
  <si>
    <t xml:space="preserve"> 950983.075 </t>
  </si>
  <si>
    <t xml:space="preserve"> 85178.525 </t>
  </si>
  <si>
    <t xml:space="preserve"> 44.6244 </t>
  </si>
  <si>
    <t xml:space="preserve"> 95279.6858 </t>
  </si>
  <si>
    <t xml:space="preserve"> 50.7353 </t>
  </si>
  <si>
    <t xml:space="preserve"> 72157.3285 </t>
  </si>
  <si>
    <t xml:space="preserve"> 44.1921 </t>
  </si>
  <si>
    <t xml:space="preserve"> 67615.0506 </t>
  </si>
  <si>
    <t xml:space="preserve"> 40.3055 </t>
  </si>
  <si>
    <t xml:space="preserve"> 80766.0265 </t>
  </si>
  <si>
    <t xml:space="preserve"> 49.0629 </t>
  </si>
  <si>
    <t xml:space="preserve"> 89958.7318 </t>
  </si>
  <si>
    <t xml:space="preserve"> 54.0373 </t>
  </si>
  <si>
    <t xml:space="preserve"> 90650.8884 </t>
  </si>
  <si>
    <t xml:space="preserve"> 52.5932 </t>
  </si>
  <si>
    <t xml:space="preserve"> 57.3163 </t>
  </si>
  <si>
    <t xml:space="preserve"> 43.3301 </t>
  </si>
  <si>
    <t xml:space="preserve"> 61537.0502 </t>
  </si>
  <si>
    <t xml:space="preserve"> 42.639 </t>
  </si>
  <si>
    <t xml:space="preserve"> 80722.7668 </t>
  </si>
  <si>
    <t xml:space="preserve"> 50.8387 </t>
  </si>
  <si>
    <t xml:space="preserve"> 81198.6244 </t>
  </si>
  <si>
    <t xml:space="preserve"> 49.0589 </t>
  </si>
  <si>
    <t xml:space="preserve"> 86216.76 </t>
  </si>
  <si>
    <t xml:space="preserve"> 47.9842 </t>
  </si>
  <si>
    <t xml:space="preserve"> 78949.1154 </t>
  </si>
  <si>
    <t xml:space="preserve"> 48.5978 </t>
  </si>
  <si>
    <t xml:space="preserve"> 47.8259 </t>
  </si>
  <si>
    <t xml:space="preserve"> 6.6991 </t>
  </si>
  <si>
    <t xml:space="preserve"> 3602771.25 </t>
  </si>
  <si>
    <t xml:space="preserve"> 1283959.85 </t>
  </si>
  <si>
    <t xml:space="preserve"> 78559.7773 </t>
  </si>
  <si>
    <t xml:space="preserve"> 41.4339 </t>
  </si>
  <si>
    <t xml:space="preserve"> 72265.478 </t>
  </si>
  <si>
    <t xml:space="preserve"> 44.317 </t>
  </si>
  <si>
    <t xml:space="preserve"> 71746.3605 </t>
  </si>
  <si>
    <t xml:space="preserve"> 47.0353 </t>
  </si>
  <si>
    <t xml:space="preserve"> 72654.8161 </t>
  </si>
  <si>
    <t xml:space="preserve"> 47.1271 </t>
  </si>
  <si>
    <t xml:space="preserve"> 58465.6052 </t>
  </si>
  <si>
    <t xml:space="preserve"> 48.4044 </t>
  </si>
  <si>
    <t xml:space="preserve"> 68588.3959 </t>
  </si>
  <si>
    <t xml:space="preserve"> 47.4178 </t>
  </si>
  <si>
    <t xml:space="preserve"> 84918.9663 </t>
  </si>
  <si>
    <t xml:space="preserve"> 52.5642 </t>
  </si>
  <si>
    <t xml:space="preserve"> 79792.6813 </t>
  </si>
  <si>
    <t xml:space="preserve"> 52.0529 </t>
  </si>
  <si>
    <t xml:space="preserve"> 57038.0321 </t>
  </si>
  <si>
    <t xml:space="preserve"> 53.4092 </t>
  </si>
  <si>
    <t xml:space="preserve"> 89201.6854 </t>
  </si>
  <si>
    <t xml:space="preserve"> 54.2723 </t>
  </si>
  <si>
    <t xml:space="preserve"> 86368.1693 </t>
  </si>
  <si>
    <t xml:space="preserve"> 50.2837 </t>
  </si>
  <si>
    <t xml:space="preserve"> 48.6753 </t>
  </si>
  <si>
    <t xml:space="preserve"> 70924.4245 </t>
  </si>
  <si>
    <t xml:space="preserve"> 49.0698 </t>
  </si>
  <si>
    <t xml:space="preserve"> 73693.051 </t>
  </si>
  <si>
    <t xml:space="preserve"> 57.6117 </t>
  </si>
  <si>
    <t xml:space="preserve"> 79360.0834 </t>
  </si>
  <si>
    <t xml:space="preserve"> 55.9392 </t>
  </si>
  <si>
    <t xml:space="preserve"> 49.625 </t>
  </si>
  <si>
    <t xml:space="preserve"> 4.4555 </t>
  </si>
  <si>
    <t xml:space="preserve"> 3678597.5 </t>
  </si>
  <si>
    <t xml:space="preserve"> 622235.578 </t>
  </si>
  <si>
    <t xml:space="preserve"> 89353.0947 </t>
  </si>
  <si>
    <t xml:space="preserve"> 49.0155 </t>
  </si>
  <si>
    <t xml:space="preserve"> 85827.4219 </t>
  </si>
  <si>
    <t xml:space="preserve"> 47.7704 </t>
  </si>
  <si>
    <t xml:space="preserve"> 87860.632 </t>
  </si>
  <si>
    <t xml:space="preserve"> 50.6056 </t>
  </si>
  <si>
    <t xml:space="preserve"> 71378.6523 </t>
  </si>
  <si>
    <t xml:space="preserve"> 44.3958 </t>
  </si>
  <si>
    <t xml:space="preserve"> 58054.6372 </t>
  </si>
  <si>
    <t xml:space="preserve"> 46.3882 </t>
  </si>
  <si>
    <t xml:space="preserve"> 41.7692 </t>
  </si>
  <si>
    <t xml:space="preserve"> 45.2766 </t>
  </si>
  <si>
    <t xml:space="preserve"> 42394.5935 </t>
  </si>
  <si>
    <t xml:space="preserve"> 43.7464 </t>
  </si>
  <si>
    <t xml:space="preserve"> 66706.595 </t>
  </si>
  <si>
    <t xml:space="preserve"> 45.4805 </t>
  </si>
  <si>
    <t xml:space="preserve"> 41.8799 </t>
  </si>
  <si>
    <t xml:space="preserve"> 65949.5487 </t>
  </si>
  <si>
    <t xml:space="preserve"> 42.1735 </t>
  </si>
  <si>
    <t xml:space="preserve"> 83166.9448 </t>
  </si>
  <si>
    <t xml:space="preserve"> 45.4882 </t>
  </si>
  <si>
    <t xml:space="preserve"> 72070.8089 </t>
  </si>
  <si>
    <t xml:space="preserve"> 44.1846 </t>
  </si>
  <si>
    <t xml:space="preserve"> 81523.0729 </t>
  </si>
  <si>
    <t xml:space="preserve"> 45.6561 </t>
  </si>
  <si>
    <t xml:space="preserve"> 46720.5724 </t>
  </si>
  <si>
    <t xml:space="preserve"> 43.5972 </t>
  </si>
  <si>
    <t xml:space="preserve"> 51630.5585 </t>
  </si>
  <si>
    <t xml:space="preserve"> 44.0251 </t>
  </si>
  <si>
    <t xml:space="preserve"> 51695.4482 </t>
  </si>
  <si>
    <t xml:space="preserve"> 39.5577 </t>
  </si>
  <si>
    <t xml:space="preserve"> 48061.6259 </t>
  </si>
  <si>
    <t xml:space="preserve"> 41.5063 </t>
  </si>
  <si>
    <t xml:space="preserve"> 52820.2027 </t>
  </si>
  <si>
    <t xml:space="preserve"> 40.4533 </t>
  </si>
  <si>
    <t xml:space="preserve"> 49013.3412 </t>
  </si>
  <si>
    <t xml:space="preserve"> 36.9704 </t>
  </si>
  <si>
    <t xml:space="preserve"> 43973.5758 </t>
  </si>
  <si>
    <t xml:space="preserve"> 35.9666 </t>
  </si>
  <si>
    <t xml:space="preserve"> 53360.95 </t>
  </si>
  <si>
    <t xml:space="preserve"> 37.6478 </t>
  </si>
  <si>
    <t xml:space="preserve"> 43.7795 </t>
  </si>
  <si>
    <t xml:space="preserve"> 3.9045 </t>
  </si>
  <si>
    <t xml:space="preserve"> 2638082.75 </t>
  </si>
  <si>
    <t xml:space="preserve"> 912495.613 </t>
  </si>
  <si>
    <t>BPA</t>
  </si>
  <si>
    <t xml:space="preserve">C:\Users\cbarrier\Desktop\BPA\BPA\20201116_Cefas_Test6-Run1/20201116_Cefas_Test6-Run1/Plate 1/@1/A10_01.tif </t>
  </si>
  <si>
    <t xml:space="preserve"> 9473.8938 </t>
  </si>
  <si>
    <t xml:space="preserve"> 38.9132 </t>
  </si>
  <si>
    <t xml:space="preserve">C:\Users\cbarrier\Desktop\BPA\BPA\20201116_Cefas_Test6-Run1/20201116_Cefas_Test6-Run1/Plate 1/@1/A10_02.tif </t>
  </si>
  <si>
    <t xml:space="preserve"> 2746.9966 </t>
  </si>
  <si>
    <t xml:space="preserve"> 38.8819 </t>
  </si>
  <si>
    <t xml:space="preserve">C:\Users\cbarrier\Desktop\BPA\BPA\20201116_Cefas_Test6-Run1/20201116_Cefas_Test6-Run1/Plate 1/@1/A10_03.tif </t>
  </si>
  <si>
    <t xml:space="preserve"> 4563.9078 </t>
  </si>
  <si>
    <t xml:space="preserve"> 33.7488 </t>
  </si>
  <si>
    <t xml:space="preserve">C:\Users\cbarrier\Desktop\BPA\BPA\20201116_Cefas_Test6-Run1/20201116_Cefas_Test6-Run1/Plate 1/@1/B10_01.tif </t>
  </si>
  <si>
    <t xml:space="preserve"> 39.4566 </t>
  </si>
  <si>
    <t xml:space="preserve">C:\Users\cbarrier\Desktop\BPA\BPA\20201116_Cefas_Test6-Run1/20201116_Cefas_Test6-Run1/Plate 1/@1/B10_02.tif </t>
  </si>
  <si>
    <t xml:space="preserve"> 5818.4417 </t>
  </si>
  <si>
    <t xml:space="preserve"> 39.7286 </t>
  </si>
  <si>
    <t xml:space="preserve">C:\Users\cbarrier\Desktop\BPA\BPA\20201116_Cefas_Test6-Run1/20201116_Cefas_Test6-Run1/Plate 1/@1/B10_03.tif </t>
  </si>
  <si>
    <t xml:space="preserve"> 7246.0147 </t>
  </si>
  <si>
    <t xml:space="preserve"> 37.4627 </t>
  </si>
  <si>
    <t xml:space="preserve">C:\Users\cbarrier\Desktop\BPA\BPA\20201116_Cefas_Test6-Run1/20201116_Cefas_Test6-Run1/Plate 1/@1/C10_01.tif </t>
  </si>
  <si>
    <t xml:space="preserve"> 14297.3603 </t>
  </si>
  <si>
    <t xml:space="preserve"> 43.6263 </t>
  </si>
  <si>
    <t xml:space="preserve">C:\Users\cbarrier\Desktop\BPA\BPA\20201116_Cefas_Test6-Run1/20201116_Cefas_Test6-Run1/Plate 1/@1/C10_02.tif </t>
  </si>
  <si>
    <t xml:space="preserve"> 11398.9545 </t>
  </si>
  <si>
    <t xml:space="preserve"> 42.8577 </t>
  </si>
  <si>
    <t xml:space="preserve">C:\Users\cbarrier\Desktop\BPA\BPA\20201116_Cefas_Test6-Run1/20201116_Cefas_Test6-Run1/Plate 1/@1/C10_03.tif </t>
  </si>
  <si>
    <t xml:space="preserve"> 37.2444 </t>
  </si>
  <si>
    <t xml:space="preserve">C:\Users\cbarrier\Desktop\BPA\BPA\20201116_Cefas_Test6-Run1/20201116_Cefas_Test6-Run1/Plate 1/@1/D10_01.tif </t>
  </si>
  <si>
    <t xml:space="preserve"> 10166.0505 </t>
  </si>
  <si>
    <t xml:space="preserve"> 41.4787 </t>
  </si>
  <si>
    <t xml:space="preserve">C:\Users\cbarrier\Desktop\BPA\BPA\20201116_Cefas_Test6-Run1/20201116_Cefas_Test6-Run1/Plate 1/@1/D10_02.tif </t>
  </si>
  <si>
    <t xml:space="preserve"> 5083.0252 </t>
  </si>
  <si>
    <t xml:space="preserve"> 40.0809 </t>
  </si>
  <si>
    <t xml:space="preserve">C:\Users\cbarrier\Desktop\BPA\BPA\20201116_Cefas_Test6-Run1/20201116_Cefas_Test6-Run1/Plate 1/@1/D10_03.tif </t>
  </si>
  <si>
    <t xml:space="preserve"> 497.4876 </t>
  </si>
  <si>
    <t xml:space="preserve"> 31.3043 </t>
  </si>
  <si>
    <t xml:space="preserve">C:\Users\cbarrier\Desktop\BPA\BPA\20201116_Cefas_Test6-Run1/20201116_Cefas_Test6-Run1/Plate 1/@1/E10_01.tif </t>
  </si>
  <si>
    <t xml:space="preserve"> 7332.5343 </t>
  </si>
  <si>
    <t xml:space="preserve"> 37.8643 </t>
  </si>
  <si>
    <t xml:space="preserve">C:\Users\cbarrier\Desktop\BPA\BPA\20201116_Cefas_Test6-Run1/20201116_Cefas_Test6-Run1/Plate 1/@1/E10_02.tif </t>
  </si>
  <si>
    <t xml:space="preserve"> 34.7034 </t>
  </si>
  <si>
    <t xml:space="preserve">C:\Users\cbarrier\Desktop\BPA\BPA\20201116_Cefas_Test6-Run1/20201116_Cefas_Test6-Run1/Plate 1/@1/E10_03.tif </t>
  </si>
  <si>
    <t xml:space="preserve"> 35.7563 </t>
  </si>
  <si>
    <t xml:space="preserve">C:\Users\cbarrier\Desktop\BPA\BPA\20201116_Cefas_Test6-Run1/20201116_Cefas_Test6-Run1/Plate 1/@1/F10_01.tif </t>
  </si>
  <si>
    <t xml:space="preserve"> 4996.5057 </t>
  </si>
  <si>
    <t xml:space="preserve"> 36.4719 </t>
  </si>
  <si>
    <t xml:space="preserve">C:\Users\cbarrier\Desktop\BPA\BPA\20201116_Cefas_Test6-Run1/20201116_Cefas_Test6-Run1/Plate 1/@1/F10_02.tif </t>
  </si>
  <si>
    <t xml:space="preserve"> 2898.4059 </t>
  </si>
  <si>
    <t xml:space="preserve"> 35.7388 </t>
  </si>
  <si>
    <t xml:space="preserve">C:\Users\cbarrier\Desktop\BPA\BPA\20201116_Cefas_Test6-Run1/20201116_Cefas_Test6-Run1/Plate 1/@1/F10_03.tif </t>
  </si>
  <si>
    <t xml:space="preserve"> 2660.477 </t>
  </si>
  <si>
    <t xml:space="preserve"> 33.5854 </t>
  </si>
  <si>
    <t xml:space="preserve">C:\Users\cbarrier\Desktop\BPA\BPA\20201116_Cefas_Test6-Run1/20201116_Cefas_Test6-Run1/Plate 1/@1/G10_01.tif </t>
  </si>
  <si>
    <t xml:space="preserve"> 4412.4985 </t>
  </si>
  <si>
    <t xml:space="preserve"> 37.0343 </t>
  </si>
  <si>
    <t xml:space="preserve">C:\Users\cbarrier\Desktop\BPA\BPA\20201116_Cefas_Test6-Run1/20201116_Cefas_Test6-Run1/Plate 1/@1/G10_02.tif </t>
  </si>
  <si>
    <t xml:space="preserve"> 40.3609 </t>
  </si>
  <si>
    <t xml:space="preserve">C:\Users\cbarrier\Desktop\BPA\BPA\20201116_Cefas_Test6-Run1/20201116_Cefas_Test6-Run1/Plate 1/@1/G10_03.tif </t>
  </si>
  <si>
    <t xml:space="preserve">C:\Users\cbarrier\Desktop\BPA\BPA\20201116_Cefas_Test6-Run1/20201116_Cefas_Test6-Run1/Plate 1/@1/H10_01.tif </t>
  </si>
  <si>
    <t xml:space="preserve"> 32.8269 </t>
  </si>
  <si>
    <t xml:space="preserve">C:\Users\cbarrier\Desktop\BPA\BPA\20201116_Cefas_Test6-Run1/20201116_Cefas_Test6-Run1/Plate 1/@1/H10_02.tif </t>
  </si>
  <si>
    <t xml:space="preserve"> 36.2113 </t>
  </si>
  <si>
    <t xml:space="preserve">C:\Users\cbarrier\Desktop\BPA\BPA\20201116_Cefas_Test6-Run1/20201116_Cefas_Test6-Run1/Plate 1/@1/H10_03.tif </t>
  </si>
  <si>
    <t xml:space="preserve"> 2876.776 </t>
  </si>
  <si>
    <t xml:space="preserve"> 35.1429 </t>
  </si>
  <si>
    <t xml:space="preserve">C:\Users\cbarrier\Desktop\BPA\BPA\20201116_Cefas_Test6-Run1/20201116_Cefas_Test6-Run1/Plate 1/@1/ </t>
  </si>
  <si>
    <t xml:space="preserve"> 37.1034 </t>
  </si>
  <si>
    <t xml:space="preserve"> 3.4538 </t>
  </si>
  <si>
    <t xml:space="preserve"> 208579.833 </t>
  </si>
  <si>
    <t xml:space="preserve"> 153416.885 </t>
  </si>
  <si>
    <t xml:space="preserve">C:\Users\cbarrier\Desktop\BPA\BPA\20201116_Cefas_Test6-Run1/20201116_Cefas_Test6-Run1/Plate 1/@13/A8_01.tif </t>
  </si>
  <si>
    <t xml:space="preserve"> 54658.7437 </t>
  </si>
  <si>
    <t xml:space="preserve"> 36.9577 </t>
  </si>
  <si>
    <t xml:space="preserve">C:\Users\cbarrier\Desktop\BPA\BPA\20201116_Cefas_Test6-Run1/20201116_Cefas_Test6-Run1/Plate 1/@13/A8_02.tif </t>
  </si>
  <si>
    <t xml:space="preserve"> 34.9927 </t>
  </si>
  <si>
    <t xml:space="preserve">C:\Users\cbarrier\Desktop\BPA\BPA\20201116_Cefas_Test6-Run1/20201116_Cefas_Test6-Run1/Plate 1/@13/A8_03.tif </t>
  </si>
  <si>
    <t xml:space="preserve"> 47758.8073 </t>
  </si>
  <si>
    <t xml:space="preserve"> 35.5077 </t>
  </si>
  <si>
    <t xml:space="preserve">C:\Users\cbarrier\Desktop\BPA\BPA\20201116_Cefas_Test6-Run1/20201116_Cefas_Test6-Run1/Plate 1/@13/B8_01.tif </t>
  </si>
  <si>
    <t xml:space="preserve"> 31.6957 </t>
  </si>
  <si>
    <t xml:space="preserve">C:\Users\cbarrier\Desktop\BPA\BPA\20201116_Cefas_Test6-Run1/20201116_Cefas_Test6-Run1/Plate 1/@13/B8_02.tif </t>
  </si>
  <si>
    <t xml:space="preserve"> 31.1061 </t>
  </si>
  <si>
    <t xml:space="preserve">C:\Users\cbarrier\Desktop\BPA\BPA\20201116_Cefas_Test6-Run1/20201116_Cefas_Test6-Run1/Plate 1/@13/B8_03.tif </t>
  </si>
  <si>
    <t xml:space="preserve"> 4455.7583 </t>
  </si>
  <si>
    <t xml:space="preserve"> 31.7184 </t>
  </si>
  <si>
    <t xml:space="preserve">C:\Users\cbarrier\Desktop\BPA\BPA\20201116_Cefas_Test6-Run1/20201116_Cefas_Test6-Run1/Plate 1/@13/C8_01.tif </t>
  </si>
  <si>
    <t xml:space="preserve"> 47196.4301 </t>
  </si>
  <si>
    <t xml:space="preserve"> 36.9418 </t>
  </si>
  <si>
    <t xml:space="preserve">C:\Users\cbarrier\Desktop\BPA\BPA\20201116_Cefas_Test6-Run1/20201116_Cefas_Test6-Run1/Plate 1/@13/C8_02.tif </t>
  </si>
  <si>
    <t xml:space="preserve"> 34045.4541 </t>
  </si>
  <si>
    <t xml:space="preserve"> 34.6499 </t>
  </si>
  <si>
    <t xml:space="preserve">C:\Users\cbarrier\Desktop\BPA\BPA\20201116_Cefas_Test6-Run1/20201116_Cefas_Test6-Run1/Plate 1/@13/C8_03.tif </t>
  </si>
  <si>
    <t xml:space="preserve"> 41983.6255 </t>
  </si>
  <si>
    <t xml:space="preserve"> 36.1783 </t>
  </si>
  <si>
    <t xml:space="preserve">C:\Users\cbarrier\Desktop\BPA\BPA\20201116_Cefas_Test6-Run1/20201116_Cefas_Test6-Run1/Plate 1/@13/D8_01.tif </t>
  </si>
  <si>
    <t xml:space="preserve"> 24528.3005 </t>
  </si>
  <si>
    <t xml:space="preserve"> 33.0467 </t>
  </si>
  <si>
    <t>C:\Users\cbarrier\Desktop\BPA\BPA\20201116_Cefas_Test6-Run1/20201116_Cefas_Test6-Run1/Plate 1/@13/D8_02- exclu.tif</t>
  </si>
  <si>
    <t xml:space="preserve">C:\Users\cbarrier\Desktop\BPA\BPA\20201116_Cefas_Test6-Run1/20201116_Cefas_Test6-Run1/Plate 1/@13/D8_03.tif </t>
  </si>
  <si>
    <t xml:space="preserve"> 37679.2764 </t>
  </si>
  <si>
    <t xml:space="preserve"> 34.7365 </t>
  </si>
  <si>
    <t xml:space="preserve">C:\Users\cbarrier\Desktop\BPA\BPA\20201116_Cefas_Test6-Run1/20201116_Cefas_Test6-Run1/Plate 1/@13/E8_01.tif </t>
  </si>
  <si>
    <t xml:space="preserve"> 14340.6201 </t>
  </si>
  <si>
    <t xml:space="preserve"> 34.0332 </t>
  </si>
  <si>
    <t xml:space="preserve">C:\Users\cbarrier\Desktop\BPA\BPA\20201116_Cefas_Test6-Run1/20201116_Cefas_Test6-Run1/Plate 1/@13/E8_02.tif </t>
  </si>
  <si>
    <t xml:space="preserve"> 9300.8547 </t>
  </si>
  <si>
    <t xml:space="preserve"> 32.8163 </t>
  </si>
  <si>
    <t xml:space="preserve">C:\Users\cbarrier\Desktop\BPA\BPA\20201116_Cefas_Test6-Run1/20201116_Cefas_Test6-Run1/Plate 1/@13/E8_03.tif </t>
  </si>
  <si>
    <t xml:space="preserve"> 32.7217 </t>
  </si>
  <si>
    <t xml:space="preserve">C:\Users\cbarrier\Desktop\BPA\BPA\20201116_Cefas_Test6-Run1/20201116_Cefas_Test6-Run1/Plate 1/@13/F8_01.tif </t>
  </si>
  <si>
    <t xml:space="preserve"> 57405.7403 </t>
  </si>
  <si>
    <t xml:space="preserve"> 39.8425 </t>
  </si>
  <si>
    <t xml:space="preserve">C:\Users\cbarrier\Desktop\BPA\BPA\20201116_Cefas_Test6-Run1/20201116_Cefas_Test6-Run1/Plate 1/@13/F8_02.tif </t>
  </si>
  <si>
    <t xml:space="preserve"> 42978.6006 </t>
  </si>
  <si>
    <t xml:space="preserve"> 37.4459 </t>
  </si>
  <si>
    <t xml:space="preserve">C:\Users\cbarrier\Desktop\BPA\BPA\20201116_Cefas_Test6-Run1/20201116_Cefas_Test6-Run1/Plate 1/@13/F8_03.tif </t>
  </si>
  <si>
    <t xml:space="preserve"> 56194.4662 </t>
  </si>
  <si>
    <t xml:space="preserve"> 40.0481 </t>
  </si>
  <si>
    <t xml:space="preserve">C:\Users\cbarrier\Desktop\BPA\BPA\20201116_Cefas_Test6-Run1/20201116_Cefas_Test6-Run1/Plate 1/@13/G8_01.tif </t>
  </si>
  <si>
    <t xml:space="preserve">C:\Users\cbarrier\Desktop\BPA\BPA\20201116_Cefas_Test6-Run1/20201116_Cefas_Test6-Run1/Plate 1/@13/G8_02.tif </t>
  </si>
  <si>
    <t xml:space="preserve"> 1838.541 </t>
  </si>
  <si>
    <t xml:space="preserve"> 34.6 </t>
  </si>
  <si>
    <t xml:space="preserve">C:\Users\cbarrier\Desktop\BPA\BPA\20201116_Cefas_Test6-Run1/20201116_Cefas_Test6-Run1/Plate 1/@13/G8_03.tif </t>
  </si>
  <si>
    <t xml:space="preserve"> 31.4 </t>
  </si>
  <si>
    <t xml:space="preserve">C:\Users\cbarrier\Desktop\BPA\BPA\20201116_Cefas_Test6-Run1/20201116_Cefas_Test6-Run1/Plate 1/@13/H8_01.tif </t>
  </si>
  <si>
    <t xml:space="preserve"> 13670.0934 </t>
  </si>
  <si>
    <t xml:space="preserve"> 35.4589 </t>
  </si>
  <si>
    <t>C:\Users\cbarrier\Desktop\BPA\BPA\20201116_Cefas_Test6-Run1/20201116_Cefas_Test6-Run1/Plate 1/@13/H8_02- exclu.tif</t>
  </si>
  <si>
    <t>C:\Users\cbarrier\Desktop\BPA\BPA\20201116_Cefas_Test6-Run1/20201116_Cefas_Test6-Run1/Plate 1/@13/H8_03- exclu.tif</t>
  </si>
  <si>
    <t xml:space="preserve">C:\Users\cbarrier\Desktop\BPA\BPA\20201116_Cefas_Test6-Run1/20201116_Cefas_Test6-Run1/Plate 1/@13/ </t>
  </si>
  <si>
    <t xml:space="preserve"> 35.253 </t>
  </si>
  <si>
    <t xml:space="preserve"> 3.3678 </t>
  </si>
  <si>
    <t xml:space="preserve"> 899741.375 </t>
  </si>
  <si>
    <t xml:space="preserve"> 764905.496 </t>
  </si>
  <si>
    <t xml:space="preserve">C:\Users\cbarrier\Desktop\BPA\BPA\20201116_Cefas_Test6-Run1/20201116_Cefas_Test6-Run1/Plate 1/@14/A9_01.tif </t>
  </si>
  <si>
    <t xml:space="preserve"> 34.5179 </t>
  </si>
  <si>
    <t xml:space="preserve">C:\Users\cbarrier\Desktop\BPA\BPA\20201116_Cefas_Test6-Run1/20201116_Cefas_Test6-Run1/Plate 1/@14/A9_02.tif </t>
  </si>
  <si>
    <t xml:space="preserve"> 39.5887 </t>
  </si>
  <si>
    <t xml:space="preserve">C:\Users\cbarrier\Desktop\BPA\BPA\20201116_Cefas_Test6-Run1/20201116_Cefas_Test6-Run1/Plate 1/@14/A9_03.tif </t>
  </si>
  <si>
    <t xml:space="preserve"> 151.4093 </t>
  </si>
  <si>
    <t xml:space="preserve"> 30.8571 </t>
  </si>
  <si>
    <t xml:space="preserve">C:\Users\cbarrier\Desktop\BPA\BPA\20201116_Cefas_Test6-Run1/20201116_Cefas_Test6-Run1/Plate 1/@14/B9_01.tif </t>
  </si>
  <si>
    <t xml:space="preserve"> 33.7589 </t>
  </si>
  <si>
    <t xml:space="preserve">C:\Users\cbarrier\Desktop\BPA\BPA\20201116_Cefas_Test6-Run1/20201116_Cefas_Test6-Run1/Plate 1/@14/B9_02.tif </t>
  </si>
  <si>
    <t xml:space="preserve"> 1384.3133 </t>
  </si>
  <si>
    <t xml:space="preserve"> 31.4531 </t>
  </si>
  <si>
    <t xml:space="preserve">C:\Users\cbarrier\Desktop\BPA\BPA\20201116_Cefas_Test6-Run1/20201116_Cefas_Test6-Run1/Plate 1/@14/B9_03.tif </t>
  </si>
  <si>
    <t xml:space="preserve"> 1730.3916 </t>
  </si>
  <si>
    <t xml:space="preserve"> 32.25 </t>
  </si>
  <si>
    <t xml:space="preserve">C:\Users\cbarrier\Desktop\BPA\BPA\20201116_Cefas_Test6-Run1/20201116_Cefas_Test6-Run1/Plate 1/@14/C9_01.tif </t>
  </si>
  <si>
    <t xml:space="preserve"> 44060.0954 </t>
  </si>
  <si>
    <t xml:space="preserve"> 38.1816 </t>
  </si>
  <si>
    <t xml:space="preserve">C:\Users\cbarrier\Desktop\BPA\BPA\20201116_Cefas_Test6-Run1/20201116_Cefas_Test6-Run1/Plate 1/@14/C9_02.tif </t>
  </si>
  <si>
    <t xml:space="preserve"> 45509.2983 </t>
  </si>
  <si>
    <t xml:space="preserve"> 38.9187 </t>
  </si>
  <si>
    <t xml:space="preserve">C:\Users\cbarrier\Desktop\BPA\BPA\20201116_Cefas_Test6-Run1/20201116_Cefas_Test6-Run1/Plate 1/@14/C9_03.tif </t>
  </si>
  <si>
    <t xml:space="preserve"> 46547.5332 </t>
  </si>
  <si>
    <t xml:space="preserve"> 40.0316 </t>
  </si>
  <si>
    <t>C:\Users\cbarrier\Desktop\BPA\BPA\20201116_Cefas_Test6-Run1/20201116_Cefas_Test6-Run1/Plate 1/@14/D9_01- exclu.tif</t>
  </si>
  <si>
    <t>C:\Users\cbarrier\Desktop\BPA\BPA\20201116_Cefas_Test6-Run1/20201116_Cefas_Test6-Run1/Plate 1/@14/D9_02- exclu.tif</t>
  </si>
  <si>
    <t>C:\Users\cbarrier\Desktop\BPA\BPA\20201116_Cefas_Test6-Run1/20201116_Cefas_Test6-Run1/Plate 1/@14/D9_03- exclu.tif</t>
  </si>
  <si>
    <t xml:space="preserve">C:\Users\cbarrier\Desktop\BPA\BPA\20201116_Cefas_Test6-Run1/20201116_Cefas_Test6-Run1/Plate 1/@14/E9_01.tif </t>
  </si>
  <si>
    <t xml:space="preserve"> 16114.2715 </t>
  </si>
  <si>
    <t xml:space="preserve"> 32.5732 </t>
  </si>
  <si>
    <t xml:space="preserve">C:\Users\cbarrier\Desktop\BPA\BPA\20201116_Cefas_Test6-Run1/20201116_Cefas_Test6-Run1/Plate 1/@14/E9_02.tif </t>
  </si>
  <si>
    <t xml:space="preserve"> 8760.1073 </t>
  </si>
  <si>
    <t xml:space="preserve"> 31.6691 </t>
  </si>
  <si>
    <t xml:space="preserve">C:\Users\cbarrier\Desktop\BPA\BPA\20201116_Cefas_Test6-Run1/20201116_Cefas_Test6-Run1/Plate 1/@14/E9_03.tif </t>
  </si>
  <si>
    <t xml:space="preserve"> 10447.2391 </t>
  </si>
  <si>
    <t xml:space="preserve"> 31.9379 </t>
  </si>
  <si>
    <t xml:space="preserve">C:\Users\cbarrier\Desktop\BPA\BPA\20201116_Cefas_Test6-Run1/20201116_Cefas_Test6-Run1/Plate 1/@14/F9_01.tif </t>
  </si>
  <si>
    <t xml:space="preserve"> 13324.0151 </t>
  </si>
  <si>
    <t xml:space="preserve"> 33.2451 </t>
  </si>
  <si>
    <t xml:space="preserve">C:\Users\cbarrier\Desktop\BPA\BPA\20201116_Cefas_Test6-Run1/20201116_Cefas_Test6-Run1/Plate 1/@14/F9_02.tif </t>
  </si>
  <si>
    <t xml:space="preserve"> 15184.186 </t>
  </si>
  <si>
    <t xml:space="preserve"> 33.584 </t>
  </si>
  <si>
    <t xml:space="preserve">C:\Users\cbarrier\Desktop\BPA\BPA\20201116_Cefas_Test6-Run1/20201116_Cefas_Test6-Run1/Plate 1/@14/F9_03.tif </t>
  </si>
  <si>
    <t xml:space="preserve"> 18861.2681 </t>
  </si>
  <si>
    <t xml:space="preserve"> 33.836 </t>
  </si>
  <si>
    <t xml:space="preserve">C:\Users\cbarrier\Desktop\BPA\BPA\20201116_Cefas_Test6-Run1/20201116_Cefas_Test6-Run1/Plate 1/@14/G9_01.tif </t>
  </si>
  <si>
    <t xml:space="preserve"> 6575.488 </t>
  </si>
  <si>
    <t xml:space="preserve"> 36.1447 </t>
  </si>
  <si>
    <t xml:space="preserve">C:\Users\cbarrier\Desktop\BPA\BPA\20201116_Cefas_Test6-Run1/20201116_Cefas_Test6-Run1/Plate 1/@14/G9_02.tif </t>
  </si>
  <si>
    <t xml:space="preserve"> 34.9895 </t>
  </si>
  <si>
    <t xml:space="preserve">C:\Users\cbarrier\Desktop\BPA\BPA\20201116_Cefas_Test6-Run1/20201116_Cefas_Test6-Run1/Plate 1/@14/G9_03.tif </t>
  </si>
  <si>
    <t xml:space="preserve"> 36.7727 </t>
  </si>
  <si>
    <t xml:space="preserve">C:\Users\cbarrier\Desktop\BPA\BPA\20201116_Cefas_Test6-Run1/20201116_Cefas_Test6-Run1/Plate 1/@14/H9_01.tif </t>
  </si>
  <si>
    <t xml:space="preserve"> 18969.4176 </t>
  </si>
  <si>
    <t xml:space="preserve"> 32.7241 </t>
  </si>
  <si>
    <t xml:space="preserve">C:\Users\cbarrier\Desktop\BPA\BPA\20201116_Cefas_Test6-Run1/20201116_Cefas_Test6-Run1/Plate 1/@14/H9_02.tif </t>
  </si>
  <si>
    <t xml:space="preserve"> 26280.322 </t>
  </si>
  <si>
    <t xml:space="preserve"> 33.8543 </t>
  </si>
  <si>
    <t xml:space="preserve">C:\Users\cbarrier\Desktop\BPA\BPA\20201116_Cefas_Test6-Run1/20201116_Cefas_Test6-Run1/Plate 1/@14/H9_03.tif </t>
  </si>
  <si>
    <t xml:space="preserve"> 17065.9869 </t>
  </si>
  <si>
    <t xml:space="preserve"> 33.4081 </t>
  </si>
  <si>
    <t xml:space="preserve">C:\Users\cbarrier\Desktop\BPA\BPA\20201116_Cefas_Test6-Run1/20201116_Cefas_Test6-Run1/Plate 1/@14/ </t>
  </si>
  <si>
    <t xml:space="preserve"> 34.8573 </t>
  </si>
  <si>
    <t xml:space="preserve"> 2.9528 </t>
  </si>
  <si>
    <t xml:space="preserve"> 513082.708 </t>
  </si>
  <si>
    <t xml:space="preserve"> 544247.102 </t>
  </si>
  <si>
    <t xml:space="preserve">C:\Users\cbarrier\Desktop\BPA\BPA\20201116_Cefas_Test6-Run1/20201116_Cefas_Test6-Run1/Plate 1/@15/A11_01.tif </t>
  </si>
  <si>
    <t xml:space="preserve"> 99648.9246 </t>
  </si>
  <si>
    <t xml:space="preserve"> 51.2633 </t>
  </si>
  <si>
    <t xml:space="preserve">C:\Users\cbarrier\Desktop\BPA\BPA\20201116_Cefas_Test6-Run1/20201116_Cefas_Test6-Run1/Plate 1/@15/A11_02.tif </t>
  </si>
  <si>
    <t xml:space="preserve"> 100254.562 </t>
  </si>
  <si>
    <t xml:space="preserve"> 50.2412 </t>
  </si>
  <si>
    <t xml:space="preserve">C:\Users\cbarrier\Desktop\BPA\BPA\20201116_Cefas_Test6-Run1/20201116_Cefas_Test6-Run1/Plate 1/@15/A11_03.tif </t>
  </si>
  <si>
    <t xml:space="preserve"> 95517.6147 </t>
  </si>
  <si>
    <t xml:space="preserve"> 54.0562 </t>
  </si>
  <si>
    <t xml:space="preserve">C:\Users\cbarrier\Desktop\BPA\BPA\20201116_Cefas_Test6-Run1/20201116_Cefas_Test6-Run1/Plate 1/@15/B11_01.tif </t>
  </si>
  <si>
    <t xml:space="preserve"> 82907.3861 </t>
  </si>
  <si>
    <t xml:space="preserve"> 52.2507 </t>
  </si>
  <si>
    <t xml:space="preserve">C:\Users\cbarrier\Desktop\BPA\BPA\20201116_Cefas_Test6-Run1/20201116_Cefas_Test6-Run1/Plate 1/@15/B11_02.tif </t>
  </si>
  <si>
    <t xml:space="preserve"> 49.949 </t>
  </si>
  <si>
    <t xml:space="preserve">C:\Users\cbarrier\Desktop\BPA\BPA\20201116_Cefas_Test6-Run1/20201116_Cefas_Test6-Run1/Plate 1/@15/B11_03.tif </t>
  </si>
  <si>
    <t xml:space="preserve"> 83058.7954 </t>
  </si>
  <si>
    <t xml:space="preserve"> 49.032 </t>
  </si>
  <si>
    <t xml:space="preserve">C:\Users\cbarrier\Desktop\BPA\BPA\20201116_Cefas_Test6-Run1/20201116_Cefas_Test6-Run1/Plate 1/@15/C11_01.tif </t>
  </si>
  <si>
    <t xml:space="preserve"> 76829.3857 </t>
  </si>
  <si>
    <t xml:space="preserve"> 49.2123 </t>
  </si>
  <si>
    <t xml:space="preserve">C:\Users\cbarrier\Desktop\BPA\BPA\20201116_Cefas_Test6-Run1/20201116_Cefas_Test6-Run1/Plate 1/@15/C11_02.tif </t>
  </si>
  <si>
    <t xml:space="preserve"> 78213.699 </t>
  </si>
  <si>
    <t xml:space="preserve"> 50.9051 </t>
  </si>
  <si>
    <t xml:space="preserve">C:\Users\cbarrier\Desktop\BPA\BPA\20201116_Cefas_Test6-Run1/20201116_Cefas_Test6-Run1/Plate 1/@15/C11_03.tif </t>
  </si>
  <si>
    <t xml:space="preserve"> 79944.0905 </t>
  </si>
  <si>
    <t xml:space="preserve"> 51.7018 </t>
  </si>
  <si>
    <t xml:space="preserve">C:\Users\cbarrier\Desktop\BPA\BPA\20201116_Cefas_Test6-Run1/20201116_Cefas_Test6-Run1/Plate 1/@15/D11_01.tif </t>
  </si>
  <si>
    <t xml:space="preserve"> 45.5894 </t>
  </si>
  <si>
    <t xml:space="preserve">C:\Users\cbarrier\Desktop\BPA\BPA\20201116_Cefas_Test6-Run1/20201116_Cefas_Test6-Run1/Plate 1/@15/D11_02.tif </t>
  </si>
  <si>
    <t xml:space="preserve"> 73736.3108 </t>
  </si>
  <si>
    <t xml:space="preserve"> 44.2077 </t>
  </si>
  <si>
    <t xml:space="preserve">C:\Users\cbarrier\Desktop\BPA\BPA\20201116_Cefas_Test6-Run1/20201116_Cefas_Test6-Run1/Plate 1/@15/D11_03.tif </t>
  </si>
  <si>
    <t xml:space="preserve"> 81003.9554 </t>
  </si>
  <si>
    <t xml:space="preserve"> 47.2475 </t>
  </si>
  <si>
    <t xml:space="preserve">C:\Users\cbarrier\Desktop\BPA\BPA\20201116_Cefas_Test6-Run1/20201116_Cefas_Test6-Run1/Plate 1/@15/E11_01.tif </t>
  </si>
  <si>
    <t xml:space="preserve"> 47412.729 </t>
  </si>
  <si>
    <t xml:space="preserve"> 42.927 </t>
  </si>
  <si>
    <t xml:space="preserve">C:\Users\cbarrier\Desktop\BPA\BPA\20201116_Cefas_Test6-Run1/20201116_Cefas_Test6-Run1/Plate 1/@15/E11_02.tif </t>
  </si>
  <si>
    <t xml:space="preserve"> 41010.2802 </t>
  </si>
  <si>
    <t xml:space="preserve"> 41.6108 </t>
  </si>
  <si>
    <t xml:space="preserve">C:\Users\cbarrier\Desktop\BPA\BPA\20201116_Cefas_Test6-Run1/20201116_Cefas_Test6-Run1/Plate 1/@15/E11_03.tif </t>
  </si>
  <si>
    <t xml:space="preserve"> 43043.4903 </t>
  </si>
  <si>
    <t xml:space="preserve"> 43.8065 </t>
  </si>
  <si>
    <t xml:space="preserve">C:\Users\cbarrier\Desktop\BPA\BPA\20201116_Cefas_Test6-Run1/20201116_Cefas_Test6-Run1/Plate 1/@15/F11_01.tif </t>
  </si>
  <si>
    <t xml:space="preserve"> 64846.4241 </t>
  </si>
  <si>
    <t xml:space="preserve"> 45.6044 </t>
  </si>
  <si>
    <t xml:space="preserve">C:\Users\cbarrier\Desktop\BPA\BPA\20201116_Cefas_Test6-Run1/20201116_Cefas_Test6-Run1/Plate 1/@15/F11_02.tif </t>
  </si>
  <si>
    <t xml:space="preserve"> 60606.9648 </t>
  </si>
  <si>
    <t xml:space="preserve"> 51.2434 </t>
  </si>
  <si>
    <t xml:space="preserve">C:\Users\cbarrier\Desktop\BPA\BPA\20201116_Cefas_Test6-Run1/20201116_Cefas_Test6-Run1/Plate 1/@15/F11_03.tif </t>
  </si>
  <si>
    <t xml:space="preserve"> 60542.0751 </t>
  </si>
  <si>
    <t xml:space="preserve"> 48.1168 </t>
  </si>
  <si>
    <t xml:space="preserve">C:\Users\cbarrier\Desktop\BPA\BPA\20201116_Cefas_Test6-Run1/20201116_Cefas_Test6-Run1/Plate 1/@15/G11_01.tif </t>
  </si>
  <si>
    <t xml:space="preserve"> 45.2104 </t>
  </si>
  <si>
    <t xml:space="preserve">C:\Users\cbarrier\Desktop\BPA\BPA\20201116_Cefas_Test6-Run1/20201116_Cefas_Test6-Run1/Plate 1/@15/G11_02.tif </t>
  </si>
  <si>
    <t xml:space="preserve"> 76937.5352 </t>
  </si>
  <si>
    <t xml:space="preserve"> 48.8336 </t>
  </si>
  <si>
    <t xml:space="preserve">C:\Users\cbarrier\Desktop\BPA\BPA\20201116_Cefas_Test6-Run1/20201116_Cefas_Test6-Run1/Plate 1/@15/G11_03.tif </t>
  </si>
  <si>
    <t xml:space="preserve"> 77975.7701 </t>
  </si>
  <si>
    <t xml:space="preserve"> 49.6419 </t>
  </si>
  <si>
    <t xml:space="preserve">C:\Users\cbarrier\Desktop\BPA\BPA\20201116_Cefas_Test6-Run1/20201116_Cefas_Test6-Run1/Plate 1/@15/H11_01.tif </t>
  </si>
  <si>
    <t xml:space="preserve"> 81328.4038 </t>
  </si>
  <si>
    <t xml:space="preserve"> 41.8516 </t>
  </si>
  <si>
    <t xml:space="preserve">C:\Users\cbarrier\Desktop\BPA\BPA\20201116_Cefas_Test6-Run1/20201116_Cefas_Test6-Run1/Plate 1/@15/H11_02.tif </t>
  </si>
  <si>
    <t xml:space="preserve"> 90737.408 </t>
  </si>
  <si>
    <t xml:space="preserve"> 41.2737 </t>
  </si>
  <si>
    <t xml:space="preserve">C:\Users\cbarrier\Desktop\BPA\BPA\20201116_Cefas_Test6-Run1/20201116_Cefas_Test6-Run1/Plate 1/@15/H11_03.tif </t>
  </si>
  <si>
    <t xml:space="preserve"> 41.8656 </t>
  </si>
  <si>
    <t xml:space="preserve">C:\Users\cbarrier\Desktop\BPA\BPA\20201116_Cefas_Test6-Run1/20201116_Cefas_Test6-Run1/Plate 1/@15/ </t>
  </si>
  <si>
    <t xml:space="preserve"> 47.4017 </t>
  </si>
  <si>
    <t xml:space="preserve"> 3.8636 </t>
  </si>
  <si>
    <t xml:space="preserve"> 3573872.33 </t>
  </si>
  <si>
    <t xml:space="preserve"> 909613.124 </t>
  </si>
  <si>
    <t xml:space="preserve">C:\Users\cbarrier\Desktop\BPA\BPA\20201116_Cefas_Test6-Run1/20201116_Cefas_Test6-Run1/Plate 1/@16/A12_01.tif </t>
  </si>
  <si>
    <t xml:space="preserve"> 33.8868 </t>
  </si>
  <si>
    <t xml:space="preserve">C:\Users\cbarrier\Desktop\BPA\BPA\20201116_Cefas_Test6-Run1/20201116_Cefas_Test6-Run1/Plate 1/@16/A12_02.tif </t>
  </si>
  <si>
    <t xml:space="preserve"> 2098.0998 </t>
  </si>
  <si>
    <t xml:space="preserve"> 34.6804 </t>
  </si>
  <si>
    <t xml:space="preserve">C:\Users\cbarrier\Desktop\BPA\BPA\20201116_Cefas_Test6-Run1/20201116_Cefas_Test6-Run1/Plate 1/@16/A12_03.tif </t>
  </si>
  <si>
    <t xml:space="preserve"> 1211.2741 </t>
  </si>
  <si>
    <t xml:space="preserve"> 32.1429 </t>
  </si>
  <si>
    <t xml:space="preserve">C:\Users\cbarrier\Desktop\BPA\BPA\20201116_Cefas_Test6-Run1/20201116_Cefas_Test6-Run1/Plate 1/@16/B12_01.tif </t>
  </si>
  <si>
    <t xml:space="preserve"> 36.7388 </t>
  </si>
  <si>
    <t xml:space="preserve">C:\Users\cbarrier\Desktop\BPA\BPA\20201116_Cefas_Test6-Run1/20201116_Cefas_Test6-Run1/Plate 1/@16/B12_02.tif </t>
  </si>
  <si>
    <t xml:space="preserve"> 2054.84 </t>
  </si>
  <si>
    <t xml:space="preserve"> 34.7158 </t>
  </si>
  <si>
    <t xml:space="preserve">C:\Users\cbarrier\Desktop\BPA\BPA\20201116_Cefas_Test6-Run1/20201116_Cefas_Test6-Run1/Plate 1/@16/B12_03.tif </t>
  </si>
  <si>
    <t xml:space="preserve"> 36.4199 </t>
  </si>
  <si>
    <t xml:space="preserve">C:\Users\cbarrier\Desktop\BPA\BPA\20201116_Cefas_Test6-Run1/20201116_Cefas_Test6-Run1/Plate 1/@16/C12_01.tif </t>
  </si>
  <si>
    <t xml:space="preserve"> 34.6271 </t>
  </si>
  <si>
    <t>C:\Users\cbarrier\Desktop\BPA\BPA\20201116_Cefas_Test6-Run1/20201116_Cefas_Test6-Run1/Plate 1/@16/C12_02- exclu.tif</t>
  </si>
  <si>
    <t xml:space="preserve">C:\Users\cbarrier\Desktop\BPA\BPA\20201116_Cefas_Test6-Run1/20201116_Cefas_Test6-Run1/Plate 1/@16/C12_03.tif </t>
  </si>
  <si>
    <t xml:space="preserve"> 3633.8223 </t>
  </si>
  <si>
    <t xml:space="preserve"> 36.131 </t>
  </si>
  <si>
    <t xml:space="preserve">C:\Users\cbarrier\Desktop\BPA\BPA\20201116_Cefas_Test6-Run1/20201116_Cefas_Test6-Run1/Plate 1/@16/D12_01.tif </t>
  </si>
  <si>
    <t xml:space="preserve"> 36.8636 </t>
  </si>
  <si>
    <t xml:space="preserve">C:\Users\cbarrier\Desktop\BPA\BPA\20201116_Cefas_Test6-Run1/20201116_Cefas_Test6-Run1/Plate 1/@16/D12_02.tif </t>
  </si>
  <si>
    <t xml:space="preserve"> 33.625 </t>
  </si>
  <si>
    <t xml:space="preserve">C:\Users\cbarrier\Desktop\BPA\BPA\20201116_Cefas_Test6-Run1/20201116_Cefas_Test6-Run1/Plate 1/@16/D12_03.tif </t>
  </si>
  <si>
    <t xml:space="preserve"> 31.2727 </t>
  </si>
  <si>
    <t xml:space="preserve">C:\Users\cbarrier\Desktop\BPA\BPA\20201116_Cefas_Test6-Run1/20201116_Cefas_Test6-Run1/Plate 1/@16/E12_01.tif </t>
  </si>
  <si>
    <t xml:space="preserve"> 31.0265 </t>
  </si>
  <si>
    <t xml:space="preserve">C:\Users\cbarrier\Desktop\BPA\BPA\20201116_Cefas_Test6-Run1/20201116_Cefas_Test6-Run1/Plate 1/@16/E12_02.tif </t>
  </si>
  <si>
    <t xml:space="preserve"> 9646.933 </t>
  </si>
  <si>
    <t xml:space="preserve"> 36.704 </t>
  </si>
  <si>
    <t xml:space="preserve">C:\Users\cbarrier\Desktop\BPA\BPA\20201116_Cefas_Test6-Run1/20201116_Cefas_Test6-Run1/Plate 1/@16/E12_03.tif </t>
  </si>
  <si>
    <t xml:space="preserve"> 9949.7515 </t>
  </si>
  <si>
    <t xml:space="preserve"> 40.5152 </t>
  </si>
  <si>
    <t xml:space="preserve">C:\Users\cbarrier\Desktop\BPA\BPA\20201116_Cefas_Test6-Run1/20201116_Cefas_Test6-Run1/Plate 1/@16/F12_01.tif </t>
  </si>
  <si>
    <t xml:space="preserve"> 1405.9432 </t>
  </si>
  <si>
    <t xml:space="preserve"> 32.9385 </t>
  </si>
  <si>
    <t xml:space="preserve">C:\Users\cbarrier\Desktop\BPA\BPA\20201116_Cefas_Test6-Run1/20201116_Cefas_Test6-Run1/Plate 1/@16/F12_02.tif </t>
  </si>
  <si>
    <t xml:space="preserve"> 1535.7225 </t>
  </si>
  <si>
    <t xml:space="preserve"> 32.6056 </t>
  </si>
  <si>
    <t xml:space="preserve">C:\Users\cbarrier\Desktop\BPA\BPA\20201116_Cefas_Test6-Run1/20201116_Cefas_Test6-Run1/Plate 1/@16/F12_03.tif </t>
  </si>
  <si>
    <t xml:space="preserve">C:\Users\cbarrier\Desktop\BPA\BPA\20201116_Cefas_Test6-Run1/20201116_Cefas_Test6-Run1/Plate 1/@16/G12_01.tif </t>
  </si>
  <si>
    <t xml:space="preserve"> 41.4657 </t>
  </si>
  <si>
    <t xml:space="preserve">C:\Users\cbarrier\Desktop\BPA\BPA\20201116_Cefas_Test6-Run1/20201116_Cefas_Test6-Run1/Plate 1/@16/G12_02.tif </t>
  </si>
  <si>
    <t xml:space="preserve"> 31.8519 </t>
  </si>
  <si>
    <t xml:space="preserve">C:\Users\cbarrier\Desktop\BPA\BPA\20201116_Cefas_Test6-Run1/20201116_Cefas_Test6-Run1/Plate 1/@16/G12_03.tif </t>
  </si>
  <si>
    <t xml:space="preserve"> 1643.872 </t>
  </si>
  <si>
    <t xml:space="preserve"> 32.8684 </t>
  </si>
  <si>
    <t xml:space="preserve">C:\Users\cbarrier\Desktop\BPA\BPA\20201116_Cefas_Test6-Run1/20201116_Cefas_Test6-Run1/Plate 1/@16/H12_01.tif </t>
  </si>
  <si>
    <t xml:space="preserve"> 7483.9435 </t>
  </si>
  <si>
    <t xml:space="preserve"> 37.3728 </t>
  </si>
  <si>
    <t xml:space="preserve">C:\Users\cbarrier\Desktop\BPA\BPA\20201116_Cefas_Test6-Run1/20201116_Cefas_Test6-Run1/Plate 1/@16/H12_02.tif </t>
  </si>
  <si>
    <t xml:space="preserve"> 37.1873 </t>
  </si>
  <si>
    <t xml:space="preserve">C:\Users\cbarrier\Desktop\BPA\BPA\20201116_Cefas_Test6-Run1/20201116_Cefas_Test6-Run1/Plate 1/@16/H12_03.tif </t>
  </si>
  <si>
    <t xml:space="preserve"> 2941.6657 </t>
  </si>
  <si>
    <t xml:space="preserve"> 33.5588 </t>
  </si>
  <si>
    <t xml:space="preserve">C:\Users\cbarrier\Desktop\BPA\BPA\20201116_Cefas_Test6-Run1/20201116_Cefas_Test6-Run1/Plate 1/@16/ </t>
  </si>
  <si>
    <t xml:space="preserve"> 33.415 </t>
  </si>
  <si>
    <t xml:space="preserve"> 7.6125 </t>
  </si>
  <si>
    <t xml:space="preserve"> 114020.083 </t>
  </si>
  <si>
    <t xml:space="preserve"> 108055.155 </t>
  </si>
  <si>
    <t xml:space="preserve">C:\Users\cbarrier\Desktop\BPA\BPA\20201116_Cefas_Test6-Run1/20201116_Cefas_Test6-Run1/Plate 1/@2/A2_01.tif </t>
  </si>
  <si>
    <t xml:space="preserve"> 7419.0539 </t>
  </si>
  <si>
    <t xml:space="preserve"> 36.3907 </t>
  </si>
  <si>
    <t xml:space="preserve">C:\Users\cbarrier\Desktop\BPA\BPA\20201116_Cefas_Test6-Run1/20201116_Cefas_Test6-Run1/Plate 1/@2/A2_02.tif </t>
  </si>
  <si>
    <t xml:space="preserve"> 36.7146 </t>
  </si>
  <si>
    <t xml:space="preserve">C:\Users\cbarrier\Desktop\BPA\BPA\20201116_Cefas_Test6-Run1/20201116_Cefas_Test6-Run1/Plate 1/@2/A2_03.tif </t>
  </si>
  <si>
    <t xml:space="preserve"> 3179.5945 </t>
  </si>
  <si>
    <t xml:space="preserve"> 33.898 </t>
  </si>
  <si>
    <t xml:space="preserve">C:\Users\cbarrier\Desktop\BPA\BPA\20201116_Cefas_Test6-Run1/20201116_Cefas_Test6-Run1/Plate 1/@2/B2_01.tif </t>
  </si>
  <si>
    <t xml:space="preserve">C:\Users\cbarrier\Desktop\BPA\BPA\20201116_Cefas_Test6-Run1/20201116_Cefas_Test6-Run1/Plate 1/@2/B2_02.tif </t>
  </si>
  <si>
    <t xml:space="preserve">C:\Users\cbarrier\Desktop\BPA\BPA\20201116_Cefas_Test6-Run1/20201116_Cefas_Test6-Run1/Plate 1/@2/B2_03.tif </t>
  </si>
  <si>
    <t xml:space="preserve"> 3395.8935 </t>
  </si>
  <si>
    <t xml:space="preserve"> 33.4968 </t>
  </si>
  <si>
    <t xml:space="preserve">C:\Users\cbarrier\Desktop\BPA\BPA\20201116_Cefas_Test6-Run1/20201116_Cefas_Test6-Run1/Plate 1/@2/C2_01.tif </t>
  </si>
  <si>
    <t xml:space="preserve"> 36.378 </t>
  </si>
  <si>
    <t xml:space="preserve">C:\Users\cbarrier\Desktop\BPA\BPA\20201116_Cefas_Test6-Run1/20201116_Cefas_Test6-Run1/Plate 1/@2/C2_02.tif </t>
  </si>
  <si>
    <t xml:space="preserve"> 34.8582 </t>
  </si>
  <si>
    <t xml:space="preserve">C:\Users\cbarrier\Desktop\BPA\BPA\20201116_Cefas_Test6-Run1/20201116_Cefas_Test6-Run1/Plate 1/@2/C2_03.tif </t>
  </si>
  <si>
    <t xml:space="preserve"> 4888.3562 </t>
  </si>
  <si>
    <t xml:space="preserve"> 36.9956 </t>
  </si>
  <si>
    <t xml:space="preserve">C:\Users\cbarrier\Desktop\BPA\BPA\20201116_Cefas_Test6-Run1/20201116_Cefas_Test6-Run1/Plate 1/@2/D2_01.tif </t>
  </si>
  <si>
    <t xml:space="preserve"> 5904.9612 </t>
  </si>
  <si>
    <t xml:space="preserve"> 40.8132 </t>
  </si>
  <si>
    <t xml:space="preserve">C:\Users\cbarrier\Desktop\BPA\BPA\20201116_Cefas_Test6-Run1/20201116_Cefas_Test6-Run1/Plate 1/@2/D2_02.tif </t>
  </si>
  <si>
    <t xml:space="preserve"> 4044.7903 </t>
  </si>
  <si>
    <t xml:space="preserve"> 37.1497 </t>
  </si>
  <si>
    <t xml:space="preserve">C:\Users\cbarrier\Desktop\BPA\BPA\20201116_Cefas_Test6-Run1/20201116_Cefas_Test6-Run1/Plate 1/@2/D2_03.tif </t>
  </si>
  <si>
    <t xml:space="preserve"> 3266.1141 </t>
  </si>
  <si>
    <t xml:space="preserve"> 37.1589 </t>
  </si>
  <si>
    <t>C:\Users\cbarrier\Desktop\BPA\BPA\20201116_Cefas_Test6-Run1/20201116_Cefas_Test6-Run1/Plate 1/@2/E2_01- exclu.tif</t>
  </si>
  <si>
    <t>C:\Users\cbarrier\Desktop\BPA\BPA\20201116_Cefas_Test6-Run1/20201116_Cefas_Test6-Run1/Plate 1/@2/E2_02- exclu.tif</t>
  </si>
  <si>
    <t>C:\Users\cbarrier\Desktop\BPA\BPA\20201116_Cefas_Test6-Run1/20201116_Cefas_Test6-Run1/Plate 1/@2/E2_03- exclu.tif</t>
  </si>
  <si>
    <t xml:space="preserve">C:\Users\cbarrier\Desktop\BPA\BPA\20201116_Cefas_Test6-Run1/20201116_Cefas_Test6-Run1/Plate 1/@2/F2_01.tif </t>
  </si>
  <si>
    <t xml:space="preserve"> 15335.5953 </t>
  </si>
  <si>
    <t xml:space="preserve"> 38.0409 </t>
  </si>
  <si>
    <t xml:space="preserve">C:\Users\cbarrier\Desktop\BPA\BPA\20201116_Cefas_Test6-Run1/20201116_Cefas_Test6-Run1/Plate 1/@2/F2_02.tif </t>
  </si>
  <si>
    <t xml:space="preserve"> 11182.6555 </t>
  </si>
  <si>
    <t xml:space="preserve"> 38.8414 </t>
  </si>
  <si>
    <t xml:space="preserve">C:\Users\cbarrier\Desktop\BPA\BPA\20201116_Cefas_Test6-Run1/20201116_Cefas_Test6-Run1/Plate 1/@2/F2_03.tif </t>
  </si>
  <si>
    <t xml:space="preserve"> 16633.389 </t>
  </si>
  <si>
    <t xml:space="preserve"> 37.6931 </t>
  </si>
  <si>
    <t xml:space="preserve">C:\Users\cbarrier\Desktop\BPA\BPA\20201116_Cefas_Test6-Run1/20201116_Cefas_Test6-Run1/Plate 1/@2/G2_01.tif </t>
  </si>
  <si>
    <t xml:space="preserve"> 7029.7158 </t>
  </si>
  <si>
    <t xml:space="preserve"> 36.3231 </t>
  </si>
  <si>
    <t xml:space="preserve">C:\Users\cbarrier\Desktop\BPA\BPA\20201116_Cefas_Test6-Run1/20201116_Cefas_Test6-Run1/Plate 1/@2/G2_02.tif </t>
  </si>
  <si>
    <t xml:space="preserve"> 38.6712 </t>
  </si>
  <si>
    <t xml:space="preserve">C:\Users\cbarrier\Desktop\BPA\BPA\20201116_Cefas_Test6-Run1/20201116_Cefas_Test6-Run1/Plate 1/@2/G2_03.tif </t>
  </si>
  <si>
    <t xml:space="preserve"> 3093.0749 </t>
  </si>
  <si>
    <t xml:space="preserve"> 37.5105 </t>
  </si>
  <si>
    <t xml:space="preserve">C:\Users\cbarrier\Desktop\BPA\BPA\20201116_Cefas_Test6-Run1/20201116_Cefas_Test6-Run1/Plate 1/@2/H2_01.tif </t>
  </si>
  <si>
    <t xml:space="preserve"> 3287.744 </t>
  </si>
  <si>
    <t xml:space="preserve"> 34.4474 </t>
  </si>
  <si>
    <t xml:space="preserve">C:\Users\cbarrier\Desktop\BPA\BPA\20201116_Cefas_Test6-Run1/20201116_Cefas_Test6-Run1/Plate 1/@2/H2_02.tif </t>
  </si>
  <si>
    <t xml:space="preserve">C:\Users\cbarrier\Desktop\BPA\BPA\20201116_Cefas_Test6-Run1/20201116_Cefas_Test6-Run1/Plate 1/@2/H2_03.tif </t>
  </si>
  <si>
    <t xml:space="preserve"> 2768.6265 </t>
  </si>
  <si>
    <t xml:space="preserve"> 32.0391 </t>
  </si>
  <si>
    <t xml:space="preserve">C:\Users\cbarrier\Desktop\BPA\BPA\20201116_Cefas_Test6-Run1/20201116_Cefas_Test6-Run1/Plate 1/@2/ </t>
  </si>
  <si>
    <t xml:space="preserve"> 33.4716 </t>
  </si>
  <si>
    <t xml:space="preserve"> 10.7565 </t>
  </si>
  <si>
    <t xml:space="preserve"> 208391.458 </t>
  </si>
  <si>
    <t xml:space="preserve"> 174745.777 </t>
  </si>
  <si>
    <t xml:space="preserve">C:\Users\cbarrier\Desktop\BPA\BPA\20201116_Cefas_Test6-Run1/20201116_Cefas_Test6-Run1/Plate 1/@3/A3_01.tif </t>
  </si>
  <si>
    <t xml:space="preserve"> 34.8525 </t>
  </si>
  <si>
    <t xml:space="preserve">C:\Users\cbarrier\Desktop\BPA\BPA\20201116_Cefas_Test6-Run1/20201116_Cefas_Test6-Run1/Plate 1/@3/A3_02.tif </t>
  </si>
  <si>
    <t xml:space="preserve"> 32.8706 </t>
  </si>
  <si>
    <t xml:space="preserve">C:\Users\cbarrier\Desktop\BPA\BPA\20201116_Cefas_Test6-Run1/20201116_Cefas_Test6-Run1/Plate 1/@3/A3_03.tif </t>
  </si>
  <si>
    <t xml:space="preserve"> 31.1875 </t>
  </si>
  <si>
    <t xml:space="preserve">C:\Users\cbarrier\Desktop\BPA\BPA\20201116_Cefas_Test6-Run1/20201116_Cefas_Test6-Run1/Plate 1/@3/B3_01.tif </t>
  </si>
  <si>
    <t xml:space="preserve"> 33.5033 </t>
  </si>
  <si>
    <t>C:\Users\cbarrier\Desktop\BPA\BPA\20201116_Cefas_Test6-Run1/20201116_Cefas_Test6-Run1/Plate 1/@3/B3_02- exclu.tif</t>
  </si>
  <si>
    <t xml:space="preserve">C:\Users\cbarrier\Desktop\BPA\BPA\20201116_Cefas_Test6-Run1/20201116_Cefas_Test6-Run1/Plate 1/@3/B3_03.tif </t>
  </si>
  <si>
    <t xml:space="preserve"> 2595.5874 </t>
  </si>
  <si>
    <t xml:space="preserve"> 33.4083 </t>
  </si>
  <si>
    <t xml:space="preserve">C:\Users\cbarrier\Desktop\BPA\BPA\20201116_Cefas_Test6-Run1/20201116_Cefas_Test6-Run1/Plate 1/@3/C3_01.tif </t>
  </si>
  <si>
    <t xml:space="preserve"> 8630.328 </t>
  </si>
  <si>
    <t xml:space="preserve"> 37.3333 </t>
  </si>
  <si>
    <t xml:space="preserve">C:\Users\cbarrier\Desktop\BPA\BPA\20201116_Cefas_Test6-Run1/20201116_Cefas_Test6-Run1/Plate 1/@3/C3_02.tif </t>
  </si>
  <si>
    <t xml:space="preserve"> 37.4742 </t>
  </si>
  <si>
    <t xml:space="preserve">C:\Users\cbarrier\Desktop\BPA\BPA\20201116_Cefas_Test6-Run1/20201116_Cefas_Test6-Run1/Plate 1/@3/C3_03.tif </t>
  </si>
  <si>
    <t xml:space="preserve"> 34.9371 </t>
  </si>
  <si>
    <t xml:space="preserve">C:\Users\cbarrier\Desktop\BPA\BPA\20201116_Cefas_Test6-Run1/20201116_Cefas_Test6-Run1/Plate 1/@3/D3_01.tif </t>
  </si>
  <si>
    <t xml:space="preserve"> 6229.4097 </t>
  </si>
  <si>
    <t xml:space="preserve"> 35.1181 </t>
  </si>
  <si>
    <t xml:space="preserve">C:\Users\cbarrier\Desktop\BPA\BPA\20201116_Cefas_Test6-Run1/20201116_Cefas_Test6-Run1/Plate 1/@3/D3_02.tif </t>
  </si>
  <si>
    <t xml:space="preserve"> 31.5833 </t>
  </si>
  <si>
    <t xml:space="preserve">C:\Users\cbarrier\Desktop\BPA\BPA\20201116_Cefas_Test6-Run1/20201116_Cefas_Test6-Run1/Plate 1/@3/D3_03.tif </t>
  </si>
  <si>
    <t xml:space="preserve"> 9452.264 </t>
  </si>
  <si>
    <t xml:space="preserve"> 34.0114 </t>
  </si>
  <si>
    <t xml:space="preserve">C:\Users\cbarrier\Desktop\BPA\BPA\20201116_Cefas_Test6-Run1/20201116_Cefas_Test6-Run1/Plate 1/@3/E3_01.tif </t>
  </si>
  <si>
    <t xml:space="preserve"> 32.7632 </t>
  </si>
  <si>
    <t xml:space="preserve">C:\Users\cbarrier\Desktop\BPA\BPA\20201116_Cefas_Test6-Run1/20201116_Cefas_Test6-Run1/Plate 1/@3/E3_02.tif </t>
  </si>
  <si>
    <t xml:space="preserve"> 3309.3739 </t>
  </si>
  <si>
    <t xml:space="preserve"> 33.3072 </t>
  </si>
  <si>
    <t xml:space="preserve">C:\Users\cbarrier\Desktop\BPA\BPA\20201116_Cefas_Test6-Run1/20201116_Cefas_Test6-Run1/Plate 1/@3/E3_03.tif </t>
  </si>
  <si>
    <t xml:space="preserve">C:\Users\cbarrier\Desktop\BPA\BPA\20201116_Cefas_Test6-Run1/20201116_Cefas_Test6-Run1/Plate 1/@3/F3_01.tif </t>
  </si>
  <si>
    <t xml:space="preserve"> 37.0335 </t>
  </si>
  <si>
    <t xml:space="preserve">C:\Users\cbarrier\Desktop\BPA\BPA\20201116_Cefas_Test6-Run1/20201116_Cefas_Test6-Run1/Plate 1/@3/F3_02.tif </t>
  </si>
  <si>
    <t xml:space="preserve"> 31.587 </t>
  </si>
  <si>
    <t xml:space="preserve">C:\Users\cbarrier\Desktop\BPA\BPA\20201116_Cefas_Test6-Run1/20201116_Cefas_Test6-Run1/Plate 1/@3/F3_03.tif </t>
  </si>
  <si>
    <t xml:space="preserve"> 37.4079 </t>
  </si>
  <si>
    <t xml:space="preserve">C:\Users\cbarrier\Desktop\BPA\BPA\20201116_Cefas_Test6-Run1/20201116_Cefas_Test6-Run1/Plate 1/@3/G3_01.tif </t>
  </si>
  <si>
    <t xml:space="preserve"> 22559.9801 </t>
  </si>
  <si>
    <t xml:space="preserve"> 33.0786 </t>
  </si>
  <si>
    <t xml:space="preserve">C:\Users\cbarrier\Desktop\BPA\BPA\20201116_Cefas_Test6-Run1/20201116_Cefas_Test6-Run1/Plate 1/@3/G3_02.tif </t>
  </si>
  <si>
    <t xml:space="preserve"> 34889.02 </t>
  </si>
  <si>
    <t xml:space="preserve"> 34.7328 </t>
  </si>
  <si>
    <t xml:space="preserve">C:\Users\cbarrier\Desktop\BPA\BPA\20201116_Cefas_Test6-Run1/20201116_Cefas_Test6-Run1/Plate 1/@3/G3_03.tif </t>
  </si>
  <si>
    <t xml:space="preserve"> 1341.0535 </t>
  </si>
  <si>
    <t xml:space="preserve"> 30.9355 </t>
  </si>
  <si>
    <t xml:space="preserve">C:\Users\cbarrier\Desktop\BPA\BPA\20201116_Cefas_Test6-Run1/20201116_Cefas_Test6-Run1/Plate 1/@3/H3_01.tif </t>
  </si>
  <si>
    <t xml:space="preserve"> 31.6438 </t>
  </si>
  <si>
    <t xml:space="preserve">C:\Users\cbarrier\Desktop\BPA\BPA\20201116_Cefas_Test6-Run1/20201116_Cefas_Test6-Run1/Plate 1/@3/H3_02.tif </t>
  </si>
  <si>
    <t xml:space="preserve"> 3720.3419 </t>
  </si>
  <si>
    <t xml:space="preserve"> 31.7791 </t>
  </si>
  <si>
    <t xml:space="preserve">C:\Users\cbarrier\Desktop\BPA\BPA\20201116_Cefas_Test6-Run1/20201116_Cefas_Test6-Run1/Plate 1/@3/H3_03.tif </t>
  </si>
  <si>
    <t xml:space="preserve"> 7224.3848 </t>
  </si>
  <si>
    <t xml:space="preserve"> 32.6347 </t>
  </si>
  <si>
    <t xml:space="preserve">C:\Users\cbarrier\Desktop\BPA\BPA\20201116_Cefas_Test6-Run1/20201116_Cefas_Test6-Run1/Plate 1/@3/ </t>
  </si>
  <si>
    <t xml:space="preserve"> 32.4243 </t>
  </si>
  <si>
    <t xml:space="preserve"> 7.1955 </t>
  </si>
  <si>
    <t xml:space="preserve"> 210803.167 </t>
  </si>
  <si>
    <t xml:space="preserve"> 260822.988 </t>
  </si>
  <si>
    <t xml:space="preserve">C:\Users\cbarrier\Desktop\BPA\BPA\20201116_Cefas_Test6-Run1/20201116_Cefas_Test6-Run1/Plate 1/@4/A4_01.tif </t>
  </si>
  <si>
    <t xml:space="preserve"> 20245.5814 </t>
  </si>
  <si>
    <t xml:space="preserve"> 34.969 </t>
  </si>
  <si>
    <t xml:space="preserve">C:\Users\cbarrier\Desktop\BPA\BPA\20201116_Cefas_Test6-Run1/20201116_Cefas_Test6-Run1/Plate 1/@4/A4_02.tif </t>
  </si>
  <si>
    <t xml:space="preserve"> 40.5149 </t>
  </si>
  <si>
    <t xml:space="preserve">C:\Users\cbarrier\Desktop\BPA\BPA\20201116_Cefas_Test6-Run1/20201116_Cefas_Test6-Run1/Plate 1/@4/A4_03.tif </t>
  </si>
  <si>
    <t xml:space="preserve"> 18125.8517 </t>
  </si>
  <si>
    <t xml:space="preserve"> 35.0823 </t>
  </si>
  <si>
    <t xml:space="preserve">C:\Users\cbarrier\Desktop\BPA\BPA\20201116_Cefas_Test6-Run1/20201116_Cefas_Test6-Run1/Plate 1/@4/B4_01.tif </t>
  </si>
  <si>
    <t xml:space="preserve"> 54442.4448 </t>
  </si>
  <si>
    <t xml:space="preserve"> 39.4358 </t>
  </si>
  <si>
    <t xml:space="preserve">C:\Users\cbarrier\Desktop\BPA\BPA\20201116_Cefas_Test6-Run1/20201116_Cefas_Test6-Run1/Plate 1/@4/B4_02.tif </t>
  </si>
  <si>
    <t xml:space="preserve"> 37527.8672 </t>
  </si>
  <si>
    <t xml:space="preserve"> 40.717 </t>
  </si>
  <si>
    <t>C:\Users\cbarrier\Desktop\BPA\BPA\20201116_Cefas_Test6-Run1/20201116_Cefas_Test6-Run1/Plate 1/@4/B4_03- exclu.tif</t>
  </si>
  <si>
    <t xml:space="preserve">C:\Users\cbarrier\Desktop\BPA\BPA\20201116_Cefas_Test6-Run1/20201116_Cefas_Test6-Run1/Plate 1/@4/C4_01.tif </t>
  </si>
  <si>
    <t xml:space="preserve"> 33.1773 </t>
  </si>
  <si>
    <t xml:space="preserve">C:\Users\cbarrier\Desktop\BPA\BPA\20201116_Cefas_Test6-Run1/20201116_Cefas_Test6-Run1/Plate 1/@4/C4_02.tif </t>
  </si>
  <si>
    <t xml:space="preserve"> 31.6833 </t>
  </si>
  <si>
    <t xml:space="preserve">C:\Users\cbarrier\Desktop\BPA\BPA\20201116_Cefas_Test6-Run1/20201116_Cefas_Test6-Run1/Plate 1/@4/C4_03.tif </t>
  </si>
  <si>
    <t xml:space="preserve"> 12653.4884 </t>
  </si>
  <si>
    <t xml:space="preserve"> 33.1658 </t>
  </si>
  <si>
    <t xml:space="preserve">C:\Users\cbarrier\Desktop\BPA\BPA\20201116_Cefas_Test6-Run1/20201116_Cefas_Test6-Run1/Plate 1/@4/D4_01.tif </t>
  </si>
  <si>
    <t xml:space="preserve"> 65235.7622 </t>
  </si>
  <si>
    <t xml:space="preserve"> 40.4015 </t>
  </si>
  <si>
    <t xml:space="preserve">C:\Users\cbarrier\Desktop\BPA\BPA\20201116_Cefas_Test6-Run1/20201116_Cefas_Test6-Run1/Plate 1/@4/D4_02.tif </t>
  </si>
  <si>
    <t xml:space="preserve"> 66922.894 </t>
  </si>
  <si>
    <t xml:space="preserve"> 39.914 </t>
  </si>
  <si>
    <t xml:space="preserve">C:\Users\cbarrier\Desktop\BPA\BPA\20201116_Cefas_Test6-Run1/20201116_Cefas_Test6-Run1/Plate 1/@4/D4_03.tif </t>
  </si>
  <si>
    <t xml:space="preserve"> 41.5748 </t>
  </si>
  <si>
    <t xml:space="preserve">C:\Users\cbarrier\Desktop\BPA\BPA\20201116_Cefas_Test6-Run1/20201116_Cefas_Test6-Run1/Plate 1/@4/E4_01.tif </t>
  </si>
  <si>
    <t xml:space="preserve"> 8543.8084 </t>
  </si>
  <si>
    <t xml:space="preserve"> 31.9215 </t>
  </si>
  <si>
    <t xml:space="preserve">C:\Users\cbarrier\Desktop\BPA\BPA\20201116_Cefas_Test6-Run1/20201116_Cefas_Test6-Run1/Plate 1/@4/E4_02.tif </t>
  </si>
  <si>
    <t xml:space="preserve"> 4131.3099 </t>
  </si>
  <si>
    <t xml:space="preserve"> 31.911 </t>
  </si>
  <si>
    <t xml:space="preserve">C:\Users\cbarrier\Desktop\BPA\BPA\20201116_Cefas_Test6-Run1/20201116_Cefas_Test6-Run1/Plate 1/@4/E4_03.tif </t>
  </si>
  <si>
    <t xml:space="preserve"> 38.8027 </t>
  </si>
  <si>
    <t xml:space="preserve">C:\Users\cbarrier\Desktop\BPA\BPA\20201116_Cefas_Test6-Run1/20201116_Cefas_Test6-Run1/Plate 1/@4/F4_01.tif </t>
  </si>
  <si>
    <t xml:space="preserve">C:\Users\cbarrier\Desktop\BPA\BPA\20201116_Cefas_Test6-Run1/20201116_Cefas_Test6-Run1/Plate 1/@4/F4_02.tif </t>
  </si>
  <si>
    <t xml:space="preserve"> 3374.2636 </t>
  </si>
  <si>
    <t xml:space="preserve"> 35.4487 </t>
  </si>
  <si>
    <t xml:space="preserve">C:\Users\cbarrier\Desktop\BPA\BPA\20201116_Cefas_Test6-Run1/20201116_Cefas_Test6-Run1/Plate 1/@4/F4_03.tif </t>
  </si>
  <si>
    <t xml:space="preserve"> 39.2875 </t>
  </si>
  <si>
    <t xml:space="preserve">C:\Users\cbarrier\Desktop\BPA\BPA\20201116_Cefas_Test6-Run1/20201116_Cefas_Test6-Run1/Plate 1/@4/G4_01.tif </t>
  </si>
  <si>
    <t xml:space="preserve"> 38479.5825 </t>
  </si>
  <si>
    <t xml:space="preserve"> 34.5346 </t>
  </si>
  <si>
    <t xml:space="preserve">C:\Users\cbarrier\Desktop\BPA\BPA\20201116_Cefas_Test6-Run1/20201116_Cefas_Test6-Run1/Plate 1/@4/G4_02.tif </t>
  </si>
  <si>
    <t xml:space="preserve"> 32769.2904 </t>
  </si>
  <si>
    <t xml:space="preserve"> 34.3465 </t>
  </si>
  <si>
    <t xml:space="preserve">C:\Users\cbarrier\Desktop\BPA\BPA\20201116_Cefas_Test6-Run1/20201116_Cefas_Test6-Run1/Plate 1/@4/G4_03.tif </t>
  </si>
  <si>
    <t xml:space="preserve"> 37052.0095 </t>
  </si>
  <si>
    <t xml:space="preserve"> 33.7782 </t>
  </si>
  <si>
    <t xml:space="preserve">C:\Users\cbarrier\Desktop\BPA\BPA\20201116_Cefas_Test6-Run1/20201116_Cefas_Test6-Run1/Plate 1/@4/H4_01.tif </t>
  </si>
  <si>
    <t xml:space="preserve"> 65127.6127 </t>
  </si>
  <si>
    <t xml:space="preserve"> 38.4756 </t>
  </si>
  <si>
    <t xml:space="preserve">C:\Users\cbarrier\Desktop\BPA\BPA\20201116_Cefas_Test6-Run1/20201116_Cefas_Test6-Run1/Plate 1/@4/H4_02.tif </t>
  </si>
  <si>
    <t xml:space="preserve"> 62185.9471 </t>
  </si>
  <si>
    <t xml:space="preserve"> 38.408 </t>
  </si>
  <si>
    <t xml:space="preserve">C:\Users\cbarrier\Desktop\BPA\BPA\20201116_Cefas_Test6-Run1/20201116_Cefas_Test6-Run1/Plate 1/@4/H4_03.tif </t>
  </si>
  <si>
    <t xml:space="preserve"> 35.7921 </t>
  </si>
  <si>
    <t xml:space="preserve">C:\Users\cbarrier\Desktop\BPA\BPA\20201116_Cefas_Test6-Run1/20201116_Cefas_Test6-Run1/Plate 1/@4/ </t>
  </si>
  <si>
    <t xml:space="preserve"> 36.5336 </t>
  </si>
  <si>
    <t xml:space="preserve"> 3.3163 </t>
  </si>
  <si>
    <t xml:space="preserve"> 1156559.38 </t>
  </si>
  <si>
    <t xml:space="preserve"> 977012.752 </t>
  </si>
  <si>
    <t xml:space="preserve">C:\Users\cbarrier\Desktop\BPA\BPA\20201116_Cefas_Test6-Run1/20201116_Cefas_Test6-Run1/Plate 1/@5/A5_01.tif </t>
  </si>
  <si>
    <t xml:space="preserve"> 41.0869 </t>
  </si>
  <si>
    <t xml:space="preserve">C:\Users\cbarrier\Desktop\BPA\BPA\20201116_Cefas_Test6-Run1/20201116_Cefas_Test6-Run1/Plate 1/@5/A5_02.tif </t>
  </si>
  <si>
    <t xml:space="preserve"> 68436.9866 </t>
  </si>
  <si>
    <t xml:space="preserve"> 34.3056 </t>
  </si>
  <si>
    <t xml:space="preserve">C:\Users\cbarrier\Desktop\BPA\BPA\20201116_Cefas_Test6-Run1/20201116_Cefas_Test6-Run1/Plate 1/@5/A5_03.tif </t>
  </si>
  <si>
    <t xml:space="preserve"> 73952.6097 </t>
  </si>
  <si>
    <t xml:space="preserve"> 40.7672 </t>
  </si>
  <si>
    <t xml:space="preserve">C:\Users\cbarrier\Desktop\BPA\BPA\20201116_Cefas_Test6-Run1/20201116_Cefas_Test6-Run1/Plate 1/@5/B5_01.tif </t>
  </si>
  <si>
    <t xml:space="preserve"> 37376.4579 </t>
  </si>
  <si>
    <t xml:space="preserve"> 38.4977 </t>
  </si>
  <si>
    <t xml:space="preserve">C:\Users\cbarrier\Desktop\BPA\BPA\20201116_Cefas_Test6-Run1/20201116_Cefas_Test6-Run1/Plate 1/@5/B5_02.tif </t>
  </si>
  <si>
    <t xml:space="preserve"> 39214.999 </t>
  </si>
  <si>
    <t xml:space="preserve"> 38.6674 </t>
  </si>
  <si>
    <t xml:space="preserve">C:\Users\cbarrier\Desktop\BPA\BPA\20201116_Cefas_Test6-Run1/20201116_Cefas_Test6-Run1/Plate 1/@5/B5_03.tif </t>
  </si>
  <si>
    <t xml:space="preserve"> 44081.7253 </t>
  </si>
  <si>
    <t xml:space="preserve"> 43.5751 </t>
  </si>
  <si>
    <t xml:space="preserve">C:\Users\cbarrier\Desktop\BPA\BPA\20201116_Cefas_Test6-Run1/20201116_Cefas_Test6-Run1/Plate 1/@5/C5_01.tif </t>
  </si>
  <si>
    <t xml:space="preserve"> 40.7389 </t>
  </si>
  <si>
    <t xml:space="preserve">C:\Users\cbarrier\Desktop\BPA\BPA\20201116_Cefas_Test6-Run1/20201116_Cefas_Test6-Run1/Plate 1/@5/C5_02.tif </t>
  </si>
  <si>
    <t xml:space="preserve"> 70729.7554 </t>
  </si>
  <si>
    <t xml:space="preserve"> 41.4128 </t>
  </si>
  <si>
    <t xml:space="preserve">C:\Users\cbarrier\Desktop\BPA\BPA\20201116_Cefas_Test6-Run1/20201116_Cefas_Test6-Run1/Plate 1/@5/C5_03.tif </t>
  </si>
  <si>
    <t xml:space="preserve"> 69453.5917 </t>
  </si>
  <si>
    <t xml:space="preserve"> 41.0972 </t>
  </si>
  <si>
    <t xml:space="preserve">C:\Users\cbarrier\Desktop\BPA\BPA\20201116_Cefas_Test6-Run1/20201116_Cefas_Test6-Run1/Plate 1/@5/D5_01.tif </t>
  </si>
  <si>
    <t xml:space="preserve"> 56713.5837 </t>
  </si>
  <si>
    <t xml:space="preserve"> 39.7616 </t>
  </si>
  <si>
    <t xml:space="preserve">C:\Users\cbarrier\Desktop\BPA\BPA\20201116_Cefas_Test6-Run1/20201116_Cefas_Test6-Run1/Plate 1/@5/D5_02.tif </t>
  </si>
  <si>
    <t xml:space="preserve"> 54572.2241 </t>
  </si>
  <si>
    <t xml:space="preserve"> 38.4308 </t>
  </si>
  <si>
    <t xml:space="preserve">C:\Users\cbarrier\Desktop\BPA\BPA\20201116_Cefas_Test6-Run1/20201116_Cefas_Test6-Run1/Plate 1/@5/D5_03.tif </t>
  </si>
  <si>
    <t xml:space="preserve"> 58790.0536 </t>
  </si>
  <si>
    <t xml:space="preserve"> 39.94 </t>
  </si>
  <si>
    <t xml:space="preserve">C:\Users\cbarrier\Desktop\BPA\BPA\20201116_Cefas_Test6-Run1/20201116_Cefas_Test6-Run1/Plate 1/@5/E5_01.tif </t>
  </si>
  <si>
    <t xml:space="preserve"> 58400.7155 </t>
  </si>
  <si>
    <t xml:space="preserve"> 47.9378 </t>
  </si>
  <si>
    <t xml:space="preserve">C:\Users\cbarrier\Desktop\BPA\BPA\20201116_Cefas_Test6-Run1/20201116_Cefas_Test6-Run1/Plate 1/@5/E5_02.tif </t>
  </si>
  <si>
    <t xml:space="preserve"> 47.5842 </t>
  </si>
  <si>
    <t xml:space="preserve">C:\Users\cbarrier\Desktop\BPA\BPA\20201116_Cefas_Test6-Run1/20201116_Cefas_Test6-Run1/Plate 1/@5/E5_03.tif </t>
  </si>
  <si>
    <t xml:space="preserve"> 64543.6056 </t>
  </si>
  <si>
    <t xml:space="preserve"> 46.7983 </t>
  </si>
  <si>
    <t xml:space="preserve">C:\Users\cbarrier\Desktop\BPA\BPA\20201116_Cefas_Test6-Run1/20201116_Cefas_Test6-Run1/Plate 1/@5/F5_01.tif </t>
  </si>
  <si>
    <t xml:space="preserve"> 38933.8103 </t>
  </si>
  <si>
    <t xml:space="preserve"> 37.5089 </t>
  </si>
  <si>
    <t xml:space="preserve">C:\Users\cbarrier\Desktop\BPA\BPA\20201116_Cefas_Test6-Run1/20201116_Cefas_Test6-Run1/Plate 1/@5/F5_02.tif </t>
  </si>
  <si>
    <t xml:space="preserve"> 39452.9278 </t>
  </si>
  <si>
    <t xml:space="preserve"> 41.0099 </t>
  </si>
  <si>
    <t xml:space="preserve">C:\Users\cbarrier\Desktop\BPA\BPA\20201116_Cefas_Test6-Run1/20201116_Cefas_Test6-Run1/Plate 1/@5/F5_03.tif </t>
  </si>
  <si>
    <t xml:space="preserve"> 34002.1944 </t>
  </si>
  <si>
    <t xml:space="preserve"> 39.1972 </t>
  </si>
  <si>
    <t xml:space="preserve">C:\Users\cbarrier\Desktop\BPA\BPA\20201116_Cefas_Test6-Run1/20201116_Cefas_Test6-Run1/Plate 1/@5/G5_01.tif </t>
  </si>
  <si>
    <t xml:space="preserve"> 67701.5702 </t>
  </si>
  <si>
    <t xml:space="preserve"> 41.3486 </t>
  </si>
  <si>
    <t xml:space="preserve">C:\Users\cbarrier\Desktop\BPA\BPA\20201116_Cefas_Test6-Run1/20201116_Cefas_Test6-Run1/Plate 1/@5/G5_02.tif </t>
  </si>
  <si>
    <t xml:space="preserve"> 68242.3176 </t>
  </si>
  <si>
    <t xml:space="preserve"> 41.6406 </t>
  </si>
  <si>
    <t xml:space="preserve">C:\Users\cbarrier\Desktop\BPA\BPA\20201116_Cefas_Test6-Run1/20201116_Cefas_Test6-Run1/Plate 1/@5/G5_03.tif </t>
  </si>
  <si>
    <t xml:space="preserve"> 61234.2317 </t>
  </si>
  <si>
    <t xml:space="preserve"> 41.3539 </t>
  </si>
  <si>
    <t xml:space="preserve">C:\Users\cbarrier\Desktop\BPA\BPA\20201116_Cefas_Test6-Run1/20201116_Cefas_Test6-Run1/Plate 1/@5/H5_01.tif </t>
  </si>
  <si>
    <t xml:space="preserve"> 71075.8338 </t>
  </si>
  <si>
    <t xml:space="preserve"> 41.8561 </t>
  </si>
  <si>
    <t xml:space="preserve">C:\Users\cbarrier\Desktop\BPA\BPA\20201116_Cefas_Test6-Run1/20201116_Cefas_Test6-Run1/Plate 1/@5/H5_02.tif </t>
  </si>
  <si>
    <t xml:space="preserve"> 42.345 </t>
  </si>
  <si>
    <t xml:space="preserve">C:\Users\cbarrier\Desktop\BPA\BPA\20201116_Cefas_Test6-Run1/20201116_Cefas_Test6-Run1/Plate 1/@5/H5_03.tif </t>
  </si>
  <si>
    <t xml:space="preserve"> 37.6633 </t>
  </si>
  <si>
    <t xml:space="preserve">C:\Users\cbarrier\Desktop\BPA\BPA\20201116_Cefas_Test6-Run1/20201116_Cefas_Test6-Run1/Plate 1/@5/ </t>
  </si>
  <si>
    <t xml:space="preserve"> 41.0219 </t>
  </si>
  <si>
    <t xml:space="preserve"> 3.1456 </t>
  </si>
  <si>
    <t xml:space="preserve"> 2431935.62 </t>
  </si>
  <si>
    <t xml:space="preserve"> 605315.057 </t>
  </si>
  <si>
    <t xml:space="preserve">C:\Users\cbarrier\Desktop\BPA\BPA\20201116_Cefas_Test6-Run1/20201116_Cefas_Test6-Run1/Plate 1/@6/A6_01.tif </t>
  </si>
  <si>
    <t xml:space="preserve"> 47.0971 </t>
  </si>
  <si>
    <t xml:space="preserve">C:\Users\cbarrier\Desktop\BPA\BPA\20201116_Cefas_Test6-Run1/20201116_Cefas_Test6-Run1/Plate 1/@6/A6_02.tif </t>
  </si>
  <si>
    <t xml:space="preserve"> 67593.4207 </t>
  </si>
  <si>
    <t xml:space="preserve"> 48.3126 </t>
  </si>
  <si>
    <t xml:space="preserve">C:\Users\cbarrier\Desktop\BPA\BPA\20201116_Cefas_Test6-Run1/20201116_Cefas_Test6-Run1/Plate 1/@6/A6_03.tif </t>
  </si>
  <si>
    <t xml:space="preserve"> 47.4868 </t>
  </si>
  <si>
    <t xml:space="preserve">C:\Users\cbarrier\Desktop\BPA\BPA\20201116_Cefas_Test6-Run1/20201116_Cefas_Test6-Run1/Plate 1/@6/B6_01.tif </t>
  </si>
  <si>
    <t xml:space="preserve"> 33.135 </t>
  </si>
  <si>
    <t xml:space="preserve">C:\Users\cbarrier\Desktop\BPA\BPA\20201116_Cefas_Test6-Run1/20201116_Cefas_Test6-Run1/Plate 1/@6/B6_02.tif </t>
  </si>
  <si>
    <t xml:space="preserve"> 14189.2109 </t>
  </si>
  <si>
    <t xml:space="preserve"> 38.8613 </t>
  </si>
  <si>
    <t xml:space="preserve">C:\Users\cbarrier\Desktop\BPA\BPA\20201116_Cefas_Test6-Run1/20201116_Cefas_Test6-Run1/Plate 1/@6/B6_03.tif </t>
  </si>
  <si>
    <t xml:space="preserve"> 13972.9119 </t>
  </si>
  <si>
    <t xml:space="preserve"> 38.356 </t>
  </si>
  <si>
    <t xml:space="preserve">C:\Users\cbarrier\Desktop\BPA\BPA\20201116_Cefas_Test6-Run1/20201116_Cefas_Test6-Run1/Plate 1/@6/C6_01.tif </t>
  </si>
  <si>
    <t xml:space="preserve"> 60628.5946 </t>
  </si>
  <si>
    <t xml:space="preserve"> 52.7039 </t>
  </si>
  <si>
    <t>C:\Users\cbarrier\Desktop\BPA\BPA\20201116_Cefas_Test6-Run1/20201116_Cefas_Test6-Run1/Plate 1/@6/C6_02- exclu.tif</t>
  </si>
  <si>
    <t xml:space="preserve">C:\Users\cbarrier\Desktop\BPA\BPA\20201116_Cefas_Test6-Run1/20201116_Cefas_Test6-Run1/Plate 1/@6/C6_03.tif </t>
  </si>
  <si>
    <t xml:space="preserve"> 63202.5521 </t>
  </si>
  <si>
    <t xml:space="preserve"> 49.9493 </t>
  </si>
  <si>
    <t xml:space="preserve">C:\Users\cbarrier\Desktop\BPA\BPA\20201116_Cefas_Test6-Run1/20201116_Cefas_Test6-Run1/Plate 1/@6/D6_01.tif </t>
  </si>
  <si>
    <t xml:space="preserve"> 48.016 </t>
  </si>
  <si>
    <t xml:space="preserve">C:\Users\cbarrier\Desktop\BPA\BPA\20201116_Cefas_Test6-Run1/20201116_Cefas_Test6-Run1/Plate 1/@6/D6_02.tif </t>
  </si>
  <si>
    <t xml:space="preserve"> 82885.7562 </t>
  </si>
  <si>
    <t xml:space="preserve"> 51.3578 </t>
  </si>
  <si>
    <t xml:space="preserve">C:\Users\cbarrier\Desktop\BPA\BPA\20201116_Cefas_Test6-Run1/20201116_Cefas_Test6-Run1/Plate 1/@6/D6_03.tif </t>
  </si>
  <si>
    <t xml:space="preserve"> 75380.1828 </t>
  </si>
  <si>
    <t xml:space="preserve"> 47.6494 </t>
  </si>
  <si>
    <t xml:space="preserve">C:\Users\cbarrier\Desktop\BPA\BPA\20201116_Cefas_Test6-Run1/20201116_Cefas_Test6-Run1/Plate 1/@6/E6_01.tif </t>
  </si>
  <si>
    <t xml:space="preserve"> 92640.8387 </t>
  </si>
  <si>
    <t xml:space="preserve"> 50.4982 </t>
  </si>
  <si>
    <t xml:space="preserve">C:\Users\cbarrier\Desktop\BPA\BPA\20201116_Cefas_Test6-Run1/20201116_Cefas_Test6-Run1/Plate 1/@6/E6_02.tif </t>
  </si>
  <si>
    <t xml:space="preserve"> 99865.2235 </t>
  </si>
  <si>
    <t xml:space="preserve"> 50.3405 </t>
  </si>
  <si>
    <t xml:space="preserve">C:\Users\cbarrier\Desktop\BPA\BPA\20201116_Cefas_Test6-Run1/20201116_Cefas_Test6-Run1/Plate 1/@6/E6_03.tif </t>
  </si>
  <si>
    <t xml:space="preserve"> 88574.4185 </t>
  </si>
  <si>
    <t xml:space="preserve"> 48.6369 </t>
  </si>
  <si>
    <t xml:space="preserve">C:\Users\cbarrier\Desktop\BPA\BPA\20201116_Cefas_Test6-Run1/20201116_Cefas_Test6-Run1/Plate 1/@6/F6_01.tif </t>
  </si>
  <si>
    <t xml:space="preserve"> 73433.4923 </t>
  </si>
  <si>
    <t xml:space="preserve"> 44.8872 </t>
  </si>
  <si>
    <t xml:space="preserve">C:\Users\cbarrier\Desktop\BPA\BPA\20201116_Cefas_Test6-Run1/20201116_Cefas_Test6-Run1/Plate 1/@6/F6_02.tif </t>
  </si>
  <si>
    <t xml:space="preserve"> 69150.7731 </t>
  </si>
  <si>
    <t xml:space="preserve"> 41.9697 </t>
  </si>
  <si>
    <t xml:space="preserve">C:\Users\cbarrier\Desktop\BPA\BPA\20201116_Cefas_Test6-Run1/20201116_Cefas_Test6-Run1/Plate 1/@6/F6_03.tif </t>
  </si>
  <si>
    <t xml:space="preserve"> 41.4698 </t>
  </si>
  <si>
    <t>C:\Users\cbarrier\Desktop\BPA\BPA\20201116_Cefas_Test6-Run1/20201116_Cefas_Test6-Run1/Plate 1/@6/G6_01- exclu.tif</t>
  </si>
  <si>
    <t>C:\Users\cbarrier\Desktop\BPA\BPA\20201116_Cefas_Test6-Run1/20201116_Cefas_Test6-Run1/Plate 1/@6/G6_02- exclu.tif</t>
  </si>
  <si>
    <t>C:\Users\cbarrier\Desktop\BPA\BPA\20201116_Cefas_Test6-Run1/20201116_Cefas_Test6-Run1/Plate 1/@6/G6_03- exclu.tif</t>
  </si>
  <si>
    <t xml:space="preserve">C:\Users\cbarrier\Desktop\BPA\BPA\20201116_Cefas_Test6-Run1/20201116_Cefas_Test6-Run1/Plate 1/@6/H6_01.tif </t>
  </si>
  <si>
    <t xml:space="preserve"> 39323.1484 </t>
  </si>
  <si>
    <t xml:space="preserve"> 38.2525 </t>
  </si>
  <si>
    <t xml:space="preserve">C:\Users\cbarrier\Desktop\BPA\BPA\20201116_Cefas_Test6-Run1/20201116_Cefas_Test6-Run1/Plate 1/@6/H6_02.tif </t>
  </si>
  <si>
    <t xml:space="preserve"> 48083.2558 </t>
  </si>
  <si>
    <t xml:space="preserve"> 37.9613 </t>
  </si>
  <si>
    <t xml:space="preserve">C:\Users\cbarrier\Desktop\BPA\BPA\20201116_Cefas_Test6-Run1/20201116_Cefas_Test6-Run1/Plate 1/@6/H6_03.tif </t>
  </si>
  <si>
    <t xml:space="preserve"> 24960.8984 </t>
  </si>
  <si>
    <t xml:space="preserve"> 42.1464 </t>
  </si>
  <si>
    <t xml:space="preserve">C:\Users\cbarrier\Desktop\BPA\BPA\20201116_Cefas_Test6-Run1/20201116_Cefas_Test6-Run1/Plate 1/@6/ </t>
  </si>
  <si>
    <t xml:space="preserve"> 43.5561 </t>
  </si>
  <si>
    <t xml:space="preserve"> 7.1074 </t>
  </si>
  <si>
    <t xml:space="preserve"> 2409464.88 </t>
  </si>
  <si>
    <t xml:space="preserve"> 1595160.51 </t>
  </si>
  <si>
    <t xml:space="preserve">C:\Users\cbarrier\Desktop\BPA\BPA\20201116_Cefas_Test6-Run1/20201116_Cefas_Test6-Run1/Plate 1/@7/A7_01.tif </t>
  </si>
  <si>
    <t xml:space="preserve"> 76872.6455 </t>
  </si>
  <si>
    <t xml:space="preserve"> 58.3655 </t>
  </si>
  <si>
    <t xml:space="preserve">C:\Users\cbarrier\Desktop\BPA\BPA\20201116_Cefas_Test6-Run1/20201116_Cefas_Test6-Run1/Plate 1/@7/A7_02.tif </t>
  </si>
  <si>
    <t xml:space="preserve"> 73563.2716 </t>
  </si>
  <si>
    <t xml:space="preserve"> 51.4699 </t>
  </si>
  <si>
    <t xml:space="preserve">C:\Users\cbarrier\Desktop\BPA\BPA\20201116_Cefas_Test6-Run1/20201116_Cefas_Test6-Run1/Plate 1/@7/A7_03.tif </t>
  </si>
  <si>
    <t xml:space="preserve"> 79662.9019 </t>
  </si>
  <si>
    <t xml:space="preserve"> 52.3649 </t>
  </si>
  <si>
    <t xml:space="preserve">C:\Users\cbarrier\Desktop\BPA\BPA\20201116_Cefas_Test6-Run1/20201116_Cefas_Test6-Run1/Plate 1/@7/B7_01.tif </t>
  </si>
  <si>
    <t xml:space="preserve"> 64911.3138 </t>
  </si>
  <si>
    <t xml:space="preserve"> 53.7048 </t>
  </si>
  <si>
    <t xml:space="preserve">C:\Users\cbarrier\Desktop\BPA\BPA\20201116_Cefas_Test6-Run1/20201116_Cefas_Test6-Run1/Plate 1/@7/B7_02.tif </t>
  </si>
  <si>
    <t xml:space="preserve"> 67831.3496 </t>
  </si>
  <si>
    <t xml:space="preserve"> 53.6489 </t>
  </si>
  <si>
    <t xml:space="preserve">C:\Users\cbarrier\Desktop\BPA\BPA\20201116_Cefas_Test6-Run1/20201116_Cefas_Test6-Run1/Plate 1/@7/B7_03.tif </t>
  </si>
  <si>
    <t xml:space="preserve"> 72438.5171 </t>
  </si>
  <si>
    <t xml:space="preserve"> 57.0911 </t>
  </si>
  <si>
    <t xml:space="preserve">C:\Users\cbarrier\Desktop\BPA\BPA\20201116_Cefas_Test6-Run1/20201116_Cefas_Test6-Run1/Plate 1/@7/C7_01.tif </t>
  </si>
  <si>
    <t xml:space="preserve"> 84551.2581 </t>
  </si>
  <si>
    <t xml:space="preserve"> 62.3154 </t>
  </si>
  <si>
    <t xml:space="preserve">C:\Users\cbarrier\Desktop\BPA\BPA\20201116_Cefas_Test6-Run1/20201116_Cefas_Test6-Run1/Plate 1/@7/C7_02.tif </t>
  </si>
  <si>
    <t xml:space="preserve"> 90110.141 </t>
  </si>
  <si>
    <t xml:space="preserve"> 59.2712 </t>
  </si>
  <si>
    <t xml:space="preserve">C:\Users\cbarrier\Desktop\BPA\BPA\20201116_Cefas_Test6-Run1/20201116_Cefas_Test6-Run1/Plate 1/@7/C7_03.tif </t>
  </si>
  <si>
    <t xml:space="preserve"> 85438.0838 </t>
  </si>
  <si>
    <t xml:space="preserve"> 58.2729 </t>
  </si>
  <si>
    <t xml:space="preserve">C:\Users\cbarrier\Desktop\BPA\BPA\20201116_Cefas_Test6-Run1/20201116_Cefas_Test6-Run1/Plate 1/@7/D7_01.tif </t>
  </si>
  <si>
    <t xml:space="preserve"> 73130.6737 </t>
  </si>
  <si>
    <t xml:space="preserve"> 55.0834 </t>
  </si>
  <si>
    <t xml:space="preserve">C:\Users\cbarrier\Desktop\BPA\BPA\20201116_Cefas_Test6-Run1/20201116_Cefas_Test6-Run1/Plate 1/@7/D7_02.tif </t>
  </si>
  <si>
    <t xml:space="preserve"> 72481.7769 </t>
  </si>
  <si>
    <t xml:space="preserve"> 61.5936 </t>
  </si>
  <si>
    <t xml:space="preserve">C:\Users\cbarrier\Desktop\BPA\BPA\20201116_Cefas_Test6-Run1/20201116_Cefas_Test6-Run1/Plate 1/@7/D7_03.tif </t>
  </si>
  <si>
    <t xml:space="preserve"> 70318.7874 </t>
  </si>
  <si>
    <t xml:space="preserve"> 61.2931 </t>
  </si>
  <si>
    <t>C:\Users\cbarrier\Desktop\BPA\BPA\20201116_Cefas_Test6-Run1/20201116_Cefas_Test6-Run1/Plate 1/@7/E7_01- exclu.tif</t>
  </si>
  <si>
    <t xml:space="preserve">C:\Users\cbarrier\Desktop\BPA\BPA\20201116_Cefas_Test6-Run1/20201116_Cefas_Test6-Run1/Plate 1/@7/E7_02.tif </t>
  </si>
  <si>
    <t xml:space="preserve"> 76267.0085 </t>
  </si>
  <si>
    <t xml:space="preserve"> 58.6653 </t>
  </si>
  <si>
    <t xml:space="preserve">C:\Users\cbarrier\Desktop\BPA\BPA\20201116_Cefas_Test6-Run1/20201116_Cefas_Test6-Run1/Plate 1/@7/E7_03.tif </t>
  </si>
  <si>
    <t xml:space="preserve"> 64240.787 </t>
  </si>
  <si>
    <t xml:space="preserve"> 61.8593 </t>
  </si>
  <si>
    <t xml:space="preserve">C:\Users\cbarrier\Desktop\BPA\BPA\20201116_Cefas_Test6-Run1/20201116_Cefas_Test6-Run1/Plate 1/@7/F7_01.tif </t>
  </si>
  <si>
    <t xml:space="preserve"> 79208.6741 </t>
  </si>
  <si>
    <t xml:space="preserve"> 52.3815 </t>
  </si>
  <si>
    <t xml:space="preserve">C:\Users\cbarrier\Desktop\BPA\BPA\20201116_Cefas_Test6-Run1/20201116_Cefas_Test6-Run1/Plate 1/@7/F7_02.tif </t>
  </si>
  <si>
    <t xml:space="preserve"> 53.9618 </t>
  </si>
  <si>
    <t xml:space="preserve">C:\Users\cbarrier\Desktop\BPA\BPA\20201116_Cefas_Test6-Run1/20201116_Cefas_Test6-Run1/Plate 1/@7/F7_03.tif </t>
  </si>
  <si>
    <t xml:space="preserve"> 53.9986 </t>
  </si>
  <si>
    <t xml:space="preserve">C:\Users\cbarrier\Desktop\BPA\BPA\20201116_Cefas_Test6-Run1/20201116_Cefas_Test6-Run1/Plate 1/@7/G7_01.tif </t>
  </si>
  <si>
    <t xml:space="preserve"> 88833.9772 </t>
  </si>
  <si>
    <t xml:space="preserve"> 54.5103 </t>
  </si>
  <si>
    <t xml:space="preserve">C:\Users\cbarrier\Desktop\BPA\BPA\20201116_Cefas_Test6-Run1/20201116_Cefas_Test6-Run1/Plate 1/@7/G7_02.tif </t>
  </si>
  <si>
    <t xml:space="preserve"> 58.4616 </t>
  </si>
  <si>
    <t xml:space="preserve">C:\Users\cbarrier\Desktop\BPA\BPA\20201116_Cefas_Test6-Run1/20201116_Cefas_Test6-Run1/Plate 1/@7/G7_03.tif </t>
  </si>
  <si>
    <t xml:space="preserve"> 92316.3903 </t>
  </si>
  <si>
    <t xml:space="preserve"> 58.6354 </t>
  </si>
  <si>
    <t xml:space="preserve">C:\Users\cbarrier\Desktop\BPA\BPA\20201116_Cefas_Test6-Run1/20201116_Cefas_Test6-Run1/Plate 1/@7/H7_01.tif </t>
  </si>
  <si>
    <t xml:space="preserve"> 51.5229 </t>
  </si>
  <si>
    <t xml:space="preserve">C:\Users\cbarrier\Desktop\BPA\BPA\20201116_Cefas_Test6-Run1/20201116_Cefas_Test6-Run1/Plate 1/@7/H7_02.tif </t>
  </si>
  <si>
    <t xml:space="preserve"> 49.0087 </t>
  </si>
  <si>
    <t xml:space="preserve">C:\Users\cbarrier\Desktop\BPA\BPA\20201116_Cefas_Test6-Run1/20201116_Cefas_Test6-Run1/Plate 1/@7/H7_03.tif </t>
  </si>
  <si>
    <t xml:space="preserve"> 52.8337 </t>
  </si>
  <si>
    <t xml:space="preserve">C:\Users\cbarrier\Desktop\BPA\BPA\20201116_Cefas_Test6-Run1/20201116_Cefas_Test6-Run1/Plate 1/@7/ </t>
  </si>
  <si>
    <t xml:space="preserve"> 56.2702 </t>
  </si>
  <si>
    <t xml:space="preserve"> 3.8432 </t>
  </si>
  <si>
    <t xml:space="preserve"> 4269810.62 </t>
  </si>
  <si>
    <t xml:space="preserve"> 701246.659 </t>
  </si>
  <si>
    <t xml:space="preserve">C:\Users\cbarrier\Desktop\BPA\BPA\20201116_Cefas_Test6-Run1/20201116_Cefas_Test6-Run1/Plate 3/@10/A4_01.tif </t>
  </si>
  <si>
    <t xml:space="preserve"> 34.5111 </t>
  </si>
  <si>
    <t xml:space="preserve">C:\Users\cbarrier\Desktop\BPA\BPA\20201116_Cefas_Test6-Run1/20201116_Cefas_Test6-Run1/Plate 3/@10/A4_02.tif </t>
  </si>
  <si>
    <t xml:space="preserve"> 35.9035 </t>
  </si>
  <si>
    <t xml:space="preserve">C:\Users\cbarrier\Desktop\BPA\BPA\20201116_Cefas_Test6-Run1/20201116_Cefas_Test6-Run1/Plate 3/@10/A4_03.tif </t>
  </si>
  <si>
    <t xml:space="preserve"> 4866.7263 </t>
  </si>
  <si>
    <t xml:space="preserve"> 36.6978 </t>
  </si>
  <si>
    <t xml:space="preserve">C:\Users\cbarrier\Desktop\BPA\BPA\20201116_Cefas_Test6-Run1/20201116_Cefas_Test6-Run1/Plate 3/@10/B4_01.tif </t>
  </si>
  <si>
    <t xml:space="preserve"> 5580.5128 </t>
  </si>
  <si>
    <t xml:space="preserve"> 40.5698 </t>
  </si>
  <si>
    <t xml:space="preserve">C:\Users\cbarrier\Desktop\BPA\BPA\20201116_Cefas_Test6-Run1/20201116_Cefas_Test6-Run1/Plate 3/@10/B4_02.tif </t>
  </si>
  <si>
    <t xml:space="preserve"> 37.6203 </t>
  </si>
  <si>
    <t xml:space="preserve">C:\Users\cbarrier\Desktop\BPA\BPA\20201116_Cefas_Test6-Run1/20201116_Cefas_Test6-Run1/Plate 3/@10/B4_03.tif </t>
  </si>
  <si>
    <t xml:space="preserve">C:\Users\cbarrier\Desktop\BPA\BPA\20201116_Cefas_Test6-Run1/20201116_Cefas_Test6-Run1/Plate 3/@10/C4_01.tif </t>
  </si>
  <si>
    <t xml:space="preserve"> 35.8736 </t>
  </si>
  <si>
    <t xml:space="preserve">C:\Users\cbarrier\Desktop\BPA\BPA\20201116_Cefas_Test6-Run1/20201116_Cefas_Test6-Run1/Plate 3/@10/C4_02.tif </t>
  </si>
  <si>
    <t xml:space="preserve"> 8067.9507 </t>
  </si>
  <si>
    <t xml:space="preserve"> 34.8177 </t>
  </si>
  <si>
    <t xml:space="preserve">C:\Users\cbarrier\Desktop\BPA\BPA\20201116_Cefas_Test6-Run1/20201116_Cefas_Test6-Run1/Plate 3/@10/C4_03.tif </t>
  </si>
  <si>
    <t xml:space="preserve"> 33.9567 </t>
  </si>
  <si>
    <t xml:space="preserve">C:\Users\cbarrier\Desktop\BPA\BPA\20201116_Cefas_Test6-Run1/20201116_Cefas_Test6-Run1/Plate 3/@10/D4_01.tif </t>
  </si>
  <si>
    <t xml:space="preserve"> 8781.7372 </t>
  </si>
  <si>
    <t xml:space="preserve"> 33.9926 </t>
  </si>
  <si>
    <t xml:space="preserve">C:\Users\cbarrier\Desktop\BPA\BPA\20201116_Cefas_Test6-Run1/20201116_Cefas_Test6-Run1/Plate 3/@10/D4_02.tif </t>
  </si>
  <si>
    <t xml:space="preserve"> 5883.3313 </t>
  </si>
  <si>
    <t xml:space="preserve"> 32.6287 </t>
  </si>
  <si>
    <t xml:space="preserve">C:\Users\cbarrier\Desktop\BPA\BPA\20201116_Cefas_Test6-Run1/20201116_Cefas_Test6-Run1/Plate 3/@10/D4_03.tif </t>
  </si>
  <si>
    <t xml:space="preserve"> 8349.1393 </t>
  </si>
  <si>
    <t xml:space="preserve"> 31.2124 </t>
  </si>
  <si>
    <t>C:\Users\cbarrier\Desktop\BPA\BPA\20201116_Cefas_Test6-Run1/20201116_Cefas_Test6-Run1/Plate 3/@10/E4_01- exclu.tif</t>
  </si>
  <si>
    <t xml:space="preserve">C:\Users\cbarrier\Desktop\BPA\BPA\20201116_Cefas_Test6-Run1/20201116_Cefas_Test6-Run1/Plate 3/@10/E4_02.tif </t>
  </si>
  <si>
    <t xml:space="preserve"> 6337.5591 </t>
  </si>
  <si>
    <t xml:space="preserve"> 31.2799 </t>
  </si>
  <si>
    <t xml:space="preserve">C:\Users\cbarrier\Desktop\BPA\BPA\20201116_Cefas_Test6-Run1/20201116_Cefas_Test6-Run1/Plate 3/@10/E4_03.tif </t>
  </si>
  <si>
    <t xml:space="preserve"> 8414.029 </t>
  </si>
  <si>
    <t xml:space="preserve"> 36.7275 </t>
  </si>
  <si>
    <t xml:space="preserve">C:\Users\cbarrier\Desktop\BPA\BPA\20201116_Cefas_Test6-Run1/20201116_Cefas_Test6-Run1/Plate 3/@10/F4_01.tif </t>
  </si>
  <si>
    <t xml:space="preserve"> 36.8944 </t>
  </si>
  <si>
    <t xml:space="preserve">C:\Users\cbarrier\Desktop\BPA\BPA\20201116_Cefas_Test6-Run1/20201116_Cefas_Test6-Run1/Plate 3/@10/F4_02.tif </t>
  </si>
  <si>
    <t xml:space="preserve"> 37.5491 </t>
  </si>
  <si>
    <t>C:\Users\cbarrier\Desktop\BPA\BPA\20201116_Cefas_Test6-Run1/20201116_Cefas_Test6-Run1/Plate 3/@10/F4_03- exclu.tif</t>
  </si>
  <si>
    <t xml:space="preserve">C:\Users\cbarrier\Desktop\BPA\BPA\20201116_Cefas_Test6-Run1/20201116_Cefas_Test6-Run1/Plate 3/@10/G4_01.tif </t>
  </si>
  <si>
    <t xml:space="preserve"> 34.324 </t>
  </si>
  <si>
    <t xml:space="preserve">C:\Users\cbarrier\Desktop\BPA\BPA\20201116_Cefas_Test6-Run1/20201116_Cefas_Test6-Run1/Plate 3/@10/G4_02.tif </t>
  </si>
  <si>
    <t xml:space="preserve"> 1687.1318 </t>
  </si>
  <si>
    <t xml:space="preserve"> 33.8205 </t>
  </si>
  <si>
    <t xml:space="preserve">C:\Users\cbarrier\Desktop\BPA\BPA\20201116_Cefas_Test6-Run1/20201116_Cefas_Test6-Run1/Plate 3/@10/G4_03.tif </t>
  </si>
  <si>
    <t xml:space="preserve"> 4585.5377 </t>
  </si>
  <si>
    <t xml:space="preserve"> 35.4953 </t>
  </si>
  <si>
    <t xml:space="preserve">C:\Users\cbarrier\Desktop\BPA\BPA\20201116_Cefas_Test6-Run1/20201116_Cefas_Test6-Run1/Plate 3/@10/H4_01.tif </t>
  </si>
  <si>
    <t xml:space="preserve"> 7116.2353 </t>
  </si>
  <si>
    <t xml:space="preserve"> 39.8967 </t>
  </si>
  <si>
    <t xml:space="preserve">C:\Users\cbarrier\Desktop\BPA\BPA\20201116_Cefas_Test6-Run1/20201116_Cefas_Test6-Run1/Plate 3/@10/H4_02.tif </t>
  </si>
  <si>
    <t xml:space="preserve"> 40.2805 </t>
  </si>
  <si>
    <t xml:space="preserve">C:\Users\cbarrier\Desktop\BPA\BPA\20201116_Cefas_Test6-Run1/20201116_Cefas_Test6-Run1/Plate 3/@10/H4_03.tif </t>
  </si>
  <si>
    <t xml:space="preserve"> 40.9717 </t>
  </si>
  <si>
    <t xml:space="preserve">C:\Users\cbarrier\Desktop\BPA\BPA\20201116_Cefas_Test6-Run1/20201116_Cefas_Test6-Run1/Plate 3/@10/ </t>
  </si>
  <si>
    <t xml:space="preserve"> 35.3436 </t>
  </si>
  <si>
    <t xml:space="preserve"> 3.1423 </t>
  </si>
  <si>
    <t xml:space="preserve"> 184690.417 </t>
  </si>
  <si>
    <t xml:space="preserve"> 82324.0116 </t>
  </si>
  <si>
    <t xml:space="preserve">C:\Users\cbarrier\Desktop\BPA\BPA\20201116_Cefas_Test6-Run1/20201116_Cefas_Test6-Run1/Plate 3/@11/A5_01.tif </t>
  </si>
  <si>
    <t xml:space="preserve"> 33.2806 </t>
  </si>
  <si>
    <t xml:space="preserve">C:\Users\cbarrier\Desktop\BPA\BPA\20201116_Cefas_Test6-Run1/20201116_Cefas_Test6-Run1/Plate 3/@11/A5_02.tif </t>
  </si>
  <si>
    <t xml:space="preserve"> 3331.0038 </t>
  </si>
  <si>
    <t xml:space="preserve"> 32.2013 </t>
  </si>
  <si>
    <t xml:space="preserve">C:\Users\cbarrier\Desktop\BPA\BPA\20201116_Cefas_Test6-Run1/20201116_Cefas_Test6-Run1/Plate 3/@11/A5_03.tif </t>
  </si>
  <si>
    <t xml:space="preserve"> 32.8381 </t>
  </si>
  <si>
    <t xml:space="preserve">C:\Users\cbarrier\Desktop\BPA\BPA\20201116_Cefas_Test6-Run1/20201116_Cefas_Test6-Run1/Plate 3/@11/B5_01.tif </t>
  </si>
  <si>
    <t xml:space="preserve"> 41486.1379 </t>
  </si>
  <si>
    <t xml:space="preserve"> 35.2961 </t>
  </si>
  <si>
    <t>C:\Users\cbarrier\Desktop\BPA\BPA\20201116_Cefas_Test6-Run1/20201116_Cefas_Test6-Run1/Plate 3/@11/B5_02- exclu.tif</t>
  </si>
  <si>
    <t>C:\Users\cbarrier\Desktop\BPA\BPA\20201116_Cefas_Test6-Run1/20201116_Cefas_Test6-Run1/Plate 3/@11/B5_03- exclu.tif</t>
  </si>
  <si>
    <t xml:space="preserve">C:\Users\cbarrier\Desktop\BPA\BPA\20201116_Cefas_Test6-Run1/20201116_Cefas_Test6-Run1/Plate 3/@11/C5_01.tif </t>
  </si>
  <si>
    <t xml:space="preserve"> 39431.2979 </t>
  </si>
  <si>
    <t xml:space="preserve"> 35.35 </t>
  </si>
  <si>
    <t xml:space="preserve">C:\Users\cbarrier\Desktop\BPA\BPA\20201116_Cefas_Test6-Run1/20201116_Cefas_Test6-Run1/Plate 3/@11/C5_02.tif </t>
  </si>
  <si>
    <t xml:space="preserve"> 37549.4971 </t>
  </si>
  <si>
    <t xml:space="preserve"> 35.0184 </t>
  </si>
  <si>
    <t xml:space="preserve">C:\Users\cbarrier\Desktop\BPA\BPA\20201116_Cefas_Test6-Run1/20201116_Cefas_Test6-Run1/Plate 3/@11/C5_03.tif </t>
  </si>
  <si>
    <t xml:space="preserve"> 43130.0099 </t>
  </si>
  <si>
    <t xml:space="preserve"> 37.3992 </t>
  </si>
  <si>
    <t xml:space="preserve">C:\Users\cbarrier\Desktop\BPA\BPA\20201116_Cefas_Test6-Run1/20201116_Cefas_Test6-Run1/Plate 3/@11/D5_01.tif </t>
  </si>
  <si>
    <t xml:space="preserve"> 35299.988 </t>
  </si>
  <si>
    <t xml:space="preserve"> 33.9412 </t>
  </si>
  <si>
    <t xml:space="preserve">C:\Users\cbarrier\Desktop\BPA\BPA\20201116_Cefas_Test6-Run1/20201116_Cefas_Test6-Run1/Plate 3/@11/D5_02.tif </t>
  </si>
  <si>
    <t xml:space="preserve"> 33.1288 </t>
  </si>
  <si>
    <t xml:space="preserve">C:\Users\cbarrier\Desktop\BPA\BPA\20201116_Cefas_Test6-Run1/20201116_Cefas_Test6-Run1/Plate 3/@11/D5_03.tif </t>
  </si>
  <si>
    <t xml:space="preserve"> 32488.1017 </t>
  </si>
  <si>
    <t xml:space="preserve"> 33.1145 </t>
  </si>
  <si>
    <t xml:space="preserve">C:\Users\cbarrier\Desktop\BPA\BPA\20201116_Cefas_Test6-Run1/20201116_Cefas_Test6-Run1/Plate 3/@11/E5_01.tif </t>
  </si>
  <si>
    <t xml:space="preserve"> 50462.5442 </t>
  </si>
  <si>
    <t xml:space="preserve"> 35.0716 </t>
  </si>
  <si>
    <t xml:space="preserve">C:\Users\cbarrier\Desktop\BPA\BPA\20201116_Cefas_Test6-Run1/20201116_Cefas_Test6-Run1/Plate 3/@11/E5_02.tif </t>
  </si>
  <si>
    <t xml:space="preserve"> 50981.6616 </t>
  </si>
  <si>
    <t xml:space="preserve"> 35.2838 </t>
  </si>
  <si>
    <t xml:space="preserve">C:\Users\cbarrier\Desktop\BPA\BPA\20201116_Cefas_Test6-Run1/20201116_Cefas_Test6-Run1/Plate 3/@11/E5_03.tif </t>
  </si>
  <si>
    <t xml:space="preserve"> 36.5077 </t>
  </si>
  <si>
    <t xml:space="preserve">C:\Users\cbarrier\Desktop\BPA\BPA\20201116_Cefas_Test6-Run1/20201116_Cefas_Test6-Run1/Plate 3/@11/F5_01.tif </t>
  </si>
  <si>
    <t xml:space="preserve"> 27275.2971 </t>
  </si>
  <si>
    <t xml:space="preserve"> 34.5971 </t>
  </si>
  <si>
    <t xml:space="preserve">C:\Users\cbarrier\Desktop\BPA\BPA\20201116_Cefas_Test6-Run1/20201116_Cefas_Test6-Run1/Plate 3/@11/F5_02.tif </t>
  </si>
  <si>
    <t xml:space="preserve"> 31082.1586 </t>
  </si>
  <si>
    <t xml:space="preserve"> 34.112 </t>
  </si>
  <si>
    <t xml:space="preserve">C:\Users\cbarrier\Desktop\BPA\BPA\20201116_Cefas_Test6-Run1/20201116_Cefas_Test6-Run1/Plate 3/@11/F5_03.tif </t>
  </si>
  <si>
    <t xml:space="preserve"> 36035.4045 </t>
  </si>
  <si>
    <t xml:space="preserve"> 36.027 </t>
  </si>
  <si>
    <t xml:space="preserve">C:\Users\cbarrier\Desktop\BPA\BPA\20201116_Cefas_Test6-Run1/20201116_Cefas_Test6-Run1/Plate 3/@11/G5_01.tif </t>
  </si>
  <si>
    <t xml:space="preserve"> 24636.45 </t>
  </si>
  <si>
    <t xml:space="preserve"> 38.5522 </t>
  </si>
  <si>
    <t xml:space="preserve">C:\Users\cbarrier\Desktop\BPA\BPA\20201116_Cefas_Test6-Run1/20201116_Cefas_Test6-Run1/Plate 3/@11/G5_02.tif </t>
  </si>
  <si>
    <t xml:space="preserve"> 28075.6032 </t>
  </si>
  <si>
    <t xml:space="preserve"> 38.5339 </t>
  </si>
  <si>
    <t xml:space="preserve">C:\Users\cbarrier\Desktop\BPA\BPA\20201116_Cefas_Test6-Run1/20201116_Cefas_Test6-Run1/Plate 3/@11/G5_03.tif </t>
  </si>
  <si>
    <t xml:space="preserve"> 39.2259 </t>
  </si>
  <si>
    <t xml:space="preserve">C:\Users\cbarrier\Desktop\BPA\BPA\20201116_Cefas_Test6-Run1/20201116_Cefas_Test6-Run1/Plate 3/@11/H5_01.tif </t>
  </si>
  <si>
    <t xml:space="preserve"> 24355.2614 </t>
  </si>
  <si>
    <t xml:space="preserve"> 34.5169 </t>
  </si>
  <si>
    <t xml:space="preserve">C:\Users\cbarrier\Desktop\BPA\BPA\20201116_Cefas_Test6-Run1/20201116_Cefas_Test6-Run1/Plate 3/@11/H5_02.tif </t>
  </si>
  <si>
    <t xml:space="preserve"> 19964.3927 </t>
  </si>
  <si>
    <t xml:space="preserve"> 33.9393 </t>
  </si>
  <si>
    <t xml:space="preserve">C:\Users\cbarrier\Desktop\BPA\BPA\20201116_Cefas_Test6-Run1/20201116_Cefas_Test6-Run1/Plate 3/@11/H5_03.tif </t>
  </si>
  <si>
    <t xml:space="preserve"> 28270.2723 </t>
  </si>
  <si>
    <t xml:space="preserve"> 35.0972 </t>
  </si>
  <si>
    <t xml:space="preserve">C:\Users\cbarrier\Desktop\BPA\BPA\20201116_Cefas_Test6-Run1/20201116_Cefas_Test6-Run1/Plate 3/@11/ </t>
  </si>
  <si>
    <t xml:space="preserve"> 35.4248 </t>
  </si>
  <si>
    <t xml:space="preserve"> 2.0944 </t>
  </si>
  <si>
    <t xml:space="preserve"> 1104346.75 </t>
  </si>
  <si>
    <t xml:space="preserve"> 465158.685 </t>
  </si>
  <si>
    <t xml:space="preserve">C:\Users\cbarrier\Desktop\BPA\BPA\20201116_Cefas_Test6-Run1/20201116_Cefas_Test6-Run1/Plate 3/@12/A6_01.tif </t>
  </si>
  <si>
    <t xml:space="preserve"> 63916.3386 </t>
  </si>
  <si>
    <t xml:space="preserve"> 38.6196 </t>
  </si>
  <si>
    <t xml:space="preserve">C:\Users\cbarrier\Desktop\BPA\BPA\20201116_Cefas_Test6-Run1/20201116_Cefas_Test6-Run1/Plate 3/@12/A6_02.tif </t>
  </si>
  <si>
    <t xml:space="preserve"> 42.2227 </t>
  </si>
  <si>
    <t xml:space="preserve">C:\Users\cbarrier\Desktop\BPA\BPA\20201116_Cefas_Test6-Run1/20201116_Cefas_Test6-Run1/Plate 3/@12/A6_03.tif </t>
  </si>
  <si>
    <t xml:space="preserve"> 40.8748 </t>
  </si>
  <si>
    <t xml:space="preserve">C:\Users\cbarrier\Desktop\BPA\BPA\20201116_Cefas_Test6-Run1/20201116_Cefas_Test6-Run1/Plate 3/@12/B6_01.tif </t>
  </si>
  <si>
    <t xml:space="preserve"> 39.2485 </t>
  </si>
  <si>
    <t xml:space="preserve">C:\Users\cbarrier\Desktop\BPA\BPA\20201116_Cefas_Test6-Run1/20201116_Cefas_Test6-Run1/Plate 3/@12/B6_02.tif </t>
  </si>
  <si>
    <t xml:space="preserve"> 50029.9463 </t>
  </si>
  <si>
    <t xml:space="preserve"> 38.5153 </t>
  </si>
  <si>
    <t xml:space="preserve">C:\Users\cbarrier\Desktop\BPA\BPA\20201116_Cefas_Test6-Run1/20201116_Cefas_Test6-Run1/Plate 3/@12/B6_03.tif </t>
  </si>
  <si>
    <t xml:space="preserve"> 55502.3096 </t>
  </si>
  <si>
    <t xml:space="preserve"> 38.6754 </t>
  </si>
  <si>
    <t xml:space="preserve">C:\Users\cbarrier\Desktop\BPA\BPA\20201116_Cefas_Test6-Run1/20201116_Cefas_Test6-Run1/Plate 3/@12/C6_01.tif </t>
  </si>
  <si>
    <t xml:space="preserve"> 46482.6436 </t>
  </si>
  <si>
    <t xml:space="preserve"> 38.3606 </t>
  </si>
  <si>
    <t xml:space="preserve">C:\Users\cbarrier\Desktop\BPA\BPA\20201116_Cefas_Test6-Run1/20201116_Cefas_Test6-Run1/Plate 3/@12/C6_02.tif </t>
  </si>
  <si>
    <t xml:space="preserve"> 41961.9956 </t>
  </si>
  <si>
    <t xml:space="preserve"> 39.0634 </t>
  </si>
  <si>
    <t xml:space="preserve">C:\Users\cbarrier\Desktop\BPA\BPA\20201116_Cefas_Test6-Run1/20201116_Cefas_Test6-Run1/Plate 3/@12/C6_03.tif </t>
  </si>
  <si>
    <t xml:space="preserve"> 57146.1816 </t>
  </si>
  <si>
    <t xml:space="preserve"> 42.0102 </t>
  </si>
  <si>
    <t xml:space="preserve">C:\Users\cbarrier\Desktop\BPA\BPA\20201116_Cefas_Test6-Run1/20201116_Cefas_Test6-Run1/Plate 3/@12/D6_01.tif </t>
  </si>
  <si>
    <t xml:space="preserve"> 63937.9685 </t>
  </si>
  <si>
    <t xml:space="preserve"> 42.4915 </t>
  </si>
  <si>
    <t xml:space="preserve">C:\Users\cbarrier\Desktop\BPA\BPA\20201116_Cefas_Test6-Run1/20201116_Cefas_Test6-Run1/Plate 3/@12/D6_02.tif </t>
  </si>
  <si>
    <t xml:space="preserve"> 65495.3209 </t>
  </si>
  <si>
    <t xml:space="preserve"> 45.8316 </t>
  </si>
  <si>
    <t xml:space="preserve">C:\Users\cbarrier\Desktop\BPA\BPA\20201116_Cefas_Test6-Run1/20201116_Cefas_Test6-Run1/Plate 3/@12/D6_03.tif </t>
  </si>
  <si>
    <t xml:space="preserve"> 63245.8119 </t>
  </si>
  <si>
    <t xml:space="preserve"> 45.3728 </t>
  </si>
  <si>
    <t xml:space="preserve">C:\Users\cbarrier\Desktop\BPA\BPA\20201116_Cefas_Test6-Run1/20201116_Cefas_Test6-Run1/Plate 3/@12/E6_01.tif </t>
  </si>
  <si>
    <t xml:space="preserve"> 48.0098 </t>
  </si>
  <si>
    <t xml:space="preserve">C:\Users\cbarrier\Desktop\BPA\BPA\20201116_Cefas_Test6-Run1/20201116_Cefas_Test6-Run1/Plate 3/@12/E6_02.tif </t>
  </si>
  <si>
    <t xml:space="preserve"> 83556.283 </t>
  </si>
  <si>
    <t xml:space="preserve"> 48.2886 </t>
  </si>
  <si>
    <t xml:space="preserve">C:\Users\cbarrier\Desktop\BPA\BPA\20201116_Cefas_Test6-Run1/20201116_Cefas_Test6-Run1/Plate 3/@12/E6_03.tif </t>
  </si>
  <si>
    <t xml:space="preserve"> 83621.1726 </t>
  </si>
  <si>
    <t xml:space="preserve"> 49.7977 </t>
  </si>
  <si>
    <t xml:space="preserve">C:\Users\cbarrier\Desktop\BPA\BPA\20201116_Cefas_Test6-Run1/20201116_Cefas_Test6-Run1/Plate 3/@12/F6_01.tif </t>
  </si>
  <si>
    <t xml:space="preserve"> 33.3413 </t>
  </si>
  <si>
    <t xml:space="preserve">C:\Users\cbarrier\Desktop\BPA\BPA\20201116_Cefas_Test6-Run1/20201116_Cefas_Test6-Run1/Plate 3/@12/F6_02.tif </t>
  </si>
  <si>
    <t xml:space="preserve"> 34.3143 </t>
  </si>
  <si>
    <t>C:\Users\cbarrier\Desktop\BPA\BPA\20201116_Cefas_Test6-Run1/20201116_Cefas_Test6-Run1/Plate 3/@12/F6_03- exclu.tif</t>
  </si>
  <si>
    <t>C:\Users\cbarrier\Desktop\BPA\BPA\20201116_Cefas_Test6-Run1/20201116_Cefas_Test6-Run1/Plate 3/@12/G6_01- exclu.tif</t>
  </si>
  <si>
    <t>C:\Users\cbarrier\Desktop\BPA\BPA\20201116_Cefas_Test6-Run1/20201116_Cefas_Test6-Run1/Plate 3/@12/G6_02- exclu.tif</t>
  </si>
  <si>
    <t>C:\Users\cbarrier\Desktop\BPA\BPA\20201116_Cefas_Test6-Run1/20201116_Cefas_Test6-Run1/Plate 3/@12/G6_03- exclu.tif</t>
  </si>
  <si>
    <t xml:space="preserve">C:\Users\cbarrier\Desktop\BPA\BPA\20201116_Cefas_Test6-Run1/20201116_Cefas_Test6-Run1/Plate 3/@12/H6_01.tif </t>
  </si>
  <si>
    <t xml:space="preserve"> 51392.6296 </t>
  </si>
  <si>
    <t xml:space="preserve"> 35.4769 </t>
  </si>
  <si>
    <t xml:space="preserve">C:\Users\cbarrier\Desktop\BPA\BPA\20201116_Cefas_Test6-Run1/20201116_Cefas_Test6-Run1/Plate 3/@12/H6_02.tif </t>
  </si>
  <si>
    <t xml:space="preserve"> 35.8683 </t>
  </si>
  <si>
    <t xml:space="preserve">C:\Users\cbarrier\Desktop\BPA\BPA\20201116_Cefas_Test6-Run1/20201116_Cefas_Test6-Run1/Plate 3/@12/H6_03.tif </t>
  </si>
  <si>
    <t xml:space="preserve"> 54507.3345 </t>
  </si>
  <si>
    <t xml:space="preserve"> 37.3988 </t>
  </si>
  <si>
    <t xml:space="preserve">C:\Users\cbarrier\Desktop\BPA\BPA\20201116_Cefas_Test6-Run1/20201116_Cefas_Test6-Run1/Plate 3/@12/ </t>
  </si>
  <si>
    <t xml:space="preserve"> 40.2318 </t>
  </si>
  <si>
    <t xml:space="preserve"> 5.13 </t>
  </si>
  <si>
    <t xml:space="preserve"> 2119685.54 </t>
  </si>
  <si>
    <t xml:space="preserve"> 1173331.09 </t>
  </si>
  <si>
    <t xml:space="preserve">C:\Users\cbarrier\Desktop\BPA\BPA\20201116_Cefas_Test6-Run1/20201116_Cefas_Test6-Run1/Plate 3/@17/A8_01.tif </t>
  </si>
  <si>
    <t xml:space="preserve"> 28789.3898 </t>
  </si>
  <si>
    <t xml:space="preserve"> 34.9091 </t>
  </si>
  <si>
    <t xml:space="preserve">C:\Users\cbarrier\Desktop\BPA\BPA\20201116_Cefas_Test6-Run1/20201116_Cefas_Test6-Run1/Plate 3/@17/A8_02.tif </t>
  </si>
  <si>
    <t xml:space="preserve"> 30.375 </t>
  </si>
  <si>
    <t xml:space="preserve">C:\Users\cbarrier\Desktop\BPA\BPA\20201116_Cefas_Test6-Run1/20201116_Cefas_Test6-Run1/Plate 3/@17/A8_03.tif </t>
  </si>
  <si>
    <t xml:space="preserve"> 13453.7945 </t>
  </si>
  <si>
    <t xml:space="preserve"> 32.4743 </t>
  </si>
  <si>
    <t xml:space="preserve">C:\Users\cbarrier\Desktop\BPA\BPA\20201116_Cefas_Test6-Run1/20201116_Cefas_Test6-Run1/Plate 3/@17/B8_01.tif </t>
  </si>
  <si>
    <t xml:space="preserve"> 61645.1997 </t>
  </si>
  <si>
    <t xml:space="preserve"> 41.2818 </t>
  </si>
  <si>
    <t xml:space="preserve">C:\Users\cbarrier\Desktop\BPA\BPA\20201116_Cefas_Test6-Run1/20201116_Cefas_Test6-Run1/Plate 3/@17/B8_02.tif </t>
  </si>
  <si>
    <t xml:space="preserve"> 63743.2995 </t>
  </si>
  <si>
    <t xml:space="preserve"> 42.1958 </t>
  </si>
  <si>
    <t xml:space="preserve">C:\Users\cbarrier\Desktop\BPA\BPA\20201116_Cefas_Test6-Run1/20201116_Cefas_Test6-Run1/Plate 3/@17/B8_03.tif </t>
  </si>
  <si>
    <t xml:space="preserve"> 52019.8966 </t>
  </si>
  <si>
    <t xml:space="preserve"> 38.4894 </t>
  </si>
  <si>
    <t xml:space="preserve">C:\Users\cbarrier\Desktop\BPA\BPA\20201116_Cefas_Test6-Run1/20201116_Cefas_Test6-Run1/Plate 3/@17/C8_01.tif </t>
  </si>
  <si>
    <t xml:space="preserve"> 33.7669 </t>
  </si>
  <si>
    <t xml:space="preserve">C:\Users\cbarrier\Desktop\BPA\BPA\20201116_Cefas_Test6-Run1/20201116_Cefas_Test6-Run1/Plate 3/@17/C8_02.tif </t>
  </si>
  <si>
    <t xml:space="preserve"> 34.3915 </t>
  </si>
  <si>
    <t xml:space="preserve">C:\Users\cbarrier\Desktop\BPA\BPA\20201116_Cefas_Test6-Run1/20201116_Cefas_Test6-Run1/Plate 3/@17/C8_03.tif </t>
  </si>
  <si>
    <t xml:space="preserve"> 7765.1322 </t>
  </si>
  <si>
    <t xml:space="preserve"> 34.0084 </t>
  </si>
  <si>
    <t xml:space="preserve">C:\Users\cbarrier\Desktop\BPA\BPA\20201116_Cefas_Test6-Run1/20201116_Cefas_Test6-Run1/Plate 3/@17/D8_01.tif </t>
  </si>
  <si>
    <t xml:space="preserve"> 36.4612 </t>
  </si>
  <si>
    <t xml:space="preserve">C:\Users\cbarrier\Desktop\BPA\BPA\20201116_Cefas_Test6-Run1/20201116_Cefas_Test6-Run1/Plate 3/@17/D8_02.tif </t>
  </si>
  <si>
    <t xml:space="preserve"> 10339.0896 </t>
  </si>
  <si>
    <t xml:space="preserve"> 36.0669 </t>
  </si>
  <si>
    <t xml:space="preserve">C:\Users\cbarrier\Desktop\BPA\BPA\20201116_Cefas_Test6-Run1/20201116_Cefas_Test6-Run1/Plate 3/@17/D8_03.tif </t>
  </si>
  <si>
    <t xml:space="preserve"> 15703.3035 </t>
  </si>
  <si>
    <t xml:space="preserve"> 38.4311 </t>
  </si>
  <si>
    <t xml:space="preserve">C:\Users\cbarrier\Desktop\BPA\BPA\20201116_Cefas_Test6-Run1/20201116_Cefas_Test6-Run1/Plate 3/@17/E8_01.tif </t>
  </si>
  <si>
    <t xml:space="preserve"> 73476.7521 </t>
  </si>
  <si>
    <t xml:space="preserve"> 41.4398 </t>
  </si>
  <si>
    <t xml:space="preserve">C:\Users\cbarrier\Desktop\BPA\BPA\20201116_Cefas_Test6-Run1/20201116_Cefas_Test6-Run1/Plate 3/@17/E8_02.tif </t>
  </si>
  <si>
    <t xml:space="preserve"> 79187.0442 </t>
  </si>
  <si>
    <t xml:space="preserve"> 42.8976 </t>
  </si>
  <si>
    <t xml:space="preserve">C:\Users\cbarrier\Desktop\BPA\BPA\20201116_Cefas_Test6-Run1/20201116_Cefas_Test6-Run1/Plate 3/@17/E8_03.tif </t>
  </si>
  <si>
    <t xml:space="preserve"> 74709.656 </t>
  </si>
  <si>
    <t xml:space="preserve"> 41.2927 </t>
  </si>
  <si>
    <t xml:space="preserve">C:\Users\cbarrier\Desktop\BPA\BPA\20201116_Cefas_Test6-Run1/20201116_Cefas_Test6-Run1/Plate 3/@17/F8_01.tif </t>
  </si>
  <si>
    <t xml:space="preserve"> 32.55 </t>
  </si>
  <si>
    <t xml:space="preserve">C:\Users\cbarrier\Desktop\BPA\BPA\20201116_Cefas_Test6-Run1/20201116_Cefas_Test6-Run1/Plate 3/@17/F8_02.tif </t>
  </si>
  <si>
    <t xml:space="preserve"> 33.3046 </t>
  </si>
  <si>
    <t xml:space="preserve">C:\Users\cbarrier\Desktop\BPA\BPA\20201116_Cefas_Test6-Run1/20201116_Cefas_Test6-Run1/Plate 3/@17/F8_03.tif </t>
  </si>
  <si>
    <t xml:space="preserve"> 33.0852 </t>
  </si>
  <si>
    <t xml:space="preserve">C:\Users\cbarrier\Desktop\BPA\BPA\20201116_Cefas_Test6-Run1/20201116_Cefas_Test6-Run1/Plate 3/@17/G8_01.tif </t>
  </si>
  <si>
    <t xml:space="preserve"> 53858.4376 </t>
  </si>
  <si>
    <t xml:space="preserve"> 37.9843 </t>
  </si>
  <si>
    <t xml:space="preserve">C:\Users\cbarrier\Desktop\BPA\BPA\20201116_Cefas_Test6-Run1/20201116_Cefas_Test6-Run1/Plate 3/@17/G8_02.tif </t>
  </si>
  <si>
    <t xml:space="preserve"> 60715.1142 </t>
  </si>
  <si>
    <t xml:space="preserve"> 41.8807 </t>
  </si>
  <si>
    <t xml:space="preserve">C:\Users\cbarrier\Desktop\BPA\BPA\20201116_Cefas_Test6-Run1/20201116_Cefas_Test6-Run1/Plate 3/@17/G8_03.tif </t>
  </si>
  <si>
    <t xml:space="preserve"> 57167.8115 </t>
  </si>
  <si>
    <t xml:space="preserve"> 41.0829 </t>
  </si>
  <si>
    <t xml:space="preserve">C:\Users\cbarrier\Desktop\BPA\BPA\20201116_Cefas_Test6-Run1/20201116_Cefas_Test6-Run1/Plate 3/@17/H8_01.tif </t>
  </si>
  <si>
    <t xml:space="preserve"> 20310.4711 </t>
  </si>
  <si>
    <t xml:space="preserve"> 34.0192 </t>
  </si>
  <si>
    <t xml:space="preserve">C:\Users\cbarrier\Desktop\BPA\BPA\20201116_Cefas_Test6-Run1/20201116_Cefas_Test6-Run1/Plate 3/@17/H8_02.tif </t>
  </si>
  <si>
    <t xml:space="preserve"> 33.4197 </t>
  </si>
  <si>
    <t xml:space="preserve">C:\Users\cbarrier\Desktop\BPA\BPA\20201116_Cefas_Test6-Run1/20201116_Cefas_Test6-Run1/Plate 3/@17/H8_03.tif </t>
  </si>
  <si>
    <t xml:space="preserve"> 10468.869 </t>
  </si>
  <si>
    <t xml:space="preserve"> 33.1777 </t>
  </si>
  <si>
    <t xml:space="preserve">C:\Users\cbarrier\Desktop\BPA\BPA\20201116_Cefas_Test6-Run1/20201116_Cefas_Test6-Run1/Plate 3/@17/ </t>
  </si>
  <si>
    <t xml:space="preserve"> 36.6244 </t>
  </si>
  <si>
    <t xml:space="preserve"> 3.855 </t>
  </si>
  <si>
    <t xml:space="preserve"> 1221910.54 </t>
  </si>
  <si>
    <t xml:space="preserve"> 1168600.08 </t>
  </si>
  <si>
    <t xml:space="preserve">C:\Users\cbarrier\Desktop\BPA\BPA\20201116_Cefas_Test6-Run1/20201116_Cefas_Test6-Run1/Plate 3/@18/A9_01.tif </t>
  </si>
  <si>
    <t xml:space="preserve"> 43.6861 </t>
  </si>
  <si>
    <t xml:space="preserve">C:\Users\cbarrier\Desktop\BPA\BPA\20201116_Cefas_Test6-Run1/20201116_Cefas_Test6-Run1/Plate 3/@18/A9_02.tif </t>
  </si>
  <si>
    <t xml:space="preserve"> 86887.2867 </t>
  </si>
  <si>
    <t xml:space="preserve"> 47.5863 </t>
  </si>
  <si>
    <t xml:space="preserve">C:\Users\cbarrier\Desktop\BPA\BPA\20201116_Cefas_Test6-Run1/20201116_Cefas_Test6-Run1/Plate 3/@18/A9_03.tif </t>
  </si>
  <si>
    <t xml:space="preserve"> 85784.1621 </t>
  </si>
  <si>
    <t xml:space="preserve"> 44.5396 </t>
  </si>
  <si>
    <t xml:space="preserve">C:\Users\cbarrier\Desktop\BPA\BPA\20201116_Cefas_Test6-Run1/20201116_Cefas_Test6-Run1/Plate 3/@18/B9_01.tif </t>
  </si>
  <si>
    <t xml:space="preserve"> 61450.5306 </t>
  </si>
  <si>
    <t xml:space="preserve"> 40.4836 </t>
  </si>
  <si>
    <t xml:space="preserve">C:\Users\cbarrier\Desktop\BPA\BPA\20201116_Cefas_Test6-Run1/20201116_Cefas_Test6-Run1/Plate 3/@18/B9_02.tif </t>
  </si>
  <si>
    <t xml:space="preserve"> 58162.7867 </t>
  </si>
  <si>
    <t xml:space="preserve"> 40.9725 </t>
  </si>
  <si>
    <t xml:space="preserve">C:\Users\cbarrier\Desktop\BPA\BPA\20201116_Cefas_Test6-Run1/20201116_Cefas_Test6-Run1/Plate 3/@18/B9_03.tif </t>
  </si>
  <si>
    <t xml:space="preserve"> 67052.6733 </t>
  </si>
  <si>
    <t xml:space="preserve"> 43.3481 </t>
  </si>
  <si>
    <t xml:space="preserve">C:\Users\cbarrier\Desktop\BPA\BPA\20201116_Cefas_Test6-Run1/20201116_Cefas_Test6-Run1/Plate 3/@18/C9_01.tif </t>
  </si>
  <si>
    <t xml:space="preserve"> 19445.2753 </t>
  </si>
  <si>
    <t xml:space="preserve"> 33.4561 </t>
  </si>
  <si>
    <t xml:space="preserve">C:\Users\cbarrier\Desktop\BPA\BPA\20201116_Cefas_Test6-Run1/20201116_Cefas_Test6-Run1/Plate 3/@18/C9_02.tif </t>
  </si>
  <si>
    <t xml:space="preserve"> 37.0618 </t>
  </si>
  <si>
    <t xml:space="preserve">C:\Users\cbarrier\Desktop\BPA\BPA\20201116_Cefas_Test6-Run1/20201116_Cefas_Test6-Run1/Plate 3/@18/C9_03.tif </t>
  </si>
  <si>
    <t xml:space="preserve"> 24160.5923 </t>
  </si>
  <si>
    <t xml:space="preserve"> 37.5112 </t>
  </si>
  <si>
    <t xml:space="preserve">C:\Users\cbarrier\Desktop\BPA\BPA\20201116_Cefas_Test6-Run1/20201116_Cefas_Test6-Run1/Plate 3/@18/D9_01.tif </t>
  </si>
  <si>
    <t xml:space="preserve"> 59309.1711 </t>
  </si>
  <si>
    <t xml:space="preserve"> 42.2221 </t>
  </si>
  <si>
    <t>C:\Users\cbarrier\Desktop\BPA\BPA\20201116_Cefas_Test6-Run1/20201116_Cefas_Test6-Run1/Plate 3/@18/D9_02- exclu.tif</t>
  </si>
  <si>
    <t xml:space="preserve">C:\Users\cbarrier\Desktop\BPA\BPA\20201116_Cefas_Test6-Run1/20201116_Cefas_Test6-Run1/Plate 3/@18/D9_03.tif </t>
  </si>
  <si>
    <t xml:space="preserve"> 58227.6763 </t>
  </si>
  <si>
    <t xml:space="preserve"> 42.1244 </t>
  </si>
  <si>
    <t xml:space="preserve">C:\Users\cbarrier\Desktop\BPA\BPA\20201116_Cefas_Test6-Run1/20201116_Cefas_Test6-Run1/Plate 3/@18/E9_01.tif </t>
  </si>
  <si>
    <t xml:space="preserve"> 69626.6308 </t>
  </si>
  <si>
    <t xml:space="preserve"> 46.4834 </t>
  </si>
  <si>
    <t xml:space="preserve">C:\Users\cbarrier\Desktop\BPA\BPA\20201116_Cefas_Test6-Run1/20201116_Cefas_Test6-Run1/Plate 3/@18/E9_02.tif </t>
  </si>
  <si>
    <t xml:space="preserve"> 67550.1609 </t>
  </si>
  <si>
    <t xml:space="preserve"> 45.7723 </t>
  </si>
  <si>
    <t xml:space="preserve">C:\Users\cbarrier\Desktop\BPA\BPA\20201116_Cefas_Test6-Run1/20201116_Cefas_Test6-Run1/Plate 3/@18/E9_03.tif </t>
  </si>
  <si>
    <t xml:space="preserve"> 74104.019 </t>
  </si>
  <si>
    <t xml:space="preserve"> 47.9942 </t>
  </si>
  <si>
    <t xml:space="preserve">C:\Users\cbarrier\Desktop\BPA\BPA\20201116_Cefas_Test6-Run1/20201116_Cefas_Test6-Run1/Plate 3/@18/F9_01.tif </t>
  </si>
  <si>
    <t xml:space="preserve"> 43021.8604 </t>
  </si>
  <si>
    <t xml:space="preserve"> 35.279 </t>
  </si>
  <si>
    <t xml:space="preserve">C:\Users\cbarrier\Desktop\BPA\BPA\20201116_Cefas_Test6-Run1/20201116_Cefas_Test6-Run1/Plate 3/@18/F9_02.tif </t>
  </si>
  <si>
    <t xml:space="preserve"> 60477.1854 </t>
  </si>
  <si>
    <t xml:space="preserve"> 38.9356 </t>
  </si>
  <si>
    <t xml:space="preserve">C:\Users\cbarrier\Desktop\BPA\BPA\20201116_Cefas_Test6-Run1/20201116_Cefas_Test6-Run1/Plate 3/@18/F9_03.tif </t>
  </si>
  <si>
    <t xml:space="preserve"> 58335.8258 </t>
  </si>
  <si>
    <t xml:space="preserve"> 38.1483 </t>
  </si>
  <si>
    <t xml:space="preserve">C:\Users\cbarrier\Desktop\BPA\BPA\20201116_Cefas_Test6-Run1/20201116_Cefas_Test6-Run1/Plate 3/@18/G9_01.tif </t>
  </si>
  <si>
    <t xml:space="preserve"> 29935.7742 </t>
  </si>
  <si>
    <t xml:space="preserve"> 32.7623 </t>
  </si>
  <si>
    <t xml:space="preserve">C:\Users\cbarrier\Desktop\BPA\BPA\20201116_Cefas_Test6-Run1/20201116_Cefas_Test6-Run1/Plate 3/@18/G9_02.tif </t>
  </si>
  <si>
    <t xml:space="preserve"> 57016.4022 </t>
  </si>
  <si>
    <t xml:space="preserve"> 38.0607 </t>
  </si>
  <si>
    <t xml:space="preserve">C:\Users\cbarrier\Desktop\BPA\BPA\20201116_Cefas_Test6-Run1/20201116_Cefas_Test6-Run1/Plate 3/@18/G9_03.tif </t>
  </si>
  <si>
    <t xml:space="preserve"> 44492.6933 </t>
  </si>
  <si>
    <t xml:space="preserve"> 35.4511 </t>
  </si>
  <si>
    <t xml:space="preserve">C:\Users\cbarrier\Desktop\BPA\BPA\20201116_Cefas_Test6-Run1/20201116_Cefas_Test6-Run1/Plate 3/@18/H9_01.tif </t>
  </si>
  <si>
    <t xml:space="preserve"> 60325.7761 </t>
  </si>
  <si>
    <t xml:space="preserve"> 40.7634 </t>
  </si>
  <si>
    <t xml:space="preserve">C:\Users\cbarrier\Desktop\BPA\BPA\20201116_Cefas_Test6-Run1/20201116_Cefas_Test6-Run1/Plate 3/@18/H9_02.tif </t>
  </si>
  <si>
    <t xml:space="preserve"> 47499.2486 </t>
  </si>
  <si>
    <t xml:space="preserve"> 40.7231 </t>
  </si>
  <si>
    <t xml:space="preserve">C:\Users\cbarrier\Desktop\BPA\BPA\20201116_Cefas_Test6-Run1/20201116_Cefas_Test6-Run1/Plate 3/@18/H9_03.tif </t>
  </si>
  <si>
    <t xml:space="preserve"> 42.8022 </t>
  </si>
  <si>
    <t xml:space="preserve">C:\Users\cbarrier\Desktop\BPA\BPA\20201116_Cefas_Test6-Run1/20201116_Cefas_Test6-Run1/Plate 3/@18/ </t>
  </si>
  <si>
    <t xml:space="preserve"> 40.3067 </t>
  </si>
  <si>
    <t xml:space="preserve"> 4.6553 </t>
  </si>
  <si>
    <t xml:space="preserve"> 987119.931 </t>
  </si>
  <si>
    <t xml:space="preserve">C:\Users\cbarrier\Desktop\BPA\BPA\20201116_Cefas_Test6-Run1/20201116_Cefas_Test6-Run1/Plate 3/@19/A10_01.tif </t>
  </si>
  <si>
    <t xml:space="preserve">C:\Users\cbarrier\Desktop\BPA\BPA\20201116_Cefas_Test6-Run1/20201116_Cefas_Test6-Run1/Plate 3/@19/A10_02.tif </t>
  </si>
  <si>
    <t xml:space="preserve">C:\Users\cbarrier\Desktop\BPA\BPA\20201116_Cefas_Test6-Run1/20201116_Cefas_Test6-Run1/Plate 3/@19/A10_03.tif </t>
  </si>
  <si>
    <t xml:space="preserve">C:\Users\cbarrier\Desktop\BPA\BPA\20201116_Cefas_Test6-Run1/20201116_Cefas_Test6-Run1/Plate 3/@19/B10_01.tif </t>
  </si>
  <si>
    <t xml:space="preserve">C:\Users\cbarrier\Desktop\BPA\BPA\20201116_Cefas_Test6-Run1/20201116_Cefas_Test6-Run1/Plate 3/@19/B10_02.tif </t>
  </si>
  <si>
    <t>C:\Users\cbarrier\Desktop\BPA\BPA\20201116_Cefas_Test6-Run1/20201116_Cefas_Test6-Run1/Plate 3/@19/B10_03- exclu.tif</t>
  </si>
  <si>
    <t xml:space="preserve">C:\Users\cbarrier\Desktop\BPA\BPA\20201116_Cefas_Test6-Run1/20201116_Cefas_Test6-Run1/Plate 3/@19/C10_01.tif </t>
  </si>
  <si>
    <t xml:space="preserve">C:\Users\cbarrier\Desktop\BPA\BPA\20201116_Cefas_Test6-Run1/20201116_Cefas_Test6-Run1/Plate 3/@19/C10_02.tif </t>
  </si>
  <si>
    <t xml:space="preserve">C:\Users\cbarrier\Desktop\BPA\BPA\20201116_Cefas_Test6-Run1/20201116_Cefas_Test6-Run1/Plate 3/@19/C10_03.tif </t>
  </si>
  <si>
    <t xml:space="preserve">C:\Users\cbarrier\Desktop\BPA\BPA\20201116_Cefas_Test6-Run1/20201116_Cefas_Test6-Run1/Plate 3/@19/D10_01.tif </t>
  </si>
  <si>
    <t xml:space="preserve">C:\Users\cbarrier\Desktop\BPA\BPA\20201116_Cefas_Test6-Run1/20201116_Cefas_Test6-Run1/Plate 3/@19/D10_02.tif </t>
  </si>
  <si>
    <t xml:space="preserve">C:\Users\cbarrier\Desktop\BPA\BPA\20201116_Cefas_Test6-Run1/20201116_Cefas_Test6-Run1/Plate 3/@19/D10_03.tif </t>
  </si>
  <si>
    <t xml:space="preserve">C:\Users\cbarrier\Desktop\BPA\BPA\20201116_Cefas_Test6-Run1/20201116_Cefas_Test6-Run1/Plate 3/@19/E10_01.tif </t>
  </si>
  <si>
    <t xml:space="preserve">C:\Users\cbarrier\Desktop\BPA\BPA\20201116_Cefas_Test6-Run1/20201116_Cefas_Test6-Run1/Plate 3/@19/E10_02.tif </t>
  </si>
  <si>
    <t xml:space="preserve">C:\Users\cbarrier\Desktop\BPA\BPA\20201116_Cefas_Test6-Run1/20201116_Cefas_Test6-Run1/Plate 3/@19/E10_03.tif </t>
  </si>
  <si>
    <t>C:\Users\cbarrier\Desktop\BPA\BPA\20201116_Cefas_Test6-Run1/20201116_Cefas_Test6-Run1/Plate 3/@19/F10_01- exclu.tif</t>
  </si>
  <si>
    <t xml:space="preserve">C:\Users\cbarrier\Desktop\BPA\BPA\20201116_Cefas_Test6-Run1/20201116_Cefas_Test6-Run1/Plate 3/@19/F10_02.tif </t>
  </si>
  <si>
    <t xml:space="preserve">C:\Users\cbarrier\Desktop\BPA\BPA\20201116_Cefas_Test6-Run1/20201116_Cefas_Test6-Run1/Plate 3/@19/F10_03.tif </t>
  </si>
  <si>
    <t xml:space="preserve">C:\Users\cbarrier\Desktop\BPA\BPA\20201116_Cefas_Test6-Run1/20201116_Cefas_Test6-Run1/Plate 3/@19/G10_01.tif </t>
  </si>
  <si>
    <t xml:space="preserve">C:\Users\cbarrier\Desktop\BPA\BPA\20201116_Cefas_Test6-Run1/20201116_Cefas_Test6-Run1/Plate 3/@19/G10_02.tif </t>
  </si>
  <si>
    <t xml:space="preserve">C:\Users\cbarrier\Desktop\BPA\BPA\20201116_Cefas_Test6-Run1/20201116_Cefas_Test6-Run1/Plate 3/@19/G10_03.tif </t>
  </si>
  <si>
    <t xml:space="preserve">C:\Users\cbarrier\Desktop\BPA\BPA\20201116_Cefas_Test6-Run1/20201116_Cefas_Test6-Run1/Plate 3/@19/H10_01.tif </t>
  </si>
  <si>
    <t xml:space="preserve">C:\Users\cbarrier\Desktop\BPA\BPA\20201116_Cefas_Test6-Run1/20201116_Cefas_Test6-Run1/Plate 3/@19/H10_02.tif </t>
  </si>
  <si>
    <t xml:space="preserve">C:\Users\cbarrier\Desktop\BPA\BPA\20201116_Cefas_Test6-Run1/20201116_Cefas_Test6-Run1/Plate 3/@19/H10_03.tif </t>
  </si>
  <si>
    <t xml:space="preserve">C:\Users\cbarrier\Desktop\BPA\BPA\20201116_Cefas_Test6-Run1/20201116_Cefas_Test6-Run1/Plate 3/@19/ </t>
  </si>
  <si>
    <t xml:space="preserve">C:\Users\cbarrier\Desktop\BPA\BPA\20201116_Cefas_Test6-Run1/20201116_Cefas_Test6-Run1/Plate 3/@20/A11_01.tif </t>
  </si>
  <si>
    <t xml:space="preserve"> 68393.7268 </t>
  </si>
  <si>
    <t xml:space="preserve"> 51.4434 </t>
  </si>
  <si>
    <t xml:space="preserve">C:\Users\cbarrier\Desktop\BPA\BPA\20201116_Cefas_Test6-Run1/20201116_Cefas_Test6-Run1/Plate 3/@20/A11_02.tif </t>
  </si>
  <si>
    <t xml:space="preserve"> 62834.8439 </t>
  </si>
  <si>
    <t xml:space="preserve"> 55.3205 </t>
  </si>
  <si>
    <t xml:space="preserve">C:\Users\cbarrier\Desktop\BPA\BPA\20201116_Cefas_Test6-Run1/20201116_Cefas_Test6-Run1/Plate 3/@20/A11_03.tif </t>
  </si>
  <si>
    <t xml:space="preserve"> 52.3125 </t>
  </si>
  <si>
    <t xml:space="preserve">C:\Users\cbarrier\Desktop\BPA\BPA\20201116_Cefas_Test6-Run1/20201116_Cefas_Test6-Run1/Plate 3/@20/B11_01.tif </t>
  </si>
  <si>
    <t xml:space="preserve"> 51825.2275 </t>
  </si>
  <si>
    <t xml:space="preserve"> 45.8777 </t>
  </si>
  <si>
    <t xml:space="preserve">C:\Users\cbarrier\Desktop\BPA\BPA\20201116_Cefas_Test6-Run1/20201116_Cefas_Test6-Run1/Plate 3/@20/B11_02.tif </t>
  </si>
  <si>
    <t xml:space="preserve"> 45.1564 </t>
  </si>
  <si>
    <t xml:space="preserve">C:\Users\cbarrier\Desktop\BPA\BPA\20201116_Cefas_Test6-Run1/20201116_Cefas_Test6-Run1/Plate 3/@20/B11_03.tif </t>
  </si>
  <si>
    <t xml:space="preserve"> 48710.5227 </t>
  </si>
  <si>
    <t xml:space="preserve"> 45.8797 </t>
  </si>
  <si>
    <t xml:space="preserve">C:\Users\cbarrier\Desktop\BPA\BPA\20201116_Cefas_Test6-Run1/20201116_Cefas_Test6-Run1/Plate 3/@20/C11_01.tif </t>
  </si>
  <si>
    <t xml:space="preserve"> 76613.0868 </t>
  </si>
  <si>
    <t xml:space="preserve"> 47.7815 </t>
  </si>
  <si>
    <t xml:space="preserve">C:\Users\cbarrier\Desktop\BPA\BPA\20201116_Cefas_Test6-Run1/20201116_Cefas_Test6-Run1/Plate 3/@20/C11_02.tif </t>
  </si>
  <si>
    <t xml:space="preserve"> 71616.5811 </t>
  </si>
  <si>
    <t xml:space="preserve"> 46.1462 </t>
  </si>
  <si>
    <t xml:space="preserve">C:\Users\cbarrier\Desktop\BPA\BPA\20201116_Cefas_Test6-Run1/20201116_Cefas_Test6-Run1/Plate 3/@20/C11_03.tif </t>
  </si>
  <si>
    <t xml:space="preserve"> 66014.4384 </t>
  </si>
  <si>
    <t xml:space="preserve"> 43.9502 </t>
  </si>
  <si>
    <t>C:\Users\cbarrier\Desktop\BPA\BPA\20201116_Cefas_Test6-Run1/20201116_Cefas_Test6-Run1/Plate 3/@20/D11_01- exclu.tif</t>
  </si>
  <si>
    <t xml:space="preserve">C:\Users\cbarrier\Desktop\BPA\BPA\20201116_Cefas_Test6-Run1/20201116_Cefas_Test6-Run1/Plate 3/@20/D11_02.tif </t>
  </si>
  <si>
    <t xml:space="preserve"> 51911.7471 </t>
  </si>
  <si>
    <t xml:space="preserve"> 48.7546 </t>
  </si>
  <si>
    <t xml:space="preserve">C:\Users\cbarrier\Desktop\BPA\BPA\20201116_Cefas_Test6-Run1/20201116_Cefas_Test6-Run1/Plate 3/@20/D11_03.tif </t>
  </si>
  <si>
    <t xml:space="preserve"> 55783.4982 </t>
  </si>
  <si>
    <t xml:space="preserve"> 49.9674 </t>
  </si>
  <si>
    <t xml:space="preserve">C:\Users\cbarrier\Desktop\BPA\BPA\20201116_Cefas_Test6-Run1/20201116_Cefas_Test6-Run1/Plate 3/@20/E11_01.tif </t>
  </si>
  <si>
    <t xml:space="preserve"> 39366.4082 </t>
  </si>
  <si>
    <t xml:space="preserve"> 38.2099 </t>
  </si>
  <si>
    <t xml:space="preserve">C:\Users\cbarrier\Desktop\BPA\BPA\20201116_Cefas_Test6-Run1/20201116_Cefas_Test6-Run1/Plate 3/@20/E11_02.tif </t>
  </si>
  <si>
    <t xml:space="preserve"> 40188.3442 </t>
  </si>
  <si>
    <t xml:space="preserve"> 39.507 </t>
  </si>
  <si>
    <t xml:space="preserve">C:\Users\cbarrier\Desktop\BPA\BPA\20201116_Cefas_Test6-Run1/20201116_Cefas_Test6-Run1/Plate 3/@20/E11_03.tif </t>
  </si>
  <si>
    <t xml:space="preserve"> 41161.6895 </t>
  </si>
  <si>
    <t xml:space="preserve"> 40.0583 </t>
  </si>
  <si>
    <t xml:space="preserve">C:\Users\cbarrier\Desktop\BPA\BPA\20201116_Cefas_Test6-Run1/20201116_Cefas_Test6-Run1/Plate 3/@20/F11_01.tif </t>
  </si>
  <si>
    <t xml:space="preserve"> 64262.4169 </t>
  </si>
  <si>
    <t xml:space="preserve"> 40.9394 </t>
  </si>
  <si>
    <t xml:space="preserve">C:\Users\cbarrier\Desktop\BPA\BPA\20201116_Cefas_Test6-Run1/20201116_Cefas_Test6-Run1/Plate 3/@20/F11_02.tif </t>
  </si>
  <si>
    <t xml:space="preserve"> 43.4016 </t>
  </si>
  <si>
    <t xml:space="preserve">C:\Users\cbarrier\Desktop\BPA\BPA\20201116_Cefas_Test6-Run1/20201116_Cefas_Test6-Run1/Plate 3/@20/F11_03.tif </t>
  </si>
  <si>
    <t xml:space="preserve"> 64716.6447 </t>
  </si>
  <si>
    <t xml:space="preserve"> 44.3419 </t>
  </si>
  <si>
    <t xml:space="preserve">C:\Users\cbarrier\Desktop\BPA\BPA\20201116_Cefas_Test6-Run1/20201116_Cefas_Test6-Run1/Plate 3/@20/G11_01.tif </t>
  </si>
  <si>
    <t xml:space="preserve"> 58660.2742 </t>
  </si>
  <si>
    <t xml:space="preserve"> 43.6869 </t>
  </si>
  <si>
    <t xml:space="preserve">C:\Users\cbarrier\Desktop\BPA\BPA\20201116_Cefas_Test6-Run1/20201116_Cefas_Test6-Run1/Plate 3/@20/G11_02.tif </t>
  </si>
  <si>
    <t xml:space="preserve"> 53707.0284 </t>
  </si>
  <si>
    <t xml:space="preserve"> 43.0222 </t>
  </si>
  <si>
    <t xml:space="preserve">C:\Users\cbarrier\Desktop\BPA\BPA\20201116_Cefas_Test6-Run1/20201116_Cefas_Test6-Run1/Plate 3/@20/G11_03.tif </t>
  </si>
  <si>
    <t xml:space="preserve"> 56605.4342 </t>
  </si>
  <si>
    <t xml:space="preserve"> 44.4922 </t>
  </si>
  <si>
    <t xml:space="preserve">C:\Users\cbarrier\Desktop\BPA\BPA\20201116_Cefas_Test6-Run1/20201116_Cefas_Test6-Run1/Plate 3/@20/H11_01.tif </t>
  </si>
  <si>
    <t xml:space="preserve"> 97918.533 </t>
  </si>
  <si>
    <t xml:space="preserve"> 55.5646 </t>
  </si>
  <si>
    <t xml:space="preserve">C:\Users\cbarrier\Desktop\BPA\BPA\20201116_Cefas_Test6-Run1/20201116_Cefas_Test6-Run1/Plate 3/@20/H11_02.tif </t>
  </si>
  <si>
    <t xml:space="preserve"> 96317.9208 </t>
  </si>
  <si>
    <t xml:space="preserve"> 56.159 </t>
  </si>
  <si>
    <t xml:space="preserve">C:\Users\cbarrier\Desktop\BPA\BPA\20201116_Cefas_Test6-Run1/20201116_Cefas_Test6-Run1/Plate 3/@20/H11_03.tif </t>
  </si>
  <si>
    <t xml:space="preserve"> 99692.1843 </t>
  </si>
  <si>
    <t xml:space="preserve"> 55.9642 </t>
  </si>
  <si>
    <t xml:space="preserve">C:\Users\cbarrier\Desktop\BPA\BPA\20201116_Cefas_Test6-Run1/20201116_Cefas_Test6-Run1/Plate 3/@20/ </t>
  </si>
  <si>
    <t xml:space="preserve"> 46.8863 </t>
  </si>
  <si>
    <t xml:space="preserve"> 5.3343 </t>
  </si>
  <si>
    <t xml:space="preserve"> 2982054.12 </t>
  </si>
  <si>
    <t xml:space="preserve"> 1124729.24 </t>
  </si>
  <si>
    <t xml:space="preserve">C:\Users\cbarrier\Desktop\BPA\BPA\20201116_Cefas_Test6-Run1/20201116_Cefas_Test6-Run1/Plate 3/@21/A12_01.tif </t>
  </si>
  <si>
    <t xml:space="preserve"> 65754.8797 </t>
  </si>
  <si>
    <t xml:space="preserve"> 50.6714 </t>
  </si>
  <si>
    <t xml:space="preserve">C:\Users\cbarrier\Desktop\BPA\BPA\20201116_Cefas_Test6-Run1/20201116_Cefas_Test6-Run1/Plate 3/@21/A12_02.tif </t>
  </si>
  <si>
    <t xml:space="preserve"> 75120.624 </t>
  </si>
  <si>
    <t xml:space="preserve"> 47.3242 </t>
  </si>
  <si>
    <t xml:space="preserve">C:\Users\cbarrier\Desktop\BPA\BPA\20201116_Cefas_Test6-Run1/20201116_Cefas_Test6-Run1/Plate 3/@21/A12_03.tif </t>
  </si>
  <si>
    <t xml:space="preserve"> 68912.8443 </t>
  </si>
  <si>
    <t xml:space="preserve"> 51.3299 </t>
  </si>
  <si>
    <t xml:space="preserve">C:\Users\cbarrier\Desktop\BPA\BPA\20201116_Cefas_Test6-Run1/20201116_Cefas_Test6-Run1/Plate 3/@21/B12_01.tif </t>
  </si>
  <si>
    <t xml:space="preserve"> 66295.627 </t>
  </si>
  <si>
    <t xml:space="preserve"> 50.89 </t>
  </si>
  <si>
    <t xml:space="preserve">C:\Users\cbarrier\Desktop\BPA\BPA\20201116_Cefas_Test6-Run1/20201116_Cefas_Test6-Run1/Plate 3/@21/B12_02.tif </t>
  </si>
  <si>
    <t xml:space="preserve"> 46.4683 </t>
  </si>
  <si>
    <t xml:space="preserve">C:\Users\cbarrier\Desktop\BPA\BPA\20201116_Cefas_Test6-Run1/20201116_Cefas_Test6-Run1/Plate 3/@21/B12_03.tif </t>
  </si>
  <si>
    <t xml:space="preserve"> 61883.1285 </t>
  </si>
  <si>
    <t xml:space="preserve"> 46.519 </t>
  </si>
  <si>
    <t xml:space="preserve">C:\Users\cbarrier\Desktop\BPA\BPA\20201116_Cefas_Test6-Run1/20201116_Cefas_Test6-Run1/Plate 3/@21/C12_01.tif </t>
  </si>
  <si>
    <t xml:space="preserve"> 82150.3398 </t>
  </si>
  <si>
    <t xml:space="preserve"> 54.2886 </t>
  </si>
  <si>
    <t xml:space="preserve">C:\Users\cbarrier\Desktop\BPA\BPA\20201116_Cefas_Test6-Run1/20201116_Cefas_Test6-Run1/Plate 3/@21/C12_02.tif </t>
  </si>
  <si>
    <t xml:space="preserve"> 77867.6207 </t>
  </si>
  <si>
    <t xml:space="preserve"> 50.2742 </t>
  </si>
  <si>
    <t xml:space="preserve">C:\Users\cbarrier\Desktop\BPA\BPA\20201116_Cefas_Test6-Run1/20201116_Cefas_Test6-Run1/Plate 3/@21/C12_03.tif </t>
  </si>
  <si>
    <t xml:space="preserve"> 80355.0585 </t>
  </si>
  <si>
    <t xml:space="preserve"> 51.0013 </t>
  </si>
  <si>
    <t xml:space="preserve">C:\Users\cbarrier\Desktop\BPA\BPA\20201116_Cefas_Test6-Run1/20201116_Cefas_Test6-Run1/Plate 3/@21/D12_01.tif </t>
  </si>
  <si>
    <t xml:space="preserve"> 67463.6413 </t>
  </si>
  <si>
    <t xml:space="preserve"> 47.546 </t>
  </si>
  <si>
    <t xml:space="preserve">C:\Users\cbarrier\Desktop\BPA\BPA\20201116_Cefas_Test6-Run1/20201116_Cefas_Test6-Run1/Plate 3/@21/D12_02.tif </t>
  </si>
  <si>
    <t xml:space="preserve"> 64478.7159 </t>
  </si>
  <si>
    <t xml:space="preserve"> 43.3626 </t>
  </si>
  <si>
    <t xml:space="preserve">C:\Users\cbarrier\Desktop\BPA\BPA\20201116_Cefas_Test6-Run1/20201116_Cefas_Test6-Run1/Plate 3/@21/D12_03.tif </t>
  </si>
  <si>
    <t xml:space="preserve"> 44.324 </t>
  </si>
  <si>
    <t xml:space="preserve">C:\Users\cbarrier\Desktop\BPA\BPA\20201116_Cefas_Test6-Run1/20201116_Cefas_Test6-Run1/Plate 3/@21/E12_01.tif </t>
  </si>
  <si>
    <t xml:space="preserve"> 99519.1452 </t>
  </si>
  <si>
    <t xml:space="preserve"> 55.8666 </t>
  </si>
  <si>
    <t xml:space="preserve">C:\Users\cbarrier\Desktop\BPA\BPA\20201116_Cefas_Test6-Run1/20201116_Cefas_Test6-Run1/Plate 3/@21/E12_02.tif </t>
  </si>
  <si>
    <t xml:space="preserve"> 115633.417 </t>
  </si>
  <si>
    <t xml:space="preserve"> 55.3214 </t>
  </si>
  <si>
    <t xml:space="preserve">C:\Users\cbarrier\Desktop\BPA\BPA\20201116_Cefas_Test6-Run1/20201116_Cefas_Test6-Run1/Plate 3/@21/E12_03.tif </t>
  </si>
  <si>
    <t xml:space="preserve"> 120565.033 </t>
  </si>
  <si>
    <t xml:space="preserve"> 48.6288 </t>
  </si>
  <si>
    <t xml:space="preserve">C:\Users\cbarrier\Desktop\BPA\BPA\20201116_Cefas_Test6-Run1/20201116_Cefas_Test6-Run1/Plate 3/@21/F12_01.tif </t>
  </si>
  <si>
    <t xml:space="preserve"> 80311.7988 </t>
  </si>
  <si>
    <t xml:space="preserve"> 47.4449 </t>
  </si>
  <si>
    <t>C:\Users\cbarrier\Desktop\BPA\BPA\20201116_Cefas_Test6-Run1/20201116_Cefas_Test6-Run1/Plate 3/@21/F12_02- exclu.tif</t>
  </si>
  <si>
    <t xml:space="preserve">C:\Users\cbarrier\Desktop\BPA\BPA\20201116_Cefas_Test6-Run1/20201116_Cefas_Test6-Run1/Plate 3/@21/F12_03.tif </t>
  </si>
  <si>
    <t xml:space="preserve"> 83404.8737 </t>
  </si>
  <si>
    <t xml:space="preserve"> 48.2137 </t>
  </si>
  <si>
    <t xml:space="preserve">C:\Users\cbarrier\Desktop\BPA\BPA\20201116_Cefas_Test6-Run1/20201116_Cefas_Test6-Run1/Plate 3/@21/G12_01.tif </t>
  </si>
  <si>
    <t xml:space="preserve"> 85329.9343 </t>
  </si>
  <si>
    <t xml:space="preserve"> 46.4499 </t>
  </si>
  <si>
    <t xml:space="preserve">C:\Users\cbarrier\Desktop\BPA\BPA\20201116_Cefas_Test6-Run1/20201116_Cefas_Test6-Run1/Plate 3/@21/G12_02.tif </t>
  </si>
  <si>
    <t xml:space="preserve"> 78040.6598 </t>
  </si>
  <si>
    <t xml:space="preserve"> 52.8018 </t>
  </si>
  <si>
    <t xml:space="preserve">C:\Users\cbarrier\Desktop\BPA\BPA\20201116_Cefas_Test6-Run1/20201116_Cefas_Test6-Run1/Plate 3/@21/G12_03.tif </t>
  </si>
  <si>
    <t xml:space="preserve"> 82345.0089 </t>
  </si>
  <si>
    <t xml:space="preserve"> 53.6023 </t>
  </si>
  <si>
    <t xml:space="preserve">C:\Users\cbarrier\Desktop\BPA\BPA\20201116_Cefas_Test6-Run1/20201116_Cefas_Test6-Run1/Plate 3/@21/H12_01.tif </t>
  </si>
  <si>
    <t xml:space="preserve"> 71638.211 </t>
  </si>
  <si>
    <t xml:space="preserve"> 55.1721 </t>
  </si>
  <si>
    <t xml:space="preserve">C:\Users\cbarrier\Desktop\BPA\BPA\20201116_Cefas_Test6-Run1/20201116_Cefas_Test6-Run1/Plate 3/@21/H12_02.tif </t>
  </si>
  <si>
    <t xml:space="preserve"> 52.5207 </t>
  </si>
  <si>
    <t xml:space="preserve">C:\Users\cbarrier\Desktop\BPA\BPA\20201116_Cefas_Test6-Run1/20201116_Cefas_Test6-Run1/Plate 3/@21/H12_03.tif </t>
  </si>
  <si>
    <t xml:space="preserve"> 65733.2498 </t>
  </si>
  <si>
    <t xml:space="preserve"> 51.7743 </t>
  </si>
  <si>
    <t xml:space="preserve">C:\Users\cbarrier\Desktop\BPA\BPA\20201116_Cefas_Test6-Run1/20201116_Cefas_Test6-Run1/Plate 3/@21/ </t>
  </si>
  <si>
    <t xml:space="preserve"> 49.6727 </t>
  </si>
  <si>
    <t xml:space="preserve"> 4.017 </t>
  </si>
  <si>
    <t xml:space="preserve"> 3874067.46 </t>
  </si>
  <si>
    <t xml:space="preserve"> 940788.756 </t>
  </si>
  <si>
    <t xml:space="preserve">C:\Users\cbarrier\Desktop\BPA\BPA\20201116_Cefas_Test6-Run1/20201116_Cefas_Test6-Run1/Plate 3/@8/A2_01.tif </t>
  </si>
  <si>
    <t xml:space="preserve"> 36.1884 </t>
  </si>
  <si>
    <t xml:space="preserve">C:\Users\cbarrier\Desktop\BPA\BPA\20201116_Cefas_Test6-Run1/20201116_Cefas_Test6-Run1/Plate 3/@8/A2_02.tif </t>
  </si>
  <si>
    <t xml:space="preserve"> 36.8027 </t>
  </si>
  <si>
    <t xml:space="preserve">C:\Users\cbarrier\Desktop\BPA\BPA\20201116_Cefas_Test6-Run1/20201116_Cefas_Test6-Run1/Plate 3/@8/A2_03.tif </t>
  </si>
  <si>
    <t xml:space="preserve"> 8435.6589 </t>
  </si>
  <si>
    <t xml:space="preserve"> 37.5333 </t>
  </si>
  <si>
    <t xml:space="preserve">C:\Users\cbarrier\Desktop\BPA\BPA\20201116_Cefas_Test6-Run1/20201116_Cefas_Test6-Run1/Plate 3/@8/B2_01.tif </t>
  </si>
  <si>
    <t xml:space="preserve"> 540.7474 </t>
  </si>
  <si>
    <t xml:space="preserve"> 32.08 </t>
  </si>
  <si>
    <t>C:\Users\cbarrier\Desktop\BPA\BPA\20201116_Cefas_Test6-Run1/20201116_Cefas_Test6-Run1/Plate 3/@8/B2_02- exclu.tif</t>
  </si>
  <si>
    <t xml:space="preserve">C:\Users\cbarrier\Desktop\BPA\BPA\20201116_Cefas_Test6-Run1/20201116_Cefas_Test6-Run1/Plate 3/@8/B2_03.tif </t>
  </si>
  <si>
    <t xml:space="preserve"> 32.8 </t>
  </si>
  <si>
    <t>C:\Users\cbarrier\Desktop\BPA\BPA\20201116_Cefas_Test6-Run1/20201116_Cefas_Test6-Run1/Plate 3/@8/C2_01- exclu.tif</t>
  </si>
  <si>
    <t>C:\Users\cbarrier\Desktop\BPA\BPA\20201116_Cefas_Test6-Run1/20201116_Cefas_Test6-Run1/Plate 3/@8/C2_02- exclu.tif</t>
  </si>
  <si>
    <t>C:\Users\cbarrier\Desktop\BPA\BPA\20201116_Cefas_Test6-Run1/20201116_Cefas_Test6-Run1/Plate 3/@8/C2_03- exclu.tif</t>
  </si>
  <si>
    <t xml:space="preserve">C:\Users\cbarrier\Desktop\BPA\BPA\20201116_Cefas_Test6-Run1/20201116_Cefas_Test6-Run1/Plate 3/@8/D2_01.tif </t>
  </si>
  <si>
    <t xml:space="preserve"> 33.7089 </t>
  </si>
  <si>
    <t xml:space="preserve">C:\Users\cbarrier\Desktop\BPA\BPA\20201116_Cefas_Test6-Run1/20201116_Cefas_Test6-Run1/Plate 3/@8/D2_02.tif </t>
  </si>
  <si>
    <t xml:space="preserve"> 5191.1747 </t>
  </si>
  <si>
    <t xml:space="preserve"> 39.0458 </t>
  </si>
  <si>
    <t xml:space="preserve">C:\Users\cbarrier\Desktop\BPA\BPA\20201116_Cefas_Test6-Run1/20201116_Cefas_Test6-Run1/Plate 3/@8/D2_03.tif </t>
  </si>
  <si>
    <t xml:space="preserve"> 11442.2143 </t>
  </si>
  <si>
    <t xml:space="preserve"> 39.2628 </t>
  </si>
  <si>
    <t xml:space="preserve">C:\Users\cbarrier\Desktop\BPA\BPA\20201116_Cefas_Test6-Run1/20201116_Cefas_Test6-Run1/Plate 3/@8/E2_01.tif </t>
  </si>
  <si>
    <t xml:space="preserve"> 12523.709 </t>
  </si>
  <si>
    <t xml:space="preserve"> 42.3109 </t>
  </si>
  <si>
    <t xml:space="preserve">C:\Users\cbarrier\Desktop\BPA\BPA\20201116_Cefas_Test6-Run1/20201116_Cefas_Test6-Run1/Plate 3/@8/E2_02.tif </t>
  </si>
  <si>
    <t xml:space="preserve"> 45.1506 </t>
  </si>
  <si>
    <t>C:\Users\cbarrier\Desktop\BPA\BPA\20201116_Cefas_Test6-Run1/20201116_Cefas_Test6-Run1/Plate 3/@8/E2_03- exclu.tif</t>
  </si>
  <si>
    <t xml:space="preserve">C:\Users\cbarrier\Desktop\BPA\BPA\20201116_Cefas_Test6-Run1/20201116_Cefas_Test6-Run1/Plate 3/@8/F2_01.tif </t>
  </si>
  <si>
    <t xml:space="preserve"> 36.882 </t>
  </si>
  <si>
    <t xml:space="preserve">C:\Users\cbarrier\Desktop\BPA\BPA\20201116_Cefas_Test6-Run1/20201116_Cefas_Test6-Run1/Plate 3/@8/F2_02.tif </t>
  </si>
  <si>
    <t xml:space="preserve"> 8197.7301 </t>
  </si>
  <si>
    <t xml:space="preserve"> 36.6227 </t>
  </si>
  <si>
    <t xml:space="preserve">C:\Users\cbarrier\Desktop\BPA\BPA\20201116_Cefas_Test6-Run1/20201116_Cefas_Test6-Run1/Plate 3/@8/F2_03.tif </t>
  </si>
  <si>
    <t xml:space="preserve"> 39.7445 </t>
  </si>
  <si>
    <t xml:space="preserve">C:\Users\cbarrier\Desktop\BPA\BPA\20201116_Cefas_Test6-Run1/20201116_Cefas_Test6-Run1/Plate 3/@8/G2_01.tif </t>
  </si>
  <si>
    <t xml:space="preserve"> 10555.3886 </t>
  </si>
  <si>
    <t xml:space="preserve"> 39.3217 </t>
  </si>
  <si>
    <t xml:space="preserve">C:\Users\cbarrier\Desktop\BPA\BPA\20201116_Cefas_Test6-Run1/20201116_Cefas_Test6-Run1/Plate 3/@8/G2_02.tif </t>
  </si>
  <si>
    <t xml:space="preserve"> 14254.1006 </t>
  </si>
  <si>
    <t xml:space="preserve"> 43.6586 </t>
  </si>
  <si>
    <t xml:space="preserve">C:\Users\cbarrier\Desktop\BPA\BPA\20201116_Cefas_Test6-Run1/20201116_Cefas_Test6-Run1/Plate 3/@8/G2_03.tif </t>
  </si>
  <si>
    <t xml:space="preserve"> 6099.6303 </t>
  </si>
  <si>
    <t xml:space="preserve"> 41.805 </t>
  </si>
  <si>
    <t xml:space="preserve">C:\Users\cbarrier\Desktop\BPA\BPA\20201116_Cefas_Test6-Run1/20201116_Cefas_Test6-Run1/Plate 3/@8/H2_01.tif </t>
  </si>
  <si>
    <t xml:space="preserve"> 36.8912 </t>
  </si>
  <si>
    <t xml:space="preserve">C:\Users\cbarrier\Desktop\BPA\BPA\20201116_Cefas_Test6-Run1/20201116_Cefas_Test6-Run1/Plate 3/@8/H2_02.tif </t>
  </si>
  <si>
    <t xml:space="preserve"> 37.3229 </t>
  </si>
  <si>
    <t xml:space="preserve">C:\Users\cbarrier\Desktop\BPA\BPA\20201116_Cefas_Test6-Run1/20201116_Cefas_Test6-Run1/Plate 3/@8/H2_03.tif </t>
  </si>
  <si>
    <t xml:space="preserve"> 36.3375 </t>
  </si>
  <si>
    <t xml:space="preserve">C:\Users\cbarrier\Desktop\BPA\BPA\20201116_Cefas_Test6-Run1/20201116_Cefas_Test6-Run1/Plate 3/@8/ </t>
  </si>
  <si>
    <t xml:space="preserve"> 38.2631 </t>
  </si>
  <si>
    <t xml:space="preserve"> 3.6731 </t>
  </si>
  <si>
    <t xml:space="preserve"> 290605.708 </t>
  </si>
  <si>
    <t xml:space="preserve"> 160079.626 </t>
  </si>
  <si>
    <t xml:space="preserve">C:\Users\cbarrier\Desktop\BPA\BPA\20201116_Cefas_Test6-Run1/20201116_Cefas_Test6-Run1/Plate 3/@9/A3_01.tif </t>
  </si>
  <si>
    <t xml:space="preserve"> 34.069 </t>
  </si>
  <si>
    <t xml:space="preserve">C:\Users\cbarrier\Desktop\BPA\BPA\20201116_Cefas_Test6-Run1/20201116_Cefas_Test6-Run1/Plate 3/@9/A3_02.tif </t>
  </si>
  <si>
    <t xml:space="preserve"> 33.092 </t>
  </si>
  <si>
    <t xml:space="preserve">C:\Users\cbarrier\Desktop\BPA\BPA\20201116_Cefas_Test6-Run1/20201116_Cefas_Test6-Run1/Plate 3/@9/A3_03.tif </t>
  </si>
  <si>
    <t xml:space="preserve"> 3979.9006 </t>
  </si>
  <si>
    <t xml:space="preserve"> 33.6902 </t>
  </si>
  <si>
    <t xml:space="preserve">C:\Users\cbarrier\Desktop\BPA\BPA\20201116_Cefas_Test6-Run1/20201116_Cefas_Test6-Run1/Plate 3/@9/B3_01.tif </t>
  </si>
  <si>
    <t xml:space="preserve"> 4282.7191 </t>
  </si>
  <si>
    <t xml:space="preserve"> 35.7677 </t>
  </si>
  <si>
    <t xml:space="preserve">C:\Users\cbarrier\Desktop\BPA\BPA\20201116_Cefas_Test6-Run1/20201116_Cefas_Test6-Run1/Plate 3/@9/B3_02.tif </t>
  </si>
  <si>
    <t xml:space="preserve"> 7635.3528 </t>
  </si>
  <si>
    <t xml:space="preserve"> 41.051 </t>
  </si>
  <si>
    <t xml:space="preserve">C:\Users\cbarrier\Desktop\BPA\BPA\20201116_Cefas_Test6-Run1/20201116_Cefas_Test6-Run1/Plate 3/@9/B3_03.tif </t>
  </si>
  <si>
    <t xml:space="preserve"> 35.4978 </t>
  </si>
  <si>
    <t xml:space="preserve">C:\Users\cbarrier\Desktop\BPA\BPA\20201116_Cefas_Test6-Run1/20201116_Cefas_Test6-Run1/Plate 3/@9/C3_01.tif </t>
  </si>
  <si>
    <t xml:space="preserve"> 4909.9861 </t>
  </si>
  <si>
    <t xml:space="preserve"> 35.2511 </t>
  </si>
  <si>
    <t xml:space="preserve">C:\Users\cbarrier\Desktop\BPA\BPA\20201116_Cefas_Test6-Run1/20201116_Cefas_Test6-Run1/Plate 3/@9/C3_02.tif </t>
  </si>
  <si>
    <t xml:space="preserve"> 35.9326 </t>
  </si>
  <si>
    <t xml:space="preserve">C:\Users\cbarrier\Desktop\BPA\BPA\20201116_Cefas_Test6-Run1/20201116_Cefas_Test6-Run1/Plate 3/@9/C3_03.tif </t>
  </si>
  <si>
    <t xml:space="preserve"> 34.1739 </t>
  </si>
  <si>
    <t xml:space="preserve">C:\Users\cbarrier\Desktop\BPA\BPA\20201116_Cefas_Test6-Run1/20201116_Cefas_Test6-Run1/Plate 3/@9/D3_01.tif </t>
  </si>
  <si>
    <t xml:space="preserve"> 800.3061 </t>
  </si>
  <si>
    <t xml:space="preserve"> 32.5676 </t>
  </si>
  <si>
    <t xml:space="preserve">C:\Users\cbarrier\Desktop\BPA\BPA\20201116_Cefas_Test6-Run1/20201116_Cefas_Test6-Run1/Plate 3/@9/D3_02.tif </t>
  </si>
  <si>
    <t xml:space="preserve"> 33.2624 </t>
  </si>
  <si>
    <t xml:space="preserve">C:\Users\cbarrier\Desktop\BPA\BPA\20201116_Cefas_Test6-Run1/20201116_Cefas_Test6-Run1/Plate 3/@9/D3_03.tif </t>
  </si>
  <si>
    <t xml:space="preserve"> 5537.253 </t>
  </si>
  <si>
    <t xml:space="preserve"> 38.8281 </t>
  </si>
  <si>
    <t xml:space="preserve">C:\Users\cbarrier\Desktop\BPA\BPA\20201116_Cefas_Test6-Run1/20201116_Cefas_Test6-Run1/Plate 3/@9/E3_01.tif </t>
  </si>
  <si>
    <t xml:space="preserve">C:\Users\cbarrier\Desktop\BPA\BPA\20201116_Cefas_Test6-Run1/20201116_Cefas_Test6-Run1/Plate 3/@9/E3_02.tif </t>
  </si>
  <si>
    <t xml:space="preserve"> 32.5469 </t>
  </si>
  <si>
    <t>C:\Users\cbarrier\Desktop\BPA\BPA\20201116_Cefas_Test6-Run1/20201116_Cefas_Test6-Run1/Plate 3/@9/E3_03- exclu.tif</t>
  </si>
  <si>
    <t xml:space="preserve">C:\Users\cbarrier\Desktop\BPA\BPA\20201116_Cefas_Test6-Run1/20201116_Cefas_Test6-Run1/Plate 3/@9/F3_01.tif </t>
  </si>
  <si>
    <t xml:space="preserve"> 1514.0926 </t>
  </si>
  <si>
    <t xml:space="preserve"> 32.2571 </t>
  </si>
  <si>
    <t xml:space="preserve">C:\Users\cbarrier\Desktop\BPA\BPA\20201116_Cefas_Test6-Run1/20201116_Cefas_Test6-Run1/Plate 3/@9/F3_02.tif </t>
  </si>
  <si>
    <t xml:space="preserve"> 7267.6446 </t>
  </si>
  <si>
    <t xml:space="preserve"> 42.3125 </t>
  </si>
  <si>
    <t>C:\Users\cbarrier\Desktop\BPA\BPA\20201116_Cefas_Test6-Run1/20201116_Cefas_Test6-Run1/Plate 3/@9/F3_03- exclu.tif</t>
  </si>
  <si>
    <t xml:space="preserve">C:\Users\cbarrier\Desktop\BPA\BPA\20201116_Cefas_Test6-Run1/20201116_Cefas_Test6-Run1/Plate 3/@9/G3_01.tif </t>
  </si>
  <si>
    <t xml:space="preserve"> 33.0941 </t>
  </si>
  <si>
    <t xml:space="preserve">C:\Users\cbarrier\Desktop\BPA\BPA\20201116_Cefas_Test6-Run1/20201116_Cefas_Test6-Run1/Plate 3/@9/G3_02.tif </t>
  </si>
  <si>
    <t xml:space="preserve"> 34.9419 </t>
  </si>
  <si>
    <t xml:space="preserve">C:\Users\cbarrier\Desktop\BPA\BPA\20201116_Cefas_Test6-Run1/20201116_Cefas_Test6-Run1/Plate 3/@9/G3_03.tif </t>
  </si>
  <si>
    <t xml:space="preserve"> 33.792 </t>
  </si>
  <si>
    <t xml:space="preserve">C:\Users\cbarrier\Desktop\BPA\BPA\20201116_Cefas_Test6-Run1/20201116_Cefas_Test6-Run1/Plate 3/@9/H3_01.tif </t>
  </si>
  <si>
    <t xml:space="preserve"> 34.2425 </t>
  </si>
  <si>
    <t xml:space="preserve">C:\Users\cbarrier\Desktop\BPA\BPA\20201116_Cefas_Test6-Run1/20201116_Cefas_Test6-Run1/Plate 3/@9/H3_02.tif </t>
  </si>
  <si>
    <t xml:space="preserve">C:\Users\cbarrier\Desktop\BPA\BPA\20201116_Cefas_Test6-Run1/20201116_Cefas_Test6-Run1/Plate 3/@9/H3_03.tif </t>
  </si>
  <si>
    <t xml:space="preserve"> 35.386 </t>
  </si>
  <si>
    <t>BPA-1mg/L + Testostérone</t>
  </si>
  <si>
    <t>BPA-2mg/L + Testostérone</t>
  </si>
  <si>
    <t>BPA-3mg/L + Testostérone</t>
  </si>
  <si>
    <t>BPA-4mg/L + Testostérone</t>
  </si>
  <si>
    <t>BPA-5mg/L + Testostérone</t>
  </si>
  <si>
    <t xml:space="preserve">C:\Users\cbarrier\Desktop\BPA\BPA\20201116_Cefas_Test6-Run1/20201116_Cefas_Test6-Run1/Plate 3/@9/ </t>
  </si>
  <si>
    <t xml:space="preserve"> 33.64 </t>
  </si>
  <si>
    <t xml:space="preserve"> 7.8148 </t>
  </si>
  <si>
    <t xml:space="preserve"> 153870.458 </t>
  </si>
  <si>
    <t xml:space="preserve"> 123881.125 </t>
  </si>
  <si>
    <t xml:space="preserve">C:\Users\cbarrier\Desktop\BPA\BPA\20201117_Cefas_Test6-Run2/Plate 1/@1/A10_01.tif </t>
  </si>
  <si>
    <t xml:space="preserve">C:\Users\cbarrier\Desktop\BPA\BPA\20201117_Cefas_Test6-Run2/Plate 1/@1/A10_02.tif </t>
  </si>
  <si>
    <t xml:space="preserve">C:\Users\cbarrier\Desktop\BPA\BPA\20201117_Cefas_Test6-Run2/Plate 1/@1/A10_03.tif </t>
  </si>
  <si>
    <t xml:space="preserve">C:\Users\cbarrier\Desktop\BPA\BPA\20201117_Cefas_Test6-Run2/Plate 1/@1/B10_01.tif </t>
  </si>
  <si>
    <t xml:space="preserve">C:\Users\cbarrier\Desktop\BPA\BPA\20201117_Cefas_Test6-Run2/Plate 1/@1/B10_02.tif </t>
  </si>
  <si>
    <t xml:space="preserve">C:\Users\cbarrier\Desktop\BPA\BPA\20201117_Cefas_Test6-Run2/Plate 1/@1/B10_03.tif </t>
  </si>
  <si>
    <t xml:space="preserve">C:\Users\cbarrier\Desktop\BPA\BPA\20201117_Cefas_Test6-Run2/Plate 1/@1/C10_01.tif </t>
  </si>
  <si>
    <t xml:space="preserve">C:\Users\cbarrier\Desktop\BPA\BPA\20201117_Cefas_Test6-Run2/Plate 1/@1/C10_02.tif </t>
  </si>
  <si>
    <t xml:space="preserve">C:\Users\cbarrier\Desktop\BPA\BPA\20201117_Cefas_Test6-Run2/Plate 1/@1/C10_03.tif </t>
  </si>
  <si>
    <t xml:space="preserve">C:\Users\cbarrier\Desktop\BPA\BPA\20201117_Cefas_Test6-Run2/Plate 1/@1/D10_01.tif </t>
  </si>
  <si>
    <t xml:space="preserve">C:\Users\cbarrier\Desktop\BPA\BPA\20201117_Cefas_Test6-Run2/Plate 1/@1/D10_02.tif </t>
  </si>
  <si>
    <t xml:space="preserve">C:\Users\cbarrier\Desktop\BPA\BPA\20201117_Cefas_Test6-Run2/Plate 1/@1/D10_03.tif </t>
  </si>
  <si>
    <t xml:space="preserve">C:\Users\cbarrier\Desktop\BPA\BPA\20201117_Cefas_Test6-Run2/Plate 1/@1/E10_01.tif </t>
  </si>
  <si>
    <t xml:space="preserve">C:\Users\cbarrier\Desktop\BPA\BPA\20201117_Cefas_Test6-Run2/Plate 1/@1/E10_02.tif </t>
  </si>
  <si>
    <t xml:space="preserve">C:\Users\cbarrier\Desktop\BPA\BPA\20201117_Cefas_Test6-Run2/Plate 1/@1/E10_03.tif </t>
  </si>
  <si>
    <t xml:space="preserve">C:\Users\cbarrier\Desktop\BPA\BPA\20201117_Cefas_Test6-Run2/Plate 1/@1/F10_01.tif </t>
  </si>
  <si>
    <t xml:space="preserve">C:\Users\cbarrier\Desktop\BPA\BPA\20201117_Cefas_Test6-Run2/Plate 1/@1/F10_02.tif </t>
  </si>
  <si>
    <t xml:space="preserve">C:\Users\cbarrier\Desktop\BPA\BPA\20201117_Cefas_Test6-Run2/Plate 1/@1/F10_03.tif </t>
  </si>
  <si>
    <t xml:space="preserve">C:\Users\cbarrier\Desktop\BPA\BPA\20201117_Cefas_Test6-Run2/Plate 1/@1/G10_01.tif </t>
  </si>
  <si>
    <t xml:space="preserve">C:\Users\cbarrier\Desktop\BPA\BPA\20201117_Cefas_Test6-Run2/Plate 1/@1/G10_02.tif </t>
  </si>
  <si>
    <t xml:space="preserve">C:\Users\cbarrier\Desktop\BPA\BPA\20201117_Cefas_Test6-Run2/Plate 1/@1/G10_03.tif </t>
  </si>
  <si>
    <t>C:\Users\cbarrier\Desktop\BPA\BPA\20201117_Cefas_Test6-Run2/Plate 1/@1/H10_01- exclu.tif</t>
  </si>
  <si>
    <t>C:\Users\cbarrier\Desktop\BPA\BPA\20201117_Cefas_Test6-Run2/Plate 1/@1/H10_02- exclu.tif</t>
  </si>
  <si>
    <t>C:\Users\cbarrier\Desktop\BPA\BPA\20201117_Cefas_Test6-Run2/Plate 1/@1/H10_03- exclu.tif</t>
  </si>
  <si>
    <t xml:space="preserve">C:\Users\cbarrier\Desktop\BPA\BPA\20201117_Cefas_Test6-Run2/Plate 1/@1/ </t>
  </si>
  <si>
    <t xml:space="preserve">C:\Users\cbarrier\Desktop\BPA\BPA\20201117_Cefas_Test6-Run2/Plate 1/@13/A8_01.tif </t>
  </si>
  <si>
    <t xml:space="preserve">C:\Users\cbarrier\Desktop\BPA\BPA\20201117_Cefas_Test6-Run2/Plate 1/@13/A8_02.tif </t>
  </si>
  <si>
    <t xml:space="preserve">C:\Users\cbarrier\Desktop\BPA\BPA\20201117_Cefas_Test6-Run2/Plate 1/@13/A8_03.tif </t>
  </si>
  <si>
    <t xml:space="preserve">C:\Users\cbarrier\Desktop\BPA\BPA\20201117_Cefas_Test6-Run2/Plate 1/@13/B8_01.tif </t>
  </si>
  <si>
    <t xml:space="preserve">C:\Users\cbarrier\Desktop\BPA\BPA\20201117_Cefas_Test6-Run2/Plate 1/@13/B8_02.tif </t>
  </si>
  <si>
    <t xml:space="preserve">C:\Users\cbarrier\Desktop\BPA\BPA\20201117_Cefas_Test6-Run2/Plate 1/@13/B8_03.tif </t>
  </si>
  <si>
    <t xml:space="preserve">C:\Users\cbarrier\Desktop\BPA\BPA\20201117_Cefas_Test6-Run2/Plate 1/@13/C8_01.tif </t>
  </si>
  <si>
    <t xml:space="preserve">C:\Users\cbarrier\Desktop\BPA\BPA\20201117_Cefas_Test6-Run2/Plate 1/@13/C8_02.tif </t>
  </si>
  <si>
    <t xml:space="preserve">C:\Users\cbarrier\Desktop\BPA\BPA\20201117_Cefas_Test6-Run2/Plate 1/@13/C8_03.tif </t>
  </si>
  <si>
    <t xml:space="preserve">C:\Users\cbarrier\Desktop\BPA\BPA\20201117_Cefas_Test6-Run2/Plate 1/@13/D8_01.tif </t>
  </si>
  <si>
    <t xml:space="preserve">C:\Users\cbarrier\Desktop\BPA\BPA\20201117_Cefas_Test6-Run2/Plate 1/@13/D8_02.tif </t>
  </si>
  <si>
    <t xml:space="preserve">C:\Users\cbarrier\Desktop\BPA\BPA\20201117_Cefas_Test6-Run2/Plate 1/@13/D8_03.tif </t>
  </si>
  <si>
    <t xml:space="preserve">C:\Users\cbarrier\Desktop\BPA\BPA\20201117_Cefas_Test6-Run2/Plate 1/@13/E8_01.tif </t>
  </si>
  <si>
    <t xml:space="preserve">C:\Users\cbarrier\Desktop\BPA\BPA\20201117_Cefas_Test6-Run2/Plate 1/@13/E8_02.tif </t>
  </si>
  <si>
    <t xml:space="preserve">C:\Users\cbarrier\Desktop\BPA\BPA\20201117_Cefas_Test6-Run2/Plate 1/@13/E8_03.tif </t>
  </si>
  <si>
    <t xml:space="preserve">C:\Users\cbarrier\Desktop\BPA\BPA\20201117_Cefas_Test6-Run2/Plate 1/@13/F8_01.tif </t>
  </si>
  <si>
    <t xml:space="preserve">C:\Users\cbarrier\Desktop\BPA\BPA\20201117_Cefas_Test6-Run2/Plate 1/@13/F8_02.tif </t>
  </si>
  <si>
    <t xml:space="preserve">C:\Users\cbarrier\Desktop\BPA\BPA\20201117_Cefas_Test6-Run2/Plate 1/@13/F8_03.tif </t>
  </si>
  <si>
    <t xml:space="preserve">C:\Users\cbarrier\Desktop\BPA\BPA\20201117_Cefas_Test6-Run2/Plate 1/@13/G8_01.tif </t>
  </si>
  <si>
    <t xml:space="preserve">C:\Users\cbarrier\Desktop\BPA\BPA\20201117_Cefas_Test6-Run2/Plate 1/@13/G8_02.tif </t>
  </si>
  <si>
    <t xml:space="preserve">C:\Users\cbarrier\Desktop\BPA\BPA\20201117_Cefas_Test6-Run2/Plate 1/@13/G8_03.tif </t>
  </si>
  <si>
    <t xml:space="preserve">C:\Users\cbarrier\Desktop\BPA\BPA\20201117_Cefas_Test6-Run2/Plate 1/@13/H8_01.tif </t>
  </si>
  <si>
    <t xml:space="preserve">C:\Users\cbarrier\Desktop\BPA\BPA\20201117_Cefas_Test6-Run2/Plate 1/@13/H8_02.tif </t>
  </si>
  <si>
    <t xml:space="preserve">C:\Users\cbarrier\Desktop\BPA\BPA\20201117_Cefas_Test6-Run2/Plate 1/@13/H8_03.tif </t>
  </si>
  <si>
    <t xml:space="preserve">C:\Users\cbarrier\Desktop\BPA\BPA\20201117_Cefas_Test6-Run2/Plate 1/@13/ </t>
  </si>
  <si>
    <t>C:\Users\cbarrier\Desktop\BPA\BPA\20201117_Cefas_Test6-Run2/Plate 1/@14/A9_01- exclu.tif</t>
  </si>
  <si>
    <t>C:\Users\cbarrier\Desktop\BPA\BPA\20201117_Cefas_Test6-Run2/Plate 1/@14/A9_02- exclu.tif</t>
  </si>
  <si>
    <t>C:\Users\cbarrier\Desktop\BPA\BPA\20201117_Cefas_Test6-Run2/Plate 1/@14/A9_03- exclu.tif</t>
  </si>
  <si>
    <t xml:space="preserve">C:\Users\cbarrier\Desktop\BPA\BPA\20201117_Cefas_Test6-Run2/Plate 1/@14/B9_01.tif </t>
  </si>
  <si>
    <t xml:space="preserve">C:\Users\cbarrier\Desktop\BPA\BPA\20201117_Cefas_Test6-Run2/Plate 1/@14/B9_02.tif </t>
  </si>
  <si>
    <t xml:space="preserve">C:\Users\cbarrier\Desktop\BPA\BPA\20201117_Cefas_Test6-Run2/Plate 1/@14/B9_03.tif </t>
  </si>
  <si>
    <t xml:space="preserve">C:\Users\cbarrier\Desktop\BPA\BPA\20201117_Cefas_Test6-Run2/Plate 1/@14/C9_01.tif </t>
  </si>
  <si>
    <t xml:space="preserve">C:\Users\cbarrier\Desktop\BPA\BPA\20201117_Cefas_Test6-Run2/Plate 1/@14/C9_02.tif </t>
  </si>
  <si>
    <t xml:space="preserve">C:\Users\cbarrier\Desktop\BPA\BPA\20201117_Cefas_Test6-Run2/Plate 1/@14/C9_03.tif </t>
  </si>
  <si>
    <t xml:space="preserve">C:\Users\cbarrier\Desktop\BPA\BPA\20201117_Cefas_Test6-Run2/Plate 1/@14/D9_01.tif </t>
  </si>
  <si>
    <t xml:space="preserve">C:\Users\cbarrier\Desktop\BPA\BPA\20201117_Cefas_Test6-Run2/Plate 1/@14/D9_02.tif </t>
  </si>
  <si>
    <t xml:space="preserve">C:\Users\cbarrier\Desktop\BPA\BPA\20201117_Cefas_Test6-Run2/Plate 1/@14/D9_03.tif </t>
  </si>
  <si>
    <t xml:space="preserve">C:\Users\cbarrier\Desktop\BPA\BPA\20201117_Cefas_Test6-Run2/Plate 1/@14/E9_01.tif </t>
  </si>
  <si>
    <t xml:space="preserve">C:\Users\cbarrier\Desktop\BPA\BPA\20201117_Cefas_Test6-Run2/Plate 1/@14/E9_02.tif </t>
  </si>
  <si>
    <t xml:space="preserve">C:\Users\cbarrier\Desktop\BPA\BPA\20201117_Cefas_Test6-Run2/Plate 1/@14/E9_03.tif </t>
  </si>
  <si>
    <t xml:space="preserve">C:\Users\cbarrier\Desktop\BPA\BPA\20201117_Cefas_Test6-Run2/Plate 1/@14/F9_01.tif </t>
  </si>
  <si>
    <t xml:space="preserve">C:\Users\cbarrier\Desktop\BPA\BPA\20201117_Cefas_Test6-Run2/Plate 1/@14/F9_02.tif </t>
  </si>
  <si>
    <t xml:space="preserve">C:\Users\cbarrier\Desktop\BPA\BPA\20201117_Cefas_Test6-Run2/Plate 1/@14/F9_03.tif </t>
  </si>
  <si>
    <t xml:space="preserve">C:\Users\cbarrier\Desktop\BPA\BPA\20201117_Cefas_Test6-Run2/Plate 1/@14/G9_01.tif </t>
  </si>
  <si>
    <t xml:space="preserve">C:\Users\cbarrier\Desktop\BPA\BPA\20201117_Cefas_Test6-Run2/Plate 1/@14/G9_02.tif </t>
  </si>
  <si>
    <t xml:space="preserve">C:\Users\cbarrier\Desktop\BPA\BPA\20201117_Cefas_Test6-Run2/Plate 1/@14/G9_03.tif </t>
  </si>
  <si>
    <t xml:space="preserve">C:\Users\cbarrier\Desktop\BPA\BPA\20201117_Cefas_Test6-Run2/Plate 1/@14/H9_01.tif </t>
  </si>
  <si>
    <t xml:space="preserve">C:\Users\cbarrier\Desktop\BPA\BPA\20201117_Cefas_Test6-Run2/Plate 1/@14/H9_02.tif </t>
  </si>
  <si>
    <t xml:space="preserve">C:\Users\cbarrier\Desktop\BPA\BPA\20201117_Cefas_Test6-Run2/Plate 1/@14/H9_03.tif </t>
  </si>
  <si>
    <t xml:space="preserve">C:\Users\cbarrier\Desktop\BPA\BPA\20201117_Cefas_Test6-Run2/Plate 1/@14/ </t>
  </si>
  <si>
    <t xml:space="preserve">C:\Users\cbarrier\Desktop\BPA\BPA\20201117_Cefas_Test6-Run2/Plate 1/@15/A11_01.tif </t>
  </si>
  <si>
    <t xml:space="preserve">C:\Users\cbarrier\Desktop\BPA\BPA\20201117_Cefas_Test6-Run2/Plate 1/@15/A11_02.tif </t>
  </si>
  <si>
    <t xml:space="preserve">C:\Users\cbarrier\Desktop\BPA\BPA\20201117_Cefas_Test6-Run2/Plate 1/@15/A11_03.tif </t>
  </si>
  <si>
    <t xml:space="preserve">C:\Users\cbarrier\Desktop\BPA\BPA\20201117_Cefas_Test6-Run2/Plate 1/@15/B11_01.tif </t>
  </si>
  <si>
    <t xml:space="preserve">C:\Users\cbarrier\Desktop\BPA\BPA\20201117_Cefas_Test6-Run2/Plate 1/@15/B11_02.tif </t>
  </si>
  <si>
    <t xml:space="preserve">C:\Users\cbarrier\Desktop\BPA\BPA\20201117_Cefas_Test6-Run2/Plate 1/@15/B11_03.tif </t>
  </si>
  <si>
    <t xml:space="preserve">C:\Users\cbarrier\Desktop\BPA\BPA\20201117_Cefas_Test6-Run2/Plate 1/@15/C11_01.tif </t>
  </si>
  <si>
    <t>C:\Users\cbarrier\Desktop\BPA\BPA\20201117_Cefas_Test6-Run2/Plate 1/@15/C11_02- exclu.tif</t>
  </si>
  <si>
    <t>C:\Users\cbarrier\Desktop\BPA\BPA\20201117_Cefas_Test6-Run2/Plate 1/@15/C11_03- exclu.tif</t>
  </si>
  <si>
    <t xml:space="preserve">C:\Users\cbarrier\Desktop\BPA\BPA\20201117_Cefas_Test6-Run2/Plate 1/@15/D11_01.tif </t>
  </si>
  <si>
    <t xml:space="preserve">C:\Users\cbarrier\Desktop\BPA\BPA\20201117_Cefas_Test6-Run2/Plate 1/@15/D11_02.tif </t>
  </si>
  <si>
    <t xml:space="preserve">C:\Users\cbarrier\Desktop\BPA\BPA\20201117_Cefas_Test6-Run2/Plate 1/@15/D11_03.tif </t>
  </si>
  <si>
    <t xml:space="preserve">C:\Users\cbarrier\Desktop\BPA\BPA\20201117_Cefas_Test6-Run2/Plate 1/@15/E11_01.tif </t>
  </si>
  <si>
    <t xml:space="preserve">C:\Users\cbarrier\Desktop\BPA\BPA\20201117_Cefas_Test6-Run2/Plate 1/@15/E11_02.tif </t>
  </si>
  <si>
    <t xml:space="preserve">C:\Users\cbarrier\Desktop\BPA\BPA\20201117_Cefas_Test6-Run2/Plate 1/@15/E11_03.tif </t>
  </si>
  <si>
    <t xml:space="preserve">C:\Users\cbarrier\Desktop\BPA\BPA\20201117_Cefas_Test6-Run2/Plate 1/@15/F11_01.tif </t>
  </si>
  <si>
    <t xml:space="preserve">C:\Users\cbarrier\Desktop\BPA\BPA\20201117_Cefas_Test6-Run2/Plate 1/@15/F11_02.tif </t>
  </si>
  <si>
    <t xml:space="preserve">C:\Users\cbarrier\Desktop\BPA\BPA\20201117_Cefas_Test6-Run2/Plate 1/@15/F11_03.tif </t>
  </si>
  <si>
    <t xml:space="preserve">C:\Users\cbarrier\Desktop\BPA\BPA\20201117_Cefas_Test6-Run2/Plate 1/@15/G11_01.tif </t>
  </si>
  <si>
    <t xml:space="preserve">C:\Users\cbarrier\Desktop\BPA\BPA\20201117_Cefas_Test6-Run2/Plate 1/@15/G11_02.tif </t>
  </si>
  <si>
    <t xml:space="preserve">C:\Users\cbarrier\Desktop\BPA\BPA\20201117_Cefas_Test6-Run2/Plate 1/@15/G11_03.tif </t>
  </si>
  <si>
    <t xml:space="preserve">C:\Users\cbarrier\Desktop\BPA\BPA\20201117_Cefas_Test6-Run2/Plate 1/@15/H11_01.tif </t>
  </si>
  <si>
    <t xml:space="preserve">C:\Users\cbarrier\Desktop\BPA\BPA\20201117_Cefas_Test6-Run2/Plate 1/@15/H11_02.tif </t>
  </si>
  <si>
    <t xml:space="preserve">C:\Users\cbarrier\Desktop\BPA\BPA\20201117_Cefas_Test6-Run2/Plate 1/@15/H11_03.tif </t>
  </si>
  <si>
    <t xml:space="preserve">C:\Users\cbarrier\Desktop\BPA\BPA\20201117_Cefas_Test6-Run2/Plate 1/@15/ </t>
  </si>
  <si>
    <t xml:space="preserve">C:\Users\cbarrier\Desktop\BPA\BPA\20201117_Cefas_Test6-Run2/Plate 1/@16/A12_01.tif </t>
  </si>
  <si>
    <t xml:space="preserve">C:\Users\cbarrier\Desktop\BPA\BPA\20201117_Cefas_Test6-Run2/Plate 1/@16/A12_02.tif </t>
  </si>
  <si>
    <t xml:space="preserve">C:\Users\cbarrier\Desktop\BPA\BPA\20201117_Cefas_Test6-Run2/Plate 1/@16/A12_03.tif </t>
  </si>
  <si>
    <t xml:space="preserve">C:\Users\cbarrier\Desktop\BPA\BPA\20201117_Cefas_Test6-Run2/Plate 1/@16/B12_01.tif </t>
  </si>
  <si>
    <t xml:space="preserve">C:\Users\cbarrier\Desktop\BPA\BPA\20201117_Cefas_Test6-Run2/Plate 1/@16/B12_02.tif </t>
  </si>
  <si>
    <t xml:space="preserve">C:\Users\cbarrier\Desktop\BPA\BPA\20201117_Cefas_Test6-Run2/Plate 1/@16/B12_03.tif </t>
  </si>
  <si>
    <t xml:space="preserve">C:\Users\cbarrier\Desktop\BPA\BPA\20201117_Cefas_Test6-Run2/Plate 1/@16/C12_01.tif </t>
  </si>
  <si>
    <t xml:space="preserve">C:\Users\cbarrier\Desktop\BPA\BPA\20201117_Cefas_Test6-Run2/Plate 1/@16/C12_02.tif </t>
  </si>
  <si>
    <t xml:space="preserve">C:\Users\cbarrier\Desktop\BPA\BPA\20201117_Cefas_Test6-Run2/Plate 1/@16/C12_03.tif </t>
  </si>
  <si>
    <t xml:space="preserve">C:\Users\cbarrier\Desktop\BPA\BPA\20201117_Cefas_Test6-Run2/Plate 1/@16/D12_01.tif </t>
  </si>
  <si>
    <t xml:space="preserve">C:\Users\cbarrier\Desktop\BPA\BPA\20201117_Cefas_Test6-Run2/Plate 1/@16/D12_02.tif </t>
  </si>
  <si>
    <t xml:space="preserve">C:\Users\cbarrier\Desktop\BPA\BPA\20201117_Cefas_Test6-Run2/Plate 1/@16/D12_03.tif </t>
  </si>
  <si>
    <t xml:space="preserve">C:\Users\cbarrier\Desktop\BPA\BPA\20201117_Cefas_Test6-Run2/Plate 1/@16/E12_01.tif </t>
  </si>
  <si>
    <t xml:space="preserve">C:\Users\cbarrier\Desktop\BPA\BPA\20201117_Cefas_Test6-Run2/Plate 1/@16/E12_02.tif </t>
  </si>
  <si>
    <t xml:space="preserve">C:\Users\cbarrier\Desktop\BPA\BPA\20201117_Cefas_Test6-Run2/Plate 1/@16/E12_03.tif </t>
  </si>
  <si>
    <t xml:space="preserve">C:\Users\cbarrier\Desktop\BPA\BPA\20201117_Cefas_Test6-Run2/Plate 1/@16/F12_01.tif </t>
  </si>
  <si>
    <t xml:space="preserve">C:\Users\cbarrier\Desktop\BPA\BPA\20201117_Cefas_Test6-Run2/Plate 1/@16/F12_02.tif </t>
  </si>
  <si>
    <t xml:space="preserve">C:\Users\cbarrier\Desktop\BPA\BPA\20201117_Cefas_Test6-Run2/Plate 1/@16/F12_03.tif </t>
  </si>
  <si>
    <t xml:space="preserve">C:\Users\cbarrier\Desktop\BPA\BPA\20201117_Cefas_Test6-Run2/Plate 1/@16/G12_01.tif </t>
  </si>
  <si>
    <t xml:space="preserve">C:\Users\cbarrier\Desktop\BPA\BPA\20201117_Cefas_Test6-Run2/Plate 1/@16/G12_02.tif </t>
  </si>
  <si>
    <t xml:space="preserve">C:\Users\cbarrier\Desktop\BPA\BPA\20201117_Cefas_Test6-Run2/Plate 1/@16/G12_03.tif </t>
  </si>
  <si>
    <t xml:space="preserve">C:\Users\cbarrier\Desktop\BPA\BPA\20201117_Cefas_Test6-Run2/Plate 1/@16/H12_01.tif </t>
  </si>
  <si>
    <t xml:space="preserve">C:\Users\cbarrier\Desktop\BPA\BPA\20201117_Cefas_Test6-Run2/Plate 1/@16/H12_02.tif </t>
  </si>
  <si>
    <t xml:space="preserve">C:\Users\cbarrier\Desktop\BPA\BPA\20201117_Cefas_Test6-Run2/Plate 1/@16/H12_03.tif </t>
  </si>
  <si>
    <t xml:space="preserve">C:\Users\cbarrier\Desktop\BPA\BPA\20201117_Cefas_Test6-Run2/Plate 1/@16/ </t>
  </si>
  <si>
    <t>C:\Users\cbarrier\Desktop\BPA\BPA\20201117_Cefas_Test6-Run2/Plate 1/@2/A2_01- exclu.tif</t>
  </si>
  <si>
    <t>C:\Users\cbarrier\Desktop\BPA\BPA\20201117_Cefas_Test6-Run2/Plate 1/@2/A2_02- exclu.tif</t>
  </si>
  <si>
    <t>C:\Users\cbarrier\Desktop\BPA\BPA\20201117_Cefas_Test6-Run2/Plate 1/@2/A2_03- exclu.tif</t>
  </si>
  <si>
    <t xml:space="preserve">C:\Users\cbarrier\Desktop\BPA\BPA\20201117_Cefas_Test6-Run2/Plate 1/@2/B2_01.tif </t>
  </si>
  <si>
    <t xml:space="preserve">C:\Users\cbarrier\Desktop\BPA\BPA\20201117_Cefas_Test6-Run2/Plate 1/@2/B2_02.tif </t>
  </si>
  <si>
    <t xml:space="preserve">C:\Users\cbarrier\Desktop\BPA\BPA\20201117_Cefas_Test6-Run2/Plate 1/@2/B2_03.tif </t>
  </si>
  <si>
    <t xml:space="preserve">C:\Users\cbarrier\Desktop\BPA\BPA\20201117_Cefas_Test6-Run2/Plate 1/@2/C2_01.tif </t>
  </si>
  <si>
    <t xml:space="preserve">C:\Users\cbarrier\Desktop\BPA\BPA\20201117_Cefas_Test6-Run2/Plate 1/@2/C2_02.tif </t>
  </si>
  <si>
    <t xml:space="preserve">C:\Users\cbarrier\Desktop\BPA\BPA\20201117_Cefas_Test6-Run2/Plate 1/@2/C2_03.tif </t>
  </si>
  <si>
    <t xml:space="preserve">C:\Users\cbarrier\Desktop\BPA\BPA\20201117_Cefas_Test6-Run2/Plate 1/@2/D2_01.tif </t>
  </si>
  <si>
    <t xml:space="preserve">C:\Users\cbarrier\Desktop\BPA\BPA\20201117_Cefas_Test6-Run2/Plate 1/@2/D2_02.tif </t>
  </si>
  <si>
    <t xml:space="preserve">C:\Users\cbarrier\Desktop\BPA\BPA\20201117_Cefas_Test6-Run2/Plate 1/@2/D2_03.tif </t>
  </si>
  <si>
    <t xml:space="preserve">C:\Users\cbarrier\Desktop\BPA\BPA\20201117_Cefas_Test6-Run2/Plate 1/@2/E2_01.tif </t>
  </si>
  <si>
    <t xml:space="preserve">C:\Users\cbarrier\Desktop\BPA\BPA\20201117_Cefas_Test6-Run2/Plate 1/@2/E2_02.tif </t>
  </si>
  <si>
    <t>C:\Users\cbarrier\Desktop\BPA\BPA\20201117_Cefas_Test6-Run2/Plate 1/@2/E2_03- exclu.tif</t>
  </si>
  <si>
    <t xml:space="preserve">C:\Users\cbarrier\Desktop\BPA\BPA\20201117_Cefas_Test6-Run2/Plate 1/@2/F2_01.tif </t>
  </si>
  <si>
    <t>C:\Users\cbarrier\Desktop\BPA\BPA\20201117_Cefas_Test6-Run2/Plate 1/@2/F2_02- exclu.tif</t>
  </si>
  <si>
    <t>C:\Users\cbarrier\Desktop\BPA\BPA\20201117_Cefas_Test6-Run2/Plate 1/@2/F2_03- exclu.tif</t>
  </si>
  <si>
    <t>C:\Users\cbarrier\Desktop\BPA\BPA\20201117_Cefas_Test6-Run2/Plate 1/@2/G2_01- exclu.tif</t>
  </si>
  <si>
    <t xml:space="preserve">C:\Users\cbarrier\Desktop\BPA\BPA\20201117_Cefas_Test6-Run2/Plate 1/@2/G2_02.tif </t>
  </si>
  <si>
    <t xml:space="preserve">C:\Users\cbarrier\Desktop\BPA\BPA\20201117_Cefas_Test6-Run2/Plate 1/@2/G2_03.tif </t>
  </si>
  <si>
    <t xml:space="preserve">C:\Users\cbarrier\Desktop\BPA\BPA\20201117_Cefas_Test6-Run2/Plate 1/@2/H2_01.tif </t>
  </si>
  <si>
    <t xml:space="preserve">C:\Users\cbarrier\Desktop\BPA\BPA\20201117_Cefas_Test6-Run2/Plate 1/@2/H2_02.tif </t>
  </si>
  <si>
    <t xml:space="preserve">C:\Users\cbarrier\Desktop\BPA\BPA\20201117_Cefas_Test6-Run2/Plate 1/@2/H2_03.tif </t>
  </si>
  <si>
    <t xml:space="preserve">C:\Users\cbarrier\Desktop\BPA\BPA\20201117_Cefas_Test6-Run2/Plate 1/@2/ </t>
  </si>
  <si>
    <t xml:space="preserve">C:\Users\cbarrier\Desktop\BPA\BPA\20201117_Cefas_Test6-Run2/Plate 1/@3/A3_01.tif </t>
  </si>
  <si>
    <t xml:space="preserve">C:\Users\cbarrier\Desktop\BPA\BPA\20201117_Cefas_Test6-Run2/Plate 1/@3/A3_02.tif </t>
  </si>
  <si>
    <t xml:space="preserve">C:\Users\cbarrier\Desktop\BPA\BPA\20201117_Cefas_Test6-Run2/Plate 1/@3/A3_03.tif </t>
  </si>
  <si>
    <t xml:space="preserve">C:\Users\cbarrier\Desktop\BPA\BPA\20201117_Cefas_Test6-Run2/Plate 1/@3/B3_01.tif </t>
  </si>
  <si>
    <t xml:space="preserve">C:\Users\cbarrier\Desktop\BPA\BPA\20201117_Cefas_Test6-Run2/Plate 1/@3/B3_02.tif </t>
  </si>
  <si>
    <t>C:\Users\cbarrier\Desktop\BPA\BPA\20201117_Cefas_Test6-Run2/Plate 1/@3/B3_03- exclu.tif</t>
  </si>
  <si>
    <t xml:space="preserve">C:\Users\cbarrier\Desktop\BPA\BPA\20201117_Cefas_Test6-Run2/Plate 1/@3/C3_01.tif </t>
  </si>
  <si>
    <t>C:\Users\cbarrier\Desktop\BPA\BPA\20201117_Cefas_Test6-Run2/Plate 1/@3/C3_02- exclu.tif</t>
  </si>
  <si>
    <t>C:\Users\cbarrier\Desktop\BPA\BPA\20201117_Cefas_Test6-Run2/Plate 1/@3/C3_03- exclu.tif</t>
  </si>
  <si>
    <t xml:space="preserve">C:\Users\cbarrier\Desktop\BPA\BPA\20201117_Cefas_Test6-Run2/Plate 1/@3/D3_01.tif </t>
  </si>
  <si>
    <t xml:space="preserve">C:\Users\cbarrier\Desktop\BPA\BPA\20201117_Cefas_Test6-Run2/Plate 1/@3/D3_02.tif </t>
  </si>
  <si>
    <t xml:space="preserve">C:\Users\cbarrier\Desktop\BPA\BPA\20201117_Cefas_Test6-Run2/Plate 1/@3/D3_03.tif </t>
  </si>
  <si>
    <t xml:space="preserve">C:\Users\cbarrier\Desktop\BPA\BPA\20201117_Cefas_Test6-Run2/Plate 1/@3/E3_01.tif </t>
  </si>
  <si>
    <t xml:space="preserve">C:\Users\cbarrier\Desktop\BPA\BPA\20201117_Cefas_Test6-Run2/Plate 1/@3/E3_02.tif </t>
  </si>
  <si>
    <t xml:space="preserve">C:\Users\cbarrier\Desktop\BPA\BPA\20201117_Cefas_Test6-Run2/Plate 1/@3/E3_03.tif </t>
  </si>
  <si>
    <t xml:space="preserve">C:\Users\cbarrier\Desktop\BPA\BPA\20201117_Cefas_Test6-Run2/Plate 1/@3/F3_01.tif </t>
  </si>
  <si>
    <t xml:space="preserve">C:\Users\cbarrier\Desktop\BPA\BPA\20201117_Cefas_Test6-Run2/Plate 1/@3/F3_02.tif </t>
  </si>
  <si>
    <t xml:space="preserve">C:\Users\cbarrier\Desktop\BPA\BPA\20201117_Cefas_Test6-Run2/Plate 1/@3/F3_03.tif </t>
  </si>
  <si>
    <t xml:space="preserve">C:\Users\cbarrier\Desktop\BPA\BPA\20201117_Cefas_Test6-Run2/Plate 1/@3/G3_01.tif </t>
  </si>
  <si>
    <t xml:space="preserve">C:\Users\cbarrier\Desktop\BPA\BPA\20201117_Cefas_Test6-Run2/Plate 1/@3/G3_02.tif </t>
  </si>
  <si>
    <t xml:space="preserve">C:\Users\cbarrier\Desktop\BPA\BPA\20201117_Cefas_Test6-Run2/Plate 1/@3/G3_03.tif </t>
  </si>
  <si>
    <t xml:space="preserve">C:\Users\cbarrier\Desktop\BPA\BPA\20201117_Cefas_Test6-Run2/Plate 1/@3/H3_01.tif </t>
  </si>
  <si>
    <t xml:space="preserve">C:\Users\cbarrier\Desktop\BPA\BPA\20201117_Cefas_Test6-Run2/Plate 1/@3/H3_02.tif </t>
  </si>
  <si>
    <t xml:space="preserve">C:\Users\cbarrier\Desktop\BPA\BPA\20201117_Cefas_Test6-Run2/Plate 1/@3/H3_03.tif </t>
  </si>
  <si>
    <t xml:space="preserve">C:\Users\cbarrier\Desktop\BPA\BPA\20201117_Cefas_Test6-Run2/Plate 1/@3/ </t>
  </si>
  <si>
    <t xml:space="preserve">C:\Users\cbarrier\Desktop\BPA\BPA\20201117_Cefas_Test6-Run2/Plate 1/@4/A4_01.tif </t>
  </si>
  <si>
    <t xml:space="preserve">C:\Users\cbarrier\Desktop\BPA\BPA\20201117_Cefas_Test6-Run2/Plate 1/@4/A4_02.tif </t>
  </si>
  <si>
    <t>C:\Users\cbarrier\Desktop\BPA\BPA\20201117_Cefas_Test6-Run2/Plate 1/@4/A4_03- exclu.tif</t>
  </si>
  <si>
    <t xml:space="preserve">C:\Users\cbarrier\Desktop\BPA\BPA\20201117_Cefas_Test6-Run2/Plate 1/@4/B4_01.tif </t>
  </si>
  <si>
    <t xml:space="preserve">C:\Users\cbarrier\Desktop\BPA\BPA\20201117_Cefas_Test6-Run2/Plate 1/@4/B4_02.tif </t>
  </si>
  <si>
    <t xml:space="preserve">C:\Users\cbarrier\Desktop\BPA\BPA\20201117_Cefas_Test6-Run2/Plate 1/@4/B4_03.tif </t>
  </si>
  <si>
    <t>C:\Users\cbarrier\Desktop\BPA\BPA\20201117_Cefas_Test6-Run2/Plate 1/@4/C4_01- exclu.tif</t>
  </si>
  <si>
    <t>C:\Users\cbarrier\Desktop\BPA\BPA\20201117_Cefas_Test6-Run2/Plate 1/@4/C4_02- exclu.tif</t>
  </si>
  <si>
    <t>C:\Users\cbarrier\Desktop\BPA\BPA\20201117_Cefas_Test6-Run2/Plate 1/@4/C4_03- exclu.tif</t>
  </si>
  <si>
    <t xml:space="preserve">C:\Users\cbarrier\Desktop\BPA\BPA\20201117_Cefas_Test6-Run2/Plate 1/@4/D4_01.tif </t>
  </si>
  <si>
    <t xml:space="preserve">C:\Users\cbarrier\Desktop\BPA\BPA\20201117_Cefas_Test6-Run2/Plate 1/@4/D4_02.tif </t>
  </si>
  <si>
    <t xml:space="preserve">C:\Users\cbarrier\Desktop\BPA\BPA\20201117_Cefas_Test6-Run2/Plate 1/@4/D4_03.tif </t>
  </si>
  <si>
    <t xml:space="preserve">C:\Users\cbarrier\Desktop\BPA\BPA\20201117_Cefas_Test6-Run2/Plate 1/@4/E4_01.tif </t>
  </si>
  <si>
    <t xml:space="preserve">C:\Users\cbarrier\Desktop\BPA\BPA\20201117_Cefas_Test6-Run2/Plate 1/@4/E4_02.tif </t>
  </si>
  <si>
    <t xml:space="preserve">C:\Users\cbarrier\Desktop\BPA\BPA\20201117_Cefas_Test6-Run2/Plate 1/@4/E4_03.tif </t>
  </si>
  <si>
    <t xml:space="preserve">C:\Users\cbarrier\Desktop\BPA\BPA\20201117_Cefas_Test6-Run2/Plate 1/@4/F4_01.tif </t>
  </si>
  <si>
    <t xml:space="preserve">C:\Users\cbarrier\Desktop\BPA\BPA\20201117_Cefas_Test6-Run2/Plate 1/@4/F4_02.tif </t>
  </si>
  <si>
    <t xml:space="preserve">C:\Users\cbarrier\Desktop\BPA\BPA\20201117_Cefas_Test6-Run2/Plate 1/@4/F4_03.tif </t>
  </si>
  <si>
    <t xml:space="preserve">C:\Users\cbarrier\Desktop\BPA\BPA\20201117_Cefas_Test6-Run2/Plate 1/@4/G4_01.tif </t>
  </si>
  <si>
    <t xml:space="preserve">C:\Users\cbarrier\Desktop\BPA\BPA\20201117_Cefas_Test6-Run2/Plate 1/@4/G4_02.tif </t>
  </si>
  <si>
    <t>C:\Users\cbarrier\Desktop\BPA\BPA\20201117_Cefas_Test6-Run2/Plate 1/@4/G4_03- exclu.tif</t>
  </si>
  <si>
    <t xml:space="preserve">C:\Users\cbarrier\Desktop\BPA\BPA\20201117_Cefas_Test6-Run2/Plate 1/@4/H4_01.tif </t>
  </si>
  <si>
    <t xml:space="preserve">C:\Users\cbarrier\Desktop\BPA\BPA\20201117_Cefas_Test6-Run2/Plate 1/@4/H4_02.tif </t>
  </si>
  <si>
    <t xml:space="preserve">C:\Users\cbarrier\Desktop\BPA\BPA\20201117_Cefas_Test6-Run2/Plate 1/@4/H4_03.tif </t>
  </si>
  <si>
    <t xml:space="preserve">C:\Users\cbarrier\Desktop\BPA\BPA\20201117_Cefas_Test6-Run2/Plate 1/@4/ </t>
  </si>
  <si>
    <t xml:space="preserve">C:\Users\cbarrier\Desktop\BPA\BPA\20201117_Cefas_Test6-Run2/Plate 1/@5/A5_01.tif </t>
  </si>
  <si>
    <t xml:space="preserve">C:\Users\cbarrier\Desktop\BPA\BPA\20201117_Cefas_Test6-Run2/Plate 1/@5/A5_02.tif </t>
  </si>
  <si>
    <t>C:\Users\cbarrier\Desktop\BPA\BPA\20201117_Cefas_Test6-Run2/Plate 1/@5/A5_03- exclu.tif</t>
  </si>
  <si>
    <t xml:space="preserve">C:\Users\cbarrier\Desktop\BPA\BPA\20201117_Cefas_Test6-Run2/Plate 1/@5/B5_01.tif </t>
  </si>
  <si>
    <t xml:space="preserve">C:\Users\cbarrier\Desktop\BPA\BPA\20201117_Cefas_Test6-Run2/Plate 1/@5/B5_02.tif </t>
  </si>
  <si>
    <t xml:space="preserve">C:\Users\cbarrier\Desktop\BPA\BPA\20201117_Cefas_Test6-Run2/Plate 1/@5/B5_03.tif </t>
  </si>
  <si>
    <t xml:space="preserve">C:\Users\cbarrier\Desktop\BPA\BPA\20201117_Cefas_Test6-Run2/Plate 1/@5/C5_01.tif </t>
  </si>
  <si>
    <t xml:space="preserve">C:\Users\cbarrier\Desktop\BPA\BPA\20201117_Cefas_Test6-Run2/Plate 1/@5/C5_02.tif </t>
  </si>
  <si>
    <t xml:space="preserve">C:\Users\cbarrier\Desktop\BPA\BPA\20201117_Cefas_Test6-Run2/Plate 1/@5/C5_03.tif </t>
  </si>
  <si>
    <t xml:space="preserve">C:\Users\cbarrier\Desktop\BPA\BPA\20201117_Cefas_Test6-Run2/Plate 1/@5/D5_01.tif </t>
  </si>
  <si>
    <t>C:\Users\cbarrier\Desktop\BPA\BPA\20201117_Cefas_Test6-Run2/Plate 1/@5/D5_02- exclu.tif</t>
  </si>
  <si>
    <t xml:space="preserve">C:\Users\cbarrier\Desktop\BPA\BPA\20201117_Cefas_Test6-Run2/Plate 1/@5/D5_03.tif </t>
  </si>
  <si>
    <t xml:space="preserve">C:\Users\cbarrier\Desktop\BPA\BPA\20201117_Cefas_Test6-Run2/Plate 1/@5/E5_01.tif </t>
  </si>
  <si>
    <t xml:space="preserve">C:\Users\cbarrier\Desktop\BPA\BPA\20201117_Cefas_Test6-Run2/Plate 1/@5/E5_02.tif </t>
  </si>
  <si>
    <t xml:space="preserve">C:\Users\cbarrier\Desktop\BPA\BPA\20201117_Cefas_Test6-Run2/Plate 1/@5/E5_03.tif </t>
  </si>
  <si>
    <t xml:space="preserve">C:\Users\cbarrier\Desktop\BPA\BPA\20201117_Cefas_Test6-Run2/Plate 1/@5/F5_01.tif </t>
  </si>
  <si>
    <t xml:space="preserve">C:\Users\cbarrier\Desktop\BPA\BPA\20201117_Cefas_Test6-Run2/Plate 1/@5/F5_02.tif </t>
  </si>
  <si>
    <t xml:space="preserve">C:\Users\cbarrier\Desktop\BPA\BPA\20201117_Cefas_Test6-Run2/Plate 1/@5/F5_03.tif </t>
  </si>
  <si>
    <t xml:space="preserve">C:\Users\cbarrier\Desktop\BPA\BPA\20201117_Cefas_Test6-Run2/Plate 1/@5/G5_01.tif </t>
  </si>
  <si>
    <t xml:space="preserve">C:\Users\cbarrier\Desktop\BPA\BPA\20201117_Cefas_Test6-Run2/Plate 1/@5/G5_02.tif </t>
  </si>
  <si>
    <t xml:space="preserve">C:\Users\cbarrier\Desktop\BPA\BPA\20201117_Cefas_Test6-Run2/Plate 1/@5/G5_03.tif </t>
  </si>
  <si>
    <t xml:space="preserve">C:\Users\cbarrier\Desktop\BPA\BPA\20201117_Cefas_Test6-Run2/Plate 1/@5/H5_01.tif </t>
  </si>
  <si>
    <t xml:space="preserve">C:\Users\cbarrier\Desktop\BPA\BPA\20201117_Cefas_Test6-Run2/Plate 1/@5/H5_02.tif </t>
  </si>
  <si>
    <t xml:space="preserve">C:\Users\cbarrier\Desktop\BPA\BPA\20201117_Cefas_Test6-Run2/Plate 1/@5/H5_03.tif </t>
  </si>
  <si>
    <t xml:space="preserve">C:\Users\cbarrier\Desktop\BPA\BPA\20201117_Cefas_Test6-Run2/Plate 1/@5/ </t>
  </si>
  <si>
    <t xml:space="preserve">C:\Users\cbarrier\Desktop\BPA\BPA\20201117_Cefas_Test6-Run2/Plate 1/@6/A6_01.tif </t>
  </si>
  <si>
    <t xml:space="preserve">C:\Users\cbarrier\Desktop\BPA\BPA\20201117_Cefas_Test6-Run2/Plate 1/@6/A6_02.tif </t>
  </si>
  <si>
    <t xml:space="preserve">C:\Users\cbarrier\Desktop\BPA\BPA\20201117_Cefas_Test6-Run2/Plate 1/@6/A6_03.tif </t>
  </si>
  <si>
    <t xml:space="preserve">C:\Users\cbarrier\Desktop\BPA\BPA\20201117_Cefas_Test6-Run2/Plate 1/@6/B6_01.tif </t>
  </si>
  <si>
    <t xml:space="preserve">C:\Users\cbarrier\Desktop\BPA\BPA\20201117_Cefas_Test6-Run2/Plate 1/@6/B6_02.tif </t>
  </si>
  <si>
    <t xml:space="preserve">C:\Users\cbarrier\Desktop\BPA\BPA\20201117_Cefas_Test6-Run2/Plate 1/@6/B6_03.tif </t>
  </si>
  <si>
    <t xml:space="preserve">C:\Users\cbarrier\Desktop\BPA\BPA\20201117_Cefas_Test6-Run2/Plate 1/@6/C6_01.tif </t>
  </si>
  <si>
    <t xml:space="preserve">C:\Users\cbarrier\Desktop\BPA\BPA\20201117_Cefas_Test6-Run2/Plate 1/@6/C6_02.tif </t>
  </si>
  <si>
    <t xml:space="preserve">C:\Users\cbarrier\Desktop\BPA\BPA\20201117_Cefas_Test6-Run2/Plate 1/@6/C6_03.tif </t>
  </si>
  <si>
    <t>C:\Users\cbarrier\Desktop\BPA\BPA\20201117_Cefas_Test6-Run2/Plate 1/@6/D6_01- exclu.tif</t>
  </si>
  <si>
    <t>C:\Users\cbarrier\Desktop\BPA\BPA\20201117_Cefas_Test6-Run2/Plate 1/@6/D6_02- exclu.tif</t>
  </si>
  <si>
    <t>C:\Users\cbarrier\Desktop\BPA\BPA\20201117_Cefas_Test6-Run2/Plate 1/@6/D6_03- exclu.tif</t>
  </si>
  <si>
    <t xml:space="preserve">C:\Users\cbarrier\Desktop\BPA\BPA\20201117_Cefas_Test6-Run2/Plate 1/@6/E6_01.tif </t>
  </si>
  <si>
    <t xml:space="preserve">C:\Users\cbarrier\Desktop\BPA\BPA\20201117_Cefas_Test6-Run2/Plate 1/@6/E6_02.tif </t>
  </si>
  <si>
    <t xml:space="preserve">C:\Users\cbarrier\Desktop\BPA\BPA\20201117_Cefas_Test6-Run2/Plate 1/@6/E6_03.tif </t>
  </si>
  <si>
    <t xml:space="preserve">C:\Users\cbarrier\Desktop\BPA\BPA\20201117_Cefas_Test6-Run2/Plate 1/@6/F6_01.tif </t>
  </si>
  <si>
    <t xml:space="preserve">C:\Users\cbarrier\Desktop\BPA\BPA\20201117_Cefas_Test6-Run2/Plate 1/@6/F6_02.tif </t>
  </si>
  <si>
    <t xml:space="preserve">C:\Users\cbarrier\Desktop\BPA\BPA\20201117_Cefas_Test6-Run2/Plate 1/@6/F6_03.tif </t>
  </si>
  <si>
    <t xml:space="preserve">C:\Users\cbarrier\Desktop\BPA\BPA\20201117_Cefas_Test6-Run2/Plate 1/@6/G6_01.tif </t>
  </si>
  <si>
    <t xml:space="preserve">C:\Users\cbarrier\Desktop\BPA\BPA\20201117_Cefas_Test6-Run2/Plate 1/@6/G6_02.tif </t>
  </si>
  <si>
    <t xml:space="preserve">C:\Users\cbarrier\Desktop\BPA\BPA\20201117_Cefas_Test6-Run2/Plate 1/@6/G6_03.tif </t>
  </si>
  <si>
    <t xml:space="preserve">C:\Users\cbarrier\Desktop\BPA\BPA\20201117_Cefas_Test6-Run2/Plate 1/@6/H6_01.tif </t>
  </si>
  <si>
    <t xml:space="preserve">C:\Users\cbarrier\Desktop\BPA\BPA\20201117_Cefas_Test6-Run2/Plate 1/@6/H6_02.tif </t>
  </si>
  <si>
    <t xml:space="preserve">C:\Users\cbarrier\Desktop\BPA\BPA\20201117_Cefas_Test6-Run2/Plate 1/@6/H6_03.tif </t>
  </si>
  <si>
    <t xml:space="preserve">C:\Users\cbarrier\Desktop\BPA\BPA\20201117_Cefas_Test6-Run2/Plate 1/@6/ </t>
  </si>
  <si>
    <t xml:space="preserve">C:\Users\cbarrier\Desktop\BPA\BPA\20201117_Cefas_Test6-Run2/Plate 1/@7/A7_01.tif </t>
  </si>
  <si>
    <t xml:space="preserve">C:\Users\cbarrier\Desktop\BPA\BPA\20201117_Cefas_Test6-Run2/Plate 1/@7/A7_02.tif </t>
  </si>
  <si>
    <t xml:space="preserve">C:\Users\cbarrier\Desktop\BPA\BPA\20201117_Cefas_Test6-Run2/Plate 1/@7/A7_03.tif </t>
  </si>
  <si>
    <t xml:space="preserve">C:\Users\cbarrier\Desktop\BPA\BPA\20201117_Cefas_Test6-Run2/Plate 1/@7/B7_01.tif </t>
  </si>
  <si>
    <t xml:space="preserve">C:\Users\cbarrier\Desktop\BPA\BPA\20201117_Cefas_Test6-Run2/Plate 1/@7/B7_02.tif </t>
  </si>
  <si>
    <t xml:space="preserve">C:\Users\cbarrier\Desktop\BPA\BPA\20201117_Cefas_Test6-Run2/Plate 1/@7/B7_03.tif </t>
  </si>
  <si>
    <t xml:space="preserve">C:\Users\cbarrier\Desktop\BPA\BPA\20201117_Cefas_Test6-Run2/Plate 1/@7/C7_01.tif </t>
  </si>
  <si>
    <t xml:space="preserve">C:\Users\cbarrier\Desktop\BPA\BPA\20201117_Cefas_Test6-Run2/Plate 1/@7/C7_02.tif </t>
  </si>
  <si>
    <t xml:space="preserve">C:\Users\cbarrier\Desktop\BPA\BPA\20201117_Cefas_Test6-Run2/Plate 1/@7/C7_03.tif </t>
  </si>
  <si>
    <t xml:space="preserve">C:\Users\cbarrier\Desktop\BPA\BPA\20201117_Cefas_Test6-Run2/Plate 1/@7/D7_01.tif </t>
  </si>
  <si>
    <t xml:space="preserve">C:\Users\cbarrier\Desktop\BPA\BPA\20201117_Cefas_Test6-Run2/Plate 1/@7/D7_02.tif </t>
  </si>
  <si>
    <t xml:space="preserve">C:\Users\cbarrier\Desktop\BPA\BPA\20201117_Cefas_Test6-Run2/Plate 1/@7/D7_03.tif </t>
  </si>
  <si>
    <t>C:\Users\cbarrier\Desktop\BPA\BPA\20201117_Cefas_Test6-Run2/Plate 1/@7/E7_01- exclu.tif</t>
  </si>
  <si>
    <t xml:space="preserve">C:\Users\cbarrier\Desktop\BPA\BPA\20201117_Cefas_Test6-Run2/Plate 1/@7/E7_02.tif </t>
  </si>
  <si>
    <t>C:\Users\cbarrier\Desktop\BPA\BPA\20201117_Cefas_Test6-Run2/Plate 1/@7/E7_03- exclu.tif</t>
  </si>
  <si>
    <t xml:space="preserve">C:\Users\cbarrier\Desktop\BPA\BPA\20201117_Cefas_Test6-Run2/Plate 1/@7/F7_01.tif </t>
  </si>
  <si>
    <t xml:space="preserve">C:\Users\cbarrier\Desktop\BPA\BPA\20201117_Cefas_Test6-Run2/Plate 1/@7/F7_02.tif </t>
  </si>
  <si>
    <t xml:space="preserve">C:\Users\cbarrier\Desktop\BPA\BPA\20201117_Cefas_Test6-Run2/Plate 1/@7/F7_03.tif </t>
  </si>
  <si>
    <t xml:space="preserve">C:\Users\cbarrier\Desktop\BPA\BPA\20201117_Cefas_Test6-Run2/Plate 1/@7/G7_01.tif </t>
  </si>
  <si>
    <t xml:space="preserve">C:\Users\cbarrier\Desktop\BPA\BPA\20201117_Cefas_Test6-Run2/Plate 1/@7/G7_02.tif </t>
  </si>
  <si>
    <t xml:space="preserve">C:\Users\cbarrier\Desktop\BPA\BPA\20201117_Cefas_Test6-Run2/Plate 1/@7/G7_03.tif </t>
  </si>
  <si>
    <t xml:space="preserve">C:\Users\cbarrier\Desktop\BPA\BPA\20201117_Cefas_Test6-Run2/Plate 1/@7/H7_01.tif </t>
  </si>
  <si>
    <t xml:space="preserve">C:\Users\cbarrier\Desktop\BPA\BPA\20201117_Cefas_Test6-Run2/Plate 1/@7/H7_02.tif </t>
  </si>
  <si>
    <t xml:space="preserve">C:\Users\cbarrier\Desktop\BPA\BPA\20201117_Cefas_Test6-Run2/Plate 1/@7/H7_03.tif </t>
  </si>
  <si>
    <t xml:space="preserve">C:\Users\cbarrier\Desktop\BPA\BPA\20201117_Cefas_Test6-Run2/Plate 1/@7/ </t>
  </si>
  <si>
    <t xml:space="preserve">C:\Users\cbarrier\Desktop\BPA\BPA\20201117_Cefas_Test6-Run2/Plate 3/@10/A4_01.tif </t>
  </si>
  <si>
    <t xml:space="preserve">C:\Users\cbarrier\Desktop\BPA\BPA\20201117_Cefas_Test6-Run2/Plate 3/@10/A4_02.tif </t>
  </si>
  <si>
    <t>C:\Users\cbarrier\Desktop\BPA\BPA\20201117_Cefas_Test6-Run2/Plate 3/@10/B4_01- exclu.tif</t>
  </si>
  <si>
    <t>C:\Users\cbarrier\Desktop\BPA\BPA\20201117_Cefas_Test6-Run2/Plate 3/@10/B4_02- exclu.tif</t>
  </si>
  <si>
    <t xml:space="preserve">C:\Users\cbarrier\Desktop\BPA\BPA\20201117_Cefas_Test6-Run2/Plate 3/@10/C4_01.tif </t>
  </si>
  <si>
    <t xml:space="preserve">C:\Users\cbarrier\Desktop\BPA\BPA\20201117_Cefas_Test6-Run2/Plate 3/@10/C4_02.tif </t>
  </si>
  <si>
    <t xml:space="preserve">C:\Users\cbarrier\Desktop\BPA\BPA\20201117_Cefas_Test6-Run2/Plate 3/@10/D4_01.tif </t>
  </si>
  <si>
    <t xml:space="preserve">C:\Users\cbarrier\Desktop\BPA\BPA\20201117_Cefas_Test6-Run2/Plate 3/@10/D4_02.tif </t>
  </si>
  <si>
    <t xml:space="preserve">C:\Users\cbarrier\Desktop\BPA\BPA\20201117_Cefas_Test6-Run2/Plate 3/@10/E4_01.tif </t>
  </si>
  <si>
    <t xml:space="preserve">C:\Users\cbarrier\Desktop\BPA\BPA\20201117_Cefas_Test6-Run2/Plate 3/@10/E4_02.tif </t>
  </si>
  <si>
    <t xml:space="preserve">C:\Users\cbarrier\Desktop\BPA\BPA\20201117_Cefas_Test6-Run2/Plate 3/@10/F4_01.tif </t>
  </si>
  <si>
    <t xml:space="preserve">C:\Users\cbarrier\Desktop\BPA\BPA\20201117_Cefas_Test6-Run2/Plate 3/@10/F4_02.tif </t>
  </si>
  <si>
    <t xml:space="preserve">C:\Users\cbarrier\Desktop\BPA\BPA\20201117_Cefas_Test6-Run2/Plate 3/@10/G4_01.tif </t>
  </si>
  <si>
    <t xml:space="preserve">C:\Users\cbarrier\Desktop\BPA\BPA\20201117_Cefas_Test6-Run2/Plate 3/@10/G4_02.tif </t>
  </si>
  <si>
    <t xml:space="preserve">C:\Users\cbarrier\Desktop\BPA\BPA\20201117_Cefas_Test6-Run2/Plate 3/@10/H4_01.tif </t>
  </si>
  <si>
    <t xml:space="preserve">C:\Users\cbarrier\Desktop\BPA\BPA\20201117_Cefas_Test6-Run2/Plate 3/@10/H4_02.tif </t>
  </si>
  <si>
    <t xml:space="preserve">C:\Users\cbarrier\Desktop\BPA\BPA\20201117_Cefas_Test6-Run2/Plate 3/@10/ </t>
  </si>
  <si>
    <t xml:space="preserve">C:\Users\cbarrier\Desktop\BPA\BPA\20201117_Cefas_Test6-Run2/Plate 3/@11/A5_01.tif </t>
  </si>
  <si>
    <t xml:space="preserve">C:\Users\cbarrier\Desktop\BPA\BPA\20201117_Cefas_Test6-Run2/Plate 3/@11/A5_02.tif </t>
  </si>
  <si>
    <t xml:space="preserve">C:\Users\cbarrier\Desktop\BPA\BPA\20201117_Cefas_Test6-Run2/Plate 3/@11/B5_01.tif </t>
  </si>
  <si>
    <t xml:space="preserve">C:\Users\cbarrier\Desktop\BPA\BPA\20201117_Cefas_Test6-Run2/Plate 3/@11/B5_02.tif </t>
  </si>
  <si>
    <t>C:\Users\cbarrier\Desktop\BPA\BPA\20201117_Cefas_Test6-Run2/Plate 3/@11/C5_01- exclu.tif</t>
  </si>
  <si>
    <t>C:\Users\cbarrier\Desktop\BPA\BPA\20201117_Cefas_Test6-Run2/Plate 3/@11/C5_02- exclu.tif</t>
  </si>
  <si>
    <t xml:space="preserve">C:\Users\cbarrier\Desktop\BPA\BPA\20201117_Cefas_Test6-Run2/Plate 3/@11/D5_01.tif </t>
  </si>
  <si>
    <t xml:space="preserve">C:\Users\cbarrier\Desktop\BPA\BPA\20201117_Cefas_Test6-Run2/Plate 3/@11/D5_02.tif </t>
  </si>
  <si>
    <t xml:space="preserve">C:\Users\cbarrier\Desktop\BPA\BPA\20201117_Cefas_Test6-Run2/Plate 3/@11/E5_01.tif </t>
  </si>
  <si>
    <t xml:space="preserve">C:\Users\cbarrier\Desktop\BPA\BPA\20201117_Cefas_Test6-Run2/Plate 3/@11/E5_02.tif </t>
  </si>
  <si>
    <t xml:space="preserve">C:\Users\cbarrier\Desktop\BPA\BPA\20201117_Cefas_Test6-Run2/Plate 3/@11/F5_01.tif </t>
  </si>
  <si>
    <t xml:space="preserve">C:\Users\cbarrier\Desktop\BPA\BPA\20201117_Cefas_Test6-Run2/Plate 3/@11/F5_02.tif </t>
  </si>
  <si>
    <t xml:space="preserve">C:\Users\cbarrier\Desktop\BPA\BPA\20201117_Cefas_Test6-Run2/Plate 3/@11/G5_01.tif </t>
  </si>
  <si>
    <t xml:space="preserve">C:\Users\cbarrier\Desktop\BPA\BPA\20201117_Cefas_Test6-Run2/Plate 3/@11/G5_02.tif </t>
  </si>
  <si>
    <t xml:space="preserve">C:\Users\cbarrier\Desktop\BPA\BPA\20201117_Cefas_Test6-Run2/Plate 3/@11/H5_01.tif </t>
  </si>
  <si>
    <t xml:space="preserve">C:\Users\cbarrier\Desktop\BPA\BPA\20201117_Cefas_Test6-Run2/Plate 3/@11/H5_02.tif </t>
  </si>
  <si>
    <t xml:space="preserve">C:\Users\cbarrier\Desktop\BPA\BPA\20201117_Cefas_Test6-Run2/Plate 3/@11/ </t>
  </si>
  <si>
    <t xml:space="preserve">C:\Users\cbarrier\Desktop\BPA\BPA\20201117_Cefas_Test6-Run2/Plate 3/@12/A6_01.tif </t>
  </si>
  <si>
    <t xml:space="preserve">C:\Users\cbarrier\Desktop\BPA\BPA\20201117_Cefas_Test6-Run2/Plate 3/@12/A6_02.tif </t>
  </si>
  <si>
    <t xml:space="preserve">C:\Users\cbarrier\Desktop\BPA\BPA\20201117_Cefas_Test6-Run2/Plate 3/@12/B6_01.tif </t>
  </si>
  <si>
    <t xml:space="preserve">C:\Users\cbarrier\Desktop\BPA\BPA\20201117_Cefas_Test6-Run2/Plate 3/@12/B6_02.tif </t>
  </si>
  <si>
    <t xml:space="preserve">C:\Users\cbarrier\Desktop\BPA\BPA\20201117_Cefas_Test6-Run2/Plate 3/@12/C6_01.tif </t>
  </si>
  <si>
    <t xml:space="preserve">C:\Users\cbarrier\Desktop\BPA\BPA\20201117_Cefas_Test6-Run2/Plate 3/@12/C6_02.tif </t>
  </si>
  <si>
    <t xml:space="preserve">C:\Users\cbarrier\Desktop\BPA\BPA\20201117_Cefas_Test6-Run2/Plate 3/@12/D6_01.tif </t>
  </si>
  <si>
    <t xml:space="preserve">C:\Users\cbarrier\Desktop\BPA\BPA\20201117_Cefas_Test6-Run2/Plate 3/@12/D6_02.tif </t>
  </si>
  <si>
    <t xml:space="preserve">C:\Users\cbarrier\Desktop\BPA\BPA\20201117_Cefas_Test6-Run2/Plate 3/@12/E6_01.tif </t>
  </si>
  <si>
    <t xml:space="preserve">C:\Users\cbarrier\Desktop\BPA\BPA\20201117_Cefas_Test6-Run2/Plate 3/@12/E6_02.tif </t>
  </si>
  <si>
    <t xml:space="preserve">C:\Users\cbarrier\Desktop\BPA\BPA\20201117_Cefas_Test6-Run2/Plate 3/@12/F6_01.tif </t>
  </si>
  <si>
    <t xml:space="preserve">C:\Users\cbarrier\Desktop\BPA\BPA\20201117_Cefas_Test6-Run2/Plate 3/@12/F6_02.tif </t>
  </si>
  <si>
    <t xml:space="preserve">C:\Users\cbarrier\Desktop\BPA\BPA\20201117_Cefas_Test6-Run2/Plate 3/@12/G6_01.tif </t>
  </si>
  <si>
    <t xml:space="preserve">C:\Users\cbarrier\Desktop\BPA\BPA\20201117_Cefas_Test6-Run2/Plate 3/@12/G6_02.tif </t>
  </si>
  <si>
    <t xml:space="preserve">C:\Users\cbarrier\Desktop\BPA\BPA\20201117_Cefas_Test6-Run2/Plate 3/@12/H6_01.tif </t>
  </si>
  <si>
    <t xml:space="preserve">C:\Users\cbarrier\Desktop\BPA\BPA\20201117_Cefas_Test6-Run2/Plate 3/@12/H6_02.tif </t>
  </si>
  <si>
    <t xml:space="preserve">C:\Users\cbarrier\Desktop\BPA\BPA\20201117_Cefas_Test6-Run2/Plate 3/@12/ </t>
  </si>
  <si>
    <t xml:space="preserve">C:\Users\cbarrier\Desktop\BPA\BPA\20201117_Cefas_Test6-Run2/Plate 3/@17/A8_01.tif </t>
  </si>
  <si>
    <t xml:space="preserve">C:\Users\cbarrier\Desktop\BPA\BPA\20201117_Cefas_Test6-Run2/Plate 3/@17/A8_02.tif </t>
  </si>
  <si>
    <t xml:space="preserve">C:\Users\cbarrier\Desktop\BPA\BPA\20201117_Cefas_Test6-Run2/Plate 3/@17/B8_01.tif </t>
  </si>
  <si>
    <t xml:space="preserve">C:\Users\cbarrier\Desktop\BPA\BPA\20201117_Cefas_Test6-Run2/Plate 3/@17/B8_02.tif </t>
  </si>
  <si>
    <t xml:space="preserve">C:\Users\cbarrier\Desktop\BPA\BPA\20201117_Cefas_Test6-Run2/Plate 3/@17/C8_01.tif </t>
  </si>
  <si>
    <t xml:space="preserve">C:\Users\cbarrier\Desktop\BPA\BPA\20201117_Cefas_Test6-Run2/Plate 3/@17/C8_02.tif </t>
  </si>
  <si>
    <t xml:space="preserve">C:\Users\cbarrier\Desktop\BPA\BPA\20201117_Cefas_Test6-Run2/Plate 3/@17/D8_01.tif </t>
  </si>
  <si>
    <t xml:space="preserve">C:\Users\cbarrier\Desktop\BPA\BPA\20201117_Cefas_Test6-Run2/Plate 3/@17/D8_02.tif </t>
  </si>
  <si>
    <t xml:space="preserve">C:\Users\cbarrier\Desktop\BPA\BPA\20201117_Cefas_Test6-Run2/Plate 3/@17/E8_01.tif </t>
  </si>
  <si>
    <t xml:space="preserve">C:\Users\cbarrier\Desktop\BPA\BPA\20201117_Cefas_Test6-Run2/Plate 3/@17/E8_02.tif </t>
  </si>
  <si>
    <t xml:space="preserve">C:\Users\cbarrier\Desktop\BPA\BPA\20201117_Cefas_Test6-Run2/Plate 3/@17/F8_01.tif </t>
  </si>
  <si>
    <t xml:space="preserve">C:\Users\cbarrier\Desktop\BPA\BPA\20201117_Cefas_Test6-Run2/Plate 3/@17/F8_02.tif </t>
  </si>
  <si>
    <t xml:space="preserve">C:\Users\cbarrier\Desktop\BPA\BPA\20201117_Cefas_Test6-Run2/Plate 3/@17/G8_01.tif </t>
  </si>
  <si>
    <t xml:space="preserve">C:\Users\cbarrier\Desktop\BPA\BPA\20201117_Cefas_Test6-Run2/Plate 3/@17/G8_02.tif </t>
  </si>
  <si>
    <t xml:space="preserve">C:\Users\cbarrier\Desktop\BPA\BPA\20201117_Cefas_Test6-Run2/Plate 3/@17/H8_01.tif </t>
  </si>
  <si>
    <t xml:space="preserve">C:\Users\cbarrier\Desktop\BPA\BPA\20201117_Cefas_Test6-Run2/Plate 3/@17/H8_02.tif </t>
  </si>
  <si>
    <t xml:space="preserve">C:\Users\cbarrier\Desktop\BPA\BPA\20201117_Cefas_Test6-Run2/Plate 3/@17/ </t>
  </si>
  <si>
    <t xml:space="preserve">C:\Users\cbarrier\Desktop\BPA\BPA\20201117_Cefas_Test6-Run2/Plate 3/@18/A9_01.tif </t>
  </si>
  <si>
    <t xml:space="preserve">C:\Users\cbarrier\Desktop\BPA\BPA\20201117_Cefas_Test6-Run2/Plate 3/@18/A9_02.tif </t>
  </si>
  <si>
    <t xml:space="preserve">C:\Users\cbarrier\Desktop\BPA\BPA\20201117_Cefas_Test6-Run2/Plate 3/@18/B9_01.tif </t>
  </si>
  <si>
    <t xml:space="preserve">C:\Users\cbarrier\Desktop\BPA\BPA\20201117_Cefas_Test6-Run2/Plate 3/@18/B9_02.tif </t>
  </si>
  <si>
    <t xml:space="preserve">C:\Users\cbarrier\Desktop\BPA\BPA\20201117_Cefas_Test6-Run2/Plate 3/@18/C9_01.tif </t>
  </si>
  <si>
    <t xml:space="preserve">C:\Users\cbarrier\Desktop\BPA\BPA\20201117_Cefas_Test6-Run2/Plate 3/@18/C9_02.tif </t>
  </si>
  <si>
    <t xml:space="preserve">C:\Users\cbarrier\Desktop\BPA\BPA\20201117_Cefas_Test6-Run2/Plate 3/@18/D9_01.tif </t>
  </si>
  <si>
    <t xml:space="preserve">C:\Users\cbarrier\Desktop\BPA\BPA\20201117_Cefas_Test6-Run2/Plate 3/@18/D9_02.tif </t>
  </si>
  <si>
    <t xml:space="preserve">C:\Users\cbarrier\Desktop\BPA\BPA\20201117_Cefas_Test6-Run2/Plate 3/@18/E9_01.tif </t>
  </si>
  <si>
    <t xml:space="preserve">C:\Users\cbarrier\Desktop\BPA\BPA\20201117_Cefas_Test6-Run2/Plate 3/@18/E9_02.tif </t>
  </si>
  <si>
    <t xml:space="preserve">C:\Users\cbarrier\Desktop\BPA\BPA\20201117_Cefas_Test6-Run2/Plate 3/@18/F9_01.tif </t>
  </si>
  <si>
    <t xml:space="preserve">C:\Users\cbarrier\Desktop\BPA\BPA\20201117_Cefas_Test6-Run2/Plate 3/@18/F9_02.tif </t>
  </si>
  <si>
    <t xml:space="preserve">C:\Users\cbarrier\Desktop\BPA\BPA\20201117_Cefas_Test6-Run2/Plate 3/@18/G9_01.tif </t>
  </si>
  <si>
    <t xml:space="preserve">C:\Users\cbarrier\Desktop\BPA\BPA\20201117_Cefas_Test6-Run2/Plate 3/@18/G9_02.tif </t>
  </si>
  <si>
    <t xml:space="preserve">C:\Users\cbarrier\Desktop\BPA\BPA\20201117_Cefas_Test6-Run2/Plate 3/@18/H9_01.tif </t>
  </si>
  <si>
    <t xml:space="preserve">C:\Users\cbarrier\Desktop\BPA\BPA\20201117_Cefas_Test6-Run2/Plate 3/@18/H9_02.tif </t>
  </si>
  <si>
    <t xml:space="preserve">C:\Users\cbarrier\Desktop\BPA\BPA\20201117_Cefas_Test6-Run2/Plate 3/@18/ </t>
  </si>
  <si>
    <t xml:space="preserve">C:\Users\cbarrier\Desktop\BPA\BPA\20201117_Cefas_Test6-Run2/Plate 3/@19/A10_01.tif </t>
  </si>
  <si>
    <t xml:space="preserve">C:\Users\cbarrier\Desktop\BPA\BPA\20201117_Cefas_Test6-Run2/Plate 3/@19/A10_02.tif </t>
  </si>
  <si>
    <t xml:space="preserve">C:\Users\cbarrier\Desktop\BPA\BPA\20201117_Cefas_Test6-Run2/Plate 3/@19/B10_01.tif </t>
  </si>
  <si>
    <t xml:space="preserve">C:\Users\cbarrier\Desktop\BPA\BPA\20201117_Cefas_Test6-Run2/Plate 3/@19/B10_02.tif </t>
  </si>
  <si>
    <t xml:space="preserve">C:\Users\cbarrier\Desktop\BPA\BPA\20201117_Cefas_Test6-Run2/Plate 3/@19/C10_01.tif </t>
  </si>
  <si>
    <t xml:space="preserve">C:\Users\cbarrier\Desktop\BPA\BPA\20201117_Cefas_Test6-Run2/Plate 3/@19/C10_02.tif </t>
  </si>
  <si>
    <t xml:space="preserve">C:\Users\cbarrier\Desktop\BPA\BPA\20201117_Cefas_Test6-Run2/Plate 3/@19/D10_01.tif </t>
  </si>
  <si>
    <t xml:space="preserve">C:\Users\cbarrier\Desktop\BPA\BPA\20201117_Cefas_Test6-Run2/Plate 3/@19/D10_02.tif </t>
  </si>
  <si>
    <t xml:space="preserve">C:\Users\cbarrier\Desktop\BPA\BPA\20201117_Cefas_Test6-Run2/Plate 3/@19/E10_01.tif </t>
  </si>
  <si>
    <t xml:space="preserve">C:\Users\cbarrier\Desktop\BPA\BPA\20201117_Cefas_Test6-Run2/Plate 3/@19/E10_02.tif </t>
  </si>
  <si>
    <t xml:space="preserve">C:\Users\cbarrier\Desktop\BPA\BPA\20201117_Cefas_Test6-Run2/Plate 3/@19/F10_01.tif </t>
  </si>
  <si>
    <t xml:space="preserve">C:\Users\cbarrier\Desktop\BPA\BPA\20201117_Cefas_Test6-Run2/Plate 3/@19/F10_02.tif </t>
  </si>
  <si>
    <t xml:space="preserve">C:\Users\cbarrier\Desktop\BPA\BPA\20201117_Cefas_Test6-Run2/Plate 3/@19/G10_01.tif </t>
  </si>
  <si>
    <t xml:space="preserve">C:\Users\cbarrier\Desktop\BPA\BPA\20201117_Cefas_Test6-Run2/Plate 3/@19/G10_02.tif </t>
  </si>
  <si>
    <t xml:space="preserve">C:\Users\cbarrier\Desktop\BPA\BPA\20201117_Cefas_Test6-Run2/Plate 3/@19/H10_01.tif </t>
  </si>
  <si>
    <t xml:space="preserve">C:\Users\cbarrier\Desktop\BPA\BPA\20201117_Cefas_Test6-Run2/Plate 3/@19/H10_02.tif </t>
  </si>
  <si>
    <t xml:space="preserve">C:\Users\cbarrier\Desktop\BPA\BPA\20201117_Cefas_Test6-Run2/Plate 3/@19/ </t>
  </si>
  <si>
    <t xml:space="preserve">C:\Users\cbarrier\Desktop\BPA\BPA\20201117_Cefas_Test6-Run2/Plate 3/@20/A11_01.tif </t>
  </si>
  <si>
    <t xml:space="preserve">C:\Users\cbarrier\Desktop\BPA\BPA\20201117_Cefas_Test6-Run2/Plate 3/@20/A11_02.tif </t>
  </si>
  <si>
    <t>C:\Users\cbarrier\Desktop\BPA\BPA\20201117_Cefas_Test6-Run2/Plate 3/@20/B11_01- exclu.tif</t>
  </si>
  <si>
    <t>C:\Users\cbarrier\Desktop\BPA\BPA\20201117_Cefas_Test6-Run2/Plate 3/@20/B11_02- exclu.tif</t>
  </si>
  <si>
    <t xml:space="preserve">C:\Users\cbarrier\Desktop\BPA\BPA\20201117_Cefas_Test6-Run2/Plate 3/@20/C11_01.tif </t>
  </si>
  <si>
    <t xml:space="preserve">C:\Users\cbarrier\Desktop\BPA\BPA\20201117_Cefas_Test6-Run2/Plate 3/@20/C11_02.tif </t>
  </si>
  <si>
    <t xml:space="preserve">C:\Users\cbarrier\Desktop\BPA\BPA\20201117_Cefas_Test6-Run2/Plate 3/@20/D11_01.tif </t>
  </si>
  <si>
    <t xml:space="preserve">C:\Users\cbarrier\Desktop\BPA\BPA\20201117_Cefas_Test6-Run2/Plate 3/@20/D11_02.tif </t>
  </si>
  <si>
    <t xml:space="preserve">C:\Users\cbarrier\Desktop\BPA\BPA\20201117_Cefas_Test6-Run2/Plate 3/@20/E11_01.tif </t>
  </si>
  <si>
    <t xml:space="preserve">C:\Users\cbarrier\Desktop\BPA\BPA\20201117_Cefas_Test6-Run2/Plate 3/@20/E11_02.tif </t>
  </si>
  <si>
    <t xml:space="preserve">C:\Users\cbarrier\Desktop\BPA\BPA\20201117_Cefas_Test6-Run2/Plate 3/@20/F11_01.tif </t>
  </si>
  <si>
    <t xml:space="preserve">C:\Users\cbarrier\Desktop\BPA\BPA\20201117_Cefas_Test6-Run2/Plate 3/@20/F11_02.tif </t>
  </si>
  <si>
    <t xml:space="preserve">C:\Users\cbarrier\Desktop\BPA\BPA\20201117_Cefas_Test6-Run2/Plate 3/@20/G11_01.tif </t>
  </si>
  <si>
    <t xml:space="preserve">C:\Users\cbarrier\Desktop\BPA\BPA\20201117_Cefas_Test6-Run2/Plate 3/@20/G11_02.tif </t>
  </si>
  <si>
    <t xml:space="preserve">C:\Users\cbarrier\Desktop\BPA\BPA\20201117_Cefas_Test6-Run2/Plate 3/@20/H11_01.tif </t>
  </si>
  <si>
    <t xml:space="preserve">C:\Users\cbarrier\Desktop\BPA\BPA\20201117_Cefas_Test6-Run2/Plate 3/@20/H11_02.tif </t>
  </si>
  <si>
    <t xml:space="preserve">C:\Users\cbarrier\Desktop\BPA\BPA\20201117_Cefas_Test6-Run2/Plate 3/@20/ </t>
  </si>
  <si>
    <t xml:space="preserve">C:\Users\cbarrier\Desktop\BPA\BPA\20201117_Cefas_Test6-Run2/Plate 3/@21/A12_01.tif </t>
  </si>
  <si>
    <t xml:space="preserve">C:\Users\cbarrier\Desktop\BPA\BPA\20201117_Cefas_Test6-Run2/Plate 3/@21/A12_02.tif </t>
  </si>
  <si>
    <t xml:space="preserve">C:\Users\cbarrier\Desktop\BPA\BPA\20201117_Cefas_Test6-Run2/Plate 3/@21/B12_01.tif </t>
  </si>
  <si>
    <t xml:space="preserve">C:\Users\cbarrier\Desktop\BPA\BPA\20201117_Cefas_Test6-Run2/Plate 3/@21/B12_02.tif </t>
  </si>
  <si>
    <t xml:space="preserve">C:\Users\cbarrier\Desktop\BPA\BPA\20201117_Cefas_Test6-Run2/Plate 3/@21/C12_01.tif </t>
  </si>
  <si>
    <t xml:space="preserve">C:\Users\cbarrier\Desktop\BPA\BPA\20201117_Cefas_Test6-Run2/Plate 3/@21/C12_02.tif </t>
  </si>
  <si>
    <t xml:space="preserve">C:\Users\cbarrier\Desktop\BPA\BPA\20201117_Cefas_Test6-Run2/Plate 3/@21/D12_01.tif </t>
  </si>
  <si>
    <t xml:space="preserve">C:\Users\cbarrier\Desktop\BPA\BPA\20201117_Cefas_Test6-Run2/Plate 3/@21/D12_02.tif </t>
  </si>
  <si>
    <t xml:space="preserve">C:\Users\cbarrier\Desktop\BPA\BPA\20201117_Cefas_Test6-Run2/Plate 3/@21/E12_01.tif </t>
  </si>
  <si>
    <t>C:\Users\cbarrier\Desktop\BPA\BPA\20201117_Cefas_Test6-Run2/Plate 3/@21/E12_02- exclu.tif</t>
  </si>
  <si>
    <t xml:space="preserve">C:\Users\cbarrier\Desktop\BPA\BPA\20201117_Cefas_Test6-Run2/Plate 3/@21/F12_01.tif </t>
  </si>
  <si>
    <t xml:space="preserve">C:\Users\cbarrier\Desktop\BPA\BPA\20201117_Cefas_Test6-Run2/Plate 3/@21/F12_02.tif </t>
  </si>
  <si>
    <t xml:space="preserve">C:\Users\cbarrier\Desktop\BPA\BPA\20201117_Cefas_Test6-Run2/Plate 3/@21/G12_01.tif </t>
  </si>
  <si>
    <t xml:space="preserve">C:\Users\cbarrier\Desktop\BPA\BPA\20201117_Cefas_Test6-Run2/Plate 3/@21/G12_02.tif </t>
  </si>
  <si>
    <t xml:space="preserve">C:\Users\cbarrier\Desktop\BPA\BPA\20201117_Cefas_Test6-Run2/Plate 3/@21/H12_01.tif </t>
  </si>
  <si>
    <t xml:space="preserve">C:\Users\cbarrier\Desktop\BPA\BPA\20201117_Cefas_Test6-Run2/Plate 3/@21/H12_02.tif </t>
  </si>
  <si>
    <t xml:space="preserve">C:\Users\cbarrier\Desktop\BPA\BPA\20201117_Cefas_Test6-Run2/Plate 3/@21/ </t>
  </si>
  <si>
    <t xml:space="preserve">C:\Users\cbarrier\Desktop\BPA\BPA\20201117_Cefas_Test6-Run2/Plate 3/@8/A2_01.tif </t>
  </si>
  <si>
    <t xml:space="preserve">C:\Users\cbarrier\Desktop\BPA\BPA\20201117_Cefas_Test6-Run2/Plate 3/@8/A2_02.tif </t>
  </si>
  <si>
    <t xml:space="preserve">C:\Users\cbarrier\Desktop\BPA\BPA\20201117_Cefas_Test6-Run2/Plate 3/@8/B2_01.tif </t>
  </si>
  <si>
    <t xml:space="preserve">C:\Users\cbarrier\Desktop\BPA\BPA\20201117_Cefas_Test6-Run2/Plate 3/@8/B2_02.tif </t>
  </si>
  <si>
    <t xml:space="preserve">C:\Users\cbarrier\Desktop\BPA\BPA\20201117_Cefas_Test6-Run2/Plate 3/@8/C2_01.tif </t>
  </si>
  <si>
    <t xml:space="preserve">C:\Users\cbarrier\Desktop\BPA\BPA\20201117_Cefas_Test6-Run2/Plate 3/@8/C2_02.tif </t>
  </si>
  <si>
    <t xml:space="preserve">C:\Users\cbarrier\Desktop\BPA\BPA\20201117_Cefas_Test6-Run2/Plate 3/@8/D2_01.tif </t>
  </si>
  <si>
    <t xml:space="preserve">C:\Users\cbarrier\Desktop\BPA\BPA\20201117_Cefas_Test6-Run2/Plate 3/@8/D2_02.tif </t>
  </si>
  <si>
    <t xml:space="preserve">C:\Users\cbarrier\Desktop\BPA\BPA\20201117_Cefas_Test6-Run2/Plate 3/@8/E2_01.tif </t>
  </si>
  <si>
    <t xml:space="preserve">C:\Users\cbarrier\Desktop\BPA\BPA\20201117_Cefas_Test6-Run2/Plate 3/@8/E2_02.tif </t>
  </si>
  <si>
    <t xml:space="preserve">C:\Users\cbarrier\Desktop\BPA\BPA\20201117_Cefas_Test6-Run2/Plate 3/@8/F2_01.tif </t>
  </si>
  <si>
    <t xml:space="preserve">C:\Users\cbarrier\Desktop\BPA\BPA\20201117_Cefas_Test6-Run2/Plate 3/@8/F2_02.tif </t>
  </si>
  <si>
    <t xml:space="preserve">C:\Users\cbarrier\Desktop\BPA\BPA\20201117_Cefas_Test6-Run2/Plate 3/@8/G2_01.tif </t>
  </si>
  <si>
    <t xml:space="preserve">C:\Users\cbarrier\Desktop\BPA\BPA\20201117_Cefas_Test6-Run2/Plate 3/@8/G2_02.tif </t>
  </si>
  <si>
    <t xml:space="preserve">C:\Users\cbarrier\Desktop\BPA\BPA\20201117_Cefas_Test6-Run2/Plate 3/@8/H2_01.tif </t>
  </si>
  <si>
    <t xml:space="preserve">C:\Users\cbarrier\Desktop\BPA\BPA\20201117_Cefas_Test6-Run2/Plate 3/@8/H2_02.tif </t>
  </si>
  <si>
    <t xml:space="preserve">C:\Users\cbarrier\Desktop\BPA\BPA\20201117_Cefas_Test6-Run2/Plate 3/@8/ </t>
  </si>
  <si>
    <t xml:space="preserve">C:\Users\cbarrier\Desktop\BPA\BPA\20201117_Cefas_Test6-Run2/Plate 3/@9/A3_01.tif </t>
  </si>
  <si>
    <t xml:space="preserve">C:\Users\cbarrier\Desktop\BPA\BPA\20201117_Cefas_Test6-Run2/Plate 3/@9/A3_02.tif </t>
  </si>
  <si>
    <t xml:space="preserve">C:\Users\cbarrier\Desktop\BPA\BPA\20201117_Cefas_Test6-Run2/Plate 3/@9/B3_01.tif </t>
  </si>
  <si>
    <t xml:space="preserve">C:\Users\cbarrier\Desktop\BPA\BPA\20201117_Cefas_Test6-Run2/Plate 3/@9/B3_02.tif </t>
  </si>
  <si>
    <t xml:space="preserve">C:\Users\cbarrier\Desktop\BPA\BPA\20201117_Cefas_Test6-Run2/Plate 3/@9/C3_01.tif </t>
  </si>
  <si>
    <t xml:space="preserve">C:\Users\cbarrier\Desktop\BPA\BPA\20201117_Cefas_Test6-Run2/Plate 3/@9/C3_02.tif </t>
  </si>
  <si>
    <t xml:space="preserve">C:\Users\cbarrier\Desktop\BPA\BPA\20201117_Cefas_Test6-Run2/Plate 3/@9/D3_01.tif </t>
  </si>
  <si>
    <t xml:space="preserve">C:\Users\cbarrier\Desktop\BPA\BPA\20201117_Cefas_Test6-Run2/Plate 3/@9/D3_02.tif </t>
  </si>
  <si>
    <t xml:space="preserve">C:\Users\cbarrier\Desktop\BPA\BPA\20201117_Cefas_Test6-Run2/Plate 3/@9/E3_01.tif </t>
  </si>
  <si>
    <t xml:space="preserve">C:\Users\cbarrier\Desktop\BPA\BPA\20201117_Cefas_Test6-Run2/Plate 3/@9/E3_02.tif </t>
  </si>
  <si>
    <t xml:space="preserve">C:\Users\cbarrier\Desktop\BPA\BPA\20201117_Cefas_Test6-Run2/Plate 3/@9/F3_01.tif </t>
  </si>
  <si>
    <t xml:space="preserve">C:\Users\cbarrier\Desktop\BPA\BPA\20201117_Cefas_Test6-Run2/Plate 3/@9/F3_02.tif </t>
  </si>
  <si>
    <t xml:space="preserve">C:\Users\cbarrier\Desktop\BPA\BPA\20201117_Cefas_Test6-Run2/Plate 3/@9/G3_01.tif </t>
  </si>
  <si>
    <t xml:space="preserve">C:\Users\cbarrier\Desktop\BPA\BPA\20201117_Cefas_Test6-Run2/Plate 3/@9/G3_02.tif </t>
  </si>
  <si>
    <t xml:space="preserve">C:\Users\cbarrier\Desktop\BPA\BPA\20201117_Cefas_Test6-Run2/Plate 3/@9/H3_01.tif </t>
  </si>
  <si>
    <t xml:space="preserve">C:\Users\cbarrier\Desktop\BPA\BPA\20201117_Cefas_Test6-Run2/Plate 3/@9/H3_02.tif </t>
  </si>
  <si>
    <t xml:space="preserve">C:\Users\cbarrier\Desktop\BPA\BPA\20201117_Cefas_Test6-Run2/Plate 3/@9/ </t>
  </si>
  <si>
    <t xml:space="preserve">C:\Users\cbarrier\Desktop\BPA\BPA\20201118_Cefas_Test6-Run3/Plate 1/@1/A10_01.tif </t>
  </si>
  <si>
    <t xml:space="preserve">C:\Users\cbarrier\Desktop\BPA\BPA\20201118_Cefas_Test6-Run3/Plate 1/@1/A10_02.tif </t>
  </si>
  <si>
    <t xml:space="preserve">C:\Users\cbarrier\Desktop\BPA\BPA\20201118_Cefas_Test6-Run3/Plate 1/@1/A10_03.tif </t>
  </si>
  <si>
    <t xml:space="preserve">C:\Users\cbarrier\Desktop\BPA\BPA\20201118_Cefas_Test6-Run3/Plate 1/@1/B10_01.tif </t>
  </si>
  <si>
    <t xml:space="preserve">C:\Users\cbarrier\Desktop\BPA\BPA\20201118_Cefas_Test6-Run3/Plate 1/@1/B10_02.tif </t>
  </si>
  <si>
    <t xml:space="preserve">C:\Users\cbarrier\Desktop\BPA\BPA\20201118_Cefas_Test6-Run3/Plate 1/@1/B10_03.tif </t>
  </si>
  <si>
    <t xml:space="preserve">C:\Users\cbarrier\Desktop\BPA\BPA\20201118_Cefas_Test6-Run3/Plate 1/@1/C10_01.tif </t>
  </si>
  <si>
    <t>C:\Users\cbarrier\Desktop\BPA\BPA\20201118_Cefas_Test6-Run3/Plate 1/@1/C10_02- exclu.tif</t>
  </si>
  <si>
    <t xml:space="preserve">C:\Users\cbarrier\Desktop\BPA\BPA\20201118_Cefas_Test6-Run3/Plate 1/@1/C10_03.tif </t>
  </si>
  <si>
    <t>C:\Users\cbarrier\Desktop\BPA\BPA\20201118_Cefas_Test6-Run3/Plate 1/@1/D10_01- exclu.tif</t>
  </si>
  <si>
    <t>C:\Users\cbarrier\Desktop\BPA\BPA\20201118_Cefas_Test6-Run3/Plate 1/@1/D10_02- exclu.tif</t>
  </si>
  <si>
    <t>C:\Users\cbarrier\Desktop\BPA\BPA\20201118_Cefas_Test6-Run3/Plate 1/@1/D10_03- exclu.tif</t>
  </si>
  <si>
    <t xml:space="preserve">C:\Users\cbarrier\Desktop\BPA\BPA\20201118_Cefas_Test6-Run3/Plate 1/@1/E10_01.tif </t>
  </si>
  <si>
    <t xml:space="preserve">C:\Users\cbarrier\Desktop\BPA\BPA\20201118_Cefas_Test6-Run3/Plate 1/@1/E10_02.tif </t>
  </si>
  <si>
    <t xml:space="preserve">C:\Users\cbarrier\Desktop\BPA\BPA\20201118_Cefas_Test6-Run3/Plate 1/@1/E10_03.tif </t>
  </si>
  <si>
    <t xml:space="preserve">C:\Users\cbarrier\Desktop\BPA\BPA\20201118_Cefas_Test6-Run3/Plate 1/@1/F10_01.tif </t>
  </si>
  <si>
    <t>C:\Users\cbarrier\Desktop\BPA\BPA\20201118_Cefas_Test6-Run3/Plate 1/@1/F10_02- exclu.tif</t>
  </si>
  <si>
    <t xml:space="preserve">C:\Users\cbarrier\Desktop\BPA\BPA\20201118_Cefas_Test6-Run3/Plate 1/@1/F10_03.tif </t>
  </si>
  <si>
    <t xml:space="preserve">C:\Users\cbarrier\Desktop\BPA\BPA\20201118_Cefas_Test6-Run3/Plate 1/@1/G10_01.tif </t>
  </si>
  <si>
    <t xml:space="preserve">C:\Users\cbarrier\Desktop\BPA\BPA\20201118_Cefas_Test6-Run3/Plate 1/@1/G10_02.tif </t>
  </si>
  <si>
    <t xml:space="preserve">C:\Users\cbarrier\Desktop\BPA\BPA\20201118_Cefas_Test6-Run3/Plate 1/@1/G10_03.tif </t>
  </si>
  <si>
    <t xml:space="preserve">C:\Users\cbarrier\Desktop\BPA\BPA\20201118_Cefas_Test6-Run3/Plate 1/@1/H10_01.tif </t>
  </si>
  <si>
    <t xml:space="preserve">C:\Users\cbarrier\Desktop\BPA\BPA\20201118_Cefas_Test6-Run3/Plate 1/@1/H10_02.tif </t>
  </si>
  <si>
    <t xml:space="preserve">C:\Users\cbarrier\Desktop\BPA\BPA\20201118_Cefas_Test6-Run3/Plate 1/@1/H10_03.tif </t>
  </si>
  <si>
    <t xml:space="preserve">C:\Users\cbarrier\Desktop\BPA\BPA\20201118_Cefas_Test6-Run3/Plate 1/@1/ </t>
  </si>
  <si>
    <t xml:space="preserve">C:\Users\cbarrier\Desktop\BPA\BPA\20201118_Cefas_Test6-Run3/Plate 1/@13/A8_01.tif </t>
  </si>
  <si>
    <t xml:space="preserve">C:\Users\cbarrier\Desktop\BPA\BPA\20201118_Cefas_Test6-Run3/Plate 1/@13/A8_02.tif </t>
  </si>
  <si>
    <t xml:space="preserve">C:\Users\cbarrier\Desktop\BPA\BPA\20201118_Cefas_Test6-Run3/Plate 1/@13/A8_03.tif </t>
  </si>
  <si>
    <t xml:space="preserve">C:\Users\cbarrier\Desktop\BPA\BPA\20201118_Cefas_Test6-Run3/Plate 1/@13/B8_01.tif </t>
  </si>
  <si>
    <t>C:\Users\cbarrier\Desktop\BPA\BPA\20201118_Cefas_Test6-Run3/Plate 1/@13/B8_02- exclu.tif</t>
  </si>
  <si>
    <t xml:space="preserve">C:\Users\cbarrier\Desktop\BPA\BPA\20201118_Cefas_Test6-Run3/Plate 1/@13/B8_03.tif </t>
  </si>
  <si>
    <t xml:space="preserve">C:\Users\cbarrier\Desktop\BPA\BPA\20201118_Cefas_Test6-Run3/Plate 1/@13/C8_01.tif </t>
  </si>
  <si>
    <t xml:space="preserve">C:\Users\cbarrier\Desktop\BPA\BPA\20201118_Cefas_Test6-Run3/Plate 1/@13/C8_02.tif </t>
  </si>
  <si>
    <t xml:space="preserve">C:\Users\cbarrier\Desktop\BPA\BPA\20201118_Cefas_Test6-Run3/Plate 1/@13/C8_03.tif </t>
  </si>
  <si>
    <t xml:space="preserve">C:\Users\cbarrier\Desktop\BPA\BPA\20201118_Cefas_Test6-Run3/Plate 1/@13/D8_01.tif </t>
  </si>
  <si>
    <t xml:space="preserve">C:\Users\cbarrier\Desktop\BPA\BPA\20201118_Cefas_Test6-Run3/Plate 1/@13/D8_02.tif </t>
  </si>
  <si>
    <t xml:space="preserve">C:\Users\cbarrier\Desktop\BPA\BPA\20201118_Cefas_Test6-Run3/Plate 1/@13/D8_03.tif </t>
  </si>
  <si>
    <t xml:space="preserve">C:\Users\cbarrier\Desktop\BPA\BPA\20201118_Cefas_Test6-Run3/Plate 1/@13/E8_01.tif </t>
  </si>
  <si>
    <t xml:space="preserve">C:\Users\cbarrier\Desktop\BPA\BPA\20201118_Cefas_Test6-Run3/Plate 1/@13/E8_02.tif </t>
  </si>
  <si>
    <t xml:space="preserve">C:\Users\cbarrier\Desktop\BPA\BPA\20201118_Cefas_Test6-Run3/Plate 1/@13/E8_03.tif </t>
  </si>
  <si>
    <t xml:space="preserve">C:\Users\cbarrier\Desktop\BPA\BPA\20201118_Cefas_Test6-Run3/Plate 1/@13/F8_01.tif </t>
  </si>
  <si>
    <t xml:space="preserve">C:\Users\cbarrier\Desktop\BPA\BPA\20201118_Cefas_Test6-Run3/Plate 1/@13/F8_02.tif </t>
  </si>
  <si>
    <t xml:space="preserve">C:\Users\cbarrier\Desktop\BPA\BPA\20201118_Cefas_Test6-Run3/Plate 1/@13/F8_03.tif </t>
  </si>
  <si>
    <t xml:space="preserve">C:\Users\cbarrier\Desktop\BPA\BPA\20201118_Cefas_Test6-Run3/Plate 1/@13/G8_01.tif </t>
  </si>
  <si>
    <t xml:space="preserve">C:\Users\cbarrier\Desktop\BPA\BPA\20201118_Cefas_Test6-Run3/Plate 1/@13/G8_02.tif </t>
  </si>
  <si>
    <t xml:space="preserve">C:\Users\cbarrier\Desktop\BPA\BPA\20201118_Cefas_Test6-Run3/Plate 1/@13/G8_03.tif </t>
  </si>
  <si>
    <t xml:space="preserve">C:\Users\cbarrier\Desktop\BPA\BPA\20201118_Cefas_Test6-Run3/Plate 1/@13/H8_01.tif </t>
  </si>
  <si>
    <t xml:space="preserve">C:\Users\cbarrier\Desktop\BPA\BPA\20201118_Cefas_Test6-Run3/Plate 1/@13/H8_02.tif </t>
  </si>
  <si>
    <t xml:space="preserve">C:\Users\cbarrier\Desktop\BPA\BPA\20201118_Cefas_Test6-Run3/Plate 1/@13/H8_03.tif </t>
  </si>
  <si>
    <t xml:space="preserve">C:\Users\cbarrier\Desktop\BPA\BPA\20201118_Cefas_Test6-Run3/Plate 1/@13/ </t>
  </si>
  <si>
    <t xml:space="preserve">C:\Users\cbarrier\Desktop\BPA\BPA\20201118_Cefas_Test6-Run3/Plate 1/@14/A9_01.tif </t>
  </si>
  <si>
    <t xml:space="preserve">C:\Users\cbarrier\Desktop\BPA\BPA\20201118_Cefas_Test6-Run3/Plate 1/@14/A9_02.tif </t>
  </si>
  <si>
    <t xml:space="preserve">C:\Users\cbarrier\Desktop\BPA\BPA\20201118_Cefas_Test6-Run3/Plate 1/@14/A9_03.tif </t>
  </si>
  <si>
    <t xml:space="preserve">C:\Users\cbarrier\Desktop\BPA\BPA\20201118_Cefas_Test6-Run3/Plate 1/@14/B9_01.tif </t>
  </si>
  <si>
    <t xml:space="preserve">C:\Users\cbarrier\Desktop\BPA\BPA\20201118_Cefas_Test6-Run3/Plate 1/@14/B9_02.tif </t>
  </si>
  <si>
    <t xml:space="preserve">C:\Users\cbarrier\Desktop\BPA\BPA\20201118_Cefas_Test6-Run3/Plate 1/@14/B9_03.tif </t>
  </si>
  <si>
    <t xml:space="preserve">C:\Users\cbarrier\Desktop\BPA\BPA\20201118_Cefas_Test6-Run3/Plate 1/@14/C9_01.tif </t>
  </si>
  <si>
    <t xml:space="preserve">C:\Users\cbarrier\Desktop\BPA\BPA\20201118_Cefas_Test6-Run3/Plate 1/@14/C9_02.tif </t>
  </si>
  <si>
    <t xml:space="preserve">C:\Users\cbarrier\Desktop\BPA\BPA\20201118_Cefas_Test6-Run3/Plate 1/@14/C9_03.tif </t>
  </si>
  <si>
    <t>C:\Users\cbarrier\Desktop\BPA\BPA\20201118_Cefas_Test6-Run3/Plate 1/@14/D9_01- exclu.tif</t>
  </si>
  <si>
    <t xml:space="preserve">C:\Users\cbarrier\Desktop\BPA\BPA\20201118_Cefas_Test6-Run3/Plate 1/@14/D9_02.tif </t>
  </si>
  <si>
    <t xml:space="preserve">C:\Users\cbarrier\Desktop\BPA\BPA\20201118_Cefas_Test6-Run3/Plate 1/@14/D9_03.tif </t>
  </si>
  <si>
    <t xml:space="preserve">C:\Users\cbarrier\Desktop\BPA\BPA\20201118_Cefas_Test6-Run3/Plate 1/@14/E9_01.tif </t>
  </si>
  <si>
    <t xml:space="preserve">C:\Users\cbarrier\Desktop\BPA\BPA\20201118_Cefas_Test6-Run3/Plate 1/@14/E9_02.tif </t>
  </si>
  <si>
    <t xml:space="preserve">C:\Users\cbarrier\Desktop\BPA\BPA\20201118_Cefas_Test6-Run3/Plate 1/@14/E9_03.tif </t>
  </si>
  <si>
    <t xml:space="preserve">C:\Users\cbarrier\Desktop\BPA\BPA\20201118_Cefas_Test6-Run3/Plate 1/@14/F9_01.tif </t>
  </si>
  <si>
    <t xml:space="preserve">C:\Users\cbarrier\Desktop\BPA\BPA\20201118_Cefas_Test6-Run3/Plate 1/@14/F9_02.tif </t>
  </si>
  <si>
    <t xml:space="preserve">C:\Users\cbarrier\Desktop\BPA\BPA\20201118_Cefas_Test6-Run3/Plate 1/@14/F9_03.tif </t>
  </si>
  <si>
    <t xml:space="preserve">C:\Users\cbarrier\Desktop\BPA\BPA\20201118_Cefas_Test6-Run3/Plate 1/@14/G9_01.tif </t>
  </si>
  <si>
    <t xml:space="preserve">C:\Users\cbarrier\Desktop\BPA\BPA\20201118_Cefas_Test6-Run3/Plate 1/@14/G9_02.tif </t>
  </si>
  <si>
    <t xml:space="preserve">C:\Users\cbarrier\Desktop\BPA\BPA\20201118_Cefas_Test6-Run3/Plate 1/@14/G9_03.tif </t>
  </si>
  <si>
    <t xml:space="preserve">C:\Users\cbarrier\Desktop\BPA\BPA\20201118_Cefas_Test6-Run3/Plate 1/@14/H9_01.tif </t>
  </si>
  <si>
    <t xml:space="preserve">C:\Users\cbarrier\Desktop\BPA\BPA\20201118_Cefas_Test6-Run3/Plate 1/@14/H9_02.tif </t>
  </si>
  <si>
    <t xml:space="preserve">C:\Users\cbarrier\Desktop\BPA\BPA\20201118_Cefas_Test6-Run3/Plate 1/@14/H9_03.tif </t>
  </si>
  <si>
    <t xml:space="preserve">C:\Users\cbarrier\Desktop\BPA\BPA\20201118_Cefas_Test6-Run3/Plate 1/@14/ </t>
  </si>
  <si>
    <t xml:space="preserve">C:\Users\cbarrier\Desktop\BPA\BPA\20201118_Cefas_Test6-Run3/Plate 1/@15/A11_01.tif </t>
  </si>
  <si>
    <t xml:space="preserve">C:\Users\cbarrier\Desktop\BPA\BPA\20201118_Cefas_Test6-Run3/Plate 1/@15/A11_02.tif </t>
  </si>
  <si>
    <t xml:space="preserve">C:\Users\cbarrier\Desktop\BPA\BPA\20201118_Cefas_Test6-Run3/Plate 1/@15/A11_03.tif </t>
  </si>
  <si>
    <t xml:space="preserve">C:\Users\cbarrier\Desktop\BPA\BPA\20201118_Cefas_Test6-Run3/Plate 1/@15/B11_01.tif </t>
  </si>
  <si>
    <t xml:space="preserve">C:\Users\cbarrier\Desktop\BPA\BPA\20201118_Cefas_Test6-Run3/Plate 1/@15/B11_02.tif </t>
  </si>
  <si>
    <t xml:space="preserve">C:\Users\cbarrier\Desktop\BPA\BPA\20201118_Cefas_Test6-Run3/Plate 1/@15/B11_03.tif </t>
  </si>
  <si>
    <t xml:space="preserve">C:\Users\cbarrier\Desktop\BPA\BPA\20201118_Cefas_Test6-Run3/Plate 1/@15/C11_01.tif </t>
  </si>
  <si>
    <t xml:space="preserve">C:\Users\cbarrier\Desktop\BPA\BPA\20201118_Cefas_Test6-Run3/Plate 1/@15/C11_02.tif </t>
  </si>
  <si>
    <t xml:space="preserve">C:\Users\cbarrier\Desktop\BPA\BPA\20201118_Cefas_Test6-Run3/Plate 1/@15/C11_03.tif </t>
  </si>
  <si>
    <t xml:space="preserve">C:\Users\cbarrier\Desktop\BPA\BPA\20201118_Cefas_Test6-Run3/Plate 1/@15/D11_01.tif </t>
  </si>
  <si>
    <t xml:space="preserve">C:\Users\cbarrier\Desktop\BPA\BPA\20201118_Cefas_Test6-Run3/Plate 1/@15/D11_02.tif </t>
  </si>
  <si>
    <t xml:space="preserve">C:\Users\cbarrier\Desktop\BPA\BPA\20201118_Cefas_Test6-Run3/Plate 1/@15/D11_03.tif </t>
  </si>
  <si>
    <t xml:space="preserve">C:\Users\cbarrier\Desktop\BPA\BPA\20201118_Cefas_Test6-Run3/Plate 1/@15/E11_01.tif </t>
  </si>
  <si>
    <t>C:\Users\cbarrier\Desktop\BPA\BPA\20201118_Cefas_Test6-Run3/Plate 1/@15/E11_02- exclu.tif</t>
  </si>
  <si>
    <t>C:\Users\cbarrier\Desktop\BPA\BPA\20201118_Cefas_Test6-Run3/Plate 1/@15/E11_03- exclu.tif</t>
  </si>
  <si>
    <t xml:space="preserve">C:\Users\cbarrier\Desktop\BPA\BPA\20201118_Cefas_Test6-Run3/Plate 1/@15/F11_01.tif </t>
  </si>
  <si>
    <t xml:space="preserve">C:\Users\cbarrier\Desktop\BPA\BPA\20201118_Cefas_Test6-Run3/Plate 1/@15/F11_02.tif </t>
  </si>
  <si>
    <t xml:space="preserve">C:\Users\cbarrier\Desktop\BPA\BPA\20201118_Cefas_Test6-Run3/Plate 1/@15/F11_03.tif </t>
  </si>
  <si>
    <t xml:space="preserve">C:\Users\cbarrier\Desktop\BPA\BPA\20201118_Cefas_Test6-Run3/Plate 1/@15/G11_01.tif </t>
  </si>
  <si>
    <t xml:space="preserve">C:\Users\cbarrier\Desktop\BPA\BPA\20201118_Cefas_Test6-Run3/Plate 1/@15/G11_02.tif </t>
  </si>
  <si>
    <t>C:\Users\cbarrier\Desktop\BPA\BPA\20201118_Cefas_Test6-Run3/Plate 1/@15/G11_03- exclu.tif</t>
  </si>
  <si>
    <t xml:space="preserve">C:\Users\cbarrier\Desktop\BPA\BPA\20201118_Cefas_Test6-Run3/Plate 1/@15/H11_01.tif </t>
  </si>
  <si>
    <t xml:space="preserve">C:\Users\cbarrier\Desktop\BPA\BPA\20201118_Cefas_Test6-Run3/Plate 1/@15/H11_02.tif </t>
  </si>
  <si>
    <t xml:space="preserve">C:\Users\cbarrier\Desktop\BPA\BPA\20201118_Cefas_Test6-Run3/Plate 1/@15/H11_03.tif </t>
  </si>
  <si>
    <t xml:space="preserve">C:\Users\cbarrier\Desktop\BPA\BPA\20201118_Cefas_Test6-Run3/Plate 1/@15/ </t>
  </si>
  <si>
    <t>C:\Users\cbarrier\Desktop\BPA\BPA\20201118_Cefas_Test6-Run3/Plate 1/@16/A12_01- exclu.tif</t>
  </si>
  <si>
    <t xml:space="preserve">C:\Users\cbarrier\Desktop\BPA\BPA\20201118_Cefas_Test6-Run3/Plate 1/@16/A12_02.tif </t>
  </si>
  <si>
    <t>C:\Users\cbarrier\Desktop\BPA\BPA\20201118_Cefas_Test6-Run3/Plate 1/@16/A12_03- exclu.tif</t>
  </si>
  <si>
    <t xml:space="preserve">C:\Users\cbarrier\Desktop\BPA\BPA\20201118_Cefas_Test6-Run3/Plate 1/@16/B12_01.tif </t>
  </si>
  <si>
    <t xml:space="preserve">C:\Users\cbarrier\Desktop\BPA\BPA\20201118_Cefas_Test6-Run3/Plate 1/@16/B12_02.tif </t>
  </si>
  <si>
    <t xml:space="preserve">C:\Users\cbarrier\Desktop\BPA\BPA\20201118_Cefas_Test6-Run3/Plate 1/@16/B12_03.tif </t>
  </si>
  <si>
    <t xml:space="preserve">C:\Users\cbarrier\Desktop\BPA\BPA\20201118_Cefas_Test6-Run3/Plate 1/@16/C12_01.tif </t>
  </si>
  <si>
    <t xml:space="preserve">C:\Users\cbarrier\Desktop\BPA\BPA\20201118_Cefas_Test6-Run3/Plate 1/@16/C12_02.tif </t>
  </si>
  <si>
    <t xml:space="preserve">C:\Users\cbarrier\Desktop\BPA\BPA\20201118_Cefas_Test6-Run3/Plate 1/@16/C12_03.tif </t>
  </si>
  <si>
    <t xml:space="preserve">C:\Users\cbarrier\Desktop\BPA\BPA\20201118_Cefas_Test6-Run3/Plate 1/@16/D12_01.tif </t>
  </si>
  <si>
    <t xml:space="preserve">C:\Users\cbarrier\Desktop\BPA\BPA\20201118_Cefas_Test6-Run3/Plate 1/@16/D12_02.tif </t>
  </si>
  <si>
    <t xml:space="preserve">C:\Users\cbarrier\Desktop\BPA\BPA\20201118_Cefas_Test6-Run3/Plate 1/@16/D12_03.tif </t>
  </si>
  <si>
    <t xml:space="preserve">C:\Users\cbarrier\Desktop\BPA\BPA\20201118_Cefas_Test6-Run3/Plate 1/@16/E12_01.tif </t>
  </si>
  <si>
    <t>C:\Users\cbarrier\Desktop\BPA\BPA\20201118_Cefas_Test6-Run3/Plate 1/@16/E12_02- exclu.tif</t>
  </si>
  <si>
    <t xml:space="preserve">C:\Users\cbarrier\Desktop\BPA\BPA\20201118_Cefas_Test6-Run3/Plate 1/@16/E12_03.tif </t>
  </si>
  <si>
    <t xml:space="preserve">C:\Users\cbarrier\Desktop\BPA\BPA\20201118_Cefas_Test6-Run3/Plate 1/@16/F12_01.tif </t>
  </si>
  <si>
    <t xml:space="preserve">C:\Users\cbarrier\Desktop\BPA\BPA\20201118_Cefas_Test6-Run3/Plate 1/@16/F12_02.tif </t>
  </si>
  <si>
    <t xml:space="preserve">C:\Users\cbarrier\Desktop\BPA\BPA\20201118_Cefas_Test6-Run3/Plate 1/@16/F12_03.tif </t>
  </si>
  <si>
    <t xml:space="preserve">C:\Users\cbarrier\Desktop\BPA\BPA\20201118_Cefas_Test6-Run3/Plate 1/@16/G12_01.tif </t>
  </si>
  <si>
    <t xml:space="preserve">C:\Users\cbarrier\Desktop\BPA\BPA\20201118_Cefas_Test6-Run3/Plate 1/@16/G12_02.tif </t>
  </si>
  <si>
    <t xml:space="preserve">C:\Users\cbarrier\Desktop\BPA\BPA\20201118_Cefas_Test6-Run3/Plate 1/@16/G12_03.tif </t>
  </si>
  <si>
    <t xml:space="preserve">C:\Users\cbarrier\Desktop\BPA\BPA\20201118_Cefas_Test6-Run3/Plate 1/@16/H12_01.tif </t>
  </si>
  <si>
    <t xml:space="preserve">C:\Users\cbarrier\Desktop\BPA\BPA\20201118_Cefas_Test6-Run3/Plate 1/@16/H12_02.tif </t>
  </si>
  <si>
    <t>C:\Users\cbarrier\Desktop\BPA\BPA\20201118_Cefas_Test6-Run3/Plate 1/@16/H12_03- exclu.tif</t>
  </si>
  <si>
    <t xml:space="preserve">C:\Users\cbarrier\Desktop\BPA\BPA\20201118_Cefas_Test6-Run3/Plate 1/@16/ </t>
  </si>
  <si>
    <t xml:space="preserve">C:\Users\cbarrier\Desktop\BPA\BPA\20201118_Cefas_Test6-Run3/Plate 1/@2/A2_01.tif </t>
  </si>
  <si>
    <t xml:space="preserve">C:\Users\cbarrier\Desktop\BPA\BPA\20201118_Cefas_Test6-Run3/Plate 1/@2/A2_02.tif </t>
  </si>
  <si>
    <t xml:space="preserve">C:\Users\cbarrier\Desktop\BPA\BPA\20201118_Cefas_Test6-Run3/Plate 1/@2/A2_03.tif </t>
  </si>
  <si>
    <t xml:space="preserve">C:\Users\cbarrier\Desktop\BPA\BPA\20201118_Cefas_Test6-Run3/Plate 1/@2/B2_01.tif </t>
  </si>
  <si>
    <t xml:space="preserve">C:\Users\cbarrier\Desktop\BPA\BPA\20201118_Cefas_Test6-Run3/Plate 1/@2/B2_02.tif </t>
  </si>
  <si>
    <t xml:space="preserve">C:\Users\cbarrier\Desktop\BPA\BPA\20201118_Cefas_Test6-Run3/Plate 1/@2/B2_03.tif </t>
  </si>
  <si>
    <t xml:space="preserve">C:\Users\cbarrier\Desktop\BPA\BPA\20201118_Cefas_Test6-Run3/Plate 1/@2/C2_01.tif </t>
  </si>
  <si>
    <t xml:space="preserve">C:\Users\cbarrier\Desktop\BPA\BPA\20201118_Cefas_Test6-Run3/Plate 1/@2/C2_02.tif </t>
  </si>
  <si>
    <t xml:space="preserve">C:\Users\cbarrier\Desktop\BPA\BPA\20201118_Cefas_Test6-Run3/Plate 1/@2/C2_03.tif </t>
  </si>
  <si>
    <t xml:space="preserve">C:\Users\cbarrier\Desktop\BPA\BPA\20201118_Cefas_Test6-Run3/Plate 1/@2/D2_01.tif </t>
  </si>
  <si>
    <t xml:space="preserve">C:\Users\cbarrier\Desktop\BPA\BPA\20201118_Cefas_Test6-Run3/Plate 1/@2/D2_02.tif </t>
  </si>
  <si>
    <t xml:space="preserve">C:\Users\cbarrier\Desktop\BPA\BPA\20201118_Cefas_Test6-Run3/Plate 1/@2/D2_03.tif </t>
  </si>
  <si>
    <t xml:space="preserve">C:\Users\cbarrier\Desktop\BPA\BPA\20201118_Cefas_Test6-Run3/Plate 1/@2/E2_01.tif </t>
  </si>
  <si>
    <t xml:space="preserve">C:\Users\cbarrier\Desktop\BPA\BPA\20201118_Cefas_Test6-Run3/Plate 1/@2/E2_02.tif </t>
  </si>
  <si>
    <t xml:space="preserve">C:\Users\cbarrier\Desktop\BPA\BPA\20201118_Cefas_Test6-Run3/Plate 1/@2/E2_03.tif </t>
  </si>
  <si>
    <t xml:space="preserve">C:\Users\cbarrier\Desktop\BPA\BPA\20201118_Cefas_Test6-Run3/Plate 1/@2/F2_01.tif </t>
  </si>
  <si>
    <t xml:space="preserve">C:\Users\cbarrier\Desktop\BPA\BPA\20201118_Cefas_Test6-Run3/Plate 1/@2/F2_02.tif </t>
  </si>
  <si>
    <t xml:space="preserve">C:\Users\cbarrier\Desktop\BPA\BPA\20201118_Cefas_Test6-Run3/Plate 1/@2/F2_03.tif </t>
  </si>
  <si>
    <t xml:space="preserve">C:\Users\cbarrier\Desktop\BPA\BPA\20201118_Cefas_Test6-Run3/Plate 1/@2/G2_01.tif </t>
  </si>
  <si>
    <t xml:space="preserve">C:\Users\cbarrier\Desktop\BPA\BPA\20201118_Cefas_Test6-Run3/Plate 1/@2/G2_02.tif </t>
  </si>
  <si>
    <t xml:space="preserve">C:\Users\cbarrier\Desktop\BPA\BPA\20201118_Cefas_Test6-Run3/Plate 1/@2/G2_03.tif </t>
  </si>
  <si>
    <t xml:space="preserve">C:\Users\cbarrier\Desktop\BPA\BPA\20201118_Cefas_Test6-Run3/Plate 1/@2/H2_01.tif </t>
  </si>
  <si>
    <t xml:space="preserve">C:\Users\cbarrier\Desktop\BPA\BPA\20201118_Cefas_Test6-Run3/Plate 1/@2/H2_02.tif </t>
  </si>
  <si>
    <t xml:space="preserve">C:\Users\cbarrier\Desktop\BPA\BPA\20201118_Cefas_Test6-Run3/Plate 1/@2/H2_03.tif </t>
  </si>
  <si>
    <t xml:space="preserve">C:\Users\cbarrier\Desktop\BPA\BPA\20201118_Cefas_Test6-Run3/Plate 1/@2/ </t>
  </si>
  <si>
    <t xml:space="preserve">C:\Users\cbarrier\Desktop\BPA\BPA\20201118_Cefas_Test6-Run3/Plate 1/@3/A3_01.tif </t>
  </si>
  <si>
    <t xml:space="preserve">C:\Users\cbarrier\Desktop\BPA\BPA\20201118_Cefas_Test6-Run3/Plate 1/@3/A3_02.tif </t>
  </si>
  <si>
    <t xml:space="preserve">C:\Users\cbarrier\Desktop\BPA\BPA\20201118_Cefas_Test6-Run3/Plate 1/@3/A3_03.tif </t>
  </si>
  <si>
    <t xml:space="preserve">C:\Users\cbarrier\Desktop\BPA\BPA\20201118_Cefas_Test6-Run3/Plate 1/@3/B3_01.tif </t>
  </si>
  <si>
    <t xml:space="preserve">C:\Users\cbarrier\Desktop\BPA\BPA\20201118_Cefas_Test6-Run3/Plate 1/@3/B3_02.tif </t>
  </si>
  <si>
    <t xml:space="preserve">C:\Users\cbarrier\Desktop\BPA\BPA\20201118_Cefas_Test6-Run3/Plate 1/@3/B3_03.tif </t>
  </si>
  <si>
    <t xml:space="preserve">C:\Users\cbarrier\Desktop\BPA\BPA\20201118_Cefas_Test6-Run3/Plate 1/@3/C3_01.tif </t>
  </si>
  <si>
    <t xml:space="preserve">C:\Users\cbarrier\Desktop\BPA\BPA\20201118_Cefas_Test6-Run3/Plate 1/@3/C3_02.tif </t>
  </si>
  <si>
    <t xml:space="preserve">C:\Users\cbarrier\Desktop\BPA\BPA\20201118_Cefas_Test6-Run3/Plate 1/@3/C3_03.tif </t>
  </si>
  <si>
    <t xml:space="preserve">C:\Users\cbarrier\Desktop\BPA\BPA\20201118_Cefas_Test6-Run3/Plate 1/@3/D3_01.tif </t>
  </si>
  <si>
    <t>C:\Users\cbarrier\Desktop\BPA\BPA\20201118_Cefas_Test6-Run3/Plate 1/@3/D3_02- exclu.tif</t>
  </si>
  <si>
    <t>C:\Users\cbarrier\Desktop\BPA\BPA\20201118_Cefas_Test6-Run3/Plate 1/@3/D3_03- exclu.tif</t>
  </si>
  <si>
    <t xml:space="preserve">C:\Users\cbarrier\Desktop\BPA\BPA\20201118_Cefas_Test6-Run3/Plate 1/@3/E3_01.tif </t>
  </si>
  <si>
    <t xml:space="preserve">C:\Users\cbarrier\Desktop\BPA\BPA\20201118_Cefas_Test6-Run3/Plate 1/@3/E3_02.tif </t>
  </si>
  <si>
    <t xml:space="preserve">C:\Users\cbarrier\Desktop\BPA\BPA\20201118_Cefas_Test6-Run3/Plate 1/@3/E3_03.tif </t>
  </si>
  <si>
    <t xml:space="preserve">C:\Users\cbarrier\Desktop\BPA\BPA\20201118_Cefas_Test6-Run3/Plate 1/@3/F3_01.tif </t>
  </si>
  <si>
    <t xml:space="preserve">C:\Users\cbarrier\Desktop\BPA\BPA\20201118_Cefas_Test6-Run3/Plate 1/@3/F3_02.tif </t>
  </si>
  <si>
    <t xml:space="preserve">C:\Users\cbarrier\Desktop\BPA\BPA\20201118_Cefas_Test6-Run3/Plate 1/@3/F3_03.tif </t>
  </si>
  <si>
    <t xml:space="preserve">C:\Users\cbarrier\Desktop\BPA\BPA\20201118_Cefas_Test6-Run3/Plate 1/@3/G3_01.tif </t>
  </si>
  <si>
    <t xml:space="preserve">C:\Users\cbarrier\Desktop\BPA\BPA\20201118_Cefas_Test6-Run3/Plate 1/@3/G3_02.tif </t>
  </si>
  <si>
    <t xml:space="preserve">C:\Users\cbarrier\Desktop\BPA\BPA\20201118_Cefas_Test6-Run3/Plate 1/@3/G3_03.tif </t>
  </si>
  <si>
    <t xml:space="preserve">C:\Users\cbarrier\Desktop\BPA\BPA\20201118_Cefas_Test6-Run3/Plate 1/@3/H3_01.tif </t>
  </si>
  <si>
    <t xml:space="preserve">C:\Users\cbarrier\Desktop\BPA\BPA\20201118_Cefas_Test6-Run3/Plate 1/@3/H3_02.tif </t>
  </si>
  <si>
    <t xml:space="preserve">C:\Users\cbarrier\Desktop\BPA\BPA\20201118_Cefas_Test6-Run3/Plate 1/@3/H3_03.tif </t>
  </si>
  <si>
    <t xml:space="preserve">C:\Users\cbarrier\Desktop\BPA\BPA\20201118_Cefas_Test6-Run3/Plate 1/@3/ </t>
  </si>
  <si>
    <t xml:space="preserve">C:\Users\cbarrier\Desktop\BPA\BPA\20201118_Cefas_Test6-Run3/Plate 1/@4/A4_01.tif </t>
  </si>
  <si>
    <t xml:space="preserve">C:\Users\cbarrier\Desktop\BPA\BPA\20201118_Cefas_Test6-Run3/Plate 1/@4/A4_02.tif </t>
  </si>
  <si>
    <t xml:space="preserve">C:\Users\cbarrier\Desktop\BPA\BPA\20201118_Cefas_Test6-Run3/Plate 1/@4/A4_03.tif </t>
  </si>
  <si>
    <t xml:space="preserve">C:\Users\cbarrier\Desktop\BPA\BPA\20201118_Cefas_Test6-Run3/Plate 1/@4/B4_01.tif </t>
  </si>
  <si>
    <t xml:space="preserve">C:\Users\cbarrier\Desktop\BPA\BPA\20201118_Cefas_Test6-Run3/Plate 1/@4/B4_02.tif </t>
  </si>
  <si>
    <t xml:space="preserve">C:\Users\cbarrier\Desktop\BPA\BPA\20201118_Cefas_Test6-Run3/Plate 1/@4/B4_03.tif </t>
  </si>
  <si>
    <t xml:space="preserve">C:\Users\cbarrier\Desktop\BPA\BPA\20201118_Cefas_Test6-Run3/Plate 1/@4/C4_01.tif </t>
  </si>
  <si>
    <t xml:space="preserve">C:\Users\cbarrier\Desktop\BPA\BPA\20201118_Cefas_Test6-Run3/Plate 1/@4/C4_02.tif </t>
  </si>
  <si>
    <t xml:space="preserve">C:\Users\cbarrier\Desktop\BPA\BPA\20201118_Cefas_Test6-Run3/Plate 1/@4/C4_03.tif </t>
  </si>
  <si>
    <t xml:space="preserve">C:\Users\cbarrier\Desktop\BPA\BPA\20201118_Cefas_Test6-Run3/Plate 1/@4/D4_01.tif </t>
  </si>
  <si>
    <t xml:space="preserve">C:\Users\cbarrier\Desktop\BPA\BPA\20201118_Cefas_Test6-Run3/Plate 1/@4/D4_02.tif </t>
  </si>
  <si>
    <t xml:space="preserve">C:\Users\cbarrier\Desktop\BPA\BPA\20201118_Cefas_Test6-Run3/Plate 1/@4/D4_03.tif </t>
  </si>
  <si>
    <t xml:space="preserve">C:\Users\cbarrier\Desktop\BPA\BPA\20201118_Cefas_Test6-Run3/Plate 1/@4/E4_01.tif </t>
  </si>
  <si>
    <t xml:space="preserve">C:\Users\cbarrier\Desktop\BPA\BPA\20201118_Cefas_Test6-Run3/Plate 1/@4/E4_02.tif </t>
  </si>
  <si>
    <t xml:space="preserve">C:\Users\cbarrier\Desktop\BPA\BPA\20201118_Cefas_Test6-Run3/Plate 1/@4/E4_03.tif </t>
  </si>
  <si>
    <t xml:space="preserve">C:\Users\cbarrier\Desktop\BPA\BPA\20201118_Cefas_Test6-Run3/Plate 1/@4/F4_01.tif </t>
  </si>
  <si>
    <t xml:space="preserve">C:\Users\cbarrier\Desktop\BPA\BPA\20201118_Cefas_Test6-Run3/Plate 1/@4/F4_02.tif </t>
  </si>
  <si>
    <t xml:space="preserve">C:\Users\cbarrier\Desktop\BPA\BPA\20201118_Cefas_Test6-Run3/Plate 1/@4/F4_03.tif </t>
  </si>
  <si>
    <t xml:space="preserve">C:\Users\cbarrier\Desktop\BPA\BPA\20201118_Cefas_Test6-Run3/Plate 1/@4/G4_01.tif </t>
  </si>
  <si>
    <t xml:space="preserve">C:\Users\cbarrier\Desktop\BPA\BPA\20201118_Cefas_Test6-Run3/Plate 1/@4/G4_02.tif </t>
  </si>
  <si>
    <t xml:space="preserve">C:\Users\cbarrier\Desktop\BPA\BPA\20201118_Cefas_Test6-Run3/Plate 1/@4/G4_03.tif </t>
  </si>
  <si>
    <t xml:space="preserve">C:\Users\cbarrier\Desktop\BPA\BPA\20201118_Cefas_Test6-Run3/Plate 1/@4/H4_01.tif </t>
  </si>
  <si>
    <t xml:space="preserve">C:\Users\cbarrier\Desktop\BPA\BPA\20201118_Cefas_Test6-Run3/Plate 1/@4/H4_02.tif </t>
  </si>
  <si>
    <t xml:space="preserve">C:\Users\cbarrier\Desktop\BPA\BPA\20201118_Cefas_Test6-Run3/Plate 1/@4/H4_03.tif </t>
  </si>
  <si>
    <t xml:space="preserve">C:\Users\cbarrier\Desktop\BPA\BPA\20201118_Cefas_Test6-Run3/Plate 1/@4/ </t>
  </si>
  <si>
    <t xml:space="preserve">C:\Users\cbarrier\Desktop\BPA\BPA\20201118_Cefas_Test6-Run3/Plate 1/@5/A5_01.tif </t>
  </si>
  <si>
    <t xml:space="preserve">C:\Users\cbarrier\Desktop\BPA\BPA\20201118_Cefas_Test6-Run3/Plate 1/@5/A5_02.tif </t>
  </si>
  <si>
    <t xml:space="preserve">C:\Users\cbarrier\Desktop\BPA\BPA\20201118_Cefas_Test6-Run3/Plate 1/@5/A5_03.tif </t>
  </si>
  <si>
    <t xml:space="preserve">C:\Users\cbarrier\Desktop\BPA\BPA\20201118_Cefas_Test6-Run3/Plate 1/@5/B5_01.tif </t>
  </si>
  <si>
    <t xml:space="preserve">C:\Users\cbarrier\Desktop\BPA\BPA\20201118_Cefas_Test6-Run3/Plate 1/@5/B5_02.tif </t>
  </si>
  <si>
    <t xml:space="preserve">C:\Users\cbarrier\Desktop\BPA\BPA\20201118_Cefas_Test6-Run3/Plate 1/@5/B5_03.tif </t>
  </si>
  <si>
    <t xml:space="preserve">C:\Users\cbarrier\Desktop\BPA\BPA\20201118_Cefas_Test6-Run3/Plate 1/@5/C5_01.tif </t>
  </si>
  <si>
    <t xml:space="preserve">C:\Users\cbarrier\Desktop\BPA\BPA\20201118_Cefas_Test6-Run3/Plate 1/@5/C5_02.tif </t>
  </si>
  <si>
    <t xml:space="preserve">C:\Users\cbarrier\Desktop\BPA\BPA\20201118_Cefas_Test6-Run3/Plate 1/@5/C5_03.tif </t>
  </si>
  <si>
    <t xml:space="preserve">C:\Users\cbarrier\Desktop\BPA\BPA\20201118_Cefas_Test6-Run3/Plate 1/@5/D5_01.tif </t>
  </si>
  <si>
    <t xml:space="preserve">C:\Users\cbarrier\Desktop\BPA\BPA\20201118_Cefas_Test6-Run3/Plate 1/@5/D5_02.tif </t>
  </si>
  <si>
    <t xml:space="preserve">C:\Users\cbarrier\Desktop\BPA\BPA\20201118_Cefas_Test6-Run3/Plate 1/@5/D5_03.tif </t>
  </si>
  <si>
    <t xml:space="preserve">C:\Users\cbarrier\Desktop\BPA\BPA\20201118_Cefas_Test6-Run3/Plate 1/@5/E5_01.tif </t>
  </si>
  <si>
    <t xml:space="preserve">C:\Users\cbarrier\Desktop\BPA\BPA\20201118_Cefas_Test6-Run3/Plate 1/@5/E5_02.tif </t>
  </si>
  <si>
    <t xml:space="preserve">C:\Users\cbarrier\Desktop\BPA\BPA\20201118_Cefas_Test6-Run3/Plate 1/@5/E5_03.tif </t>
  </si>
  <si>
    <t xml:space="preserve">C:\Users\cbarrier\Desktop\BPA\BPA\20201118_Cefas_Test6-Run3/Plate 1/@5/F5_01.tif </t>
  </si>
  <si>
    <t xml:space="preserve">C:\Users\cbarrier\Desktop\BPA\BPA\20201118_Cefas_Test6-Run3/Plate 1/@5/F5_02.tif </t>
  </si>
  <si>
    <t xml:space="preserve">C:\Users\cbarrier\Desktop\BPA\BPA\20201118_Cefas_Test6-Run3/Plate 1/@5/F5_03.tif </t>
  </si>
  <si>
    <t xml:space="preserve">C:\Users\cbarrier\Desktop\BPA\BPA\20201118_Cefas_Test6-Run3/Plate 1/@5/G5_01.tif </t>
  </si>
  <si>
    <t xml:space="preserve">C:\Users\cbarrier\Desktop\BPA\BPA\20201118_Cefas_Test6-Run3/Plate 1/@5/G5_02.tif </t>
  </si>
  <si>
    <t xml:space="preserve">C:\Users\cbarrier\Desktop\BPA\BPA\20201118_Cefas_Test6-Run3/Plate 1/@5/G5_03.tif </t>
  </si>
  <si>
    <t xml:space="preserve">C:\Users\cbarrier\Desktop\BPA\BPA\20201118_Cefas_Test6-Run3/Plate 1/@5/H5_01.tif </t>
  </si>
  <si>
    <t xml:space="preserve">C:\Users\cbarrier\Desktop\BPA\BPA\20201118_Cefas_Test6-Run3/Plate 1/@5/H5_02.tif </t>
  </si>
  <si>
    <t xml:space="preserve">C:\Users\cbarrier\Desktop\BPA\BPA\20201118_Cefas_Test6-Run3/Plate 1/@5/H5_03.tif </t>
  </si>
  <si>
    <t xml:space="preserve">C:\Users\cbarrier\Desktop\BPA\BPA\20201118_Cefas_Test6-Run3/Plate 1/@5/ </t>
  </si>
  <si>
    <t xml:space="preserve">C:\Users\cbarrier\Desktop\BPA\BPA\20201118_Cefas_Test6-Run3/Plate 1/@6/A6_01.tif </t>
  </si>
  <si>
    <t xml:space="preserve">C:\Users\cbarrier\Desktop\BPA\BPA\20201118_Cefas_Test6-Run3/Plate 1/@6/A6_02.tif </t>
  </si>
  <si>
    <t xml:space="preserve">C:\Users\cbarrier\Desktop\BPA\BPA\20201118_Cefas_Test6-Run3/Plate 1/@6/A6_03.tif </t>
  </si>
  <si>
    <t xml:space="preserve">C:\Users\cbarrier\Desktop\BPA\BPA\20201118_Cefas_Test6-Run3/Plate 1/@6/B6_01.tif </t>
  </si>
  <si>
    <t xml:space="preserve">C:\Users\cbarrier\Desktop\BPA\BPA\20201118_Cefas_Test6-Run3/Plate 1/@6/B6_02.tif </t>
  </si>
  <si>
    <t xml:space="preserve">C:\Users\cbarrier\Desktop\BPA\BPA\20201118_Cefas_Test6-Run3/Plate 1/@6/B6_03.tif </t>
  </si>
  <si>
    <t xml:space="preserve">C:\Users\cbarrier\Desktop\BPA\BPA\20201118_Cefas_Test6-Run3/Plate 1/@6/C6_01.tif </t>
  </si>
  <si>
    <t xml:space="preserve">C:\Users\cbarrier\Desktop\BPA\BPA\20201118_Cefas_Test6-Run3/Plate 1/@6/C6_02.tif </t>
  </si>
  <si>
    <t xml:space="preserve">C:\Users\cbarrier\Desktop\BPA\BPA\20201118_Cefas_Test6-Run3/Plate 1/@6/C6_03.tif </t>
  </si>
  <si>
    <t xml:space="preserve">C:\Users\cbarrier\Desktop\BPA\BPA\20201118_Cefas_Test6-Run3/Plate 1/@6/D6_01.tif </t>
  </si>
  <si>
    <t xml:space="preserve">C:\Users\cbarrier\Desktop\BPA\BPA\20201118_Cefas_Test6-Run3/Plate 1/@6/D6_02.tif </t>
  </si>
  <si>
    <t xml:space="preserve">C:\Users\cbarrier\Desktop\BPA\BPA\20201118_Cefas_Test6-Run3/Plate 1/@6/D6_03.tif </t>
  </si>
  <si>
    <t xml:space="preserve">C:\Users\cbarrier\Desktop\BPA\BPA\20201118_Cefas_Test6-Run3/Plate 1/@6/E6_01.tif </t>
  </si>
  <si>
    <t xml:space="preserve">C:\Users\cbarrier\Desktop\BPA\BPA\20201118_Cefas_Test6-Run3/Plate 1/@6/E6_02.tif </t>
  </si>
  <si>
    <t xml:space="preserve">C:\Users\cbarrier\Desktop\BPA\BPA\20201118_Cefas_Test6-Run3/Plate 1/@6/E6_03.tif </t>
  </si>
  <si>
    <t xml:space="preserve">C:\Users\cbarrier\Desktop\BPA\BPA\20201118_Cefas_Test6-Run3/Plate 1/@6/F6_01.tif </t>
  </si>
  <si>
    <t xml:space="preserve">C:\Users\cbarrier\Desktop\BPA\BPA\20201118_Cefas_Test6-Run3/Plate 1/@6/F6_02.tif </t>
  </si>
  <si>
    <t xml:space="preserve">C:\Users\cbarrier\Desktop\BPA\BPA\20201118_Cefas_Test6-Run3/Plate 1/@6/F6_03.tif </t>
  </si>
  <si>
    <t xml:space="preserve">C:\Users\cbarrier\Desktop\BPA\BPA\20201118_Cefas_Test6-Run3/Plate 1/@6/G6_01.tif </t>
  </si>
  <si>
    <t xml:space="preserve">C:\Users\cbarrier\Desktop\BPA\BPA\20201118_Cefas_Test6-Run3/Plate 1/@6/G6_02.tif </t>
  </si>
  <si>
    <t xml:space="preserve">C:\Users\cbarrier\Desktop\BPA\BPA\20201118_Cefas_Test6-Run3/Plate 1/@6/G6_03.tif </t>
  </si>
  <si>
    <t xml:space="preserve">C:\Users\cbarrier\Desktop\BPA\BPA\20201118_Cefas_Test6-Run3/Plate 1/@6/H6_01.tif </t>
  </si>
  <si>
    <t xml:space="preserve">C:\Users\cbarrier\Desktop\BPA\BPA\20201118_Cefas_Test6-Run3/Plate 1/@6/H6_02.tif </t>
  </si>
  <si>
    <t xml:space="preserve">C:\Users\cbarrier\Desktop\BPA\BPA\20201118_Cefas_Test6-Run3/Plate 1/@6/H6_03.tif </t>
  </si>
  <si>
    <t xml:space="preserve">C:\Users\cbarrier\Desktop\BPA\BPA\20201118_Cefas_Test6-Run3/Plate 1/@6/ </t>
  </si>
  <si>
    <t xml:space="preserve">C:\Users\cbarrier\Desktop\BPA\BPA\20201118_Cefas_Test6-Run3/Plate 1/@7/A7_01.tif </t>
  </si>
  <si>
    <t xml:space="preserve">C:\Users\cbarrier\Desktop\BPA\BPA\20201118_Cefas_Test6-Run3/Plate 1/@7/A7_02.tif </t>
  </si>
  <si>
    <t xml:space="preserve">C:\Users\cbarrier\Desktop\BPA\BPA\20201118_Cefas_Test6-Run3/Plate 1/@7/A7_03.tif </t>
  </si>
  <si>
    <t xml:space="preserve">C:\Users\cbarrier\Desktop\BPA\BPA\20201118_Cefas_Test6-Run3/Plate 1/@7/B7_01.tif </t>
  </si>
  <si>
    <t>C:\Users\cbarrier\Desktop\BPA\BPA\20201118_Cefas_Test6-Run3/Plate 1/@7/B7_02- exclu.tif</t>
  </si>
  <si>
    <t xml:space="preserve">C:\Users\cbarrier\Desktop\BPA\BPA\20201118_Cefas_Test6-Run3/Plate 1/@7/B7_03.tif </t>
  </si>
  <si>
    <t xml:space="preserve">C:\Users\cbarrier\Desktop\BPA\BPA\20201118_Cefas_Test6-Run3/Plate 1/@7/C7_01.tif </t>
  </si>
  <si>
    <t xml:space="preserve">C:\Users\cbarrier\Desktop\BPA\BPA\20201118_Cefas_Test6-Run3/Plate 1/@7/C7_02.tif </t>
  </si>
  <si>
    <t xml:space="preserve">C:\Users\cbarrier\Desktop\BPA\BPA\20201118_Cefas_Test6-Run3/Plate 1/@7/C7_03.tif </t>
  </si>
  <si>
    <t xml:space="preserve">C:\Users\cbarrier\Desktop\BPA\BPA\20201118_Cefas_Test6-Run3/Plate 1/@7/D7_01.tif </t>
  </si>
  <si>
    <t xml:space="preserve">C:\Users\cbarrier\Desktop\BPA\BPA\20201118_Cefas_Test6-Run3/Plate 1/@7/D7_02.tif </t>
  </si>
  <si>
    <t xml:space="preserve">C:\Users\cbarrier\Desktop\BPA\BPA\20201118_Cefas_Test6-Run3/Plate 1/@7/D7_03.tif </t>
  </si>
  <si>
    <t>C:\Users\cbarrier\Desktop\BPA\BPA\20201118_Cefas_Test6-Run3/Plate 1/@7/E7_01- exclu.tif</t>
  </si>
  <si>
    <t>C:\Users\cbarrier\Desktop\BPA\BPA\20201118_Cefas_Test6-Run3/Plate 1/@7/E7_02- exclu.tif</t>
  </si>
  <si>
    <t>C:\Users\cbarrier\Desktop\BPA\BPA\20201118_Cefas_Test6-Run3/Plate 1/@7/E7_03- exclu.tif</t>
  </si>
  <si>
    <t xml:space="preserve">C:\Users\cbarrier\Desktop\BPA\BPA\20201118_Cefas_Test6-Run3/Plate 1/@7/F7_01.tif </t>
  </si>
  <si>
    <t xml:space="preserve">C:\Users\cbarrier\Desktop\BPA\BPA\20201118_Cefas_Test6-Run3/Plate 1/@7/F7_02.tif </t>
  </si>
  <si>
    <t xml:space="preserve">C:\Users\cbarrier\Desktop\BPA\BPA\20201118_Cefas_Test6-Run3/Plate 1/@7/F7_03.tif </t>
  </si>
  <si>
    <t xml:space="preserve">C:\Users\cbarrier\Desktop\BPA\BPA\20201118_Cefas_Test6-Run3/Plate 1/@7/G7_01.tif </t>
  </si>
  <si>
    <t xml:space="preserve">C:\Users\cbarrier\Desktop\BPA\BPA\20201118_Cefas_Test6-Run3/Plate 1/@7/G7_02.tif </t>
  </si>
  <si>
    <t xml:space="preserve">C:\Users\cbarrier\Desktop\BPA\BPA\20201118_Cefas_Test6-Run3/Plate 1/@7/G7_03.tif </t>
  </si>
  <si>
    <t xml:space="preserve">C:\Users\cbarrier\Desktop\BPA\BPA\20201118_Cefas_Test6-Run3/Plate 1/@7/H7_01.tif </t>
  </si>
  <si>
    <t xml:space="preserve">C:\Users\cbarrier\Desktop\BPA\BPA\20201118_Cefas_Test6-Run3/Plate 1/@7/H7_02.tif </t>
  </si>
  <si>
    <t xml:space="preserve">C:\Users\cbarrier\Desktop\BPA\BPA\20201118_Cefas_Test6-Run3/Plate 1/@7/H7_03.tif </t>
  </si>
  <si>
    <t xml:space="preserve">C:\Users\cbarrier\Desktop\BPA\BPA\20201118_Cefas_Test6-Run3/Plate 1/@7/ </t>
  </si>
  <si>
    <t xml:space="preserve">C:\Users\cbarrier\Desktop\BPA\BPA\20201118_Cefas_Test6-Run3/Plate 3/@10/A4_01.tif </t>
  </si>
  <si>
    <t xml:space="preserve">C:\Users\cbarrier\Desktop\BPA\BPA\20201118_Cefas_Test6-Run3/Plate 3/@10/A4_02.tif </t>
  </si>
  <si>
    <t xml:space="preserve">C:\Users\cbarrier\Desktop\BPA\BPA\20201118_Cefas_Test6-Run3/Plate 3/@10/A4_03.tif </t>
  </si>
  <si>
    <t xml:space="preserve">C:\Users\cbarrier\Desktop\BPA\BPA\20201118_Cefas_Test6-Run3/Plate 3/@10/B4_01.tif </t>
  </si>
  <si>
    <t xml:space="preserve">C:\Users\cbarrier\Desktop\BPA\BPA\20201118_Cefas_Test6-Run3/Plate 3/@10/B4_02.tif </t>
  </si>
  <si>
    <t xml:space="preserve">C:\Users\cbarrier\Desktop\BPA\BPA\20201118_Cefas_Test6-Run3/Plate 3/@10/B4_03.tif </t>
  </si>
  <si>
    <t xml:space="preserve">C:\Users\cbarrier\Desktop\BPA\BPA\20201118_Cefas_Test6-Run3/Plate 3/@10/C4_01.tif </t>
  </si>
  <si>
    <t xml:space="preserve">C:\Users\cbarrier\Desktop\BPA\BPA\20201118_Cefas_Test6-Run3/Plate 3/@10/C4_02.tif </t>
  </si>
  <si>
    <t xml:space="preserve">C:\Users\cbarrier\Desktop\BPA\BPA\20201118_Cefas_Test6-Run3/Plate 3/@10/C4_03.tif </t>
  </si>
  <si>
    <t xml:space="preserve">C:\Users\cbarrier\Desktop\BPA\BPA\20201118_Cefas_Test6-Run3/Plate 3/@10/D4_01.tif </t>
  </si>
  <si>
    <t xml:space="preserve">C:\Users\cbarrier\Desktop\BPA\BPA\20201118_Cefas_Test6-Run3/Plate 3/@10/D4_02.tif </t>
  </si>
  <si>
    <t xml:space="preserve">C:\Users\cbarrier\Desktop\BPA\BPA\20201118_Cefas_Test6-Run3/Plate 3/@10/D4_03.tif </t>
  </si>
  <si>
    <t xml:space="preserve">C:\Users\cbarrier\Desktop\BPA\BPA\20201118_Cefas_Test6-Run3/Plate 3/@10/E4_01.tif </t>
  </si>
  <si>
    <t xml:space="preserve">C:\Users\cbarrier\Desktop\BPA\BPA\20201118_Cefas_Test6-Run3/Plate 3/@10/E4_02.tif </t>
  </si>
  <si>
    <t xml:space="preserve">C:\Users\cbarrier\Desktop\BPA\BPA\20201118_Cefas_Test6-Run3/Plate 3/@10/E4_03.tif </t>
  </si>
  <si>
    <t xml:space="preserve">C:\Users\cbarrier\Desktop\BPA\BPA\20201118_Cefas_Test6-Run3/Plate 3/@10/F4_01.tif </t>
  </si>
  <si>
    <t xml:space="preserve">C:\Users\cbarrier\Desktop\BPA\BPA\20201118_Cefas_Test6-Run3/Plate 3/@10/F4_02.tif </t>
  </si>
  <si>
    <t xml:space="preserve">C:\Users\cbarrier\Desktop\BPA\BPA\20201118_Cefas_Test6-Run3/Plate 3/@10/F4_03.tif </t>
  </si>
  <si>
    <t xml:space="preserve">C:\Users\cbarrier\Desktop\BPA\BPA\20201118_Cefas_Test6-Run3/Plate 3/@10/G4_01.tif </t>
  </si>
  <si>
    <t xml:space="preserve">C:\Users\cbarrier\Desktop\BPA\BPA\20201118_Cefas_Test6-Run3/Plate 3/@10/G4_02.tif </t>
  </si>
  <si>
    <t xml:space="preserve">C:\Users\cbarrier\Desktop\BPA\BPA\20201118_Cefas_Test6-Run3/Plate 3/@10/G4_03.tif </t>
  </si>
  <si>
    <t xml:space="preserve">C:\Users\cbarrier\Desktop\BPA\BPA\20201118_Cefas_Test6-Run3/Plate 3/@10/H4_01.tif </t>
  </si>
  <si>
    <t xml:space="preserve">C:\Users\cbarrier\Desktop\BPA\BPA\20201118_Cefas_Test6-Run3/Plate 3/@10/H4_02.tif </t>
  </si>
  <si>
    <t xml:space="preserve">C:\Users\cbarrier\Desktop\BPA\BPA\20201118_Cefas_Test6-Run3/Plate 3/@10/H4_03.tif </t>
  </si>
  <si>
    <t xml:space="preserve">C:\Users\cbarrier\Desktop\BPA\BPA\20201118_Cefas_Test6-Run3/Plate 3/@10/ </t>
  </si>
  <si>
    <t>C:\Users\cbarrier\Desktop\BPA\BPA\20201118_Cefas_Test6-Run3/Plate 3/@11/A5_01- exclu.tif</t>
  </si>
  <si>
    <t>C:\Users\cbarrier\Desktop\BPA\BPA\20201118_Cefas_Test6-Run3/Plate 3/@11/A5_02- exclu.tif</t>
  </si>
  <si>
    <t xml:space="preserve">C:\Users\cbarrier\Desktop\BPA\BPA\20201118_Cefas_Test6-Run3/Plate 3/@11/A5_03.tif </t>
  </si>
  <si>
    <t xml:space="preserve">C:\Users\cbarrier\Desktop\BPA\BPA\20201118_Cefas_Test6-Run3/Plate 3/@11/B5_01.tif </t>
  </si>
  <si>
    <t xml:space="preserve">C:\Users\cbarrier\Desktop\BPA\BPA\20201118_Cefas_Test6-Run3/Plate 3/@11/B5_02.tif </t>
  </si>
  <si>
    <t xml:space="preserve">C:\Users\cbarrier\Desktop\BPA\BPA\20201118_Cefas_Test6-Run3/Plate 3/@11/B5_03.tif </t>
  </si>
  <si>
    <t xml:space="preserve">C:\Users\cbarrier\Desktop\BPA\BPA\20201118_Cefas_Test6-Run3/Plate 3/@11/C5_01.tif </t>
  </si>
  <si>
    <t xml:space="preserve">C:\Users\cbarrier\Desktop\BPA\BPA\20201118_Cefas_Test6-Run3/Plate 3/@11/C5_02.tif </t>
  </si>
  <si>
    <t>C:\Users\cbarrier\Desktop\BPA\BPA\20201118_Cefas_Test6-Run3/Plate 3/@11/C5_03- exclu.tif</t>
  </si>
  <si>
    <t xml:space="preserve">C:\Users\cbarrier\Desktop\BPA\BPA\20201118_Cefas_Test6-Run3/Plate 3/@11/D5_01.tif </t>
  </si>
  <si>
    <t xml:space="preserve">C:\Users\cbarrier\Desktop\BPA\BPA\20201118_Cefas_Test6-Run3/Plate 3/@11/D5_02.tif </t>
  </si>
  <si>
    <t xml:space="preserve">C:\Users\cbarrier\Desktop\BPA\BPA\20201118_Cefas_Test6-Run3/Plate 3/@11/D5_03.tif </t>
  </si>
  <si>
    <t xml:space="preserve">C:\Users\cbarrier\Desktop\BPA\BPA\20201118_Cefas_Test6-Run3/Plate 3/@11/E5_01.tif </t>
  </si>
  <si>
    <t xml:space="preserve">C:\Users\cbarrier\Desktop\BPA\BPA\20201118_Cefas_Test6-Run3/Plate 3/@11/E5_02.tif </t>
  </si>
  <si>
    <t xml:space="preserve">C:\Users\cbarrier\Desktop\BPA\BPA\20201118_Cefas_Test6-Run3/Plate 3/@11/E5_03.tif </t>
  </si>
  <si>
    <t xml:space="preserve">C:\Users\cbarrier\Desktop\BPA\BPA\20201118_Cefas_Test6-Run3/Plate 3/@11/F5_01.tif </t>
  </si>
  <si>
    <t>C:\Users\cbarrier\Desktop\BPA\BPA\20201118_Cefas_Test6-Run3/Plate 3/@11/F5_02- exclu.tif</t>
  </si>
  <si>
    <t>C:\Users\cbarrier\Desktop\BPA\BPA\20201118_Cefas_Test6-Run3/Plate 3/@11/F5_03- exclu.tif</t>
  </si>
  <si>
    <t xml:space="preserve">C:\Users\cbarrier\Desktop\BPA\BPA\20201118_Cefas_Test6-Run3/Plate 3/@11/G5_01.tif </t>
  </si>
  <si>
    <t xml:space="preserve">C:\Users\cbarrier\Desktop\BPA\BPA\20201118_Cefas_Test6-Run3/Plate 3/@11/G5_02.tif </t>
  </si>
  <si>
    <t xml:space="preserve">C:\Users\cbarrier\Desktop\BPA\BPA\20201118_Cefas_Test6-Run3/Plate 3/@11/G5_03.tif </t>
  </si>
  <si>
    <t>C:\Users\cbarrier\Desktop\BPA\BPA\20201118_Cefas_Test6-Run3/Plate 3/@11/H5_01- exclu.tif</t>
  </si>
  <si>
    <t xml:space="preserve">C:\Users\cbarrier\Desktop\BPA\BPA\20201118_Cefas_Test6-Run3/Plate 3/@11/H5_02.tif </t>
  </si>
  <si>
    <t xml:space="preserve">C:\Users\cbarrier\Desktop\BPA\BPA\20201118_Cefas_Test6-Run3/Plate 3/@11/H5_03.tif </t>
  </si>
  <si>
    <t xml:space="preserve">C:\Users\cbarrier\Desktop\BPA\BPA\20201118_Cefas_Test6-Run3/Plate 3/@11/ </t>
  </si>
  <si>
    <t xml:space="preserve">C:\Users\cbarrier\Desktop\BPA\BPA\20201118_Cefas_Test6-Run3/Plate 3/@12/A6_01.tif </t>
  </si>
  <si>
    <t xml:space="preserve">C:\Users\cbarrier\Desktop\BPA\BPA\20201118_Cefas_Test6-Run3/Plate 3/@12/A6_02.tif </t>
  </si>
  <si>
    <t xml:space="preserve">C:\Users\cbarrier\Desktop\BPA\BPA\20201118_Cefas_Test6-Run3/Plate 3/@12/A6_03.tif </t>
  </si>
  <si>
    <t xml:space="preserve">C:\Users\cbarrier\Desktop\BPA\BPA\20201118_Cefas_Test6-Run3/Plate 3/@12/B6_01.tif </t>
  </si>
  <si>
    <t xml:space="preserve">C:\Users\cbarrier\Desktop\BPA\BPA\20201118_Cefas_Test6-Run3/Plate 3/@12/B6_02.tif </t>
  </si>
  <si>
    <t xml:space="preserve">C:\Users\cbarrier\Desktop\BPA\BPA\20201118_Cefas_Test6-Run3/Plate 3/@12/B6_03.tif </t>
  </si>
  <si>
    <t xml:space="preserve">C:\Users\cbarrier\Desktop\BPA\BPA\20201118_Cefas_Test6-Run3/Plate 3/@12/C6_01.tif </t>
  </si>
  <si>
    <t xml:space="preserve">C:\Users\cbarrier\Desktop\BPA\BPA\20201118_Cefas_Test6-Run3/Plate 3/@12/C6_02.tif </t>
  </si>
  <si>
    <t xml:space="preserve">C:\Users\cbarrier\Desktop\BPA\BPA\20201118_Cefas_Test6-Run3/Plate 3/@12/C6_03.tif </t>
  </si>
  <si>
    <t xml:space="preserve">C:\Users\cbarrier\Desktop\BPA\BPA\20201118_Cefas_Test6-Run3/Plate 3/@12/D6_01.tif </t>
  </si>
  <si>
    <t>C:\Users\cbarrier\Desktop\BPA\BPA\20201118_Cefas_Test6-Run3/Plate 3/@12/D6_02- exclu.tif</t>
  </si>
  <si>
    <t xml:space="preserve">C:\Users\cbarrier\Desktop\BPA\BPA\20201118_Cefas_Test6-Run3/Plate 3/@12/D6_03.tif </t>
  </si>
  <si>
    <t xml:space="preserve">C:\Users\cbarrier\Desktop\BPA\BPA\20201118_Cefas_Test6-Run3/Plate 3/@12/E6_01.tif </t>
  </si>
  <si>
    <t xml:space="preserve">C:\Users\cbarrier\Desktop\BPA\BPA\20201118_Cefas_Test6-Run3/Plate 3/@12/E6_02.tif </t>
  </si>
  <si>
    <t xml:space="preserve">C:\Users\cbarrier\Desktop\BPA\BPA\20201118_Cefas_Test6-Run3/Plate 3/@12/ </t>
  </si>
  <si>
    <t xml:space="preserve">C:\Users\cbarrier\Desktop\BPA\BPA\20201118_Cefas_Test6-Run3/Plate 3/@17/A8_01.tif </t>
  </si>
  <si>
    <t xml:space="preserve">C:\Users\cbarrier\Desktop\BPA\BPA\20201118_Cefas_Test6-Run3/Plate 3/@17/A8_02.tif </t>
  </si>
  <si>
    <t xml:space="preserve">C:\Users\cbarrier\Desktop\BPA\BPA\20201118_Cefas_Test6-Run3/Plate 3/@17/A8_03.tif </t>
  </si>
  <si>
    <t xml:space="preserve">C:\Users\cbarrier\Desktop\BPA\BPA\20201118_Cefas_Test6-Run3/Plate 3/@17/B8_01.tif </t>
  </si>
  <si>
    <t xml:space="preserve">C:\Users\cbarrier\Desktop\BPA\BPA\20201118_Cefas_Test6-Run3/Plate 3/@17/B8_02.tif </t>
  </si>
  <si>
    <t xml:space="preserve">C:\Users\cbarrier\Desktop\BPA\BPA\20201118_Cefas_Test6-Run3/Plate 3/@17/B8_03.tif </t>
  </si>
  <si>
    <t>C:\Users\cbarrier\Desktop\BPA\BPA\20201118_Cefas_Test6-Run3/Plate 3/@17/C8_01- exclu.tif</t>
  </si>
  <si>
    <t xml:space="preserve">C:\Users\cbarrier\Desktop\BPA\BPA\20201118_Cefas_Test6-Run3/Plate 3/@17/C8_02.tif </t>
  </si>
  <si>
    <t xml:space="preserve">C:\Users\cbarrier\Desktop\BPA\BPA\20201118_Cefas_Test6-Run3/Plate 3/@17/C8_03.tif </t>
  </si>
  <si>
    <t xml:space="preserve">C:\Users\cbarrier\Desktop\BPA\BPA\20201118_Cefas_Test6-Run3/Plate 3/@17/D8_01.tif </t>
  </si>
  <si>
    <t xml:space="preserve">C:\Users\cbarrier\Desktop\BPA\BPA\20201118_Cefas_Test6-Run3/Plate 3/@17/D8_02.tif </t>
  </si>
  <si>
    <t xml:space="preserve">C:\Users\cbarrier\Desktop\BPA\BPA\20201118_Cefas_Test6-Run3/Plate 3/@17/D8_03.tif </t>
  </si>
  <si>
    <t xml:space="preserve">C:\Users\cbarrier\Desktop\BPA\BPA\20201118_Cefas_Test6-Run3/Plate 3/@17/E8_01.tif </t>
  </si>
  <si>
    <t xml:space="preserve">C:\Users\cbarrier\Desktop\BPA\BPA\20201118_Cefas_Test6-Run3/Plate 3/@17/E8_02.tif </t>
  </si>
  <si>
    <t xml:space="preserve">C:\Users\cbarrier\Desktop\BPA\BPA\20201118_Cefas_Test6-Run3/Plate 3/@17/E8_03.tif </t>
  </si>
  <si>
    <t xml:space="preserve">C:\Users\cbarrier\Desktop\BPA\BPA\20201118_Cefas_Test6-Run3/Plate 3/@17/F8_01.tif </t>
  </si>
  <si>
    <t xml:space="preserve">C:\Users\cbarrier\Desktop\BPA\BPA\20201118_Cefas_Test6-Run3/Plate 3/@17/F8_02.tif </t>
  </si>
  <si>
    <t xml:space="preserve">C:\Users\cbarrier\Desktop\BPA\BPA\20201118_Cefas_Test6-Run3/Plate 3/@17/F8_03.tif </t>
  </si>
  <si>
    <t xml:space="preserve">C:\Users\cbarrier\Desktop\BPA\BPA\20201118_Cefas_Test6-Run3/Plate 3/@17/G8_01.tif </t>
  </si>
  <si>
    <t xml:space="preserve">C:\Users\cbarrier\Desktop\BPA\BPA\20201118_Cefas_Test6-Run3/Plate 3/@17/G8_02.tif </t>
  </si>
  <si>
    <t xml:space="preserve">C:\Users\cbarrier\Desktop\BPA\BPA\20201118_Cefas_Test6-Run3/Plate 3/@17/G8_03.tif </t>
  </si>
  <si>
    <t xml:space="preserve">C:\Users\cbarrier\Desktop\BPA\BPA\20201118_Cefas_Test6-Run3/Plate 3/@17/H8_01.tif </t>
  </si>
  <si>
    <t xml:space="preserve">C:\Users\cbarrier\Desktop\BPA\BPA\20201118_Cefas_Test6-Run3/Plate 3/@17/H8_02.tif </t>
  </si>
  <si>
    <t xml:space="preserve">C:\Users\cbarrier\Desktop\BPA\BPA\20201118_Cefas_Test6-Run3/Plate 3/@17/H8_03.tif </t>
  </si>
  <si>
    <t xml:space="preserve">C:\Users\cbarrier\Desktop\BPA\BPA\20201118_Cefas_Test6-Run3/Plate 3/@17/ </t>
  </si>
  <si>
    <t xml:space="preserve">C:\Users\cbarrier\Desktop\BPA\BPA\20201118_Cefas_Test6-Run3/Plate 3/@18/D9_03.tif </t>
  </si>
  <si>
    <t xml:space="preserve">C:\Users\cbarrier\Desktop\BPA\BPA\20201118_Cefas_Test6-Run3/Plate 3/@18/E9_01.tif </t>
  </si>
  <si>
    <t xml:space="preserve">C:\Users\cbarrier\Desktop\BPA\BPA\20201118_Cefas_Test6-Run3/Plate 3/@18/E9_02.tif </t>
  </si>
  <si>
    <t xml:space="preserve">C:\Users\cbarrier\Desktop\BPA\BPA\20201118_Cefas_Test6-Run3/Plate 3/@18/E9_03.tif </t>
  </si>
  <si>
    <t xml:space="preserve">C:\Users\cbarrier\Desktop\BPA\BPA\20201118_Cefas_Test6-Run3/Plate 3/@18/F9_01.tif </t>
  </si>
  <si>
    <t xml:space="preserve">C:\Users\cbarrier\Desktop\BPA\BPA\20201118_Cefas_Test6-Run3/Plate 3/@18/F9_02.tif </t>
  </si>
  <si>
    <t xml:space="preserve">C:\Users\cbarrier\Desktop\BPA\BPA\20201118_Cefas_Test6-Run3/Plate 3/@18/F9_03.tif </t>
  </si>
  <si>
    <t xml:space="preserve">C:\Users\cbarrier\Desktop\BPA\BPA\20201118_Cefas_Test6-Run3/Plate 3/@18/G9_01.tif </t>
  </si>
  <si>
    <t xml:space="preserve">C:\Users\cbarrier\Desktop\BPA\BPA\20201118_Cefas_Test6-Run3/Plate 3/@18/G9_02.tif </t>
  </si>
  <si>
    <t xml:space="preserve">C:\Users\cbarrier\Desktop\BPA\BPA\20201118_Cefas_Test6-Run3/Plate 3/@18/G9_03.tif </t>
  </si>
  <si>
    <t>C:\Users\cbarrier\Desktop\BPA\BPA\20201118_Cefas_Test6-Run3/Plate 3/@18/H9_01- exclu.tif</t>
  </si>
  <si>
    <t>C:\Users\cbarrier\Desktop\BPA\BPA\20201118_Cefas_Test6-Run3/Plate 3/@18/H9_02- exclu.tif</t>
  </si>
  <si>
    <t>C:\Users\cbarrier\Desktop\BPA\BPA\20201118_Cefas_Test6-Run3/Plate 3/@18/H9_03- exclu.tif</t>
  </si>
  <si>
    <t xml:space="preserve">C:\Users\cbarrier\Desktop\BPA\BPA\20201118_Cefas_Test6-Run3/Plate 3/@18/ </t>
  </si>
  <si>
    <t xml:space="preserve">C:\Users\cbarrier\Desktop\BPA\BPA\20201118_Cefas_Test6-Run3/Plate 3/@19/A10_01.tif </t>
  </si>
  <si>
    <t xml:space="preserve">C:\Users\cbarrier\Desktop\BPA\BPA\20201118_Cefas_Test6-Run3/Plate 3/@19/A10_02.tif </t>
  </si>
  <si>
    <t xml:space="preserve">C:\Users\cbarrier\Desktop\BPA\BPA\20201118_Cefas_Test6-Run3/Plate 3/@19/A10_03.tif </t>
  </si>
  <si>
    <t xml:space="preserve">C:\Users\cbarrier\Desktop\BPA\BPA\20201118_Cefas_Test6-Run3/Plate 3/@19/B10_01.tif </t>
  </si>
  <si>
    <t xml:space="preserve">C:\Users\cbarrier\Desktop\BPA\BPA\20201118_Cefas_Test6-Run3/Plate 3/@19/B10_02.tif </t>
  </si>
  <si>
    <t xml:space="preserve">C:\Users\cbarrier\Desktop\BPA\BPA\20201118_Cefas_Test6-Run3/Plate 3/@19/B10_03.tif </t>
  </si>
  <si>
    <t xml:space="preserve">C:\Users\cbarrier\Desktop\BPA\BPA\20201118_Cefas_Test6-Run3/Plate 3/@19/C10_01.tif </t>
  </si>
  <si>
    <t xml:space="preserve">C:\Users\cbarrier\Desktop\BPA\BPA\20201118_Cefas_Test6-Run3/Plate 3/@19/C10_02.tif </t>
  </si>
  <si>
    <t xml:space="preserve">C:\Users\cbarrier\Desktop\BPA\BPA\20201118_Cefas_Test6-Run3/Plate 3/@19/C10_03.tif </t>
  </si>
  <si>
    <t xml:space="preserve">C:\Users\cbarrier\Desktop\BPA\BPA\20201118_Cefas_Test6-Run3/Plate 3/@19/D10_01.tif </t>
  </si>
  <si>
    <t xml:space="preserve">C:\Users\cbarrier\Desktop\BPA\BPA\20201118_Cefas_Test6-Run3/Plate 3/@19/D10_02.tif </t>
  </si>
  <si>
    <t xml:space="preserve">C:\Users\cbarrier\Desktop\BPA\BPA\20201118_Cefas_Test6-Run3/Plate 3/@19/D10_03.tif </t>
  </si>
  <si>
    <t xml:space="preserve">C:\Users\cbarrier\Desktop\BPA\BPA\20201118_Cefas_Test6-Run3/Plate 3/@19/E10_01.tif </t>
  </si>
  <si>
    <t xml:space="preserve">C:\Users\cbarrier\Desktop\BPA\BPA\20201118_Cefas_Test6-Run3/Plate 3/@19/E10_02.tif </t>
  </si>
  <si>
    <t xml:space="preserve">C:\Users\cbarrier\Desktop\BPA\BPA\20201118_Cefas_Test6-Run3/Plate 3/@19/E10_03.tif </t>
  </si>
  <si>
    <t xml:space="preserve">C:\Users\cbarrier\Desktop\BPA\BPA\20201118_Cefas_Test6-Run3/Plate 3/@19/F10_01.tif </t>
  </si>
  <si>
    <t xml:space="preserve">C:\Users\cbarrier\Desktop\BPA\BPA\20201118_Cefas_Test6-Run3/Plate 3/@19/F10_02.tif </t>
  </si>
  <si>
    <t xml:space="preserve">C:\Users\cbarrier\Desktop\BPA\BPA\20201118_Cefas_Test6-Run3/Plate 3/@19/F10_03.tif </t>
  </si>
  <si>
    <t xml:space="preserve">C:\Users\cbarrier\Desktop\BPA\BPA\20201118_Cefas_Test6-Run3/Plate 3/@19/G10_01.tif </t>
  </si>
  <si>
    <t xml:space="preserve">C:\Users\cbarrier\Desktop\BPA\BPA\20201118_Cefas_Test6-Run3/Plate 3/@19/G10_02.tif </t>
  </si>
  <si>
    <t>C:\Users\cbarrier\Desktop\BPA\BPA\20201118_Cefas_Test6-Run3/Plate 3/@19/G10_03- exclu.tif</t>
  </si>
  <si>
    <t xml:space="preserve">C:\Users\cbarrier\Desktop\BPA\BPA\20201118_Cefas_Test6-Run3/Plate 3/@19/H10_01.tif </t>
  </si>
  <si>
    <t>C:\Users\cbarrier\Desktop\BPA\BPA\20201118_Cefas_Test6-Run3/Plate 3/@19/H10_02- exclu.tif</t>
  </si>
  <si>
    <t xml:space="preserve">C:\Users\cbarrier\Desktop\BPA\BPA\20201118_Cefas_Test6-Run3/Plate 3/@19/H10_03.tif </t>
  </si>
  <si>
    <t xml:space="preserve">C:\Users\cbarrier\Desktop\BPA\BPA\20201118_Cefas_Test6-Run3/Plate 3/@19/ </t>
  </si>
  <si>
    <t xml:space="preserve">C:\Users\cbarrier\Desktop\BPA\BPA\20201118_Cefas_Test6-Run3/Plate 3/@20/A11_01.tif </t>
  </si>
  <si>
    <t xml:space="preserve">C:\Users\cbarrier\Desktop\BPA\BPA\20201118_Cefas_Test6-Run3/Plate 3/@20/A11_02.tif </t>
  </si>
  <si>
    <t xml:space="preserve">C:\Users\cbarrier\Desktop\BPA\BPA\20201118_Cefas_Test6-Run3/Plate 3/@20/A11_03.tif </t>
  </si>
  <si>
    <t xml:space="preserve">C:\Users\cbarrier\Desktop\BPA\BPA\20201118_Cefas_Test6-Run3/Plate 3/@20/B11_01.tif </t>
  </si>
  <si>
    <t xml:space="preserve">C:\Users\cbarrier\Desktop\BPA\BPA\20201118_Cefas_Test6-Run3/Plate 3/@20/B11_02.tif </t>
  </si>
  <si>
    <t xml:space="preserve">C:\Users\cbarrier\Desktop\BPA\BPA\20201118_Cefas_Test6-Run3/Plate 3/@20/B11_03.tif </t>
  </si>
  <si>
    <t xml:space="preserve">C:\Users\cbarrier\Desktop\BPA\BPA\20201118_Cefas_Test6-Run3/Plate 3/@20/C11_01.tif </t>
  </si>
  <si>
    <t xml:space="preserve">C:\Users\cbarrier\Desktop\BPA\BPA\20201118_Cefas_Test6-Run3/Plate 3/@20/C11_02.tif </t>
  </si>
  <si>
    <t xml:space="preserve">C:\Users\cbarrier\Desktop\BPA\BPA\20201118_Cefas_Test6-Run3/Plate 3/@20/C11_03.tif </t>
  </si>
  <si>
    <t xml:space="preserve">C:\Users\cbarrier\Desktop\BPA\BPA\20201118_Cefas_Test6-Run3/Plate 3/@20/D11_01.tif </t>
  </si>
  <si>
    <t>C:\Users\cbarrier\Desktop\BPA\BPA\20201118_Cefas_Test6-Run3/Plate 3/@20/D11_02- exclu.tif</t>
  </si>
  <si>
    <t xml:space="preserve">C:\Users\cbarrier\Desktop\BPA\BPA\20201118_Cefas_Test6-Run3/Plate 3/@20/D11_03.tif </t>
  </si>
  <si>
    <t xml:space="preserve">C:\Users\cbarrier\Desktop\BPA\BPA\20201118_Cefas_Test6-Run3/Plate 3/@20/E11_01.tif </t>
  </si>
  <si>
    <t>C:\Users\cbarrier\Desktop\BPA\BPA\20201118_Cefas_Test6-Run3/Plate 3/@20/E11_02- exclu.tif</t>
  </si>
  <si>
    <t>C:\Users\cbarrier\Desktop\BPA\BPA\20201118_Cefas_Test6-Run3/Plate 3/@20/E11_03- exclu.tif</t>
  </si>
  <si>
    <t xml:space="preserve">C:\Users\cbarrier\Desktop\BPA\BPA\20201118_Cefas_Test6-Run3/Plate 3/@20/F11_01.tif </t>
  </si>
  <si>
    <t xml:space="preserve">C:\Users\cbarrier\Desktop\BPA\BPA\20201118_Cefas_Test6-Run3/Plate 3/@20/F11_02.tif </t>
  </si>
  <si>
    <t xml:space="preserve">C:\Users\cbarrier\Desktop\BPA\BPA\20201118_Cefas_Test6-Run3/Plate 3/@20/F11_03.tif </t>
  </si>
  <si>
    <t xml:space="preserve">C:\Users\cbarrier\Desktop\BPA\BPA\20201118_Cefas_Test6-Run3/Plate 3/@20/G11_01.tif </t>
  </si>
  <si>
    <t xml:space="preserve">C:\Users\cbarrier\Desktop\BPA\BPA\20201118_Cefas_Test6-Run3/Plate 3/@20/G11_02.tif </t>
  </si>
  <si>
    <t xml:space="preserve">C:\Users\cbarrier\Desktop\BPA\BPA\20201118_Cefas_Test6-Run3/Plate 3/@20/G11_03.tif </t>
  </si>
  <si>
    <t xml:space="preserve">C:\Users\cbarrier\Desktop\BPA\BPA\20201118_Cefas_Test6-Run3/Plate 3/@20/H11_01.tif </t>
  </si>
  <si>
    <t xml:space="preserve">C:\Users\cbarrier\Desktop\BPA\BPA\20201118_Cefas_Test6-Run3/Plate 3/@20/H11_02.tif </t>
  </si>
  <si>
    <t xml:space="preserve">C:\Users\cbarrier\Desktop\BPA\BPA\20201118_Cefas_Test6-Run3/Plate 3/@20/H11_03.tif </t>
  </si>
  <si>
    <t xml:space="preserve">C:\Users\cbarrier\Desktop\BPA\BPA\20201118_Cefas_Test6-Run3/Plate 3/@20/ </t>
  </si>
  <si>
    <t xml:space="preserve">C:\Users\cbarrier\Desktop\BPA\BPA\20201118_Cefas_Test6-Run3/Plate 3/@21/A12_01.tif </t>
  </si>
  <si>
    <t xml:space="preserve">C:\Users\cbarrier\Desktop\BPA\BPA\20201118_Cefas_Test6-Run3/Plate 3/@21/A12_02.tif </t>
  </si>
  <si>
    <t xml:space="preserve">C:\Users\cbarrier\Desktop\BPA\BPA\20201118_Cefas_Test6-Run3/Plate 3/@21/A12_03.tif </t>
  </si>
  <si>
    <t xml:space="preserve">C:\Users\cbarrier\Desktop\BPA\BPA\20201118_Cefas_Test6-Run3/Plate 3/@21/B12_01.tif </t>
  </si>
  <si>
    <t xml:space="preserve">C:\Users\cbarrier\Desktop\BPA\BPA\20201118_Cefas_Test6-Run3/Plate 3/@21/B12_02.tif </t>
  </si>
  <si>
    <t xml:space="preserve">C:\Users\cbarrier\Desktop\BPA\BPA\20201118_Cefas_Test6-Run3/Plate 3/@21/B12_03.tif </t>
  </si>
  <si>
    <t xml:space="preserve">C:\Users\cbarrier\Desktop\BPA\BPA\20201118_Cefas_Test6-Run3/Plate 3/@21/C12_01.tif </t>
  </si>
  <si>
    <t xml:space="preserve">C:\Users\cbarrier\Desktop\BPA\BPA\20201118_Cefas_Test6-Run3/Plate 3/@21/C12_02.tif </t>
  </si>
  <si>
    <t xml:space="preserve">C:\Users\cbarrier\Desktop\BPA\BPA\20201118_Cefas_Test6-Run3/Plate 3/@21/C12_03.tif </t>
  </si>
  <si>
    <t xml:space="preserve">C:\Users\cbarrier\Desktop\BPA\BPA\20201118_Cefas_Test6-Run3/Plate 3/@21/D12_01.tif </t>
  </si>
  <si>
    <t xml:space="preserve">C:\Users\cbarrier\Desktop\BPA\BPA\20201118_Cefas_Test6-Run3/Plate 3/@21/D12_02.tif </t>
  </si>
  <si>
    <t xml:space="preserve">C:\Users\cbarrier\Desktop\BPA\BPA\20201118_Cefas_Test6-Run3/Plate 3/@21/D12_03.tif </t>
  </si>
  <si>
    <t xml:space="preserve">C:\Users\cbarrier\Desktop\BPA\BPA\20201118_Cefas_Test6-Run3/Plate 3/@21/E12_01.tif </t>
  </si>
  <si>
    <t>C:\Users\cbarrier\Desktop\BPA\BPA\20201118_Cefas_Test6-Run3/Plate 3/@21/E12_02- exclu.tif</t>
  </si>
  <si>
    <t>C:\Users\cbarrier\Desktop\BPA\BPA\20201118_Cefas_Test6-Run3/Plate 3/@21/E12_03- exclu.tif</t>
  </si>
  <si>
    <t xml:space="preserve">C:\Users\cbarrier\Desktop\BPA\BPA\20201118_Cefas_Test6-Run3/Plate 3/@21/F12_01.tif </t>
  </si>
  <si>
    <t xml:space="preserve">C:\Users\cbarrier\Desktop\BPA\BPA\20201118_Cefas_Test6-Run3/Plate 3/@21/F12_02.tif </t>
  </si>
  <si>
    <t xml:space="preserve">C:\Users\cbarrier\Desktop\BPA\BPA\20201118_Cefas_Test6-Run3/Plate 3/@21/F12_03.tif </t>
  </si>
  <si>
    <t xml:space="preserve">C:\Users\cbarrier\Desktop\BPA\BPA\20201118_Cefas_Test6-Run3/Plate 3/@21/G12_01.tif </t>
  </si>
  <si>
    <t xml:space="preserve">C:\Users\cbarrier\Desktop\BPA\BPA\20201118_Cefas_Test6-Run3/Plate 3/@21/G12_02.tif </t>
  </si>
  <si>
    <t xml:space="preserve">C:\Users\cbarrier\Desktop\BPA\BPA\20201118_Cefas_Test6-Run3/Plate 3/@21/G12_03.tif </t>
  </si>
  <si>
    <t xml:space="preserve">C:\Users\cbarrier\Desktop\BPA\BPA\20201118_Cefas_Test6-Run3/Plate 3/@21/H12_01.tif </t>
  </si>
  <si>
    <t xml:space="preserve">C:\Users\cbarrier\Desktop\BPA\BPA\20201118_Cefas_Test6-Run3/Plate 3/@21/H12_02.tif </t>
  </si>
  <si>
    <t xml:space="preserve">C:\Users\cbarrier\Desktop\BPA\BPA\20201118_Cefas_Test6-Run3/Plate 3/@21/H12_03.tif </t>
  </si>
  <si>
    <t xml:space="preserve">C:\Users\cbarrier\Desktop\BPA\BPA\20201118_Cefas_Test6-Run3/Plate 3/@21/ </t>
  </si>
  <si>
    <t xml:space="preserve">C:\Users\cbarrier\Desktop\BPA\BPA\20201118_Cefas_Test6-Run3/Plate 3/@8/A2_01.tif </t>
  </si>
  <si>
    <t xml:space="preserve">C:\Users\cbarrier\Desktop\BPA\BPA\20201118_Cefas_Test6-Run3/Plate 3/@8/A2_02.tif </t>
  </si>
  <si>
    <t xml:space="preserve">C:\Users\cbarrier\Desktop\BPA\BPA\20201118_Cefas_Test6-Run3/Plate 3/@8/A2_03.tif </t>
  </si>
  <si>
    <t xml:space="preserve">C:\Users\cbarrier\Desktop\BPA\BPA\20201118_Cefas_Test6-Run3/Plate 3/@8/B2_01.tif </t>
  </si>
  <si>
    <t xml:space="preserve">C:\Users\cbarrier\Desktop\BPA\BPA\20201118_Cefas_Test6-Run3/Plate 3/@8/B2_02.tif </t>
  </si>
  <si>
    <t xml:space="preserve">C:\Users\cbarrier\Desktop\BPA\BPA\20201118_Cefas_Test6-Run3/Plate 3/@8/B2_03.tif </t>
  </si>
  <si>
    <t xml:space="preserve">C:\Users\cbarrier\Desktop\BPA\BPA\20201118_Cefas_Test6-Run3/Plate 3/@8/C2_01.tif </t>
  </si>
  <si>
    <t xml:space="preserve">C:\Users\cbarrier\Desktop\BPA\BPA\20201118_Cefas_Test6-Run3/Plate 3/@8/C2_02.tif </t>
  </si>
  <si>
    <t xml:space="preserve">C:\Users\cbarrier\Desktop\BPA\BPA\20201118_Cefas_Test6-Run3/Plate 3/@8/C2_03.tif </t>
  </si>
  <si>
    <t xml:space="preserve">C:\Users\cbarrier\Desktop\BPA\BPA\20201118_Cefas_Test6-Run3/Plate 3/@8/D2_01.tif </t>
  </si>
  <si>
    <t xml:space="preserve">C:\Users\cbarrier\Desktop\BPA\BPA\20201118_Cefas_Test6-Run3/Plate 3/@8/D2_02.tif </t>
  </si>
  <si>
    <t xml:space="preserve">C:\Users\cbarrier\Desktop\BPA\BPA\20201118_Cefas_Test6-Run3/Plate 3/@8/D2_03.tif </t>
  </si>
  <si>
    <t xml:space="preserve">C:\Users\cbarrier\Desktop\BPA\BPA\20201118_Cefas_Test6-Run3/Plate 3/@8/E2_01.tif </t>
  </si>
  <si>
    <t xml:space="preserve">C:\Users\cbarrier\Desktop\BPA\BPA\20201118_Cefas_Test6-Run3/Plate 3/@8/E2_02.tif </t>
  </si>
  <si>
    <t xml:space="preserve">C:\Users\cbarrier\Desktop\BPA\BPA\20201118_Cefas_Test6-Run3/Plate 3/@8/E2_03.tif </t>
  </si>
  <si>
    <t xml:space="preserve">C:\Users\cbarrier\Desktop\BPA\BPA\20201118_Cefas_Test6-Run3/Plate 3/@8/F2_01.tif </t>
  </si>
  <si>
    <t xml:space="preserve">C:\Users\cbarrier\Desktop\BPA\BPA\20201118_Cefas_Test6-Run3/Plate 3/@8/F2_02.tif </t>
  </si>
  <si>
    <t xml:space="preserve">C:\Users\cbarrier\Desktop\BPA\BPA\20201118_Cefas_Test6-Run3/Plate 3/@8/F2_03.tif </t>
  </si>
  <si>
    <t xml:space="preserve">C:\Users\cbarrier\Desktop\BPA\BPA\20201118_Cefas_Test6-Run3/Plate 3/@8/G2_01.tif </t>
  </si>
  <si>
    <t xml:space="preserve">C:\Users\cbarrier\Desktop\BPA\BPA\20201118_Cefas_Test6-Run3/Plate 3/@8/G2_02.tif </t>
  </si>
  <si>
    <t xml:space="preserve">C:\Users\cbarrier\Desktop\BPA\BPA\20201118_Cefas_Test6-Run3/Plate 3/@8/G2_03.tif </t>
  </si>
  <si>
    <t xml:space="preserve">C:\Users\cbarrier\Desktop\BPA\BPA\20201118_Cefas_Test6-Run3/Plate 3/@8/H2_01.tif </t>
  </si>
  <si>
    <t xml:space="preserve">C:\Users\cbarrier\Desktop\BPA\BPA\20201118_Cefas_Test6-Run3/Plate 3/@8/H2_02.tif </t>
  </si>
  <si>
    <t xml:space="preserve">C:\Users\cbarrier\Desktop\BPA\BPA\20201118_Cefas_Test6-Run3/Plate 3/@8/H2_03.tif </t>
  </si>
  <si>
    <t xml:space="preserve">C:\Users\cbarrier\Desktop\BPA\BPA\20201118_Cefas_Test6-Run3/Plate 3/@8/ </t>
  </si>
  <si>
    <t xml:space="preserve">C:\Users\cbarrier\Desktop\BPA\BPA\20201118_Cefas_Test6-Run3/Plate 3/@9/A3_01.tif </t>
  </si>
  <si>
    <t xml:space="preserve">C:\Users\cbarrier\Desktop\BPA\BPA\20201118_Cefas_Test6-Run3/Plate 3/@9/A3_02.tif </t>
  </si>
  <si>
    <t xml:space="preserve">C:\Users\cbarrier\Desktop\BPA\BPA\20201118_Cefas_Test6-Run3/Plate 3/@9/A3_03.tif </t>
  </si>
  <si>
    <t xml:space="preserve">C:\Users\cbarrier\Desktop\BPA\BPA\20201118_Cefas_Test6-Run3/Plate 3/@9/B3_01.tif </t>
  </si>
  <si>
    <t xml:space="preserve">C:\Users\cbarrier\Desktop\BPA\BPA\20201118_Cefas_Test6-Run3/Plate 3/@9/B3_02.tif </t>
  </si>
  <si>
    <t xml:space="preserve">C:\Users\cbarrier\Desktop\BPA\BPA\20201118_Cefas_Test6-Run3/Plate 3/@9/B3_03.tif </t>
  </si>
  <si>
    <t xml:space="preserve">C:\Users\cbarrier\Desktop\BPA\BPA\20201118_Cefas_Test6-Run3/Plate 3/@9/C3_01.tif </t>
  </si>
  <si>
    <t xml:space="preserve">C:\Users\cbarrier\Desktop\BPA\BPA\20201118_Cefas_Test6-Run3/Plate 3/@9/C3_02.tif </t>
  </si>
  <si>
    <t xml:space="preserve">C:\Users\cbarrier\Desktop\BPA\BPA\20201118_Cefas_Test6-Run3/Plate 3/@9/C3_03.tif </t>
  </si>
  <si>
    <t xml:space="preserve">C:\Users\cbarrier\Desktop\BPA\BPA\20201118_Cefas_Test6-Run3/Plate 3/@9/D3_01.tif </t>
  </si>
  <si>
    <t xml:space="preserve">C:\Users\cbarrier\Desktop\BPA\BPA\20201118_Cefas_Test6-Run3/Plate 3/@9/D3_02.tif </t>
  </si>
  <si>
    <t xml:space="preserve">C:\Users\cbarrier\Desktop\BPA\BPA\20201118_Cefas_Test6-Run3/Plate 3/@9/D3_03.tif </t>
  </si>
  <si>
    <t xml:space="preserve">C:\Users\cbarrier\Desktop\BPA\BPA\20201118_Cefas_Test6-Run3/Plate 3/@9/E3_01.tif </t>
  </si>
  <si>
    <t xml:space="preserve">C:\Users\cbarrier\Desktop\BPA\BPA\20201118_Cefas_Test6-Run3/Plate 3/@9/E3_02.tif </t>
  </si>
  <si>
    <t xml:space="preserve">C:\Users\cbarrier\Desktop\BPA\BPA\20201118_Cefas_Test6-Run3/Plate 3/@9/E3_03.tif </t>
  </si>
  <si>
    <t xml:space="preserve">C:\Users\cbarrier\Desktop\BPA\BPA\20201118_Cefas_Test6-Run3/Plate 3/@9/F3_01.tif </t>
  </si>
  <si>
    <t xml:space="preserve">C:\Users\cbarrier\Desktop\BPA\BPA\20201118_Cefas_Test6-Run3/Plate 3/@9/F3_02.tif </t>
  </si>
  <si>
    <t xml:space="preserve">C:\Users\cbarrier\Desktop\BPA\BPA\20201118_Cefas_Test6-Run3/Plate 3/@9/F3_03.tif </t>
  </si>
  <si>
    <t xml:space="preserve">C:\Users\cbarrier\Desktop\BPA\BPA\20201118_Cefas_Test6-Run3/Plate 3/@9/G3_01.tif </t>
  </si>
  <si>
    <t xml:space="preserve">C:\Users\cbarrier\Desktop\BPA\BPA\20201118_Cefas_Test6-Run3/Plate 3/@9/G3_02.tif </t>
  </si>
  <si>
    <t xml:space="preserve">C:\Users\cbarrier\Desktop\BPA\BPA\20201118_Cefas_Test6-Run3/Plate 3/@9/G3_03.tif </t>
  </si>
  <si>
    <t xml:space="preserve">C:\Users\cbarrier\Desktop\BPA\BPA\20201118_Cefas_Test6-Run3/Plate 3/@9/H3_01.tif </t>
  </si>
  <si>
    <t xml:space="preserve">C:\Users\cbarrier\Desktop\BPA\BPA\20201118_Cefas_Test6-Run3/Plate 3/@9/H3_02.tif </t>
  </si>
  <si>
    <t xml:space="preserve">C:\Users\cbarrier\Desktop\BPA\BPA\20201118_Cefas_Test6-Run3/Plate 3/@9/H3_03.tif </t>
  </si>
  <si>
    <t xml:space="preserve">C:\Users\cbarrier\Desktop\BPA\BPA\20201118_Cefas_Test6-Run3/Plate 3/@9/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</si>
</sst>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1"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sz val="7"/>
      <name val="Arial"/>
      <family val="2"/>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47">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164" fontId="0" fillId="7" borderId="3" xfId="0" applyNumberFormat="1" applyFill="1" applyBorder="1" applyAlignment="1">
      <alignment horizontal="center"/>
    </xf>
    <xf numFmtId="164" fontId="0" fillId="7" borderId="17"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0" fillId="9" borderId="12" xfId="0" applyFill="1" applyBorder="1" applyAlignment="1">
      <alignment horizontal="center"/>
    </xf>
    <xf numFmtId="0" fontId="0" fillId="0" borderId="0" xfId="0"/>
    <xf numFmtId="0" fontId="0" fillId="9" borderId="12" xfId="0" applyFill="1" applyBorder="1" applyAlignment="1">
      <alignment horizontal="center"/>
    </xf>
    <xf numFmtId="0" fontId="0" fillId="0" borderId="0" xfId="0" applyNumberFormat="1"/>
    <xf numFmtId="0" fontId="3" fillId="0" borderId="3" xfId="0" applyFont="1" applyBorder="1" applyAlignment="1">
      <alignment vertical="center"/>
    </xf>
    <xf numFmtId="0" fontId="0" fillId="0" borderId="0" xfId="0" pivotButton="1"/>
    <xf numFmtId="0" fontId="0" fillId="0" borderId="0" xfId="0" applyAlignment="1">
      <alignment horizontal="left"/>
    </xf>
    <xf numFmtId="2" fontId="3" fillId="0" borderId="15" xfId="0" applyNumberFormat="1" applyFont="1" applyFill="1" applyBorder="1" applyAlignment="1">
      <alignment vertical="center"/>
    </xf>
    <xf numFmtId="0" fontId="3" fillId="0" borderId="3" xfId="0" applyNumberFormat="1" applyFont="1" applyFill="1" applyBorder="1" applyAlignment="1">
      <alignment horizontal="center" vertical="center"/>
    </xf>
    <xf numFmtId="0" fontId="20"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164" fontId="7" fillId="12" borderId="5" xfId="0" applyNumberFormat="1" applyFont="1" applyFill="1" applyBorder="1" applyAlignment="1">
      <alignment horizontal="left"/>
    </xf>
    <xf numFmtId="0" fontId="7" fillId="12" borderId="5" xfId="0" applyFont="1" applyFill="1" applyBorder="1" applyAlignment="1">
      <alignment horizontal="left"/>
    </xf>
    <xf numFmtId="0" fontId="1" fillId="2" borderId="5" xfId="0" applyFont="1" applyFill="1" applyBorder="1" applyAlignment="1">
      <alignment horizontal="center" vertical="center"/>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0.24954716600746679</c:v>
                  </c:pt>
                  <c:pt idx="2">
                    <c:v>0.45312558055857671</c:v>
                  </c:pt>
                  <c:pt idx="3">
                    <c:v>4.1102807042711111E-2</c:v>
                  </c:pt>
                  <c:pt idx="4">
                    <c:v>0.58448109107893886</c:v>
                  </c:pt>
                  <c:pt idx="5">
                    <c:v>0.45346709565064625</c:v>
                  </c:pt>
                  <c:pt idx="6">
                    <c:v>0.44249622621010193</c:v>
                  </c:pt>
                  <c:pt idx="7">
                    <c:v>0.56541659132181388</c:v>
                  </c:pt>
                  <c:pt idx="8">
                    <c:v>0.45535095585645607</c:v>
                  </c:pt>
                </c:numCache>
              </c:numRef>
            </c:plus>
            <c:minus>
              <c:numRef>
                <c:f>'R1'!$N$48:$V$48</c:f>
                <c:numCache>
                  <c:formatCode>General</c:formatCode>
                  <c:ptCount val="9"/>
                  <c:pt idx="0">
                    <c:v>0</c:v>
                  </c:pt>
                  <c:pt idx="1">
                    <c:v>0.24954716600746679</c:v>
                  </c:pt>
                  <c:pt idx="2">
                    <c:v>0.45312558055857671</c:v>
                  </c:pt>
                  <c:pt idx="3">
                    <c:v>4.1102807042711111E-2</c:v>
                  </c:pt>
                  <c:pt idx="4">
                    <c:v>0.58448109107893886</c:v>
                  </c:pt>
                  <c:pt idx="5">
                    <c:v>0.45346709565064625</c:v>
                  </c:pt>
                  <c:pt idx="6">
                    <c:v>0.44249622621010193</c:v>
                  </c:pt>
                  <c:pt idx="7">
                    <c:v>0.56541659132181388</c:v>
                  </c:pt>
                  <c:pt idx="8">
                    <c:v>0.45535095585645607</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strCache>
            </c:strRef>
          </c:cat>
          <c:val>
            <c:numRef>
              <c:f>'R1'!$B$53:$V$53</c:f>
              <c:numCache>
                <c:formatCode>0.0000</c:formatCode>
                <c:ptCount val="21"/>
                <c:pt idx="0">
                  <c:v>0.28711179742097781</c:v>
                </c:pt>
                <c:pt idx="1">
                  <c:v>0.27885507671434989</c:v>
                </c:pt>
                <c:pt idx="2">
                  <c:v>0.29579698899899443</c:v>
                </c:pt>
                <c:pt idx="3">
                  <c:v>1.589627535074531</c:v>
                </c:pt>
                <c:pt idx="4">
                  <c:v>3.3475787057035342</c:v>
                </c:pt>
                <c:pt idx="5">
                  <c:v>3.8854558950719187</c:v>
                </c:pt>
                <c:pt idx="6">
                  <c:v>5.9796625195592217</c:v>
                </c:pt>
                <c:pt idx="7">
                  <c:v>0.40205152165666391</c:v>
                </c:pt>
                <c:pt idx="8">
                  <c:v>0.20102891942245213</c:v>
                </c:pt>
                <c:pt idx="9">
                  <c:v>0.26945641976615853</c:v>
                </c:pt>
                <c:pt idx="10">
                  <c:v>1.5711879206961961</c:v>
                </c:pt>
                <c:pt idx="11">
                  <c:v>3.0883225703121182</c:v>
                </c:pt>
                <c:pt idx="13">
                  <c:v>0.99999999999999989</c:v>
                </c:pt>
                <c:pt idx="14">
                  <c:v>4.9194636556095812</c:v>
                </c:pt>
                <c:pt idx="15">
                  <c:v>0.15808032301624825</c:v>
                </c:pt>
                <c:pt idx="16">
                  <c:v>1.6819695667552899</c:v>
                </c:pt>
                <c:pt idx="17">
                  <c:v>3.2225625336470158</c:v>
                </c:pt>
                <c:pt idx="18">
                  <c:v>3.6939585188719466</c:v>
                </c:pt>
                <c:pt idx="19">
                  <c:v>4.1207470435553573</c:v>
                </c:pt>
                <c:pt idx="20">
                  <c:v>5.3850882298002318</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2.1169799562375139E-2</c:v>
                  </c:pt>
                  <c:pt idx="1">
                    <c:v>2.586095440943182E-2</c:v>
                  </c:pt>
                  <c:pt idx="2">
                    <c:v>1.8968644821349492E-2</c:v>
                  </c:pt>
                  <c:pt idx="3">
                    <c:v>3.8335221496451286E-2</c:v>
                  </c:pt>
                  <c:pt idx="4">
                    <c:v>9.7154849242037503E-2</c:v>
                  </c:pt>
                  <c:pt idx="5">
                    <c:v>0.21740639123390113</c:v>
                  </c:pt>
                  <c:pt idx="6">
                    <c:v>0.12386837897172352</c:v>
                  </c:pt>
                  <c:pt idx="7">
                    <c:v>3.4913910263508485E-2</c:v>
                  </c:pt>
                  <c:pt idx="8">
                    <c:v>3.3699871133926668E-2</c:v>
                  </c:pt>
                  <c:pt idx="9">
                    <c:v>2.0959106067909451E-2</c:v>
                  </c:pt>
                  <c:pt idx="10">
                    <c:v>0.24420068611254817</c:v>
                  </c:pt>
                  <c:pt idx="11">
                    <c:v>0.24076267963632031</c:v>
                  </c:pt>
                  <c:pt idx="13">
                    <c:v>0.19126297881440404</c:v>
                  </c:pt>
                  <c:pt idx="14">
                    <c:v>0.29525546825469384</c:v>
                  </c:pt>
                  <c:pt idx="15">
                    <c:v>2.4464900314738414E-2</c:v>
                  </c:pt>
                  <c:pt idx="16">
                    <c:v>0.22680078922417743</c:v>
                  </c:pt>
                  <c:pt idx="17">
                    <c:v>9.6086738108587533E-2</c:v>
                  </c:pt>
                  <c:pt idx="18">
                    <c:v>0.23482608830625687</c:v>
                  </c:pt>
                  <c:pt idx="19">
                    <c:v>0.22161505916919427</c:v>
                  </c:pt>
                  <c:pt idx="20">
                    <c:v>0.15464951930246995</c:v>
                  </c:pt>
                </c:numCache>
              </c:numRef>
            </c:plus>
            <c:minus>
              <c:numRef>
                <c:f>'R1'!$N$48:$V$48</c:f>
                <c:numCache>
                  <c:formatCode>General</c:formatCode>
                  <c:ptCount val="9"/>
                  <c:pt idx="0">
                    <c:v>0</c:v>
                  </c:pt>
                  <c:pt idx="1">
                    <c:v>0.24954716600746679</c:v>
                  </c:pt>
                  <c:pt idx="2">
                    <c:v>0.45312558055857671</c:v>
                  </c:pt>
                  <c:pt idx="3">
                    <c:v>4.1102807042711111E-2</c:v>
                  </c:pt>
                  <c:pt idx="4">
                    <c:v>0.58448109107893886</c:v>
                  </c:pt>
                  <c:pt idx="5">
                    <c:v>0.45346709565064625</c:v>
                  </c:pt>
                  <c:pt idx="6">
                    <c:v>0.44249622621010193</c:v>
                  </c:pt>
                  <c:pt idx="7">
                    <c:v>0.56541659132181388</c:v>
                  </c:pt>
                  <c:pt idx="8">
                    <c:v>0.45535095585645607</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strCache>
            </c:strRef>
          </c:cat>
          <c:val>
            <c:numRef>
              <c:f>'R2'!$B$53:$V$53</c:f>
              <c:numCache>
                <c:formatCode>0.0000</c:formatCode>
                <c:ptCount val="21"/>
                <c:pt idx="0">
                  <c:v>7.5471003775064799E-2</c:v>
                </c:pt>
                <c:pt idx="1">
                  <c:v>0.10244642144926765</c:v>
                </c:pt>
                <c:pt idx="2">
                  <c:v>7.5997429226482019E-2</c:v>
                </c:pt>
                <c:pt idx="3">
                  <c:v>0.11780963085220983</c:v>
                </c:pt>
                <c:pt idx="4">
                  <c:v>0.17216828052045899</c:v>
                </c:pt>
                <c:pt idx="5">
                  <c:v>1.9334980295205682</c:v>
                </c:pt>
                <c:pt idx="6">
                  <c:v>3.0003535676119482</c:v>
                </c:pt>
                <c:pt idx="7">
                  <c:v>0.15283929087148704</c:v>
                </c:pt>
                <c:pt idx="8">
                  <c:v>0.14942164522818621</c:v>
                </c:pt>
                <c:pt idx="9">
                  <c:v>9.9484081194436219E-2</c:v>
                </c:pt>
                <c:pt idx="10">
                  <c:v>0.6731096683504445</c:v>
                </c:pt>
                <c:pt idx="11">
                  <c:v>1.5656801487274261</c:v>
                </c:pt>
                <c:pt idx="13">
                  <c:v>1</c:v>
                </c:pt>
                <c:pt idx="14">
                  <c:v>2.3858498407246445</c:v>
                </c:pt>
                <c:pt idx="15">
                  <c:v>0.11768570181683487</c:v>
                </c:pt>
                <c:pt idx="16">
                  <c:v>1.3684101764194434</c:v>
                </c:pt>
                <c:pt idx="17">
                  <c:v>1.8857786283838325</c:v>
                </c:pt>
                <c:pt idx="18">
                  <c:v>2.0687755861028685</c:v>
                </c:pt>
                <c:pt idx="19">
                  <c:v>2.6882909292494008</c:v>
                </c:pt>
                <c:pt idx="20">
                  <c:v>2.5206652896632091</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'R3'!$B$54:$X$54</c:f>
                <c:numCache>
                  <c:formatCode>General</c:formatCode>
                  <c:ptCount val="23"/>
                  <c:pt idx="0">
                    <c:v>2.2142319573996351E-2</c:v>
                  </c:pt>
                  <c:pt idx="1">
                    <c:v>4.387046739915447E-2</c:v>
                  </c:pt>
                  <c:pt idx="2">
                    <c:v>3.8596027025372022E-2</c:v>
                  </c:pt>
                  <c:pt idx="3">
                    <c:v>0.11615731318052896</c:v>
                  </c:pt>
                  <c:pt idx="4">
                    <c:v>0.20495952479425708</c:v>
                  </c:pt>
                  <c:pt idx="5">
                    <c:v>0.24156726860485694</c:v>
                  </c:pt>
                  <c:pt idx="6">
                    <c:v>0.17873635590995918</c:v>
                  </c:pt>
                  <c:pt idx="7">
                    <c:v>1.6325518653027175E-2</c:v>
                  </c:pt>
                  <c:pt idx="8">
                    <c:v>1.3762611719698057E-2</c:v>
                  </c:pt>
                  <c:pt idx="9">
                    <c:v>2.6681496990793013E-2</c:v>
                  </c:pt>
                  <c:pt idx="10">
                    <c:v>0.12223248319514742</c:v>
                  </c:pt>
                  <c:pt idx="11">
                    <c:v>8.7726797101923618E-2</c:v>
                  </c:pt>
                  <c:pt idx="13">
                    <c:v>0.14277818838509165</c:v>
                  </c:pt>
                  <c:pt idx="14">
                    <c:v>0.13861377042072751</c:v>
                  </c:pt>
                  <c:pt idx="15">
                    <c:v>1.6005590546447613E-2</c:v>
                  </c:pt>
                  <c:pt idx="16">
                    <c:v>0.23633056730678653</c:v>
                  </c:pt>
                  <c:pt idx="17">
                    <c:v>0.15982899317465565</c:v>
                  </c:pt>
                  <c:pt idx="18">
                    <c:v>0.19008420863749106</c:v>
                  </c:pt>
                  <c:pt idx="19">
                    <c:v>0.2960753463091722</c:v>
                  </c:pt>
                  <c:pt idx="20">
                    <c:v>0.25128640102564825</c:v>
                  </c:pt>
                  <c:pt idx="21">
                    <c:v>0</c:v>
                  </c:pt>
                  <c:pt idx="22">
                    <c:v>0</c:v>
                  </c:pt>
                </c:numCache>
              </c:numRef>
            </c:plus>
            <c:minus>
              <c:numRef>
                <c:f>'R1'!$N$48:$V$48</c:f>
                <c:numCache>
                  <c:formatCode>General</c:formatCode>
                  <c:ptCount val="9"/>
                  <c:pt idx="0">
                    <c:v>0</c:v>
                  </c:pt>
                  <c:pt idx="1">
                    <c:v>0.24954716600746679</c:v>
                  </c:pt>
                  <c:pt idx="2">
                    <c:v>0.45312558055857671</c:v>
                  </c:pt>
                  <c:pt idx="3">
                    <c:v>4.1102807042711111E-2</c:v>
                  </c:pt>
                  <c:pt idx="4">
                    <c:v>0.58448109107893886</c:v>
                  </c:pt>
                  <c:pt idx="5">
                    <c:v>0.45346709565064625</c:v>
                  </c:pt>
                  <c:pt idx="6">
                    <c:v>0.44249622621010193</c:v>
                  </c:pt>
                  <c:pt idx="7">
                    <c:v>0.56541659132181388</c:v>
                  </c:pt>
                  <c:pt idx="8">
                    <c:v>0.45535095585645607</c:v>
                  </c:pt>
                </c:numCache>
              </c:numRef>
            </c:minus>
          </c:errBars>
          <c:cat>
            <c:strRef>
              <c:f>'R3'!$B$52:$AK$52</c:f>
              <c:strCache>
                <c:ptCount val="36"/>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'R3'!$B$53:$AK$53</c:f>
              <c:numCache>
                <c:formatCode>0.0000</c:formatCode>
                <c:ptCount val="36"/>
                <c:pt idx="0">
                  <c:v>7.5028694826113101E-2</c:v>
                </c:pt>
                <c:pt idx="1">
                  <c:v>0.17045229160096434</c:v>
                </c:pt>
                <c:pt idx="2">
                  <c:v>0.13354081291877376</c:v>
                </c:pt>
                <c:pt idx="3">
                  <c:v>0.43660921425636201</c:v>
                </c:pt>
                <c:pt idx="4">
                  <c:v>1.2034605297396945</c:v>
                </c:pt>
                <c:pt idx="5">
                  <c:v>1.7861013629921652</c:v>
                </c:pt>
                <c:pt idx="6">
                  <c:v>2.0321641136260289</c:v>
                </c:pt>
                <c:pt idx="7">
                  <c:v>0.10366887291127755</c:v>
                </c:pt>
                <c:pt idx="8">
                  <c:v>6.9775407958882249E-2</c:v>
                </c:pt>
                <c:pt idx="9">
                  <c:v>9.4152736145613203E-2</c:v>
                </c:pt>
                <c:pt idx="10">
                  <c:v>0.5682546605893577</c:v>
                </c:pt>
                <c:pt idx="11">
                  <c:v>0.97083350431133086</c:v>
                </c:pt>
                <c:pt idx="13">
                  <c:v>1</c:v>
                </c:pt>
                <c:pt idx="14">
                  <c:v>2.0800810164388492</c:v>
                </c:pt>
                <c:pt idx="15">
                  <c:v>7.3942649847199518E-2</c:v>
                </c:pt>
                <c:pt idx="16">
                  <c:v>0.97949842972489842</c:v>
                </c:pt>
                <c:pt idx="17">
                  <c:v>1.720376732451431</c:v>
                </c:pt>
                <c:pt idx="18">
                  <c:v>1.9795675481543655</c:v>
                </c:pt>
                <c:pt idx="19">
                  <c:v>1.8050656812916881</c:v>
                </c:pt>
                <c:pt idx="20">
                  <c:v>1.7952970805436186</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5896A223-CAB9-47CA-9A40-FEB25E72C2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197F19DD-7FFA-42A7-938E-A853F4BB6D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5A2183D3-43F8-4EC6-9734-1C995CD4B75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7EB3F334-4B3B-4BA0-AB05-756E6BAAD2B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C31BACD8-C6E1-4455-A3ED-7851D7EE21F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E7A3C96C-2B72-40D0-AE57-FA495239803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4ECB1E79-D493-4AF6-B2F9-6C6FE91DB39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56D6904E-E314-4C50-92CD-08B581180A4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820C8673-04D1-426F-BFE8-8D974C01378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F8DED32E-4288-4F71-8BB8-6DE19A8CAD8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FEF14AF7-475A-48C9-B6C1-5A8B3ECCAD6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26772DCE-D62B-454B-9BBD-4B1EA505184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BD0DD4F7-F3B9-4293-A99D-121016B8B8B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3F65E4D4-8A5D-4496-8DE1-0D6C67D648F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CC5F5584-0FFD-455E-B592-F7764DB97CD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A6620603-A0B9-4722-A599-39D2CEBEF2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67A054C5-55EE-4303-899E-4BF741FD2BE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348D3DE4-36BF-4327-9A56-4F87A43C7F9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C362CD14-1A6C-495F-9987-91DC1D54A81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0FF6DF29-F7CB-4EA1-9A88-3F8AC2D712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3.0531433013272886E-2</c:v>
                  </c:pt>
                  <c:pt idx="1">
                    <c:v>3.5091235742612872E-2</c:v>
                  </c:pt>
                  <c:pt idx="2">
                    <c:v>3.7338504550749524E-2</c:v>
                  </c:pt>
                  <c:pt idx="3">
                    <c:v>0.21548591497448694</c:v>
                  </c:pt>
                  <c:pt idx="4">
                    <c:v>0.29958333091716993</c:v>
                  </c:pt>
                  <c:pt idx="5">
                    <c:v>0.32325339651262858</c:v>
                  </c:pt>
                  <c:pt idx="6">
                    <c:v>0.37534791373759713</c:v>
                  </c:pt>
                  <c:pt idx="7">
                    <c:v>3.8003391581808731E-2</c:v>
                  </c:pt>
                  <c:pt idx="8">
                    <c:v>1.8465488268766504E-2</c:v>
                  </c:pt>
                  <c:pt idx="9">
                    <c:v>2.2157779662519372E-2</c:v>
                  </c:pt>
                  <c:pt idx="10">
                    <c:v>0.14868152513357488</c:v>
                  </c:pt>
                  <c:pt idx="11">
                    <c:v>0.30308135839246209</c:v>
                  </c:pt>
                  <c:pt idx="13">
                    <c:v>0.11132092883161762</c:v>
                  </c:pt>
                  <c:pt idx="14">
                    <c:v>0.31942541168901378</c:v>
                  </c:pt>
                  <c:pt idx="15">
                    <c:v>1.7590552408504653E-2</c:v>
                  </c:pt>
                  <c:pt idx="16">
                    <c:v>0.22165521420248929</c:v>
                  </c:pt>
                  <c:pt idx="17">
                    <c:v>0.23903111070727129</c:v>
                  </c:pt>
                  <c:pt idx="18">
                    <c:v>0.23689778890634489</c:v>
                  </c:pt>
                  <c:pt idx="19">
                    <c:v>0.30376905743441812</c:v>
                  </c:pt>
                  <c:pt idx="20">
                    <c:v>0.36647030697039523</c:v>
                  </c:pt>
                </c:numCache>
              </c:numRef>
            </c:plus>
            <c:minus>
              <c:numRef>
                <c:f>'pooled normalised values'!$B$76:$V$76</c:f>
                <c:numCache>
                  <c:formatCode>General</c:formatCode>
                  <c:ptCount val="21"/>
                  <c:pt idx="0">
                    <c:v>3.0531433013272886E-2</c:v>
                  </c:pt>
                  <c:pt idx="1">
                    <c:v>3.5091235742612872E-2</c:v>
                  </c:pt>
                  <c:pt idx="2">
                    <c:v>3.7338504550749524E-2</c:v>
                  </c:pt>
                  <c:pt idx="3">
                    <c:v>0.21548591497448694</c:v>
                  </c:pt>
                  <c:pt idx="4">
                    <c:v>0.29958333091716993</c:v>
                  </c:pt>
                  <c:pt idx="5">
                    <c:v>0.32325339651262858</c:v>
                  </c:pt>
                  <c:pt idx="6">
                    <c:v>0.37534791373759713</c:v>
                  </c:pt>
                  <c:pt idx="7">
                    <c:v>3.8003391581808731E-2</c:v>
                  </c:pt>
                  <c:pt idx="8">
                    <c:v>1.8465488268766504E-2</c:v>
                  </c:pt>
                  <c:pt idx="9">
                    <c:v>2.2157779662519372E-2</c:v>
                  </c:pt>
                  <c:pt idx="10">
                    <c:v>0.14868152513357488</c:v>
                  </c:pt>
                  <c:pt idx="11">
                    <c:v>0.30308135839246209</c:v>
                  </c:pt>
                  <c:pt idx="13">
                    <c:v>0.11132092883161762</c:v>
                  </c:pt>
                  <c:pt idx="14">
                    <c:v>0.31942541168901378</c:v>
                  </c:pt>
                  <c:pt idx="15">
                    <c:v>1.7590552408504653E-2</c:v>
                  </c:pt>
                  <c:pt idx="16">
                    <c:v>0.22165521420248929</c:v>
                  </c:pt>
                  <c:pt idx="17">
                    <c:v>0.23903111070727129</c:v>
                  </c:pt>
                  <c:pt idx="18">
                    <c:v>0.23689778890634489</c:v>
                  </c:pt>
                  <c:pt idx="19">
                    <c:v>0.30376905743441812</c:v>
                  </c:pt>
                  <c:pt idx="20">
                    <c:v>0.36647030697039523</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strCache>
            </c:strRef>
          </c:cat>
          <c:val>
            <c:numRef>
              <c:f>'pooled normalised values'!$B$75:$V$75</c:f>
              <c:numCache>
                <c:formatCode>0.0000</c:formatCode>
                <c:ptCount val="21"/>
                <c:pt idx="0">
                  <c:v>0.15229055770800312</c:v>
                </c:pt>
                <c:pt idx="1">
                  <c:v>0.18330585545241077</c:v>
                </c:pt>
                <c:pt idx="2">
                  <c:v>0.1684450770480834</c:v>
                </c:pt>
                <c:pt idx="3">
                  <c:v>0.74063310480924405</c:v>
                </c:pt>
                <c:pt idx="4">
                  <c:v>1.5744025053212292</c:v>
                </c:pt>
                <c:pt idx="5">
                  <c:v>2.5009767443674882</c:v>
                </c:pt>
                <c:pt idx="6">
                  <c:v>3.7419685866413728</c:v>
                </c:pt>
                <c:pt idx="7">
                  <c:v>0.21158373747212017</c:v>
                </c:pt>
                <c:pt idx="8">
                  <c:v>0.14007532420317351</c:v>
                </c:pt>
                <c:pt idx="9">
                  <c:v>0.15675051372414034</c:v>
                </c:pt>
                <c:pt idx="10">
                  <c:v>0.94901340559728442</c:v>
                </c:pt>
                <c:pt idx="11">
                  <c:v>1.9498933351780448</c:v>
                </c:pt>
                <c:pt idx="13">
                  <c:v>1.0000000000000002</c:v>
                </c:pt>
                <c:pt idx="14">
                  <c:v>3.1284648375910251</c:v>
                </c:pt>
                <c:pt idx="15">
                  <c:v>0.11656955822676086</c:v>
                </c:pt>
                <c:pt idx="16">
                  <c:v>1.3432927242998771</c:v>
                </c:pt>
                <c:pt idx="17">
                  <c:v>2.3874118113026253</c:v>
                </c:pt>
                <c:pt idx="18">
                  <c:v>2.5807672177097269</c:v>
                </c:pt>
                <c:pt idx="19">
                  <c:v>2.8793277523270513</c:v>
                </c:pt>
                <c:pt idx="20">
                  <c:v>3.2336835333356859</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c:v>
                  </c:pt>
                  <c:pt idx="11">
                    <c:v>***</c:v>
                  </c:pt>
                  <c:pt idx="13">
                    <c:v>***</c:v>
                  </c:pt>
                  <c:pt idx="14">
                    <c:v>***</c:v>
                  </c:pt>
                  <c:pt idx="15">
                    <c:v>***</c:v>
                  </c:pt>
                  <c:pt idx="16">
                    <c:v>NS</c:v>
                  </c:pt>
                  <c:pt idx="17">
                    <c:v>***</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4363A183-D415-4E49-AFF0-5E2FC9B1077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BPA-1mg/L : 0%</c:v>
                  </c:pt>
                  <c:pt idx="1">
                    <c:v>BPA-2mg/L : 0%</c:v>
                  </c:pt>
                  <c:pt idx="2">
                    <c:v>BPA-3mg/L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AC516FD4-2116-4F00-94FE-945FAF1DF1AE}"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BPA-1mg/L : 0%</c:v>
                  </c:pt>
                  <c:pt idx="1">
                    <c:v>#NOMBRE!</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BPA-1mg/L : 0%</c:v>
                  </c:pt>
                  <c:pt idx="1">
                    <c:v>BPA-2mg/L : 0%</c:v>
                  </c:pt>
                  <c:pt idx="2">
                    <c:v>BPA-3mg/L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BPA-1mg/L : 0%</c:v>
                  </c:pt>
                  <c:pt idx="1">
                    <c:v>#NOMBRE!</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F8FFA566-B1F5-413C-9BBF-58F25858EC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31B3218C-C0CF-414B-95CE-3E66871F98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E2DA113E-D557-489B-A3F5-5D6E9CF0ED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66AA5080-8C45-45BD-8775-3BB62BDB75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2BC17865-78C2-44A4-8F41-A8500ED8801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51285FCC-B049-41EA-BF18-85CDAC60E5E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48C63142-D87F-454A-B9C9-5EF51E2E82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680EEFAB-CDFC-4523-9B4C-8E99B3465B3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3752C325-5328-42B1-86E0-A634FA1CCB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5E0917C7-2234-4822-A966-20C8ECCA1B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431EB446-2413-49C0-BBD4-D59C3642282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3B561B6D-A423-4607-B69F-13D6165A6C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D492C6BA-C81D-42B6-ACB4-A4080B5C4B3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3AB04411-F1C1-4A10-9C6B-A5D50CC93D2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1.8465488268766504E-2</c:v>
                  </c:pt>
                  <c:pt idx="2">
                    <c:v>2.2157779662519372E-2</c:v>
                  </c:pt>
                  <c:pt idx="3">
                    <c:v>0.14868152513357488</c:v>
                  </c:pt>
                  <c:pt idx="4">
                    <c:v>0.30308135839246209</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1.8465488268766504E-2</c:v>
                  </c:pt>
                  <c:pt idx="2">
                    <c:v>2.2157779662519372E-2</c:v>
                  </c:pt>
                  <c:pt idx="3">
                    <c:v>0.14868152513357488</c:v>
                  </c:pt>
                  <c:pt idx="4">
                    <c:v>0.30308135839246209</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0.14007532420317351</c:v>
                </c:pt>
                <c:pt idx="2">
                  <c:v>0.15675051372414034</c:v>
                </c:pt>
                <c:pt idx="3">
                  <c:v>0.94901340559728442</c:v>
                </c:pt>
                <c:pt idx="4">
                  <c:v>1.9498933351780448</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0.15229055770800312</c:v>
                </c:pt>
                <c:pt idx="1">
                  <c:v>0.15229055770800312</c:v>
                </c:pt>
                <c:pt idx="2">
                  <c:v>0.15229055770800312</c:v>
                </c:pt>
                <c:pt idx="3">
                  <c:v>0.15229055770800312</c:v>
                </c:pt>
                <c:pt idx="4">
                  <c:v>0.15229055770800312</c:v>
                </c:pt>
                <c:pt idx="5">
                  <c:v>0.15229055770800312</c:v>
                </c:pt>
                <c:pt idx="6">
                  <c:v>0.15229055770800312</c:v>
                </c:pt>
                <c:pt idx="7">
                  <c:v>0.15229055770800312</c:v>
                </c:pt>
                <c:pt idx="8">
                  <c:v>0.15229055770800312</c:v>
                </c:pt>
                <c:pt idx="9">
                  <c:v>0.15229055770800312</c:v>
                </c:pt>
                <c:pt idx="10">
                  <c:v>0.15229055770800312</c:v>
                </c:pt>
                <c:pt idx="11">
                  <c:v>0.15229055770800312</c:v>
                </c:pt>
                <c:pt idx="12">
                  <c:v>0.15229055770800312</c:v>
                </c:pt>
                <c:pt idx="13">
                  <c:v>0.15229055770800312</c:v>
                </c:pt>
                <c:pt idx="14">
                  <c:v>0.15229055770800312</c:v>
                </c:pt>
                <c:pt idx="15">
                  <c:v>0.15229055770800312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0.11656955822676086</c:v>
                </c:pt>
                <c:pt idx="1">
                  <c:v>0.11656955822676086</c:v>
                </c:pt>
                <c:pt idx="2">
                  <c:v>0.11656955822676086</c:v>
                </c:pt>
                <c:pt idx="3">
                  <c:v>0.11656955822676086</c:v>
                </c:pt>
                <c:pt idx="4">
                  <c:v>0.11656955822676086</c:v>
                </c:pt>
                <c:pt idx="5">
                  <c:v>0.11656955822676086</c:v>
                </c:pt>
                <c:pt idx="6">
                  <c:v>0.11656955822676086</c:v>
                </c:pt>
                <c:pt idx="7">
                  <c:v>0.11656955822676086</c:v>
                </c:pt>
                <c:pt idx="8">
                  <c:v>0.11656955822676086</c:v>
                </c:pt>
                <c:pt idx="9">
                  <c:v>0.11656955822676086</c:v>
                </c:pt>
                <c:pt idx="10">
                  <c:v>0.11656955822676086</c:v>
                </c:pt>
                <c:pt idx="11">
                  <c:v>0.11656955822676086</c:v>
                </c:pt>
                <c:pt idx="12">
                  <c:v>0.11656955822676086</c:v>
                </c:pt>
                <c:pt idx="13">
                  <c:v>0.11656955822676086</c:v>
                </c:pt>
                <c:pt idx="14">
                  <c:v>0.11656955822676086</c:v>
                </c:pt>
                <c:pt idx="15">
                  <c:v>0.11656955822676086</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3.0118952793642642</c:v>
                </c:pt>
                <c:pt idx="1">
                  <c:v>3.0118952793642642</c:v>
                </c:pt>
                <c:pt idx="2">
                  <c:v>3.0118952793642642</c:v>
                </c:pt>
                <c:pt idx="3">
                  <c:v>3.0118952793642642</c:v>
                </c:pt>
                <c:pt idx="4">
                  <c:v>3.0118952793642642</c:v>
                </c:pt>
                <c:pt idx="5">
                  <c:v>3.0118952793642642</c:v>
                </c:pt>
                <c:pt idx="6">
                  <c:v>3.0118952793642642</c:v>
                </c:pt>
                <c:pt idx="7">
                  <c:v>3.0118952793642642</c:v>
                </c:pt>
                <c:pt idx="8">
                  <c:v>3.0118952793642642</c:v>
                </c:pt>
                <c:pt idx="9">
                  <c:v>3.0118952793642642</c:v>
                </c:pt>
                <c:pt idx="10">
                  <c:v>3.0118952793642642</c:v>
                </c:pt>
                <c:pt idx="11">
                  <c:v>3.0118952793642642</c:v>
                </c:pt>
                <c:pt idx="12">
                  <c:v>3.0118952793642642</c:v>
                </c:pt>
                <c:pt idx="13">
                  <c:v>3.0118952793642642</c:v>
                </c:pt>
                <c:pt idx="14">
                  <c:v>3.0118952793642642</c:v>
                </c:pt>
                <c:pt idx="15">
                  <c:v>3.0118952793642642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-0.51189527936426416</c:v>
                </c:pt>
                <c:pt idx="1">
                  <c:v>-0.51189527936426416</c:v>
                </c:pt>
                <c:pt idx="2">
                  <c:v>-0.51189527936426416</c:v>
                </c:pt>
                <c:pt idx="3">
                  <c:v>-0.51189527936426416</c:v>
                </c:pt>
                <c:pt idx="4">
                  <c:v>-0.51189527936426416</c:v>
                </c:pt>
                <c:pt idx="5">
                  <c:v>-0.51189527936426416</c:v>
                </c:pt>
                <c:pt idx="6">
                  <c:v>-0.51189527936426416</c:v>
                </c:pt>
                <c:pt idx="7">
                  <c:v>-0.51189527936426416</c:v>
                </c:pt>
                <c:pt idx="8">
                  <c:v>-0.51189527936426416</c:v>
                </c:pt>
                <c:pt idx="9">
                  <c:v>-0.51189527936426416</c:v>
                </c:pt>
                <c:pt idx="10">
                  <c:v>-0.51189527936426416</c:v>
                </c:pt>
                <c:pt idx="11">
                  <c:v>-0.51189527936426416</c:v>
                </c:pt>
                <c:pt idx="12">
                  <c:v>-0.51189527936426416</c:v>
                </c:pt>
                <c:pt idx="13">
                  <c:v>-0.51189527936426416</c:v>
                </c:pt>
                <c:pt idx="14">
                  <c:v>-0.51189527936426416</c:v>
                </c:pt>
                <c:pt idx="15">
                  <c:v>-0.51189527936426416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8E5B3D0B-212A-4466-830F-19C2F4A962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B517FD4A-EA16-44BF-A6E0-1A9F040523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DAD9737F-5FBC-4FEA-9CAE-D334961566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B28CDD0B-01BD-4070-9C52-1F6CED867B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74A47EA5-6D5C-44C1-A3D9-C30EC76ACB4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BBF7E091-8FD4-43E9-8398-C056798AAC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7684907C-3187-489B-8548-8D03B5FF989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785F1B52-A0F0-4642-A6AC-6A3D17167B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DE8A8C21-419E-4DB3-AF7D-820215D07B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EAC35C7F-75BF-46CC-BA94-A5C2F881499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22C6DF6A-B13A-4A33-AB85-A508795B66D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121BB651-FA24-45A2-AF61-1DBA8740B38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F6555BBB-043C-426E-8DDC-872FA179552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0984DBA7-2327-4AA0-A128-C2D6E89369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0.22165521420248929</c:v>
                  </c:pt>
                  <c:pt idx="2">
                    <c:v>0.23903111070727129</c:v>
                  </c:pt>
                  <c:pt idx="3">
                    <c:v>0.23689778890634489</c:v>
                  </c:pt>
                  <c:pt idx="4">
                    <c:v>0.30376905743441812</c:v>
                  </c:pt>
                  <c:pt idx="5">
                    <c:v>0.36647030697039523</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0.22165521420248929</c:v>
                  </c:pt>
                  <c:pt idx="2">
                    <c:v>0.23903111070727129</c:v>
                  </c:pt>
                  <c:pt idx="3">
                    <c:v>0.23689778890634489</c:v>
                  </c:pt>
                  <c:pt idx="4">
                    <c:v>0.30376905743441812</c:v>
                  </c:pt>
                  <c:pt idx="5">
                    <c:v>0.36647030697039523</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1.3432927242998771</c:v>
                </c:pt>
                <c:pt idx="2">
                  <c:v>2.3874118113026253</c:v>
                </c:pt>
                <c:pt idx="3">
                  <c:v>2.5807672177097269</c:v>
                </c:pt>
                <c:pt idx="4">
                  <c:v>2.8793277523270513</c:v>
                </c:pt>
                <c:pt idx="5">
                  <c:v>3.2336835333356859</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C31A663F-6596-4189-AEEC-4610FDBD193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FE4C8BA0-697A-425D-81C3-DDE4EBDAD1F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DA464124-2E2E-4E9D-A24D-152C5C0EBF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4086D6BD-1F22-4085-A2FC-02EC0956F16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74D653E3-6A54-49F0-990A-3FDF88D94B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17DFB7DF-C399-4F70-B95A-1CB243CE72B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FF2FF0E4-6A31-4F18-A0EA-727395AB634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51DD78AD-9106-47F5-A9E1-658CBAE2AA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22F1DCEA-5A2A-435A-92FC-93B21AA1ED0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0520C105-3961-49E1-AA0B-E99FE5AFAE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9D64A281-76A5-49AB-B3AC-DFC85230DC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F7BD73C0-F3A7-42CE-98DB-3A1DB7B9945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28A75E52-5AC7-4C3B-BA96-159652263D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82D05EE2-5E53-4DD7-9E6E-C48A97FCA63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1.8465488268766504E-2</c:v>
                  </c:pt>
                  <c:pt idx="2">
                    <c:v>2.2157779662519372E-2</c:v>
                  </c:pt>
                  <c:pt idx="3">
                    <c:v>0.14868152513357488</c:v>
                  </c:pt>
                  <c:pt idx="4">
                    <c:v>0.30308135839246209</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1.8465488268766504E-2</c:v>
                  </c:pt>
                  <c:pt idx="2">
                    <c:v>2.2157779662519372E-2</c:v>
                  </c:pt>
                  <c:pt idx="3">
                    <c:v>0.14868152513357488</c:v>
                  </c:pt>
                  <c:pt idx="4">
                    <c:v>0.30308135839246209</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0.14007532420317351</c:v>
                </c:pt>
                <c:pt idx="2">
                  <c:v>0.15675051372414034</c:v>
                </c:pt>
                <c:pt idx="3">
                  <c:v>0.94901340559728442</c:v>
                </c:pt>
                <c:pt idx="4">
                  <c:v>1.9498933351780448</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0.15229055770800312</c:v>
                </c:pt>
                <c:pt idx="1">
                  <c:v>0.15229055770800312</c:v>
                </c:pt>
                <c:pt idx="2">
                  <c:v>0.15229055770800312</c:v>
                </c:pt>
                <c:pt idx="3">
                  <c:v>0.15229055770800312</c:v>
                </c:pt>
                <c:pt idx="4">
                  <c:v>0.15229055770800312</c:v>
                </c:pt>
                <c:pt idx="5">
                  <c:v>0.15229055770800312</c:v>
                </c:pt>
                <c:pt idx="6">
                  <c:v>0.15229055770800312</c:v>
                </c:pt>
                <c:pt idx="7">
                  <c:v>0.15229055770800312</c:v>
                </c:pt>
                <c:pt idx="8">
                  <c:v>0.15229055770800312</c:v>
                </c:pt>
                <c:pt idx="9">
                  <c:v>0.15229055770800312</c:v>
                </c:pt>
                <c:pt idx="10">
                  <c:v>0.15229055770800312</c:v>
                </c:pt>
                <c:pt idx="11">
                  <c:v>0.15229055770800312</c:v>
                </c:pt>
                <c:pt idx="12">
                  <c:v>0.15229055770800312</c:v>
                </c:pt>
                <c:pt idx="13">
                  <c:v>0.15229055770800312</c:v>
                </c:pt>
                <c:pt idx="14">
                  <c:v>0.15229055770800312</c:v>
                </c:pt>
                <c:pt idx="15">
                  <c:v>0.15229055770800312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0.11656955822676086</c:v>
                </c:pt>
                <c:pt idx="1">
                  <c:v>0.11656955822676086</c:v>
                </c:pt>
                <c:pt idx="2">
                  <c:v>0.11656955822676086</c:v>
                </c:pt>
                <c:pt idx="3">
                  <c:v>0.11656955822676086</c:v>
                </c:pt>
                <c:pt idx="4">
                  <c:v>0.11656955822676086</c:v>
                </c:pt>
                <c:pt idx="5">
                  <c:v>0.11656955822676086</c:v>
                </c:pt>
                <c:pt idx="6">
                  <c:v>0.11656955822676086</c:v>
                </c:pt>
                <c:pt idx="7">
                  <c:v>0.11656955822676086</c:v>
                </c:pt>
                <c:pt idx="8">
                  <c:v>0.11656955822676086</c:v>
                </c:pt>
                <c:pt idx="9">
                  <c:v>0.11656955822676086</c:v>
                </c:pt>
                <c:pt idx="10">
                  <c:v>0.11656955822676086</c:v>
                </c:pt>
                <c:pt idx="11">
                  <c:v>0.11656955822676086</c:v>
                </c:pt>
                <c:pt idx="12">
                  <c:v>0.11656955822676086</c:v>
                </c:pt>
                <c:pt idx="13">
                  <c:v>0.11656955822676086</c:v>
                </c:pt>
                <c:pt idx="14">
                  <c:v>0.11656955822676086</c:v>
                </c:pt>
                <c:pt idx="15">
                  <c:v>0.11656955822676086</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3.0118952793642642</c:v>
                </c:pt>
                <c:pt idx="1">
                  <c:v>3.0118952793642642</c:v>
                </c:pt>
                <c:pt idx="2">
                  <c:v>3.0118952793642642</c:v>
                </c:pt>
                <c:pt idx="3">
                  <c:v>3.0118952793642642</c:v>
                </c:pt>
                <c:pt idx="4">
                  <c:v>3.0118952793642642</c:v>
                </c:pt>
                <c:pt idx="5">
                  <c:v>3.0118952793642642</c:v>
                </c:pt>
                <c:pt idx="6">
                  <c:v>3.0118952793642642</c:v>
                </c:pt>
                <c:pt idx="7">
                  <c:v>3.0118952793642642</c:v>
                </c:pt>
                <c:pt idx="8">
                  <c:v>3.0118952793642642</c:v>
                </c:pt>
                <c:pt idx="9">
                  <c:v>3.0118952793642642</c:v>
                </c:pt>
                <c:pt idx="10">
                  <c:v>3.0118952793642642</c:v>
                </c:pt>
                <c:pt idx="11">
                  <c:v>3.0118952793642642</c:v>
                </c:pt>
                <c:pt idx="12">
                  <c:v>3.0118952793642642</c:v>
                </c:pt>
                <c:pt idx="13">
                  <c:v>3.0118952793642642</c:v>
                </c:pt>
                <c:pt idx="14">
                  <c:v>3.0118952793642642</c:v>
                </c:pt>
                <c:pt idx="15">
                  <c:v>3.0118952793642642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-0.51189527936426416</c:v>
                </c:pt>
                <c:pt idx="1">
                  <c:v>-0.51189527936426416</c:v>
                </c:pt>
                <c:pt idx="2">
                  <c:v>-0.51189527936426416</c:v>
                </c:pt>
                <c:pt idx="3">
                  <c:v>-0.51189527936426416</c:v>
                </c:pt>
                <c:pt idx="4">
                  <c:v>-0.51189527936426416</c:v>
                </c:pt>
                <c:pt idx="5">
                  <c:v>-0.51189527936426416</c:v>
                </c:pt>
                <c:pt idx="6">
                  <c:v>-0.51189527936426416</c:v>
                </c:pt>
                <c:pt idx="7">
                  <c:v>-0.51189527936426416</c:v>
                </c:pt>
                <c:pt idx="8">
                  <c:v>-0.51189527936426416</c:v>
                </c:pt>
                <c:pt idx="9">
                  <c:v>-0.51189527936426416</c:v>
                </c:pt>
                <c:pt idx="10">
                  <c:v>-0.51189527936426416</c:v>
                </c:pt>
                <c:pt idx="11">
                  <c:v>-0.51189527936426416</c:v>
                </c:pt>
                <c:pt idx="12">
                  <c:v>-0.51189527936426416</c:v>
                </c:pt>
                <c:pt idx="13">
                  <c:v>-0.51189527936426416</c:v>
                </c:pt>
                <c:pt idx="14">
                  <c:v>-0.51189527936426416</c:v>
                </c:pt>
                <c:pt idx="15">
                  <c:v>-0.51189527936426416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3F80BD61-DCA6-450E-8B24-E10F5FF94D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8774D6C1-CC06-4983-8DBB-66ADE16996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777931E5-F007-4FFE-9191-B84253998E9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CB6DDFC5-19F9-4D07-A266-4584CA59C2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2571FF06-C354-4F71-8778-4E033D6F139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D4104F12-1380-424C-A713-0117FB4AA57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8CF403CA-6F53-4196-A3FA-7215B510956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5292364E-FBEC-4AB8-850C-B5D2CD5D93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860867C9-A7F4-466A-8F9F-D0EDC3995D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CEBE8B4F-E342-4E70-9848-55996254C45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17CD9FA1-46D9-4F1B-9D9F-56CA502243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1A5A8CA6-654F-40BF-927A-99B11721E91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D7795C55-543C-4F10-90CF-C6E0F043E06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4C00AB77-227F-4886-9A0B-7EBA58A64F5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0.22165521420248929</c:v>
                  </c:pt>
                  <c:pt idx="2">
                    <c:v>0.23903111070727129</c:v>
                  </c:pt>
                  <c:pt idx="3">
                    <c:v>0.23689778890634489</c:v>
                  </c:pt>
                  <c:pt idx="4">
                    <c:v>0.30376905743441812</c:v>
                  </c:pt>
                  <c:pt idx="5">
                    <c:v>0.36647030697039523</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0.22165521420248929</c:v>
                  </c:pt>
                  <c:pt idx="2">
                    <c:v>0.23903111070727129</c:v>
                  </c:pt>
                  <c:pt idx="3">
                    <c:v>0.23689778890634489</c:v>
                  </c:pt>
                  <c:pt idx="4">
                    <c:v>0.30376905743441812</c:v>
                  </c:pt>
                  <c:pt idx="5">
                    <c:v>0.36647030697039523</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1.3432927242998771</c:v>
                </c:pt>
                <c:pt idx="2">
                  <c:v>2.3874118113026253</c:v>
                </c:pt>
                <c:pt idx="3">
                  <c:v>2.5807672177097269</c:v>
                </c:pt>
                <c:pt idx="4">
                  <c:v>2.8793277523270513</c:v>
                </c:pt>
                <c:pt idx="5">
                  <c:v>3.2336835333356859</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BPA-2mg/L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BPA-2mg/L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BPA-2mg/L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00268BAF-AA2A-4F20-9D1D-719A266A12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2BD2A37A-70E3-4038-AE2C-9240AFCBFD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1.8465488268766504E-2</c:v>
                  </c:pt>
                </c:numCache>
              </c:numRef>
            </c:plus>
            <c:minus>
              <c:numRef>
                <c:f>'Graph format rapport CHG 1éch'!$E$4:$G$4</c:f>
                <c:numCache>
                  <c:formatCode>General</c:formatCode>
                  <c:ptCount val="3"/>
                  <c:pt idx="1">
                    <c:v>1.8465488268766504E-2</c:v>
                  </c:pt>
                </c:numCache>
              </c:numRef>
            </c:minus>
          </c:errBars>
          <c:cat>
            <c:strRef>
              <c:f>'Graph format rapport CHG 1éch'!$E$2:$G$2</c:f>
              <c:strCache>
                <c:ptCount val="2"/>
                <c:pt idx="1">
                  <c:v>BPA-2mg/L</c:v>
                </c:pt>
              </c:strCache>
            </c:strRef>
          </c:cat>
          <c:val>
            <c:numRef>
              <c:f>'Graph format rapport CHG 1éch'!$E$3:$G$3</c:f>
              <c:numCache>
                <c:formatCode>General</c:formatCode>
                <c:ptCount val="3"/>
                <c:pt idx="1">
                  <c:v>0.14007532420317351</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0.15229055770800312</c:v>
                </c:pt>
                <c:pt idx="1">
                  <c:v>0.15229055770800312</c:v>
                </c:pt>
                <c:pt idx="2">
                  <c:v>0.15229055770800312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1éch'!$H$8:$J$8</c:f>
              <c:numCache>
                <c:formatCode>General</c:formatCode>
                <c:ptCount val="3"/>
                <c:pt idx="0">
                  <c:v>0.11656955822676086</c:v>
                </c:pt>
                <c:pt idx="1">
                  <c:v>0.11656955822676086</c:v>
                </c:pt>
                <c:pt idx="2">
                  <c:v>0.11656955822676086</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BPA-1mg/L + Testostérone</c:v>
                </c:pt>
              </c:strCache>
            </c:strRef>
          </c:cat>
          <c:val>
            <c:numRef>
              <c:f>'Graph format rapport CHG 1éch'!$H$9:$J$9</c:f>
              <c:numCache>
                <c:formatCode>General</c:formatCode>
                <c:ptCount val="3"/>
                <c:pt idx="0">
                  <c:v>3.0118952793642642</c:v>
                </c:pt>
                <c:pt idx="1">
                  <c:v>3.0118952793642642</c:v>
                </c:pt>
                <c:pt idx="2">
                  <c:v>3.0118952793642642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1éch'!$H$10:$J$10</c:f>
              <c:numCache>
                <c:formatCode>General</c:formatCode>
                <c:ptCount val="3"/>
                <c:pt idx="0">
                  <c:v>-0.51189527936426416</c:v>
                </c:pt>
                <c:pt idx="1">
                  <c:v>-0.51189527936426416</c:v>
                </c:pt>
                <c:pt idx="2">
                  <c:v>-0.51189527936426416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C537CBD8-37B2-4196-B2C5-5044C536E5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D2253DBB-87CF-470D-8E40-EAAA000142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0.22165521420248929</c:v>
                  </c:pt>
                </c:numCache>
              </c:numRef>
            </c:plus>
            <c:minus>
              <c:numRef>
                <c:f>'Graph format rapport CHG 1éch'!$H$4:$J$4</c:f>
                <c:numCache>
                  <c:formatCode>General</c:formatCode>
                  <c:ptCount val="3"/>
                  <c:pt idx="1">
                    <c:v>0.22165521420248929</c:v>
                  </c:pt>
                </c:numCache>
              </c:numRef>
            </c:minus>
          </c:errBars>
          <c:cat>
            <c:strRef>
              <c:f>'Graph format rapport CHG 1éch'!$H$2:$J$2</c:f>
              <c:strCache>
                <c:ptCount val="2"/>
                <c:pt idx="1">
                  <c:v>BPA-1mg/L + Testostérone</c:v>
                </c:pt>
              </c:strCache>
            </c:strRef>
          </c:cat>
          <c:val>
            <c:numRef>
              <c:f>'Graph format rapport CHG 1éch'!$H$3:$J$3</c:f>
              <c:numCache>
                <c:formatCode>General</c:formatCode>
                <c:ptCount val="3"/>
                <c:pt idx="1">
                  <c:v>1.3432927242998771</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BPA-1mg/L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BPA-2mg/L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BPA-2mg/L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BPA-2mg/L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CE0174AE-E67F-410C-A7FE-D6700E88A23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429D86A4-F988-47B1-A568-EA5BA96F1D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1.8465488268766504E-2</c:v>
                  </c:pt>
                </c:numCache>
              </c:numRef>
            </c:plus>
            <c:minus>
              <c:numRef>
                <c:f>'Graph format rapport CHG 1éch'!$E$4:$G$4</c:f>
                <c:numCache>
                  <c:formatCode>General</c:formatCode>
                  <c:ptCount val="3"/>
                  <c:pt idx="1">
                    <c:v>1.8465488268766504E-2</c:v>
                  </c:pt>
                </c:numCache>
              </c:numRef>
            </c:minus>
          </c:errBars>
          <c:cat>
            <c:strRef>
              <c:f>'Graph format rapport CHG 1éch'!$E$2:$G$2</c:f>
              <c:strCache>
                <c:ptCount val="2"/>
                <c:pt idx="1">
                  <c:v>BPA-2mg/L</c:v>
                </c:pt>
              </c:strCache>
            </c:strRef>
          </c:cat>
          <c:val>
            <c:numRef>
              <c:f>'Graph format rapport CHG 1éch'!$E$3:$G$3</c:f>
              <c:numCache>
                <c:formatCode>General</c:formatCode>
                <c:ptCount val="3"/>
                <c:pt idx="1">
                  <c:v>0.14007532420317351</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0.15229055770800312</c:v>
                </c:pt>
                <c:pt idx="1">
                  <c:v>0.15229055770800312</c:v>
                </c:pt>
                <c:pt idx="2">
                  <c:v>0.15229055770800312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1éch'!$H$8:$J$8</c:f>
              <c:numCache>
                <c:formatCode>General</c:formatCode>
                <c:ptCount val="3"/>
                <c:pt idx="0">
                  <c:v>0.11656955822676086</c:v>
                </c:pt>
                <c:pt idx="1">
                  <c:v>0.11656955822676086</c:v>
                </c:pt>
                <c:pt idx="2">
                  <c:v>0.11656955822676086</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BPA-1mg/L + Testostérone</c:v>
                </c:pt>
              </c:strCache>
            </c:strRef>
          </c:cat>
          <c:val>
            <c:numRef>
              <c:f>'Graph format rapport CHG 1éch'!$H$9:$J$9</c:f>
              <c:numCache>
                <c:formatCode>General</c:formatCode>
                <c:ptCount val="3"/>
                <c:pt idx="0">
                  <c:v>3.0118952793642642</c:v>
                </c:pt>
                <c:pt idx="1">
                  <c:v>3.0118952793642642</c:v>
                </c:pt>
                <c:pt idx="2">
                  <c:v>3.0118952793642642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1éch'!$H$10:$J$10</c:f>
              <c:numCache>
                <c:formatCode>General</c:formatCode>
                <c:ptCount val="3"/>
                <c:pt idx="0">
                  <c:v>-0.51189527936426416</c:v>
                </c:pt>
                <c:pt idx="1">
                  <c:v>-0.51189527936426416</c:v>
                </c:pt>
                <c:pt idx="2">
                  <c:v>-0.51189527936426416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96803D91-34CE-43EF-B5F5-8E435F4CBC7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81ED1132-469E-48BD-813A-F081128B614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0.22165521420248929</c:v>
                  </c:pt>
                </c:numCache>
              </c:numRef>
            </c:plus>
            <c:minus>
              <c:numRef>
                <c:f>'Graph format rapport CHG 1éch'!$H$4:$J$4</c:f>
                <c:numCache>
                  <c:formatCode>General</c:formatCode>
                  <c:ptCount val="3"/>
                  <c:pt idx="1">
                    <c:v>0.22165521420248929</c:v>
                  </c:pt>
                </c:numCache>
              </c:numRef>
            </c:minus>
          </c:errBars>
          <c:cat>
            <c:strRef>
              <c:f>'Graph format rapport CHG 1éch'!$H$2:$J$2</c:f>
              <c:strCache>
                <c:ptCount val="2"/>
                <c:pt idx="1">
                  <c:v>BPA-1mg/L + Testostérone</c:v>
                </c:pt>
              </c:strCache>
            </c:strRef>
          </c:cat>
          <c:val>
            <c:numRef>
              <c:f>'Graph format rapport CHG 1éch'!$H$3:$J$3</c:f>
              <c:numCache>
                <c:formatCode>General</c:formatCode>
                <c:ptCount val="3"/>
                <c:pt idx="1">
                  <c:v>1.3432927242998771</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BPA-1mg/L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1"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1"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1"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95"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4368" cy="60458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91.646653124997" createdVersion="6" refreshedVersion="7" minRefreshableVersion="3" recordCount="52" xr:uid="{8DEF666A-6C7D-4C16-AD6D-82242760D5D9}">
  <cacheSource type="worksheet">
    <worksheetSource name="liste_groupe"/>
  </cacheSource>
  <cacheFields count="6">
    <cacheField name="Nom sur le graphique" numFmtId="0">
      <sharedItems count="28">
        <s v="Témoin solvant"/>
        <s v="EE2-22,5ng/L"/>
        <s v="EE2-33,8ng/L"/>
        <s v="EE2-50,6ng/L"/>
        <s v="EE2-76ng/L"/>
        <s v="EE2-114ng/L"/>
        <s v="EE2-170,9ng/L"/>
        <s v="EE2-488ng/L"/>
        <s v="BPA-1mg/L"/>
        <s v="BPA-2mg/L"/>
        <s v="BPA-3mg/L"/>
        <s v="BPA-4mg/L"/>
        <s v="BPA-5mg/L"/>
        <s v=" "/>
        <s v="Testo -30µg/L"/>
        <s v="Testo 30µg/L + EE2 -64ng/L"/>
        <s v="Testo 30µg/L + FAD-10mg/L"/>
        <s v="BPA-1mg/L + Testostérone"/>
        <s v="BPA-2mg/L + Testostérone"/>
        <s v="BPA-3mg/L + Testostérone"/>
        <s v="BPA-4mg/L + Testostérone"/>
        <s v="BPA-5mg/L + Testostérone"/>
        <s v="0-00 + Testostérone"/>
        <s v="0-1mg/L + Testostérone" u="1"/>
        <s v="0-2mg/L + Testostérone" u="1"/>
        <s v="0-3mg/L + Testostérone" u="1"/>
        <s v="0-4mg/L + Testostérone" u="1"/>
        <s v="0-5mg/L + Testostérone"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91.64665347222" createdVersion="5" refreshedVersion="7" minRefreshableVersion="3" recordCount="1710" xr:uid="{00000000-000A-0000-FFFF-FFFF14000000}">
  <cacheSource type="worksheet">
    <worksheetSource name="Tableau467"/>
  </cacheSource>
  <cacheFields count="10">
    <cacheField name="Nom groupe" numFmtId="0">
      <sharedItems count="22">
        <s v="1"/>
        <s v=""/>
        <s v="13"/>
        <s v="14"/>
        <s v="15"/>
        <s v="16"/>
        <s v="2"/>
        <s v="3"/>
        <s v="4"/>
        <s v="5"/>
        <s v="6"/>
        <s v="7"/>
        <s v="10"/>
        <s v="11"/>
        <s v="12"/>
        <s v="17"/>
        <s v="18"/>
        <s v="19"/>
        <s v="20"/>
        <s v="21"/>
        <s v="8"/>
        <s v="9"/>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9"/>
    </cacheField>
    <cacheField name=" " numFmtId="0">
      <sharedItems containsBlank="1" count="26">
        <s v=" "/>
        <m/>
        <s v=" SD mean fluo "/>
        <s v=" 15.0189 "/>
        <s v=" 3.907 "/>
        <s v=" 4.621 "/>
        <s v=" 5.3336 "/>
        <s v=" 15.455 "/>
        <s v=" 4.2809 "/>
        <s v=" 11.3424 "/>
        <s v=" 1.733 "/>
        <s v=" 3.563 "/>
        <s v=" 7.9484 "/>
        <s v=" 4.0827 "/>
        <s v=" 7.6862 "/>
        <s v=" 3.4029 "/>
        <s v=" 3.7541 "/>
        <s v=" 4.8962 "/>
        <s v=" 4.6469 "/>
        <s v=" 4.8845 "/>
        <s v=" 5.6791 "/>
        <s v=" 6.9123 "/>
        <s v=" 8.4543 "/>
        <s v=" 7.8226 "/>
        <s v=" 9.8925 " u="1"/>
        <s v=" 3.9983 " u="1"/>
      </sharedItems>
    </cacheField>
    <cacheField name=" total fluorescence" numFmtId="0">
      <sharedItems containsBlank="1" containsMixedTypes="1" containsNumber="1" containsInteger="1" minValue="0" maxValue="5837476"/>
    </cacheField>
    <cacheField name="         " numFmtId="0">
      <sharedItems containsBlank="1"/>
    </cacheField>
    <cacheField name="nbre de larves" numFmtId="0">
      <sharedItems containsBlank="1" containsMixedTypes="1" containsNumber="1" containsInteger="1" minValue="13" maxValue="24"/>
    </cacheField>
    <cacheField name="Colonne1" numFmtId="0">
      <sharedItems containsBlank="1" containsMixedTypes="1" containsNumber="1" containsInteger="1" minValue="13"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91.646653935182" createdVersion="5" refreshedVersion="7" minRefreshableVersion="3" recordCount="1530" xr:uid="{00000000-000A-0000-FFFF-FFFF10000000}">
  <cacheSource type="worksheet">
    <worksheetSource name="Tableau46"/>
  </cacheSource>
  <cacheFields count="10">
    <cacheField name="Nom groupe" numFmtId="0">
      <sharedItems containsBlank="1" count="23">
        <s v="1"/>
        <s v=""/>
        <s v="13"/>
        <s v="14"/>
        <s v="15"/>
        <s v="16"/>
        <s v="2"/>
        <s v="3"/>
        <s v="4"/>
        <s v="5"/>
        <s v="6"/>
        <s v="7"/>
        <s v="10"/>
        <s v="11"/>
        <s v="12"/>
        <s v="17"/>
        <s v="18"/>
        <s v="19"/>
        <s v="20"/>
        <s v="21"/>
        <s v="8"/>
        <s v="9"/>
        <m/>
      </sharedItems>
    </cacheField>
    <cacheField name="N° de valeur" numFmtId="0">
      <sharedItems containsBlank="1" count="11">
        <s v="A"/>
        <s v="B"/>
        <s v="C"/>
        <s v="D"/>
        <s v="E"/>
        <s v="F"/>
        <s v="G"/>
        <s v="H"/>
        <e v="#VALUE!"/>
        <s v=" "/>
        <m/>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2"/>
    </cacheField>
    <cacheField name=" " numFmtId="0">
      <sharedItems containsBlank="1" count="25">
        <s v=" "/>
        <m/>
        <s v=" SD mean fluo "/>
        <s v=" 16.0025 "/>
        <s v=" 3.9433 "/>
        <s v=" 5.0494 "/>
        <s v=" 5.3066 "/>
        <s v=" 8.3269 "/>
        <s v=" 14.3091 "/>
        <s v=" 12.3743 "/>
        <s v=" 12.3707 "/>
        <s v=" 15.9608 "/>
        <s v=" 2.6848 "/>
        <s v=" 3.0301 "/>
        <s v=" 5.1225 "/>
        <s v=" 3.3103 "/>
        <s v=" 4.0106 "/>
        <s v=" 5.3439 "/>
        <s v=" 3.3996 "/>
        <s v=" 4.6216 "/>
        <s v=" 6.6991 "/>
        <s v=" 4.4555 "/>
        <s v=" 9.8925 "/>
        <s v=" 3.9983 "/>
        <s v=" 15.0189 " u="1"/>
      </sharedItems>
    </cacheField>
    <cacheField name=" total fluorescence" numFmtId="0">
      <sharedItems containsBlank="1" containsMixedTypes="1" containsNumber="1" containsInteger="1" minValue="0" maxValue="5676766"/>
    </cacheField>
    <cacheField name="         " numFmtId="0">
      <sharedItems containsBlank="1"/>
    </cacheField>
    <cacheField name="nbre de larves" numFmtId="0">
      <sharedItems containsBlank="1" containsMixedTypes="1" containsNumber="1" containsInteger="1" minValue="15" maxValue="24"/>
    </cacheField>
    <cacheField name="Colonne1" numFmtId="0">
      <sharedItems containsBlank="1" containsMixedTypes="1" containsNumber="1" containsInteger="1" minValue="16"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91.646654050928" createdVersion="5" refreshedVersion="7" minRefreshableVersion="3" recordCount="1556" xr:uid="{00000000-000A-0000-FFFF-FFFF0C000000}">
  <cacheSource type="worksheet">
    <worksheetSource name="Tableau4"/>
  </cacheSource>
  <cacheFields count="10">
    <cacheField name="Nom groupe" numFmtId="0">
      <sharedItems containsBlank="1" count="23">
        <s v="1"/>
        <s v=""/>
        <s v="13"/>
        <s v="14"/>
        <s v="15"/>
        <s v="16"/>
        <s v="2"/>
        <s v="3"/>
        <s v="4"/>
        <s v="5"/>
        <s v="6"/>
        <s v="7"/>
        <s v="10"/>
        <s v="11"/>
        <s v="12"/>
        <s v="17"/>
        <s v="18"/>
        <s v="19"/>
        <s v="20"/>
        <s v="21"/>
        <s v="8"/>
        <s v="9"/>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5"/>
    </cacheField>
    <cacheField name=" " numFmtId="0">
      <sharedItems containsBlank="1" count="24">
        <s v=" "/>
        <m/>
        <s v=" SD mean fluo "/>
        <s v=" 3.4538 "/>
        <s v=" 3.3678 "/>
        <s v=" 2.9528 "/>
        <s v=" 3.8636 "/>
        <s v=" 7.6125 "/>
        <s v=" 10.7565 "/>
        <s v=" 7.1955 "/>
        <s v=" 3.3163 "/>
        <s v=" 3.1456 "/>
        <s v=" 7.1074 "/>
        <s v=" 3.8432 "/>
        <s v=" 3.1423 "/>
        <s v=" 2.0944 "/>
        <s v=" 5.13 "/>
        <s v=" 3.855 "/>
        <s v=" 4.6553 "/>
        <s v=" 3.9045 "/>
        <s v=" 5.3343 "/>
        <s v=" 4.017 "/>
        <s v=" 3.6731 "/>
        <s v=" 7.8148 "/>
      </sharedItems>
    </cacheField>
    <cacheField name=" total fluorescence" numFmtId="0">
      <sharedItems containsBlank="1" containsMixedTypes="1" containsNumber="1" containsInteger="1" minValue="0" maxValue="6396998"/>
    </cacheField>
    <cacheField name="         " numFmtId="0">
      <sharedItems containsBlank="1"/>
    </cacheField>
    <cacheField name="nbre de larves" numFmtId="0">
      <sharedItems containsBlank="1" containsMixedTypes="1" containsNumber="1" containsInteger="1" minValue="22"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1"/>
    <s v="mg/L"/>
    <s v="BPA"/>
    <x v="0"/>
  </r>
  <r>
    <x v="9"/>
    <x v="1"/>
    <n v="2"/>
    <s v="mg/L"/>
    <s v="BPA"/>
    <x v="0"/>
  </r>
  <r>
    <x v="10"/>
    <x v="1"/>
    <n v="3"/>
    <s v="mg/L"/>
    <s v="BPA"/>
    <x v="0"/>
  </r>
  <r>
    <x v="11"/>
    <x v="1"/>
    <n v="4"/>
    <s v="mg/L"/>
    <s v="BPA"/>
    <x v="0"/>
  </r>
  <r>
    <x v="12"/>
    <x v="1"/>
    <n v="5"/>
    <s v="mg/L"/>
    <s v="BPA"/>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mg/L"/>
    <s v="Testo 30µg/L + FAD"/>
    <x v="0"/>
  </r>
  <r>
    <x v="17"/>
    <x v="2"/>
    <n v="1"/>
    <s v="mg/L"/>
    <s v="BPA"/>
    <x v="1"/>
  </r>
  <r>
    <x v="18"/>
    <x v="2"/>
    <n v="2"/>
    <s v="mg/L"/>
    <s v="BPA"/>
    <x v="1"/>
  </r>
  <r>
    <x v="19"/>
    <x v="2"/>
    <n v="3"/>
    <s v="mg/L"/>
    <s v="BPA"/>
    <x v="1"/>
  </r>
  <r>
    <x v="20"/>
    <x v="2"/>
    <n v="4"/>
    <s v="mg/L"/>
    <s v="BPA"/>
    <x v="1"/>
  </r>
  <r>
    <x v="21"/>
    <x v="2"/>
    <n v="5"/>
    <s v="mg/L"/>
    <s v="BPA"/>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C:\Users\cbarrier\Desktop\BPA\BPA\20201118_Cefas_Test6-Run3/Plate 1/@1/A10_01.tif "/>
    <s v=" 5688.6623 "/>
    <s v=" 38.9125 "/>
    <x v="0"/>
    <n v="221360"/>
    <m/>
    <m/>
    <m/>
  </r>
  <r>
    <x v="0"/>
    <x v="0"/>
    <s v="C:\Users\cbarrier\Desktop\BPA\BPA\20201118_Cefas_Test6-Run3/Plate 1/@1/A10_02.tif "/>
    <s v=" 8478.9187 "/>
    <s v=" 39.6837 "/>
    <x v="0"/>
    <n v="336475"/>
    <m/>
    <m/>
    <m/>
  </r>
  <r>
    <x v="0"/>
    <x v="0"/>
    <s v="C:\Users\cbarrier\Desktop\BPA\BPA\20201118_Cefas_Test6-Run3/Plate 1/@1/A10_03.tif "/>
    <s v=" 64.8897 "/>
    <n v="39"/>
    <x v="0"/>
    <n v="2531"/>
    <m/>
    <m/>
    <m/>
  </r>
  <r>
    <x v="0"/>
    <x v="1"/>
    <s v="C:\Users\cbarrier\Desktop\BPA\BPA\20201118_Cefas_Test6-Run3/Plate 1/@1/B10_01.tif "/>
    <s v=" 6315.9292 "/>
    <s v=" 34.7671 "/>
    <x v="0"/>
    <n v="219587"/>
    <m/>
    <m/>
    <m/>
  </r>
  <r>
    <x v="0"/>
    <x v="1"/>
    <s v="C:\Users\cbarrier\Desktop\BPA\BPA\20201118_Cefas_Test6-Run3/Plate 1/@1/B10_02.tif "/>
    <s v=" 7008.0859 "/>
    <s v=" 37.9537 "/>
    <x v="0"/>
    <n v="265983"/>
    <m/>
    <m/>
    <m/>
  </r>
  <r>
    <x v="0"/>
    <x v="1"/>
    <s v="C:\Users\cbarrier\Desktop\BPA\BPA\20201118_Cefas_Test6-Run3/Plate 1/@1/B10_03.tif "/>
    <s v=" 9971.3814 "/>
    <s v=" 37.2885 "/>
    <x v="0"/>
    <n v="371818"/>
    <m/>
    <m/>
    <m/>
  </r>
  <r>
    <x v="0"/>
    <x v="2"/>
    <s v="C:\Users\cbarrier\Desktop\BPA\BPA\20201118_Cefas_Test6-Run3/Plate 1/@1/C10_01.tif "/>
    <s v=" 9041.296 "/>
    <s v=" 37.7919 "/>
    <x v="0"/>
    <n v="341687"/>
    <m/>
    <m/>
    <m/>
  </r>
  <r>
    <x v="0"/>
    <x v="2"/>
    <s v="C:\Users\cbarrier\Desktop\BPA\BPA\20201118_Cefas_Test6-Run3/Plate 1/@1/C10_02- exclu.tif"/>
    <m/>
    <m/>
    <x v="1"/>
    <m/>
    <m/>
    <m/>
    <m/>
  </r>
  <r>
    <x v="0"/>
    <x v="2"/>
    <s v="C:\Users\cbarrier\Desktop\BPA\BPA\20201118_Cefas_Test6-Run3/Plate 1/@1/C10_03.tif "/>
    <s v=" 3893.381 "/>
    <s v=" 36.3556 "/>
    <x v="0"/>
    <n v="141546"/>
    <m/>
    <m/>
    <m/>
  </r>
  <r>
    <x v="0"/>
    <x v="3"/>
    <s v="C:\Users\cbarrier\Desktop\BPA\BPA\20201118_Cefas_Test6-Run3/Plate 1/@1/D10_01- exclu.tif"/>
    <m/>
    <m/>
    <x v="1"/>
    <m/>
    <m/>
    <m/>
    <m/>
  </r>
  <r>
    <x v="0"/>
    <x v="3"/>
    <s v="C:\Users\cbarrier\Desktop\BPA\BPA\20201118_Cefas_Test6-Run3/Plate 1/@1/D10_02- exclu.tif"/>
    <m/>
    <m/>
    <x v="1"/>
    <m/>
    <m/>
    <m/>
    <m/>
  </r>
  <r>
    <x v="0"/>
    <x v="3"/>
    <s v="C:\Users\cbarrier\Desktop\BPA\BPA\20201118_Cefas_Test6-Run3/Plate 1/@1/D10_03- exclu.tif"/>
    <m/>
    <m/>
    <x v="1"/>
    <m/>
    <m/>
    <m/>
    <m/>
  </r>
  <r>
    <x v="0"/>
    <x v="4"/>
    <s v="C:\Users\cbarrier\Desktop\BPA\BPA\20201118_Cefas_Test6-Run3/Plate 1/@1/E10_01.tif "/>
    <s v=" 1038.2349 "/>
    <s v=" 32.1458 "/>
    <x v="0"/>
    <n v="33375"/>
    <m/>
    <m/>
    <m/>
  </r>
  <r>
    <x v="0"/>
    <x v="4"/>
    <s v="C:\Users\cbarrier\Desktop\BPA\BPA\20201118_Cefas_Test6-Run3/Plate 1/@1/E10_02.tif "/>
    <s v=" 2206.2493 "/>
    <s v=" 32.8529 "/>
    <x v="0"/>
    <n v="72482"/>
    <m/>
    <m/>
    <m/>
  </r>
  <r>
    <x v="0"/>
    <x v="4"/>
    <s v="C:\Users\cbarrier\Desktop\BPA\BPA\20201118_Cefas_Test6-Run3/Plate 1/@1/E10_03.tif "/>
    <n v="0"/>
    <n v="0"/>
    <x v="0"/>
    <n v="0"/>
    <m/>
    <m/>
    <m/>
  </r>
  <r>
    <x v="0"/>
    <x v="5"/>
    <s v="C:\Users\cbarrier\Desktop\BPA\BPA\20201118_Cefas_Test6-Run3/Plate 1/@1/F10_01.tif "/>
    <s v=" 865.1958 "/>
    <s v=" 32.175 "/>
    <x v="0"/>
    <n v="27838"/>
    <m/>
    <m/>
    <m/>
  </r>
  <r>
    <x v="0"/>
    <x v="5"/>
    <s v="C:\Users\cbarrier\Desktop\BPA\BPA\20201118_Cefas_Test6-Run3/Plate 1/@1/F10_02- exclu.tif"/>
    <m/>
    <m/>
    <x v="1"/>
    <m/>
    <m/>
    <m/>
    <m/>
  </r>
  <r>
    <x v="0"/>
    <x v="5"/>
    <s v="C:\Users\cbarrier\Desktop\BPA\BPA\20201118_Cefas_Test6-Run3/Plate 1/@1/F10_03.tif "/>
    <n v="0"/>
    <n v="0"/>
    <x v="0"/>
    <n v="0"/>
    <m/>
    <m/>
    <s v=" n total"/>
  </r>
  <r>
    <x v="0"/>
    <x v="6"/>
    <s v="C:\Users\cbarrier\Desktop\BPA\BPA\20201118_Cefas_Test6-Run3/Plate 1/@1/G10_01.tif "/>
    <s v=" 173.0392 "/>
    <s v=" 31.875 "/>
    <x v="0"/>
    <n v="5516"/>
    <m/>
    <m/>
    <n v="16"/>
  </r>
  <r>
    <x v="0"/>
    <x v="6"/>
    <s v="C:\Users\cbarrier\Desktop\BPA\BPA\20201118_Cefas_Test6-Run3/Plate 1/@1/G10_02.tif "/>
    <s v=" 1189.6442 "/>
    <s v=" 32.5091 "/>
    <x v="0"/>
    <n v="38674"/>
    <m/>
    <m/>
    <m/>
  </r>
  <r>
    <x v="0"/>
    <x v="6"/>
    <s v="C:\Users\cbarrier\Desktop\BPA\BPA\20201118_Cefas_Test6-Run3/Plate 1/@1/G10_03.tif "/>
    <s v=" 2292.7688 "/>
    <s v=" 33.3679 "/>
    <x v="0"/>
    <n v="76505"/>
    <m/>
    <m/>
    <m/>
  </r>
  <r>
    <x v="0"/>
    <x v="7"/>
    <s v="C:\Users\cbarrier\Desktop\BPA\BPA\20201118_Cefas_Test6-Run3/Plate 1/@1/H10_01.tif "/>
    <s v=" 6510.5983 "/>
    <s v=" 40.5282 "/>
    <x v="0"/>
    <n v="263863"/>
    <m/>
    <m/>
    <m/>
  </r>
  <r>
    <x v="0"/>
    <x v="7"/>
    <s v="C:\Users\cbarrier\Desktop\BPA\BPA\20201118_Cefas_Test6-Run3/Plate 1/@1/H10_02.tif "/>
    <s v=" 6597.1179 "/>
    <s v=" 41.1541 "/>
    <x v="0"/>
    <n v="271498"/>
    <m/>
    <m/>
    <m/>
  </r>
  <r>
    <x v="0"/>
    <x v="7"/>
    <s v="C:\Users\cbarrier\Desktop\BPA\BPA\20201118_Cefas_Test6-Run3/Plate 1/@1/H10_03.tif "/>
    <s v=" 86.5196 "/>
    <n v="31"/>
    <x v="0"/>
    <n v="2682"/>
    <m/>
    <m/>
    <m/>
  </r>
  <r>
    <x v="1"/>
    <x v="8"/>
    <s v=" "/>
    <m/>
    <m/>
    <x v="1"/>
    <m/>
    <m/>
    <m/>
    <m/>
  </r>
  <r>
    <x v="1"/>
    <x v="8"/>
    <s v="group "/>
    <s v=" "/>
    <s v=" mean of mean fluo "/>
    <x v="2"/>
    <s v=" mean of total fluo "/>
    <s v=" SD total fluo "/>
    <s v=" n fluorescent "/>
    <m/>
  </r>
  <r>
    <x v="0"/>
    <x v="9"/>
    <s v="C:\Users\cbarrier\Desktop\BPA\BPA\20201118_Cefas_Test6-Run3/Plate 1/@1/ "/>
    <s v=" "/>
    <s v=" 33.7548 "/>
    <x v="3"/>
    <n v="231576"/>
    <s v=" 300158.204 "/>
    <n v="21"/>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cbarrier\Desktop\BPA\BPA\20201118_Cefas_Test6-Run3/Plate 1/@13/A8_01.tif "/>
    <s v=" 12891.4172 "/>
    <s v=" 33.7836 "/>
    <x v="0"/>
    <n v="435518"/>
    <m/>
    <m/>
    <m/>
  </r>
  <r>
    <x v="2"/>
    <x v="0"/>
    <s v="C:\Users\cbarrier\Desktop\BPA\BPA\20201118_Cefas_Test6-Run3/Plate 1/@13/A8_02.tif "/>
    <s v=" 14427.1397 "/>
    <s v=" 34.2804 "/>
    <x v="0"/>
    <n v="494568"/>
    <m/>
    <m/>
    <m/>
  </r>
  <r>
    <x v="2"/>
    <x v="0"/>
    <s v="C:\Users\cbarrier\Desktop\BPA\BPA\20201118_Cefas_Test6-Run3/Plate 1/@13/A8_03.tif "/>
    <s v=" 10079.5309 "/>
    <s v=" 33.3906 "/>
    <x v="0"/>
    <n v="336561"/>
    <m/>
    <m/>
    <m/>
  </r>
  <r>
    <x v="2"/>
    <x v="1"/>
    <s v="C:\Users\cbarrier\Desktop\BPA\BPA\20201118_Cefas_Test6-Run3/Plate 1/@13/B8_01.tif "/>
    <s v=" 49943.4267 "/>
    <s v=" 39.3114 "/>
    <x v="0"/>
    <n v="1963346"/>
    <m/>
    <m/>
    <m/>
  </r>
  <r>
    <x v="2"/>
    <x v="1"/>
    <s v="C:\Users\cbarrier\Desktop\BPA\BPA\20201118_Cefas_Test6-Run3/Plate 1/@13/B8_02- exclu.tif"/>
    <m/>
    <m/>
    <x v="1"/>
    <m/>
    <m/>
    <m/>
    <m/>
  </r>
  <r>
    <x v="2"/>
    <x v="1"/>
    <s v="C:\Users\cbarrier\Desktop\BPA\BPA\20201118_Cefas_Test6-Run3/Plate 1/@13/B8_03.tif "/>
    <s v=" 38782.4011 "/>
    <s v=" 37.261 "/>
    <x v="0"/>
    <n v="1445072"/>
    <m/>
    <m/>
    <m/>
  </r>
  <r>
    <x v="2"/>
    <x v="2"/>
    <s v="C:\Users\cbarrier\Desktop\BPA\BPA\20201118_Cefas_Test6-Run3/Plate 1/@13/C8_01.tif "/>
    <s v=" 33439.8171 "/>
    <s v=" 37.7691 "/>
    <x v="0"/>
    <n v="1262991"/>
    <m/>
    <m/>
    <m/>
  </r>
  <r>
    <x v="2"/>
    <x v="2"/>
    <s v="C:\Users\cbarrier\Desktop\BPA\BPA\20201118_Cefas_Test6-Run3/Plate 1/@13/C8_02.tif "/>
    <s v=" 32033.8739 "/>
    <s v=" 35.5334 "/>
    <x v="0"/>
    <n v="1138273"/>
    <m/>
    <m/>
    <m/>
  </r>
  <r>
    <x v="2"/>
    <x v="2"/>
    <s v="C:\Users\cbarrier\Desktop\BPA\BPA\20201118_Cefas_Test6-Run3/Plate 1/@13/C8_03.tif "/>
    <s v=" 43259.7893 "/>
    <s v=" 38.153 "/>
    <x v="0"/>
    <n v="1650491"/>
    <m/>
    <m/>
    <m/>
  </r>
  <r>
    <x v="2"/>
    <x v="3"/>
    <s v="C:\Users\cbarrier\Desktop\BPA\BPA\20201118_Cefas_Test6-Run3/Plate 1/@13/D8_01.tif "/>
    <s v=" 76807.7558 "/>
    <s v=" 47.4244 "/>
    <x v="0"/>
    <n v="3642561"/>
    <m/>
    <m/>
    <s v=" n total"/>
  </r>
  <r>
    <x v="2"/>
    <x v="3"/>
    <s v="C:\Users\cbarrier\Desktop\BPA\BPA\20201118_Cefas_Test6-Run3/Plate 1/@13/D8_02.tif "/>
    <s v=" 79511.4927 "/>
    <s v=" 43.0297 "/>
    <x v="0"/>
    <n v="3421352"/>
    <m/>
    <m/>
    <n v="16"/>
  </r>
  <r>
    <x v="2"/>
    <x v="3"/>
    <s v="C:\Users\cbarrier\Desktop\BPA\BPA\20201118_Cefas_Test6-Run3/Plate 1/@13/D8_03.tif "/>
    <s v=" 72568.2965 "/>
    <s v=" 43.1308 "/>
    <x v="0"/>
    <n v="3129932"/>
    <m/>
    <m/>
    <m/>
  </r>
  <r>
    <x v="2"/>
    <x v="4"/>
    <s v="C:\Users\cbarrier\Desktop\BPA\BPA\20201118_Cefas_Test6-Run3/Plate 1/@13/E8_01.tif "/>
    <s v=" 28573.0908 "/>
    <s v=" 36.3581 "/>
    <x v="0"/>
    <n v="1038862"/>
    <m/>
    <m/>
    <m/>
  </r>
  <r>
    <x v="2"/>
    <x v="4"/>
    <s v="C:\Users\cbarrier\Desktop\BPA\BPA\20201118_Cefas_Test6-Run3/Plate 1/@13/E8_02.tif "/>
    <s v=" 20656.5494 "/>
    <s v=" 35.7455 "/>
    <x v="0"/>
    <n v="738380"/>
    <m/>
    <m/>
    <m/>
  </r>
  <r>
    <x v="2"/>
    <x v="4"/>
    <s v="C:\Users\cbarrier\Desktop\BPA\BPA\20201118_Cefas_Test6-Run3/Plate 1/@13/E8_03.tif "/>
    <s v=" 20570.0298 "/>
    <s v=" 35.5657 "/>
    <x v="0"/>
    <n v="731588"/>
    <m/>
    <m/>
    <m/>
  </r>
  <r>
    <x v="2"/>
    <x v="5"/>
    <s v="C:\Users\cbarrier\Desktop\BPA\BPA\20201118_Cefas_Test6-Run3/Plate 1/@13/F8_01.tif "/>
    <s v=" 38328.1733 "/>
    <s v=" 36.7381 "/>
    <x v="0"/>
    <n v="1408106"/>
    <m/>
    <m/>
    <m/>
  </r>
  <r>
    <x v="2"/>
    <x v="5"/>
    <s v="C:\Users\cbarrier\Desktop\BPA\BPA\20201118_Cefas_Test6-Run3/Plate 1/@13/F8_02.tif "/>
    <s v=" 39409.668 "/>
    <s v=" 38.8743 "/>
    <x v="0"/>
    <n v="1532024"/>
    <m/>
    <m/>
    <m/>
  </r>
  <r>
    <x v="2"/>
    <x v="5"/>
    <s v="C:\Users\cbarrier\Desktop\BPA\BPA\20201118_Cefas_Test6-Run3/Plate 1/@13/F8_03.tif "/>
    <s v=" 39171.7392 "/>
    <s v=" 36.1734 "/>
    <x v="0"/>
    <n v="1416974"/>
    <m/>
    <m/>
    <m/>
  </r>
  <r>
    <x v="2"/>
    <x v="6"/>
    <s v="C:\Users\cbarrier\Desktop\BPA\BPA\20201118_Cefas_Test6-Run3/Plate 1/@13/G8_01.tif "/>
    <s v=" 44319.6541 "/>
    <s v=" 42.8145 "/>
    <x v="0"/>
    <n v="1897526"/>
    <m/>
    <m/>
    <m/>
  </r>
  <r>
    <x v="2"/>
    <x v="6"/>
    <s v="C:\Users\cbarrier\Desktop\BPA\BPA\20201118_Cefas_Test6-Run3/Plate 1/@13/G8_02.tif "/>
    <s v=" 36554.5219 "/>
    <s v=" 39.4024 "/>
    <x v="0"/>
    <n v="1440335"/>
    <m/>
    <m/>
    <m/>
  </r>
  <r>
    <x v="2"/>
    <x v="6"/>
    <s v="C:\Users\cbarrier\Desktop\BPA\BPA\20201118_Cefas_Test6-Run3/Plate 1/@13/G8_03.tif "/>
    <s v=" 46461.0137 "/>
    <s v=" 39.9413 "/>
    <x v="0"/>
    <n v="1855715"/>
    <m/>
    <m/>
    <m/>
  </r>
  <r>
    <x v="2"/>
    <x v="7"/>
    <s v="C:\Users\cbarrier\Desktop\BPA\BPA\20201118_Cefas_Test6-Run3/Plate 1/@13/H8_01.tif "/>
    <s v=" 79641.272 "/>
    <s v=" 44.5459 "/>
    <x v="0"/>
    <n v="3547692"/>
    <m/>
    <m/>
    <m/>
  </r>
  <r>
    <x v="2"/>
    <x v="7"/>
    <s v="C:\Users\cbarrier\Desktop\BPA\BPA\20201118_Cefas_Test6-Run3/Plate 1/@13/H8_02.tif "/>
    <s v=" 72698.0758 "/>
    <s v=" 43.7025 "/>
    <x v="0"/>
    <n v="3177085"/>
    <m/>
    <m/>
    <m/>
  </r>
  <r>
    <x v="2"/>
    <x v="7"/>
    <s v="C:\Users\cbarrier\Desktop\BPA\BPA\20201118_Cefas_Test6-Run3/Plate 1/@13/H8_03.tif "/>
    <s v=" 69842.9298 "/>
    <s v=" 44.6216 "/>
    <x v="0"/>
    <n v="3116500"/>
    <m/>
    <m/>
    <m/>
  </r>
  <r>
    <x v="1"/>
    <x v="8"/>
    <s v=" "/>
    <m/>
    <m/>
    <x v="1"/>
    <m/>
    <m/>
    <m/>
    <m/>
  </r>
  <r>
    <x v="1"/>
    <x v="8"/>
    <s v="group "/>
    <s v=" "/>
    <s v=" mean of mean fluo "/>
    <x v="2"/>
    <s v=" mean of total fluo "/>
    <s v=" SD total fluo "/>
    <s v=" n fluorescent "/>
    <m/>
  </r>
  <r>
    <x v="2"/>
    <x v="9"/>
    <s v="C:\Users\cbarrier\Desktop\BPA\BPA\20201118_Cefas_Test6-Run3/Plate 1/@13/ "/>
    <s v=" "/>
    <s v=" 38.9202 "/>
    <x v="4"/>
    <s v=" 1749689.96 "/>
    <s v=" 1038018.4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cbarrier\Desktop\BPA\BPA\20201118_Cefas_Test6-Run3/Plate 1/@14/A9_01.tif "/>
    <s v=" 17779.7734 "/>
    <s v=" 35.163 "/>
    <x v="0"/>
    <n v="625190"/>
    <m/>
    <m/>
    <m/>
  </r>
  <r>
    <x v="3"/>
    <x v="0"/>
    <s v="C:\Users\cbarrier\Desktop\BPA\BPA\20201118_Cefas_Test6-Run3/Plate 1/@14/A9_02.tif "/>
    <s v=" 26474.991 "/>
    <s v=" 34.0441 "/>
    <x v="0"/>
    <n v="901318"/>
    <m/>
    <m/>
    <m/>
  </r>
  <r>
    <x v="3"/>
    <x v="0"/>
    <s v="C:\Users\cbarrier\Desktop\BPA\BPA\20201118_Cefas_Test6-Run3/Plate 1/@14/A9_03.tif "/>
    <s v=" 30390.002 "/>
    <s v=" 35.0256 "/>
    <x v="0"/>
    <n v="1064429"/>
    <m/>
    <m/>
    <m/>
  </r>
  <r>
    <x v="3"/>
    <x v="1"/>
    <s v="C:\Users\cbarrier\Desktop\BPA\BPA\20201118_Cefas_Test6-Run3/Plate 1/@14/B9_01.tif "/>
    <s v=" 53274.4305 "/>
    <s v=" 40.1052 "/>
    <x v="0"/>
    <n v="2136579"/>
    <m/>
    <m/>
    <m/>
  </r>
  <r>
    <x v="3"/>
    <x v="1"/>
    <s v="C:\Users\cbarrier\Desktop\BPA\BPA\20201118_Cefas_Test6-Run3/Plate 1/@14/B9_02.tif "/>
    <s v=" 63721.6696 "/>
    <s v=" 41.9745 "/>
    <x v="0"/>
    <n v="2674688"/>
    <m/>
    <m/>
    <m/>
  </r>
  <r>
    <x v="3"/>
    <x v="1"/>
    <s v="C:\Users\cbarrier\Desktop\BPA\BPA\20201118_Cefas_Test6-Run3/Plate 1/@14/B9_03.tif "/>
    <s v=" 52387.6048 "/>
    <s v=" 39.6276 "/>
    <x v="0"/>
    <n v="2075994"/>
    <m/>
    <m/>
    <m/>
  </r>
  <r>
    <x v="3"/>
    <x v="2"/>
    <s v="C:\Users\cbarrier\Desktop\BPA\BPA\20201118_Cefas_Test6-Run3/Plate 1/@14/C9_01.tif "/>
    <s v=" 54399.185 "/>
    <s v=" 38.0414 "/>
    <x v="0"/>
    <n v="2069419"/>
    <m/>
    <m/>
    <m/>
  </r>
  <r>
    <x v="3"/>
    <x v="2"/>
    <s v="C:\Users\cbarrier\Desktop\BPA\BPA\20201118_Cefas_Test6-Run3/Plate 1/@14/C9_02.tif "/>
    <s v=" 53598.8789 "/>
    <s v=" 39.9374 "/>
    <x v="0"/>
    <n v="2140603"/>
    <m/>
    <m/>
    <m/>
  </r>
  <r>
    <x v="3"/>
    <x v="2"/>
    <s v="C:\Users\cbarrier\Desktop\BPA\BPA\20201118_Cefas_Test6-Run3/Plate 1/@14/C9_03.tif "/>
    <s v=" 59720.1391 "/>
    <s v=" 40.5592 "/>
    <x v="0"/>
    <n v="2422202"/>
    <m/>
    <m/>
    <m/>
  </r>
  <r>
    <x v="3"/>
    <x v="3"/>
    <s v="C:\Users\cbarrier\Desktop\BPA\BPA\20201118_Cefas_Test6-Run3/Plate 1/@14/D9_01- exclu.tif"/>
    <m/>
    <m/>
    <x v="1"/>
    <m/>
    <m/>
    <m/>
    <s v=" n total"/>
  </r>
  <r>
    <x v="3"/>
    <x v="3"/>
    <s v="C:\Users\cbarrier\Desktop\BPA\BPA\20201118_Cefas_Test6-Run3/Plate 1/@14/D9_02.tif "/>
    <s v=" 87276.6248 "/>
    <s v=" 47.1299 "/>
    <x v="0"/>
    <n v="4113335"/>
    <m/>
    <m/>
    <n v="24"/>
  </r>
  <r>
    <x v="3"/>
    <x v="3"/>
    <s v="C:\Users\cbarrier\Desktop\BPA\BPA\20201118_Cefas_Test6-Run3/Plate 1/@14/D9_03.tif "/>
    <s v=" 86346.5394 "/>
    <s v=" 50.2229 "/>
    <x v="0"/>
    <n v="4336578"/>
    <m/>
    <m/>
    <m/>
  </r>
  <r>
    <x v="3"/>
    <x v="4"/>
    <s v="C:\Users\cbarrier\Desktop\BPA\BPA\20201118_Cefas_Test6-Run3/Plate 1/@14/E9_01.tif "/>
    <s v=" 66728.2249 "/>
    <s v=" 41.2703 "/>
    <x v="0"/>
    <n v="2753897"/>
    <m/>
    <m/>
    <m/>
  </r>
  <r>
    <x v="3"/>
    <x v="4"/>
    <s v="C:\Users\cbarrier\Desktop\BPA\BPA\20201118_Cefas_Test6-Run3/Plate 1/@14/E9_02.tif "/>
    <s v=" 55913.2776 "/>
    <s v=" 38.5698 "/>
    <x v="0"/>
    <n v="2156565"/>
    <m/>
    <m/>
    <m/>
  </r>
  <r>
    <x v="3"/>
    <x v="4"/>
    <s v="C:\Users\cbarrier\Desktop\BPA\BPA\20201118_Cefas_Test6-Run3/Plate 1/@14/E9_03.tif "/>
    <s v=" 39258.2588 "/>
    <s v=" 39.1609 "/>
    <x v="0"/>
    <n v="1537388"/>
    <m/>
    <m/>
    <m/>
  </r>
  <r>
    <x v="3"/>
    <x v="5"/>
    <s v="C:\Users\cbarrier\Desktop\BPA\BPA\20201118_Cefas_Test6-Run3/Plate 1/@14/F9_01.tif "/>
    <s v=" 46006.7859 "/>
    <s v=" 40.0846 "/>
    <x v="0"/>
    <n v="1844165"/>
    <m/>
    <m/>
    <m/>
  </r>
  <r>
    <x v="3"/>
    <x v="5"/>
    <s v="C:\Users\cbarrier\Desktop\BPA\BPA\20201118_Cefas_Test6-Run3/Plate 1/@14/F9_02.tif "/>
    <s v=" 53512.3593 "/>
    <s v=" 39.2846 "/>
    <x v="0"/>
    <n v="2102209"/>
    <m/>
    <m/>
    <m/>
  </r>
  <r>
    <x v="3"/>
    <x v="5"/>
    <s v="C:\Users\cbarrier\Desktop\BPA\BPA\20201118_Cefas_Test6-Run3/Plate 1/@14/F9_03.tif "/>
    <s v=" 48580.7433 "/>
    <s v=" 38.6055 "/>
    <x v="0"/>
    <n v="1875485"/>
    <m/>
    <m/>
    <m/>
  </r>
  <r>
    <x v="3"/>
    <x v="6"/>
    <s v="C:\Users\cbarrier\Desktop\BPA\BPA\20201118_Cefas_Test6-Run3/Plate 1/@14/G9_01.tif "/>
    <s v=" 40253.2339 "/>
    <s v=" 39.4283 "/>
    <x v="0"/>
    <n v="1587115"/>
    <m/>
    <m/>
    <m/>
  </r>
  <r>
    <x v="3"/>
    <x v="6"/>
    <s v="C:\Users\cbarrier\Desktop\BPA\BPA\20201118_Cefas_Test6-Run3/Plate 1/@14/G9_02.tif "/>
    <s v=" 43000.2305 "/>
    <s v=" 39.5065 "/>
    <x v="0"/>
    <n v="1698790"/>
    <m/>
    <m/>
    <m/>
  </r>
  <r>
    <x v="3"/>
    <x v="6"/>
    <s v="C:\Users\cbarrier\Desktop\BPA\BPA\20201118_Cefas_Test6-Run3/Plate 1/@14/G9_03.tif "/>
    <s v=" 46374.4941 "/>
    <s v=" 38.847 "/>
    <x v="0"/>
    <n v="1801511"/>
    <m/>
    <m/>
    <m/>
  </r>
  <r>
    <x v="3"/>
    <x v="7"/>
    <s v="C:\Users\cbarrier\Desktop\BPA\BPA\20201118_Cefas_Test6-Run3/Plate 1/@14/H9_01.tif "/>
    <s v=" 13388.9048 "/>
    <s v=" 33.7431 "/>
    <x v="0"/>
    <n v="451784"/>
    <m/>
    <m/>
    <m/>
  </r>
  <r>
    <x v="3"/>
    <x v="7"/>
    <s v="C:\Users\cbarrier\Desktop\BPA\BPA\20201118_Cefas_Test6-Run3/Plate 1/@14/H9_02.tif "/>
    <s v=" 11117.7658 "/>
    <s v=" 33.4319 "/>
    <x v="0"/>
    <n v="371688"/>
    <m/>
    <m/>
    <m/>
  </r>
  <r>
    <x v="3"/>
    <x v="7"/>
    <s v="C:\Users\cbarrier\Desktop\BPA\BPA\20201118_Cefas_Test6-Run3/Plate 1/@14/H9_03.tif "/>
    <s v=" 10252.5701 "/>
    <s v=" 33.846 "/>
    <x v="0"/>
    <n v="347008"/>
    <m/>
    <m/>
    <m/>
  </r>
  <r>
    <x v="1"/>
    <x v="8"/>
    <s v=" "/>
    <m/>
    <m/>
    <x v="1"/>
    <m/>
    <m/>
    <m/>
    <m/>
  </r>
  <r>
    <x v="1"/>
    <x v="8"/>
    <s v="group "/>
    <s v=" "/>
    <s v=" mean of mean fluo "/>
    <x v="2"/>
    <s v=" mean of total fluo "/>
    <s v=" SD total fluo "/>
    <s v=" n fluorescent "/>
    <m/>
  </r>
  <r>
    <x v="3"/>
    <x v="9"/>
    <s v="C:\Users\cbarrier\Desktop\BPA\BPA\20201118_Cefas_Test6-Run3/Plate 1/@14/ "/>
    <s v=" "/>
    <s v=" 39.5245 "/>
    <x v="5"/>
    <s v=" 1960315.54 "/>
    <s v=" 1089906.12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cbarrier\Desktop\BPA\BPA\20201118_Cefas_Test6-Run3/Plate 1/@15/A11_01.tif "/>
    <s v=" 68977.734 "/>
    <s v=" 47.4008 "/>
    <x v="0"/>
    <n v="3269597"/>
    <m/>
    <m/>
    <m/>
  </r>
  <r>
    <x v="4"/>
    <x v="0"/>
    <s v="C:\Users\cbarrier\Desktop\BPA\BPA\20201118_Cefas_Test6-Run3/Plate 1/@15/A11_02.tif "/>
    <s v=" 74168.9087 "/>
    <s v=" 45.058 "/>
    <x v="0"/>
    <n v="3341905"/>
    <m/>
    <m/>
    <m/>
  </r>
  <r>
    <x v="4"/>
    <x v="0"/>
    <s v="C:\Users\cbarrier\Desktop\BPA\BPA\20201118_Cefas_Test6-Run3/Plate 1/@15/A11_03.tif "/>
    <s v=" 66663.3352 "/>
    <s v=" 43.5571 "/>
    <x v="0"/>
    <n v="2903662"/>
    <m/>
    <m/>
    <m/>
  </r>
  <r>
    <x v="4"/>
    <x v="1"/>
    <s v="C:\Users\cbarrier\Desktop\BPA\BPA\20201118_Cefas_Test6-Run3/Plate 1/@15/B11_01.tif "/>
    <s v=" 96144.8816 "/>
    <s v=" 53.1618 "/>
    <x v="0"/>
    <n v="5111231"/>
    <m/>
    <m/>
    <m/>
  </r>
  <r>
    <x v="4"/>
    <x v="1"/>
    <s v="C:\Users\cbarrier\Desktop\BPA\BPA\20201118_Cefas_Test6-Run3/Plate 1/@15/B11_02.tif "/>
    <s v=" 89223.3153 "/>
    <s v=" 49.0895 "/>
    <x v="0"/>
    <n v="4379924"/>
    <m/>
    <m/>
    <m/>
  </r>
  <r>
    <x v="4"/>
    <x v="1"/>
    <s v="C:\Users\cbarrier\Desktop\BPA\BPA\20201118_Cefas_Test6-Run3/Plate 1/@15/B11_03.tif "/>
    <s v=" 86865.6568 "/>
    <s v=" 53.2271 "/>
    <x v="0"/>
    <n v="4623606"/>
    <m/>
    <m/>
    <m/>
  </r>
  <r>
    <x v="4"/>
    <x v="2"/>
    <s v="C:\Users\cbarrier\Desktop\BPA\BPA\20201118_Cefas_Test6-Run3/Plate 1/@15/C11_01.tif "/>
    <s v=" 82453.1583 "/>
    <s v=" 54.7361 "/>
    <x v="0"/>
    <n v="4513164"/>
    <m/>
    <m/>
    <m/>
  </r>
  <r>
    <x v="4"/>
    <x v="2"/>
    <s v="C:\Users\cbarrier\Desktop\BPA\BPA\20201118_Cefas_Test6-Run3/Plate 1/@15/C11_02.tif "/>
    <s v=" 88379.7495 "/>
    <s v=" 57.8769 "/>
    <x v="0"/>
    <n v="5115146"/>
    <m/>
    <m/>
    <m/>
  </r>
  <r>
    <x v="4"/>
    <x v="2"/>
    <s v="C:\Users\cbarrier\Desktop\BPA\BPA\20201118_Cefas_Test6-Run3/Plate 1/@15/C11_03.tif "/>
    <s v=" 71897.7697 "/>
    <s v=" 59.5704 "/>
    <x v="0"/>
    <n v="4282979"/>
    <m/>
    <m/>
    <m/>
  </r>
  <r>
    <x v="4"/>
    <x v="3"/>
    <s v="C:\Users\cbarrier\Desktop\BPA\BPA\20201118_Cefas_Test6-Run3/Plate 1/@15/D11_01.tif "/>
    <s v=" 77845.9908 "/>
    <s v=" 45.8361 "/>
    <x v="0"/>
    <n v="3568154"/>
    <m/>
    <m/>
    <s v=" n total"/>
  </r>
  <r>
    <x v="4"/>
    <x v="3"/>
    <s v="C:\Users\cbarrier\Desktop\BPA\BPA\20201118_Cefas_Test6-Run3/Plate 1/@15/D11_02.tif "/>
    <s v=" 85892.3116 "/>
    <s v=" 48.789 "/>
    <x v="0"/>
    <n v="4190597"/>
    <m/>
    <m/>
    <n v="24"/>
  </r>
  <r>
    <x v="4"/>
    <x v="3"/>
    <s v="C:\Users\cbarrier\Desktop\BPA\BPA\20201118_Cefas_Test6-Run3/Plate 1/@15/D11_03.tif "/>
    <s v=" 84356.5891 "/>
    <s v=" 46.6246 "/>
    <x v="0"/>
    <n v="3933094"/>
    <m/>
    <m/>
    <m/>
  </r>
  <r>
    <x v="4"/>
    <x v="4"/>
    <s v="C:\Users\cbarrier\Desktop\BPA\BPA\20201118_Cefas_Test6-Run3/Plate 1/@15/E11_01.tif "/>
    <s v=" 81068.8451 "/>
    <s v=" 50.2359 "/>
    <x v="0"/>
    <n v="4072563"/>
    <m/>
    <m/>
    <m/>
  </r>
  <r>
    <x v="4"/>
    <x v="4"/>
    <s v="C:\Users\cbarrier\Desktop\BPA\BPA\20201118_Cefas_Test6-Run3/Plate 1/@15/E11_02- exclu.tif"/>
    <m/>
    <m/>
    <x v="1"/>
    <m/>
    <m/>
    <m/>
    <m/>
  </r>
  <r>
    <x v="4"/>
    <x v="4"/>
    <s v="C:\Users\cbarrier\Desktop\BPA\BPA\20201118_Cefas_Test6-Run3/Plate 1/@15/E11_03- exclu.tif"/>
    <m/>
    <m/>
    <x v="1"/>
    <m/>
    <m/>
    <m/>
    <m/>
  </r>
  <r>
    <x v="4"/>
    <x v="5"/>
    <s v="C:\Users\cbarrier\Desktop\BPA\BPA\20201118_Cefas_Test6-Run3/Plate 1/@15/F11_01.tif "/>
    <s v=" 49143.1206 "/>
    <s v=" 47.7843 "/>
    <x v="0"/>
    <n v="2348271"/>
    <m/>
    <m/>
    <m/>
  </r>
  <r>
    <x v="4"/>
    <x v="5"/>
    <s v="C:\Users\cbarrier\Desktop\BPA\BPA\20201118_Cefas_Test6-Run3/Plate 1/@15/F11_02.tif "/>
    <s v=" 53014.8717 "/>
    <s v=" 49.6202 "/>
    <x v="0"/>
    <n v="2630606"/>
    <m/>
    <m/>
    <m/>
  </r>
  <r>
    <x v="4"/>
    <x v="5"/>
    <s v="C:\Users\cbarrier\Desktop\BPA\BPA\20201118_Cefas_Test6-Run3/Plate 1/@15/F11_03.tif "/>
    <s v=" 55004.822 "/>
    <s v=" 46.8537 "/>
    <x v="0"/>
    <n v="2577180"/>
    <m/>
    <m/>
    <m/>
  </r>
  <r>
    <x v="4"/>
    <x v="6"/>
    <s v="C:\Users\cbarrier\Desktop\BPA\BPA\20201118_Cefas_Test6-Run3/Plate 1/@15/G11_01.tif "/>
    <s v=" 79900.8308 "/>
    <s v=" 48.6781 "/>
    <x v="0"/>
    <n v="3889423"/>
    <m/>
    <m/>
    <m/>
  </r>
  <r>
    <x v="4"/>
    <x v="6"/>
    <s v="C:\Users\cbarrier\Desktop\BPA\BPA\20201118_Cefas_Test6-Run3/Plate 1/@15/G11_02.tif "/>
    <s v=" 79554.7524 "/>
    <s v=" 49.4407 "/>
    <x v="0"/>
    <n v="3933245"/>
    <m/>
    <m/>
    <m/>
  </r>
  <r>
    <x v="4"/>
    <x v="6"/>
    <s v="C:\Users\cbarrier\Desktop\BPA\BPA\20201118_Cefas_Test6-Run3/Plate 1/@15/G11_03- exclu.tif"/>
    <m/>
    <m/>
    <x v="1"/>
    <m/>
    <m/>
    <m/>
    <m/>
  </r>
  <r>
    <x v="4"/>
    <x v="7"/>
    <s v="C:\Users\cbarrier\Desktop\BPA\BPA\20201118_Cefas_Test6-Run3/Plate 1/@15/H11_01.tif "/>
    <s v=" 78970.7453 "/>
    <s v=" 54.6242 "/>
    <x v="0"/>
    <n v="4313715"/>
    <m/>
    <m/>
    <m/>
  </r>
  <r>
    <x v="4"/>
    <x v="7"/>
    <s v="C:\Users\cbarrier\Desktop\BPA\BPA\20201118_Cefas_Test6-Run3/Plate 1/@15/H11_02.tif "/>
    <s v=" 78797.7061 "/>
    <s v=" 54.1672 "/>
    <x v="0"/>
    <n v="4268249"/>
    <m/>
    <m/>
    <m/>
  </r>
  <r>
    <x v="4"/>
    <x v="7"/>
    <s v="C:\Users\cbarrier\Desktop\BPA\BPA\20201118_Cefas_Test6-Run3/Plate 1/@15/H11_03.tif "/>
    <s v=" 78148.8093 "/>
    <s v=" 52.6299 "/>
    <x v="0"/>
    <n v="4112968"/>
    <m/>
    <m/>
    <m/>
  </r>
  <r>
    <x v="1"/>
    <x v="8"/>
    <s v=" "/>
    <m/>
    <m/>
    <x v="1"/>
    <m/>
    <m/>
    <m/>
    <m/>
  </r>
  <r>
    <x v="1"/>
    <x v="8"/>
    <s v="group "/>
    <s v=" "/>
    <s v=" mean of mean fluo "/>
    <x v="2"/>
    <s v=" mean of total fluo "/>
    <s v=" SD total fluo "/>
    <s v=" n fluorescent "/>
    <m/>
  </r>
  <r>
    <x v="4"/>
    <x v="9"/>
    <s v="C:\Users\cbarrier\Desktop\BPA\BPA\20201118_Cefas_Test6-Run3/Plate 1/@15/ "/>
    <s v=" "/>
    <s v=" 49.6402 "/>
    <x v="6"/>
    <s v=" 3745286.62 "/>
    <s v=" 1027248.28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cbarrier\Desktop\BPA\BPA\20201118_Cefas_Test6-Run3/Plate 1/@16/A12_01- exclu.tif"/>
    <m/>
    <m/>
    <x v="1"/>
    <m/>
    <m/>
    <m/>
    <m/>
  </r>
  <r>
    <x v="5"/>
    <x v="0"/>
    <s v="C:\Users\cbarrier\Desktop\BPA\BPA\20201118_Cefas_Test6-Run3/Plate 1/@16/A12_02.tif "/>
    <s v=" 7613.7229 "/>
    <s v=" 35.7358 "/>
    <x v="0"/>
    <n v="272082"/>
    <m/>
    <m/>
    <m/>
  </r>
  <r>
    <x v="5"/>
    <x v="0"/>
    <s v="C:\Users\cbarrier\Desktop\BPA\BPA\20201118_Cefas_Test6-Run3/Plate 1/@16/A12_03- exclu.tif"/>
    <m/>
    <m/>
    <x v="1"/>
    <m/>
    <m/>
    <m/>
    <m/>
  </r>
  <r>
    <x v="5"/>
    <x v="1"/>
    <s v="C:\Users\cbarrier\Desktop\BPA\BPA\20201118_Cefas_Test6-Run3/Plate 1/@16/B12_01.tif "/>
    <s v=" 4736.9469 "/>
    <s v=" 35.9909 "/>
    <x v="0"/>
    <n v="170487"/>
    <m/>
    <m/>
    <m/>
  </r>
  <r>
    <x v="5"/>
    <x v="1"/>
    <s v="C:\Users\cbarrier\Desktop\BPA\BPA\20201118_Cefas_Test6-Run3/Plate 1/@16/B12_02.tif "/>
    <s v=" 5234.4345 "/>
    <s v=" 35.7066 "/>
    <x v="0"/>
    <n v="186904"/>
    <m/>
    <m/>
    <m/>
  </r>
  <r>
    <x v="5"/>
    <x v="1"/>
    <s v="C:\Users\cbarrier\Desktop\BPA\BPA\20201118_Cefas_Test6-Run3/Plate 1/@16/B12_03.tif "/>
    <s v=" 6770.157 "/>
    <s v=" 36.8179 "/>
    <x v="0"/>
    <n v="249263"/>
    <m/>
    <m/>
    <m/>
  </r>
  <r>
    <x v="5"/>
    <x v="2"/>
    <s v="C:\Users\cbarrier\Desktop\BPA\BPA\20201118_Cefas_Test6-Run3/Plate 1/@16/C12_01.tif "/>
    <s v=" 3568.9326 "/>
    <s v=" 33.6788 "/>
    <x v="0"/>
    <n v="120197"/>
    <m/>
    <m/>
    <m/>
  </r>
  <r>
    <x v="5"/>
    <x v="2"/>
    <s v="C:\Users\cbarrier\Desktop\BPA\BPA\20201118_Cefas_Test6-Run3/Plate 1/@16/C12_02.tif "/>
    <s v=" 6597.1179 "/>
    <s v=" 41.1016 "/>
    <x v="0"/>
    <n v="271152"/>
    <m/>
    <m/>
    <m/>
  </r>
  <r>
    <x v="5"/>
    <x v="2"/>
    <s v="C:\Users\cbarrier\Desktop\BPA\BPA\20201118_Cefas_Test6-Run3/Plate 1/@16/C12_03.tif "/>
    <s v=" 2271.1389 "/>
    <s v=" 31.9714 "/>
    <x v="0"/>
    <n v="72612"/>
    <m/>
    <m/>
    <m/>
  </r>
  <r>
    <x v="5"/>
    <x v="3"/>
    <s v="C:\Users\cbarrier\Desktop\BPA\BPA\20201118_Cefas_Test6-Run3/Plate 1/@16/D12_01.tif "/>
    <s v=" 2984.9255 "/>
    <s v=" 34.2971 "/>
    <x v="0"/>
    <n v="102374"/>
    <m/>
    <m/>
    <s v=" n total"/>
  </r>
  <r>
    <x v="5"/>
    <x v="3"/>
    <s v="C:\Users\cbarrier\Desktop\BPA\BPA\20201118_Cefas_Test6-Run3/Plate 1/@16/D12_02.tif "/>
    <n v="0"/>
    <n v="0"/>
    <x v="0"/>
    <n v="0"/>
    <m/>
    <m/>
    <n v="24"/>
  </r>
  <r>
    <x v="5"/>
    <x v="3"/>
    <s v="C:\Users\cbarrier\Desktop\BPA\BPA\20201118_Cefas_Test6-Run3/Plate 1/@16/D12_03.tif "/>
    <s v=" 3028.1852 "/>
    <s v=" 33.6429 "/>
    <x v="0"/>
    <n v="101877"/>
    <m/>
    <m/>
    <m/>
  </r>
  <r>
    <x v="5"/>
    <x v="4"/>
    <s v="C:\Users\cbarrier\Desktop\BPA\BPA\20201118_Cefas_Test6-Run3/Plate 1/@16/E12_01.tif "/>
    <s v=" 1254.5339 "/>
    <s v=" 32.6379 "/>
    <x v="0"/>
    <n v="40945"/>
    <m/>
    <m/>
    <m/>
  </r>
  <r>
    <x v="5"/>
    <x v="4"/>
    <s v="C:\Users\cbarrier\Desktop\BPA\BPA\20201118_Cefas_Test6-Run3/Plate 1/@16/E12_02- exclu.tif"/>
    <m/>
    <m/>
    <x v="1"/>
    <m/>
    <m/>
    <m/>
    <m/>
  </r>
  <r>
    <x v="5"/>
    <x v="4"/>
    <s v="C:\Users\cbarrier\Desktop\BPA\BPA\20201118_Cefas_Test6-Run3/Plate 1/@16/E12_03.tif "/>
    <s v=" 475.8577 "/>
    <s v=" 31.0909 "/>
    <x v="0"/>
    <n v="14795"/>
    <m/>
    <m/>
    <m/>
  </r>
  <r>
    <x v="5"/>
    <x v="5"/>
    <s v="C:\Users\cbarrier\Desktop\BPA\BPA\20201118_Cefas_Test6-Run3/Plate 1/@16/F12_01.tif "/>
    <s v=" 1773.6514 "/>
    <s v=" 33.7927 "/>
    <x v="0"/>
    <n v="59936"/>
    <m/>
    <m/>
    <m/>
  </r>
  <r>
    <x v="5"/>
    <x v="5"/>
    <s v="C:\Users\cbarrier\Desktop\BPA\BPA\20201118_Cefas_Test6-Run3/Plate 1/@16/F12_02.tif "/>
    <s v=" 4693.6871 "/>
    <s v=" 38.447 "/>
    <x v="0"/>
    <n v="180458"/>
    <m/>
    <m/>
    <m/>
  </r>
  <r>
    <x v="5"/>
    <x v="5"/>
    <s v="C:\Users\cbarrier\Desktop\BPA\BPA\20201118_Cefas_Test6-Run3/Plate 1/@16/F12_03.tif "/>
    <s v=" 3698.712 "/>
    <s v=" 34.6784 "/>
    <x v="0"/>
    <n v="128265"/>
    <m/>
    <m/>
    <m/>
  </r>
  <r>
    <x v="5"/>
    <x v="6"/>
    <s v="C:\Users\cbarrier\Desktop\BPA\BPA\20201118_Cefas_Test6-Run3/Plate 1/@16/G12_01.tif "/>
    <n v="0"/>
    <n v="0"/>
    <x v="0"/>
    <n v="0"/>
    <m/>
    <m/>
    <m/>
  </r>
  <r>
    <x v="5"/>
    <x v="6"/>
    <s v="C:\Users\cbarrier\Desktop\BPA\BPA\20201118_Cefas_Test6-Run3/Plate 1/@16/G12_02.tif "/>
    <n v="0"/>
    <n v="0"/>
    <x v="0"/>
    <n v="0"/>
    <m/>
    <m/>
    <m/>
  </r>
  <r>
    <x v="5"/>
    <x v="6"/>
    <s v="C:\Users\cbarrier\Desktop\BPA\BPA\20201118_Cefas_Test6-Run3/Plate 1/@16/G12_03.tif "/>
    <s v=" 4758.5768 "/>
    <s v=" 36.0909 "/>
    <x v="0"/>
    <n v="171741"/>
    <m/>
    <m/>
    <m/>
  </r>
  <r>
    <x v="5"/>
    <x v="7"/>
    <s v="C:\Users\cbarrier\Desktop\BPA\BPA\20201118_Cefas_Test6-Run3/Plate 1/@16/H12_01.tif "/>
    <s v=" 8868.2568 "/>
    <s v=" 39.5439 "/>
    <x v="0"/>
    <n v="350685"/>
    <m/>
    <m/>
    <m/>
  </r>
  <r>
    <x v="5"/>
    <x v="7"/>
    <s v="C:\Users\cbarrier\Desktop\BPA\BPA\20201118_Cefas_Test6-Run3/Plate 1/@16/H12_02.tif "/>
    <s v=" 1557.3524 "/>
    <s v=" 34.375 "/>
    <x v="0"/>
    <n v="53534"/>
    <m/>
    <m/>
    <m/>
  </r>
  <r>
    <x v="5"/>
    <x v="7"/>
    <s v="C:\Users\cbarrier\Desktop\BPA\BPA\20201118_Cefas_Test6-Run3/Plate 1/@16/H12_03- exclu.tif"/>
    <m/>
    <m/>
    <x v="1"/>
    <m/>
    <m/>
    <m/>
    <m/>
  </r>
  <r>
    <x v="1"/>
    <x v="8"/>
    <s v=" "/>
    <m/>
    <m/>
    <x v="1"/>
    <m/>
    <m/>
    <m/>
    <m/>
  </r>
  <r>
    <x v="1"/>
    <x v="8"/>
    <s v="group "/>
    <s v=" "/>
    <s v=" mean of mean fluo "/>
    <x v="2"/>
    <s v=" mean of total fluo "/>
    <s v=" SD total fluo "/>
    <s v=" n fluorescent "/>
    <m/>
  </r>
  <r>
    <x v="5"/>
    <x v="9"/>
    <s v="C:\Users\cbarrier\Desktop\BPA\BPA\20201118_Cefas_Test6-Run3/Plate 1/@16/ "/>
    <s v=" "/>
    <s v=" 31.3528 "/>
    <x v="7"/>
    <s v=" 215029.917 "/>
    <s v=" 275119.306 "/>
    <n v="20"/>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cbarrier\Desktop\BPA\BPA\20201118_Cefas_Test6-Run3/Plate 1/@2/A2_01.tif "/>
    <s v=" 4325.9789 "/>
    <s v=" 34.245 "/>
    <x v="0"/>
    <n v="148143"/>
    <m/>
    <m/>
    <m/>
  </r>
  <r>
    <x v="6"/>
    <x v="0"/>
    <s v="C:\Users\cbarrier\Desktop\BPA\BPA\20201118_Cefas_Test6-Run3/Plate 1/@2/A2_02.tif "/>
    <s v=" 4628.7975 "/>
    <s v=" 37.2103 "/>
    <x v="0"/>
    <n v="172239"/>
    <m/>
    <m/>
    <m/>
  </r>
  <r>
    <x v="6"/>
    <x v="0"/>
    <s v="C:\Users\cbarrier\Desktop\BPA\BPA\20201118_Cefas_Test6-Run3/Plate 1/@2/A2_03.tif "/>
    <s v=" 5840.0715 "/>
    <s v=" 38.7963 "/>
    <x v="0"/>
    <n v="226573"/>
    <m/>
    <m/>
    <m/>
  </r>
  <r>
    <x v="6"/>
    <x v="1"/>
    <s v="C:\Users\cbarrier\Desktop\BPA\BPA\20201118_Cefas_Test6-Run3/Plate 1/@2/B2_01.tif "/>
    <s v=" 2465.808 "/>
    <s v=" 34.6842 "/>
    <x v="0"/>
    <n v="85525"/>
    <m/>
    <m/>
    <m/>
  </r>
  <r>
    <x v="6"/>
    <x v="1"/>
    <s v="C:\Users\cbarrier\Desktop\BPA\BPA\20201118_Cefas_Test6-Run3/Plate 1/@2/B2_02.tif "/>
    <s v=" 21.6299 "/>
    <n v="36"/>
    <x v="0"/>
    <n v="779"/>
    <m/>
    <m/>
    <m/>
  </r>
  <r>
    <x v="6"/>
    <x v="1"/>
    <s v="C:\Users\cbarrier\Desktop\BPA\BPA\20201118_Cefas_Test6-Run3/Plate 1/@2/B2_03.tif "/>
    <s v=" 454.2278 "/>
    <s v=" 32.3333 "/>
    <x v="0"/>
    <n v="14687"/>
    <m/>
    <m/>
    <m/>
  </r>
  <r>
    <x v="6"/>
    <x v="2"/>
    <s v="C:\Users\cbarrier\Desktop\BPA\BPA\20201118_Cefas_Test6-Run3/Plate 1/@2/C2_01.tif "/>
    <s v=" 5796.8118 "/>
    <s v=" 38.9515 "/>
    <x v="0"/>
    <n v="225794"/>
    <m/>
    <m/>
    <m/>
  </r>
  <r>
    <x v="6"/>
    <x v="2"/>
    <s v="C:\Users\cbarrier\Desktop\BPA\BPA\20201118_Cefas_Test6-Run3/Plate 1/@2/C2_02.tif "/>
    <s v=" 994.9752 "/>
    <s v=" 39.5652 "/>
    <x v="0"/>
    <n v="39366"/>
    <m/>
    <m/>
    <m/>
  </r>
  <r>
    <x v="6"/>
    <x v="2"/>
    <s v="C:\Users\cbarrier\Desktop\BPA\BPA\20201118_Cefas_Test6-Run3/Plate 1/@2/C2_03.tif "/>
    <s v=" 3763.6017 "/>
    <s v=" 34.9713 "/>
    <x v="0"/>
    <n v="131618"/>
    <m/>
    <m/>
    <m/>
  </r>
  <r>
    <x v="6"/>
    <x v="3"/>
    <s v="C:\Users\cbarrier\Desktop\BPA\BPA\20201118_Cefas_Test6-Run3/Plate 1/@2/D2_01.tif "/>
    <s v=" 7310.9044 "/>
    <s v=" 34.7959 "/>
    <x v="0"/>
    <n v="254389"/>
    <m/>
    <m/>
    <s v=" n total"/>
  </r>
  <r>
    <x v="6"/>
    <x v="3"/>
    <s v="C:\Users\cbarrier\Desktop\BPA\BPA\20201118_Cefas_Test6-Run3/Plate 1/@2/D2_02.tif "/>
    <s v=" 3612.1924 "/>
    <s v=" 33.0958 "/>
    <x v="0"/>
    <n v="119548"/>
    <m/>
    <m/>
    <n v="24"/>
  </r>
  <r>
    <x v="6"/>
    <x v="3"/>
    <s v="C:\Users\cbarrier\Desktop\BPA\BPA\20201118_Cefas_Test6-Run3/Plate 1/@2/D2_03.tif "/>
    <s v=" 7894.9115 "/>
    <s v=" 36.2055 "/>
    <x v="0"/>
    <n v="285839"/>
    <m/>
    <m/>
    <m/>
  </r>
  <r>
    <x v="6"/>
    <x v="4"/>
    <s v="C:\Users\cbarrier\Desktop\BPA\BPA\20201118_Cefas_Test6-Run3/Plate 1/@2/E2_01.tif "/>
    <s v=" 11355.6947 "/>
    <s v=" 34.6438 "/>
    <x v="0"/>
    <n v="393405"/>
    <m/>
    <m/>
    <m/>
  </r>
  <r>
    <x v="6"/>
    <x v="4"/>
    <s v="C:\Users\cbarrier\Desktop\BPA\BPA\20201118_Cefas_Test6-Run3/Plate 1/@2/E2_02.tif "/>
    <s v=" 35473.0272 "/>
    <s v=" 35.8091 "/>
    <x v="0"/>
    <n v="1270259"/>
    <m/>
    <m/>
    <m/>
  </r>
  <r>
    <x v="6"/>
    <x v="4"/>
    <s v="C:\Users\cbarrier\Desktop\BPA\BPA\20201118_Cefas_Test6-Run3/Plate 1/@2/E2_03.tif "/>
    <s v=" 14665.0686 "/>
    <s v=" 31.8879 "/>
    <x v="0"/>
    <n v="467638"/>
    <m/>
    <m/>
    <m/>
  </r>
  <r>
    <x v="6"/>
    <x v="5"/>
    <s v="C:\Users\cbarrier\Desktop\BPA\BPA\20201118_Cefas_Test6-Run3/Plate 1/@2/F2_01.tif "/>
    <s v=" 13799.8728 "/>
    <s v=" 43.3135 "/>
    <x v="0"/>
    <n v="597721"/>
    <m/>
    <m/>
    <m/>
  </r>
  <r>
    <x v="6"/>
    <x v="5"/>
    <s v="C:\Users\cbarrier\Desktop\BPA\BPA\20201118_Cefas_Test6-Run3/Plate 1/@2/F2_02.tif "/>
    <s v=" 13713.3532 "/>
    <s v=" 44.1877 "/>
    <x v="0"/>
    <n v="605961"/>
    <m/>
    <m/>
    <m/>
  </r>
  <r>
    <x v="6"/>
    <x v="5"/>
    <s v="C:\Users\cbarrier\Desktop\BPA\BPA\20201118_Cefas_Test6-Run3/Plate 1/@2/F2_03.tif "/>
    <s v=" 11961.3317 "/>
    <s v=" 45.4955 "/>
    <x v="0"/>
    <n v="544187"/>
    <m/>
    <m/>
    <m/>
  </r>
  <r>
    <x v="6"/>
    <x v="6"/>
    <s v="C:\Users\cbarrier\Desktop\BPA\BPA\20201118_Cefas_Test6-Run3/Plate 1/@2/G2_01.tif "/>
    <s v=" 7938.1713 "/>
    <s v=" 39.5858 "/>
    <x v="0"/>
    <n v="314239"/>
    <m/>
    <m/>
    <m/>
  </r>
  <r>
    <x v="6"/>
    <x v="6"/>
    <s v="C:\Users\cbarrier\Desktop\BPA\BPA\20201118_Cefas_Test6-Run3/Plate 1/@2/G2_02.tif "/>
    <s v=" 6640.3777 "/>
    <s v=" 38.8925 "/>
    <x v="0"/>
    <n v="258261"/>
    <m/>
    <m/>
    <m/>
  </r>
  <r>
    <x v="6"/>
    <x v="6"/>
    <s v="C:\Users\cbarrier\Desktop\BPA\BPA\20201118_Cefas_Test6-Run3/Plate 1/@2/G2_03.tif "/>
    <s v=" 6662.0075 "/>
    <s v=" 40.039 "/>
    <x v="0"/>
    <n v="266740"/>
    <m/>
    <m/>
    <m/>
  </r>
  <r>
    <x v="6"/>
    <x v="7"/>
    <s v="C:\Users\cbarrier\Desktop\BPA\BPA\20201118_Cefas_Test6-Run3/Plate 1/@2/H2_01.tif "/>
    <s v=" 10879.837 "/>
    <s v=" 43.2704 "/>
    <x v="0"/>
    <n v="470775"/>
    <m/>
    <m/>
    <m/>
  </r>
  <r>
    <x v="6"/>
    <x v="7"/>
    <s v="C:\Users\cbarrier\Desktop\BPA\BPA\20201118_Cefas_Test6-Run3/Plate 1/@2/H2_02.tif "/>
    <s v=" 10663.5381 "/>
    <s v=" 41.4016 "/>
    <x v="0"/>
    <n v="441488"/>
    <m/>
    <m/>
    <m/>
  </r>
  <r>
    <x v="6"/>
    <x v="7"/>
    <s v="C:\Users\cbarrier\Desktop\BPA\BPA\20201118_Cefas_Test6-Run3/Plate 1/@2/H2_03.tif "/>
    <s v=" 6791.7869 "/>
    <s v=" 47.3248 "/>
    <x v="0"/>
    <n v="321420"/>
    <m/>
    <m/>
    <m/>
  </r>
  <r>
    <x v="1"/>
    <x v="8"/>
    <s v=" "/>
    <m/>
    <m/>
    <x v="1"/>
    <m/>
    <m/>
    <m/>
    <m/>
  </r>
  <r>
    <x v="1"/>
    <x v="8"/>
    <s v="group "/>
    <s v=" "/>
    <s v=" mean of mean fluo "/>
    <x v="2"/>
    <s v=" mean of total fluo "/>
    <s v=" SD total fluo "/>
    <s v=" n fluorescent "/>
    <m/>
  </r>
  <r>
    <x v="6"/>
    <x v="9"/>
    <s v="C:\Users\cbarrier\Desktop\BPA\BPA\20201118_Cefas_Test6-Run3/Plate 1/@2/ "/>
    <s v=" "/>
    <s v=" 38.1961 "/>
    <x v="8"/>
    <s v=" 319024.75 "/>
    <s v=" 268850.788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cbarrier\Desktop\BPA\BPA\20201118_Cefas_Test6-Run3/Plate 1/@3/A3_01.tif "/>
    <s v=" 2119.7297 "/>
    <s v=" 33.949 "/>
    <x v="0"/>
    <n v="71963"/>
    <m/>
    <m/>
    <m/>
  </r>
  <r>
    <x v="7"/>
    <x v="0"/>
    <s v="C:\Users\cbarrier\Desktop\BPA\BPA\20201118_Cefas_Test6-Run3/Plate 1/@3/A3_02.tif "/>
    <n v="0"/>
    <n v="0"/>
    <x v="0"/>
    <n v="0"/>
    <m/>
    <m/>
    <m/>
  </r>
  <r>
    <x v="7"/>
    <x v="0"/>
    <s v="C:\Users\cbarrier\Desktop\BPA\BPA\20201118_Cefas_Test6-Run3/Plate 1/@3/A3_03.tif "/>
    <s v=" 627.2669 "/>
    <n v="32"/>
    <x v="0"/>
    <n v="20073"/>
    <m/>
    <m/>
    <m/>
  </r>
  <r>
    <x v="7"/>
    <x v="1"/>
    <s v="C:\Users\cbarrier\Desktop\BPA\BPA\20201118_Cefas_Test6-Run3/Plate 1/@3/B3_01.tif "/>
    <s v=" 12480.4492 "/>
    <s v=" 39.2513 "/>
    <x v="0"/>
    <n v="489874"/>
    <m/>
    <m/>
    <m/>
  </r>
  <r>
    <x v="7"/>
    <x v="1"/>
    <s v="C:\Users\cbarrier\Desktop\BPA\BPA\20201118_Cefas_Test6-Run3/Plate 1/@3/B3_02.tif "/>
    <s v=" 16049.3818 "/>
    <s v=" 42.8194 "/>
    <x v="0"/>
    <n v="687225"/>
    <m/>
    <m/>
    <m/>
  </r>
  <r>
    <x v="7"/>
    <x v="1"/>
    <s v="C:\Users\cbarrier\Desktop\BPA\BPA\20201118_Cefas_Test6-Run3/Plate 1/@3/B3_03.tif "/>
    <s v=" 16006.122 "/>
    <s v=" 47.0676 "/>
    <x v="0"/>
    <n v="753369"/>
    <m/>
    <m/>
    <m/>
  </r>
  <r>
    <x v="7"/>
    <x v="2"/>
    <s v="C:\Users\cbarrier\Desktop\BPA\BPA\20201118_Cefas_Test6-Run3/Plate 1/@3/C3_01.tif "/>
    <s v=" 3049.8151 "/>
    <s v=" 37.9929 "/>
    <x v="0"/>
    <n v="115871"/>
    <m/>
    <m/>
    <m/>
  </r>
  <r>
    <x v="7"/>
    <x v="2"/>
    <s v="C:\Users\cbarrier\Desktop\BPA\BPA\20201118_Cefas_Test6-Run3/Plate 1/@3/C3_02.tif "/>
    <s v=" 4088.0501 "/>
    <s v=" 35.455 "/>
    <x v="0"/>
    <n v="144942"/>
    <m/>
    <m/>
    <m/>
  </r>
  <r>
    <x v="7"/>
    <x v="2"/>
    <s v="C:\Users\cbarrier\Desktop\BPA\BPA\20201118_Cefas_Test6-Run3/Plate 1/@3/C3_03.tif "/>
    <s v=" 5061.3953 "/>
    <s v=" 37.3504 "/>
    <x v="0"/>
    <n v="189045"/>
    <m/>
    <m/>
    <m/>
  </r>
  <r>
    <x v="7"/>
    <x v="3"/>
    <s v="C:\Users\cbarrier\Desktop\BPA\BPA\20201118_Cefas_Test6-Run3/Plate 1/@3/D3_01.tif "/>
    <s v=" 4109.68 "/>
    <s v=" 37.1789 "/>
    <x v="0"/>
    <n v="152794"/>
    <m/>
    <m/>
    <s v=" n total"/>
  </r>
  <r>
    <x v="7"/>
    <x v="3"/>
    <s v="C:\Users\cbarrier\Desktop\BPA\BPA\20201118_Cefas_Test6-Run3/Plate 1/@3/D3_02- exclu.tif"/>
    <m/>
    <m/>
    <x v="1"/>
    <m/>
    <m/>
    <m/>
    <n v="24"/>
  </r>
  <r>
    <x v="7"/>
    <x v="3"/>
    <s v="C:\Users\cbarrier\Desktop\BPA\BPA\20201118_Cefas_Test6-Run3/Plate 1/@3/D3_03- exclu.tif"/>
    <m/>
    <m/>
    <x v="1"/>
    <m/>
    <m/>
    <m/>
    <m/>
  </r>
  <r>
    <x v="7"/>
    <x v="4"/>
    <s v="C:\Users\cbarrier\Desktop\BPA\BPA\20201118_Cefas_Test6-Run3/Plate 1/@3/E3_01.tif "/>
    <s v=" 7397.424 "/>
    <s v=" 42.2661 "/>
    <x v="0"/>
    <n v="312660"/>
    <m/>
    <m/>
    <m/>
  </r>
  <r>
    <x v="7"/>
    <x v="4"/>
    <s v="C:\Users\cbarrier\Desktop\BPA\BPA\20201118_Cefas_Test6-Run3/Plate 1/@3/E3_02.tif "/>
    <s v=" 9798.3423 "/>
    <s v=" 41.5806 "/>
    <x v="0"/>
    <n v="407421"/>
    <m/>
    <m/>
    <m/>
  </r>
  <r>
    <x v="7"/>
    <x v="4"/>
    <s v="C:\Users\cbarrier\Desktop\BPA\BPA\20201118_Cefas_Test6-Run3/Plate 1/@3/E3_03.tif "/>
    <s v=" 11788.2926 "/>
    <s v=" 41.2679 "/>
    <x v="0"/>
    <n v="486478"/>
    <m/>
    <m/>
    <m/>
  </r>
  <r>
    <x v="7"/>
    <x v="5"/>
    <s v="C:\Users\cbarrier\Desktop\BPA\BPA\20201118_Cefas_Test6-Run3/Plate 1/@3/F3_01.tif "/>
    <s v=" 5861.7014 "/>
    <s v=" 33.6531 "/>
    <x v="0"/>
    <n v="197265"/>
    <m/>
    <m/>
    <m/>
  </r>
  <r>
    <x v="7"/>
    <x v="5"/>
    <s v="C:\Users\cbarrier\Desktop\BPA\BPA\20201118_Cefas_Test6-Run3/Plate 1/@3/F3_02.tif "/>
    <s v=" 3201.2244 "/>
    <s v=" 34.9865 "/>
    <x v="0"/>
    <n v="112000"/>
    <m/>
    <m/>
    <m/>
  </r>
  <r>
    <x v="7"/>
    <x v="5"/>
    <s v="C:\Users\cbarrier\Desktop\BPA\BPA\20201118_Cefas_Test6-Run3/Plate 1/@3/F3_03.tif "/>
    <s v=" 4520.648 "/>
    <s v=" 33.11 "/>
    <x v="0"/>
    <n v="149679"/>
    <m/>
    <m/>
    <m/>
  </r>
  <r>
    <x v="7"/>
    <x v="6"/>
    <s v="C:\Users\cbarrier\Desktop\BPA\BPA\20201118_Cefas_Test6-Run3/Plate 1/@3/G3_01.tif "/>
    <s v=" 9560.4134 "/>
    <s v=" 41.4095 "/>
    <x v="0"/>
    <n v="395892"/>
    <m/>
    <m/>
    <m/>
  </r>
  <r>
    <x v="7"/>
    <x v="6"/>
    <s v="C:\Users\cbarrier\Desktop\BPA\BPA\20201118_Cefas_Test6-Run3/Plate 1/@3/G3_02.tif "/>
    <s v=" 7072.9755 "/>
    <s v=" 41.9419 "/>
    <x v="0"/>
    <n v="296654"/>
    <m/>
    <m/>
    <m/>
  </r>
  <r>
    <x v="7"/>
    <x v="6"/>
    <s v="C:\Users\cbarrier\Desktop\BPA\BPA\20201118_Cefas_Test6-Run3/Plate 1/@3/G3_03.tif "/>
    <s v=" 10490.4989 "/>
    <s v=" 39.5732 "/>
    <x v="0"/>
    <n v="415143"/>
    <m/>
    <m/>
    <m/>
  </r>
  <r>
    <x v="7"/>
    <x v="7"/>
    <s v="C:\Users\cbarrier\Desktop\BPA\BPA\20201118_Cefas_Test6-Run3/Plate 1/@3/H3_01.tif "/>
    <s v=" 3482.413 "/>
    <s v=" 34.8882 "/>
    <x v="0"/>
    <n v="121495"/>
    <m/>
    <m/>
    <m/>
  </r>
  <r>
    <x v="7"/>
    <x v="7"/>
    <s v="C:\Users\cbarrier\Desktop\BPA\BPA\20201118_Cefas_Test6-Run3/Plate 1/@3/H3_02.tif "/>
    <s v=" 4715.317 "/>
    <s v=" 36.4128 "/>
    <x v="0"/>
    <n v="171698"/>
    <m/>
    <m/>
    <m/>
  </r>
  <r>
    <x v="7"/>
    <x v="7"/>
    <s v="C:\Users\cbarrier\Desktop\BPA\BPA\20201118_Cefas_Test6-Run3/Plate 1/@3/H3_03.tif "/>
    <s v=" 43.2598 "/>
    <n v="33"/>
    <x v="0"/>
    <n v="1428"/>
    <m/>
    <m/>
    <m/>
  </r>
  <r>
    <x v="1"/>
    <x v="8"/>
    <s v=" "/>
    <m/>
    <m/>
    <x v="1"/>
    <m/>
    <m/>
    <m/>
    <m/>
  </r>
  <r>
    <x v="1"/>
    <x v="8"/>
    <s v="group "/>
    <s v=" "/>
    <s v=" mean of mean fluo "/>
    <x v="2"/>
    <s v=" mean of total fluo "/>
    <s v=" SD total fluo "/>
    <s v=" n fluorescent "/>
    <m/>
  </r>
  <r>
    <x v="7"/>
    <x v="9"/>
    <s v="C:\Users\cbarrier\Desktop\BPA\BPA\20201118_Cefas_Test6-Run3/Plate 1/@3/ "/>
    <s v=" "/>
    <s v=" 34.6371 "/>
    <x v="9"/>
    <s v=" 243944.75 "/>
    <s v=" 209807.607 "/>
    <n v="22"/>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cbarrier\Desktop\BPA\BPA\20201118_Cefas_Test6-Run3/Plate 1/@4/A4_01.tif "/>
    <s v=" 475.8577 "/>
    <s v=" 31.2273 "/>
    <x v="0"/>
    <n v="14860"/>
    <m/>
    <m/>
    <m/>
  </r>
  <r>
    <x v="8"/>
    <x v="0"/>
    <s v="C:\Users\cbarrier\Desktop\BPA\BPA\20201118_Cefas_Test6-Run3/Plate 1/@4/A4_02.tif "/>
    <s v=" 12047.8513 "/>
    <s v=" 33.5081 "/>
    <x v="0"/>
    <n v="403700"/>
    <m/>
    <m/>
    <m/>
  </r>
  <r>
    <x v="8"/>
    <x v="0"/>
    <s v="C:\Users\cbarrier\Desktop\BPA\BPA\20201118_Cefas_Test6-Run3/Plate 1/@4/A4_03.tif "/>
    <s v=" 1881.8008 "/>
    <s v=" 31.4368 "/>
    <x v="0"/>
    <n v="59158"/>
    <m/>
    <m/>
    <m/>
  </r>
  <r>
    <x v="8"/>
    <x v="1"/>
    <s v="C:\Users\cbarrier\Desktop\BPA\BPA\20201118_Cefas_Test6-Run3/Plate 1/@4/B4_01.tif "/>
    <s v=" 26821.0693 "/>
    <s v=" 34.2944 "/>
    <x v="0"/>
    <n v="919811"/>
    <m/>
    <m/>
    <m/>
  </r>
  <r>
    <x v="8"/>
    <x v="1"/>
    <s v="C:\Users\cbarrier\Desktop\BPA\BPA\20201118_Cefas_Test6-Run3/Plate 1/@4/B4_02.tif "/>
    <s v=" 26431.7312 "/>
    <s v=" 34.3175 "/>
    <x v="0"/>
    <n v="907071"/>
    <m/>
    <m/>
    <m/>
  </r>
  <r>
    <x v="8"/>
    <x v="1"/>
    <s v="C:\Users\cbarrier\Desktop\BPA\BPA\20201118_Cefas_Test6-Run3/Plate 1/@4/B4_03.tif "/>
    <s v=" 28053.9733 "/>
    <s v=" 34.2891 "/>
    <x v="0"/>
    <n v="961946"/>
    <m/>
    <m/>
    <m/>
  </r>
  <r>
    <x v="8"/>
    <x v="2"/>
    <s v="C:\Users\cbarrier\Desktop\BPA\BPA\20201118_Cefas_Test6-Run3/Plate 1/@4/C4_01.tif "/>
    <s v=" 16676.6488 "/>
    <s v=" 34.546 "/>
    <x v="0"/>
    <n v="576112"/>
    <m/>
    <m/>
    <m/>
  </r>
  <r>
    <x v="8"/>
    <x v="2"/>
    <s v="C:\Users\cbarrier\Desktop\BPA\BPA\20201118_Cefas_Test6-Run3/Plate 1/@4/C4_02.tif "/>
    <s v=" 12502.0791 "/>
    <s v=" 33.1765 "/>
    <x v="0"/>
    <n v="414775"/>
    <m/>
    <m/>
    <m/>
  </r>
  <r>
    <x v="8"/>
    <x v="2"/>
    <s v="C:\Users\cbarrier\Desktop\BPA\BPA\20201118_Cefas_Test6-Run3/Plate 1/@4/C4_03.tif "/>
    <s v=" 12069.4812 "/>
    <s v=" 33.1846 "/>
    <x v="0"/>
    <n v="400521"/>
    <m/>
    <m/>
    <m/>
  </r>
  <r>
    <x v="8"/>
    <x v="3"/>
    <s v="C:\Users\cbarrier\Desktop\BPA\BPA\20201118_Cefas_Test6-Run3/Plate 1/@4/D4_01.tif "/>
    <s v=" 25458.386 "/>
    <s v=" 33.3976 "/>
    <x v="0"/>
    <n v="850250"/>
    <m/>
    <m/>
    <s v=" n total"/>
  </r>
  <r>
    <x v="8"/>
    <x v="3"/>
    <s v="C:\Users\cbarrier\Desktop\BPA\BPA\20201118_Cefas_Test6-Run3/Plate 1/@4/D4_02.tif "/>
    <s v=" 38717.5114 "/>
    <s v=" 35.8626 "/>
    <x v="0"/>
    <n v="1388509"/>
    <m/>
    <m/>
    <n v="24"/>
  </r>
  <r>
    <x v="8"/>
    <x v="3"/>
    <s v="C:\Users\cbarrier\Desktop\BPA\BPA\20201118_Cefas_Test6-Run3/Plate 1/@4/D4_03.tif "/>
    <s v=" 23035.8378 "/>
    <s v=" 34.7333 "/>
    <x v="0"/>
    <n v="800111"/>
    <m/>
    <m/>
    <m/>
  </r>
  <r>
    <x v="8"/>
    <x v="4"/>
    <s v="C:\Users\cbarrier\Desktop\BPA\BPA\20201118_Cefas_Test6-Run3/Plate 1/@4/E4_01.tif "/>
    <s v=" 8370.7692 "/>
    <s v=" 34.2972 "/>
    <x v="0"/>
    <n v="287094"/>
    <m/>
    <m/>
    <m/>
  </r>
  <r>
    <x v="8"/>
    <x v="4"/>
    <s v="C:\Users\cbarrier\Desktop\BPA\BPA\20201118_Cefas_Test6-Run3/Plate 1/@4/E4_02.tif "/>
    <s v=" 16979.4673 "/>
    <s v=" 34.4369 "/>
    <x v="0"/>
    <n v="584721"/>
    <m/>
    <m/>
    <m/>
  </r>
  <r>
    <x v="8"/>
    <x v="4"/>
    <s v="C:\Users\cbarrier\Desktop\BPA\BPA\20201118_Cefas_Test6-Run3/Plate 1/@4/E4_03.tif "/>
    <s v=" 11463.8442 "/>
    <s v=" 32.5528 "/>
    <x v="0"/>
    <n v="373181"/>
    <m/>
    <m/>
    <m/>
  </r>
  <r>
    <x v="8"/>
    <x v="5"/>
    <s v="C:\Users\cbarrier\Desktop\BPA\BPA\20201118_Cefas_Test6-Run3/Plate 1/@4/F4_01.tif "/>
    <s v=" 32271.8028 "/>
    <s v=" 35.0476 "/>
    <x v="0"/>
    <n v="1131049"/>
    <m/>
    <m/>
    <m/>
  </r>
  <r>
    <x v="8"/>
    <x v="5"/>
    <s v="C:\Users\cbarrier\Desktop\BPA\BPA\20201118_Cefas_Test6-Run3/Plate 1/@4/F4_02.tif "/>
    <s v=" 38176.764 "/>
    <s v=" 35.647 "/>
    <x v="0"/>
    <n v="1360888"/>
    <m/>
    <m/>
    <m/>
  </r>
  <r>
    <x v="8"/>
    <x v="5"/>
    <s v="C:\Users\cbarrier\Desktop\BPA\BPA\20201118_Cefas_Test6-Run3/Plate 1/@4/F4_03.tif "/>
    <s v=" 17952.8125 "/>
    <s v=" 33.0988 "/>
    <x v="0"/>
    <n v="594216"/>
    <m/>
    <m/>
    <m/>
  </r>
  <r>
    <x v="8"/>
    <x v="6"/>
    <s v="C:\Users\cbarrier\Desktop\BPA\BPA\20201118_Cefas_Test6-Run3/Plate 1/@4/G4_01.tif "/>
    <s v=" 55978.1673 "/>
    <s v=" 36.3605 "/>
    <x v="0"/>
    <n v="2035395"/>
    <m/>
    <m/>
    <m/>
  </r>
  <r>
    <x v="8"/>
    <x v="6"/>
    <s v="C:\Users\cbarrier\Desktop\BPA\BPA\20201118_Cefas_Test6-Run3/Plate 1/@4/G4_02.tif "/>
    <s v=" 56843.3631 "/>
    <s v=" 38.7249 "/>
    <x v="0"/>
    <n v="2201253"/>
    <m/>
    <m/>
    <m/>
  </r>
  <r>
    <x v="8"/>
    <x v="6"/>
    <s v="C:\Users\cbarrier\Desktop\BPA\BPA\20201118_Cefas_Test6-Run3/Plate 1/@4/G4_03.tif "/>
    <s v=" 55350.9004 "/>
    <s v=" 37.8343 "/>
    <x v="0"/>
    <n v="2094163"/>
    <m/>
    <m/>
    <m/>
  </r>
  <r>
    <x v="8"/>
    <x v="7"/>
    <s v="C:\Users\cbarrier\Desktop\BPA\BPA\20201118_Cefas_Test6-Run3/Plate 1/@4/H4_01.tif "/>
    <s v=" 13410.5347 "/>
    <s v=" 34.0468 "/>
    <x v="0"/>
    <n v="456585"/>
    <m/>
    <m/>
    <m/>
  </r>
  <r>
    <x v="8"/>
    <x v="7"/>
    <s v="C:\Users\cbarrier\Desktop\BPA\BPA\20201118_Cefas_Test6-Run3/Plate 1/@4/H4_02.tif "/>
    <s v=" 16957.8374 "/>
    <s v=" 34.8431 "/>
    <x v="0"/>
    <n v="590864"/>
    <m/>
    <m/>
    <m/>
  </r>
  <r>
    <x v="8"/>
    <x v="7"/>
    <s v="C:\Users\cbarrier\Desktop\BPA\BPA\20201118_Cefas_Test6-Run3/Plate 1/@4/H4_03.tif "/>
    <s v=" 6207.7798 "/>
    <s v=" 33.1742 "/>
    <x v="0"/>
    <n v="205938"/>
    <m/>
    <m/>
    <m/>
  </r>
  <r>
    <x v="1"/>
    <x v="8"/>
    <s v=" "/>
    <m/>
    <m/>
    <x v="1"/>
    <m/>
    <m/>
    <m/>
    <m/>
  </r>
  <r>
    <x v="1"/>
    <x v="8"/>
    <s v="group "/>
    <s v=" "/>
    <s v=" mean of mean fluo "/>
    <x v="2"/>
    <s v=" mean of total fluo "/>
    <s v=" SD total fluo "/>
    <s v=" n fluorescent "/>
    <m/>
  </r>
  <r>
    <x v="8"/>
    <x v="9"/>
    <s v="C:\Users\cbarrier\Desktop\BPA\BPA\20201118_Cefas_Test6-Run3/Plate 1/@4/ "/>
    <s v=" "/>
    <s v=" 34.3349 "/>
    <x v="10"/>
    <s v=" 817173.792 "/>
    <s v=" 615437.833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cbarrier\Desktop\BPA\BPA\20201118_Cefas_Test6-Run3/Plate 1/@5/A5_01.tif "/>
    <s v=" 23814.514 "/>
    <s v=" 34.0963 "/>
    <x v="0"/>
    <n v="811986"/>
    <m/>
    <m/>
    <m/>
  </r>
  <r>
    <x v="9"/>
    <x v="0"/>
    <s v="C:\Users\cbarrier\Desktop\BPA\BPA\20201118_Cefas_Test6-Run3/Plate 1/@5/A5_02.tif "/>
    <s v=" 11031.2463 "/>
    <s v=" 35.7765 "/>
    <x v="0"/>
    <n v="394659"/>
    <m/>
    <m/>
    <m/>
  </r>
  <r>
    <x v="9"/>
    <x v="0"/>
    <s v="C:\Users\cbarrier\Desktop\BPA\BPA\20201118_Cefas_Test6-Run3/Plate 1/@5/A5_03.tif "/>
    <s v=" 15076.0366 "/>
    <s v=" 33.6643 "/>
    <x v="0"/>
    <n v="507524"/>
    <m/>
    <m/>
    <m/>
  </r>
  <r>
    <x v="9"/>
    <x v="1"/>
    <s v="C:\Users\cbarrier\Desktop\BPA\BPA\20201118_Cefas_Test6-Run3/Plate 1/@5/B5_01.tif "/>
    <s v=" 59438.9504 "/>
    <s v=" 38.0073 "/>
    <x v="0"/>
    <n v="2259113"/>
    <m/>
    <m/>
    <m/>
  </r>
  <r>
    <x v="9"/>
    <x v="1"/>
    <s v="C:\Users\cbarrier\Desktop\BPA\BPA\20201118_Cefas_Test6-Run3/Plate 1/@5/B5_02.tif "/>
    <s v=" 52560.6439 "/>
    <s v=" 41.8815 "/>
    <x v="0"/>
    <n v="2201318"/>
    <m/>
    <m/>
    <m/>
  </r>
  <r>
    <x v="9"/>
    <x v="1"/>
    <s v="C:\Users\cbarrier\Desktop\BPA\BPA\20201118_Cefas_Test6-Run3/Plate 1/@5/B5_03.tif "/>
    <s v=" 59547.0999 "/>
    <s v=" 41.3985 "/>
    <x v="0"/>
    <n v="2465159"/>
    <m/>
    <m/>
    <m/>
  </r>
  <r>
    <x v="9"/>
    <x v="2"/>
    <s v="C:\Users\cbarrier\Desktop\BPA\BPA\20201118_Cefas_Test6-Run3/Plate 1/@5/C5_01.tif "/>
    <s v=" 59330.801 "/>
    <s v=" 40.3066 "/>
    <x v="0"/>
    <n v="2391423"/>
    <m/>
    <m/>
    <m/>
  </r>
  <r>
    <x v="9"/>
    <x v="2"/>
    <s v="C:\Users\cbarrier\Desktop\BPA\BPA\20201118_Cefas_Test6-Run3/Plate 1/@5/C5_02.tif "/>
    <s v=" 60022.9576 "/>
    <s v=" 40.2948 "/>
    <x v="0"/>
    <n v="2418612"/>
    <m/>
    <m/>
    <m/>
  </r>
  <r>
    <x v="9"/>
    <x v="2"/>
    <s v="C:\Users\cbarrier\Desktop\BPA\BPA\20201118_Cefas_Test6-Run3/Plate 1/@5/C5_03.tif "/>
    <s v=" 53425.8397 "/>
    <s v=" 39.7733 "/>
    <x v="0"/>
    <n v="2124921"/>
    <m/>
    <m/>
    <m/>
  </r>
  <r>
    <x v="9"/>
    <x v="3"/>
    <s v="C:\Users\cbarrier\Desktop\BPA\BPA\20201118_Cefas_Test6-Run3/Plate 1/@5/D5_01.tif "/>
    <s v=" 88747.4577 "/>
    <s v=" 41.8484 "/>
    <x v="0"/>
    <n v="3713939"/>
    <m/>
    <m/>
    <s v=" n total"/>
  </r>
  <r>
    <x v="9"/>
    <x v="3"/>
    <s v="C:\Users\cbarrier\Desktop\BPA\BPA\20201118_Cefas_Test6-Run3/Plate 1/@5/D5_02.tif "/>
    <s v=" 87168.4754 "/>
    <s v=" 47.0104 "/>
    <x v="0"/>
    <n v="4097827"/>
    <m/>
    <m/>
    <n v="24"/>
  </r>
  <r>
    <x v="9"/>
    <x v="3"/>
    <s v="C:\Users\cbarrier\Desktop\BPA\BPA\20201118_Cefas_Test6-Run3/Plate 1/@5/D5_03.tif "/>
    <s v=" 98156.4618 "/>
    <s v=" 46.4667 "/>
    <x v="0"/>
    <n v="4561009"/>
    <m/>
    <m/>
    <m/>
  </r>
  <r>
    <x v="9"/>
    <x v="4"/>
    <s v="C:\Users\cbarrier\Desktop\BPA\BPA\20201118_Cefas_Test6-Run3/Plate 1/@5/E5_01.tif "/>
    <s v=" 67506.9011 "/>
    <s v=" 37.7126 "/>
    <x v="0"/>
    <n v="2545860"/>
    <m/>
    <m/>
    <m/>
  </r>
  <r>
    <x v="9"/>
    <x v="4"/>
    <s v="C:\Users\cbarrier\Desktop\BPA\BPA\20201118_Cefas_Test6-Run3/Plate 1/@5/E5_02.tif "/>
    <s v=" 53339.3202 "/>
    <s v=" 35.09 "/>
    <x v="0"/>
    <n v="1871678"/>
    <m/>
    <m/>
    <m/>
  </r>
  <r>
    <x v="9"/>
    <x v="4"/>
    <s v="C:\Users\cbarrier\Desktop\BPA\BPA\20201118_Cefas_Test6-Run3/Plate 1/@5/E5_03.tif "/>
    <s v=" 60433.9256 "/>
    <s v=" 35.9012 "/>
    <x v="0"/>
    <n v="2169651"/>
    <m/>
    <m/>
    <m/>
  </r>
  <r>
    <x v="9"/>
    <x v="5"/>
    <s v="C:\Users\cbarrier\Desktop\BPA\BPA\20201118_Cefas_Test6-Run3/Plate 1/@5/F5_01.tif "/>
    <s v=" 49208.0103 "/>
    <s v=" 38.1473 "/>
    <x v="0"/>
    <n v="1877150"/>
    <m/>
    <m/>
    <m/>
  </r>
  <r>
    <x v="9"/>
    <x v="5"/>
    <s v="C:\Users\cbarrier\Desktop\BPA\BPA\20201118_Cefas_Test6-Run3/Plate 1/@5/F5_02.tif "/>
    <s v=" 36511.2621 "/>
    <s v=" 36.4295 "/>
    <x v="0"/>
    <n v="1330087"/>
    <m/>
    <m/>
    <m/>
  </r>
  <r>
    <x v="9"/>
    <x v="5"/>
    <s v="C:\Users\cbarrier\Desktop\BPA\BPA\20201118_Cefas_Test6-Run3/Plate 1/@5/F5_03.tif "/>
    <s v=" 36619.4116 "/>
    <s v=" 36.251 "/>
    <x v="0"/>
    <n v="1327492"/>
    <m/>
    <m/>
    <m/>
  </r>
  <r>
    <x v="9"/>
    <x v="6"/>
    <s v="C:\Users\cbarrier\Desktop\BPA\BPA\20201118_Cefas_Test6-Run3/Plate 1/@5/G5_01.tif "/>
    <s v=" 43173.2697 "/>
    <s v=" 35.8938 "/>
    <x v="0"/>
    <n v="1549652"/>
    <m/>
    <m/>
    <m/>
  </r>
  <r>
    <x v="9"/>
    <x v="6"/>
    <s v="C:\Users\cbarrier\Desktop\BPA\BPA\20201118_Cefas_Test6-Run3/Plate 1/@5/G5_02.tif "/>
    <s v=" 42589.2625 "/>
    <s v=" 35.7491 "/>
    <x v="0"/>
    <n v="1522528"/>
    <m/>
    <m/>
    <m/>
  </r>
  <r>
    <x v="9"/>
    <x v="6"/>
    <s v="C:\Users\cbarrier\Desktop\BPA\BPA\20201118_Cefas_Test6-Run3/Plate 1/@5/G5_03.tif "/>
    <s v=" 54031.4768 "/>
    <s v=" 38.2782 "/>
    <x v="0"/>
    <n v="2068229"/>
    <m/>
    <m/>
    <m/>
  </r>
  <r>
    <x v="9"/>
    <x v="7"/>
    <s v="C:\Users\cbarrier\Desktop\BPA\BPA\20201118_Cefas_Test6-Run3/Plate 1/@5/H5_01.tif "/>
    <s v=" 81955.6707 "/>
    <s v=" 40.9963 "/>
    <x v="0"/>
    <n v="3359880"/>
    <m/>
    <m/>
    <m/>
  </r>
  <r>
    <x v="9"/>
    <x v="7"/>
    <s v="C:\Users\cbarrier\Desktop\BPA\BPA\20201118_Cefas_Test6-Run3/Plate 1/@5/H5_02.tif "/>
    <s v=" 84810.8168 "/>
    <s v=" 43.0138 "/>
    <x v="0"/>
    <n v="3648033"/>
    <m/>
    <m/>
    <m/>
  </r>
  <r>
    <x v="9"/>
    <x v="7"/>
    <s v="C:\Users\cbarrier\Desktop\BPA\BPA\20201118_Cefas_Test6-Run3/Plate 1/@5/H5_03.tif "/>
    <s v=" 73822.8304 "/>
    <s v=" 38.482 "/>
    <x v="0"/>
    <n v="2840849"/>
    <m/>
    <m/>
    <m/>
  </r>
  <r>
    <x v="1"/>
    <x v="8"/>
    <s v=" "/>
    <m/>
    <m/>
    <x v="1"/>
    <m/>
    <m/>
    <m/>
    <m/>
  </r>
  <r>
    <x v="1"/>
    <x v="8"/>
    <s v="group "/>
    <s v=" "/>
    <s v=" mean of mean fluo "/>
    <x v="2"/>
    <s v=" mean of total fluo "/>
    <s v=" SD total fluo "/>
    <s v=" n fluorescent "/>
    <m/>
  </r>
  <r>
    <x v="9"/>
    <x v="9"/>
    <s v="C:\Users\cbarrier\Desktop\BPA\BPA\20201118_Cefas_Test6-Run3/Plate 1/@5/ "/>
    <s v=" "/>
    <s v=" 38.8529 "/>
    <x v="11"/>
    <s v=" 2252440.79 "/>
    <s v=" 1067687.28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cbarrier\Desktop\BPA\BPA\20201118_Cefas_Test6-Run3/Plate 1/@6/A6_01.tif "/>
    <s v=" 59958.0679 "/>
    <s v=" 46.2763 "/>
    <x v="0"/>
    <n v="2774640"/>
    <m/>
    <m/>
    <m/>
  </r>
  <r>
    <x v="10"/>
    <x v="0"/>
    <s v="C:\Users\cbarrier\Desktop\BPA\BPA\20201118_Cefas_Test6-Run3/Plate 1/@6/A6_02.tif "/>
    <s v=" 58833.3134 "/>
    <s v=" 50.2114 "/>
    <x v="0"/>
    <n v="2954103"/>
    <m/>
    <m/>
    <m/>
  </r>
  <r>
    <x v="10"/>
    <x v="0"/>
    <s v="C:\Users\cbarrier\Desktop\BPA\BPA\20201118_Cefas_Test6-Run3/Plate 1/@6/A6_03.tif "/>
    <s v=" 64932.9437 "/>
    <s v=" 47.3248 "/>
    <x v="0"/>
    <n v="3072938"/>
    <m/>
    <m/>
    <m/>
  </r>
  <r>
    <x v="10"/>
    <x v="1"/>
    <s v="C:\Users\cbarrier\Desktop\BPA\BPA\20201118_Cefas_Test6-Run3/Plate 1/@6/B6_01.tif "/>
    <s v=" 74774.5457 "/>
    <s v=" 45.7226 "/>
    <x v="0"/>
    <n v="3418886"/>
    <m/>
    <m/>
    <m/>
  </r>
  <r>
    <x v="10"/>
    <x v="1"/>
    <s v="C:\Users\cbarrier\Desktop\BPA\BPA\20201118_Cefas_Test6-Run3/Plate 1/@6/B6_02.tif "/>
    <s v=" 82755.9769 "/>
    <s v=" 47.1576 "/>
    <x v="0"/>
    <n v="3902574"/>
    <m/>
    <m/>
    <m/>
  </r>
  <r>
    <x v="10"/>
    <x v="1"/>
    <s v="C:\Users\cbarrier\Desktop\BPA\BPA\20201118_Cefas_Test6-Run3/Plate 1/@6/B6_03.tif "/>
    <s v=" 79489.8628 "/>
    <s v=" 47.2789 "/>
    <x v="0"/>
    <n v="3758194"/>
    <m/>
    <m/>
    <m/>
  </r>
  <r>
    <x v="10"/>
    <x v="2"/>
    <s v="C:\Users\cbarrier\Desktop\BPA\BPA\20201118_Cefas_Test6-Run3/Plate 1/@6/C6_01.tif "/>
    <s v=" 65538.5807 "/>
    <s v=" 45.7782 "/>
    <x v="0"/>
    <n v="3000239"/>
    <m/>
    <m/>
    <m/>
  </r>
  <r>
    <x v="10"/>
    <x v="2"/>
    <s v="C:\Users\cbarrier\Desktop\BPA\BPA\20201118_Cefas_Test6-Run3/Plate 1/@6/C6_02.tif "/>
    <s v=" 65452.0611 "/>
    <s v=" 45.7442 "/>
    <x v="0"/>
    <n v="2994053"/>
    <m/>
    <m/>
    <m/>
  </r>
  <r>
    <x v="10"/>
    <x v="2"/>
    <s v="C:\Users\cbarrier\Desktop\BPA\BPA\20201118_Cefas_Test6-Run3/Plate 1/@6/C6_03.tif "/>
    <s v=" 65019.4633 "/>
    <s v=" 46.3746 "/>
    <x v="0"/>
    <n v="3015251"/>
    <m/>
    <m/>
    <m/>
  </r>
  <r>
    <x v="10"/>
    <x v="3"/>
    <s v="C:\Users\cbarrier\Desktop\BPA\BPA\20201118_Cefas_Test6-Run3/Plate 1/@6/D6_01.tif "/>
    <s v=" 41572.6575 "/>
    <s v=" 34.3059 "/>
    <x v="0"/>
    <n v="1426189"/>
    <m/>
    <m/>
    <s v=" n total"/>
  </r>
  <r>
    <x v="10"/>
    <x v="3"/>
    <s v="C:\Users\cbarrier\Desktop\BPA\BPA\20201118_Cefas_Test6-Run3/Plate 1/@6/D6_02.tif "/>
    <s v=" 38090.2444 "/>
    <s v=" 34.2379 "/>
    <x v="0"/>
    <n v="1304131"/>
    <m/>
    <m/>
    <n v="24"/>
  </r>
  <r>
    <x v="10"/>
    <x v="3"/>
    <s v="C:\Users\cbarrier\Desktop\BPA\BPA\20201118_Cefas_Test6-Run3/Plate 1/@6/D6_03.tif "/>
    <s v=" 34348.2727 "/>
    <s v=" 33.1058 "/>
    <x v="0"/>
    <n v="1137127"/>
    <m/>
    <m/>
    <m/>
  </r>
  <r>
    <x v="10"/>
    <x v="4"/>
    <s v="C:\Users\cbarrier\Desktop\BPA\BPA\20201118_Cefas_Test6-Run3/Plate 1/@6/E6_01.tif "/>
    <s v=" 91580.9739 "/>
    <s v=" 56.8878 "/>
    <x v="0"/>
    <n v="5209841"/>
    <m/>
    <m/>
    <m/>
  </r>
  <r>
    <x v="10"/>
    <x v="4"/>
    <s v="C:\Users\cbarrier\Desktop\BPA\BPA\20201118_Cefas_Test6-Run3/Plate 1/@6/E6_02.tif "/>
    <s v=" 85611.1229 "/>
    <s v=" 55.9219 "/>
    <x v="0"/>
    <n v="4787539"/>
    <m/>
    <m/>
    <m/>
  </r>
  <r>
    <x v="10"/>
    <x v="4"/>
    <s v="C:\Users\cbarrier\Desktop\BPA\BPA\20201118_Cefas_Test6-Run3/Plate 1/@6/E6_03.tif "/>
    <s v=" 87557.8135 "/>
    <s v=" 59.1566 "/>
    <x v="0"/>
    <n v="5179624"/>
    <m/>
    <m/>
    <m/>
  </r>
  <r>
    <x v="10"/>
    <x v="5"/>
    <s v="C:\Users\cbarrier\Desktop\BPA\BPA\20201118_Cefas_Test6-Run3/Plate 1/@6/F6_01.tif "/>
    <s v=" 82323.379 "/>
    <s v=" 61.4616 "/>
    <x v="0"/>
    <n v="5059730"/>
    <m/>
    <m/>
    <m/>
  </r>
  <r>
    <x v="10"/>
    <x v="5"/>
    <s v="C:\Users\cbarrier\Desktop\BPA\BPA\20201118_Cefas_Test6-Run3/Plate 1/@6/F6_02.tif "/>
    <s v=" 82842.4964 "/>
    <s v=" 57.0099 "/>
    <x v="0"/>
    <n v="4722844"/>
    <m/>
    <m/>
    <m/>
  </r>
  <r>
    <x v="10"/>
    <x v="5"/>
    <s v="C:\Users\cbarrier\Desktop\BPA\BPA\20201118_Cefas_Test6-Run3/Plate 1/@6/F6_03.tif "/>
    <s v=" 81955.6707 "/>
    <s v=" 56.5611 "/>
    <x v="0"/>
    <n v="4635503"/>
    <m/>
    <m/>
    <m/>
  </r>
  <r>
    <x v="10"/>
    <x v="6"/>
    <s v="C:\Users\cbarrier\Desktop\BPA\BPA\20201118_Cefas_Test6-Run3/Plate 1/@6/G6_01.tif "/>
    <s v=" 50570.6936 "/>
    <s v=" 38.3875 "/>
    <x v="0"/>
    <n v="1941283"/>
    <m/>
    <m/>
    <m/>
  </r>
  <r>
    <x v="10"/>
    <x v="6"/>
    <s v="C:\Users\cbarrier\Desktop\BPA\BPA\20201118_Cefas_Test6-Run3/Plate 1/@6/G6_02.tif "/>
    <s v=" 56929.8827 "/>
    <s v=" 40.1687 "/>
    <x v="0"/>
    <n v="2286799"/>
    <m/>
    <m/>
    <m/>
  </r>
  <r>
    <x v="10"/>
    <x v="6"/>
    <s v="C:\Users\cbarrier\Desktop\BPA\BPA\20201118_Cefas_Test6-Run3/Plate 1/@6/G6_03.tif "/>
    <s v=" 54226.1458 "/>
    <s v=" 39.3674 "/>
    <x v="0"/>
    <n v="2134741"/>
    <m/>
    <m/>
    <m/>
  </r>
  <r>
    <x v="10"/>
    <x v="7"/>
    <s v="C:\Users\cbarrier\Desktop\BPA\BPA\20201118_Cefas_Test6-Run3/Plate 1/@6/H6_01.tif "/>
    <s v=" 76461.6775 "/>
    <s v=" 48.0379 "/>
    <x v="0"/>
    <n v="3673059"/>
    <m/>
    <m/>
    <m/>
  </r>
  <r>
    <x v="10"/>
    <x v="7"/>
    <s v="C:\Users\cbarrier\Desktop\BPA\BPA\20201118_Cefas_Test6-Run3/Plate 1/@6/H6_02.tif "/>
    <s v=" 78343.4783 "/>
    <s v=" 49.0519 "/>
    <x v="0"/>
    <n v="3842897"/>
    <m/>
    <m/>
    <m/>
  </r>
  <r>
    <x v="10"/>
    <x v="7"/>
    <s v="C:\Users\cbarrier\Desktop\BPA\BPA\20201118_Cefas_Test6-Run3/Plate 1/@6/H6_03.tif "/>
    <s v=" 79165.4143 "/>
    <s v=" 50.5044 "/>
    <x v="0"/>
    <n v="3998200"/>
    <m/>
    <m/>
    <m/>
  </r>
  <r>
    <x v="1"/>
    <x v="8"/>
    <s v=" "/>
    <m/>
    <m/>
    <x v="1"/>
    <m/>
    <m/>
    <m/>
    <m/>
  </r>
  <r>
    <x v="1"/>
    <x v="8"/>
    <s v="group "/>
    <s v=" "/>
    <s v=" mean of mean fluo "/>
    <x v="2"/>
    <s v=" mean of total fluo "/>
    <s v=" SD total fluo "/>
    <s v=" n fluorescent "/>
    <m/>
  </r>
  <r>
    <x v="10"/>
    <x v="9"/>
    <s v="C:\Users\cbarrier\Desktop\BPA\BPA\20201118_Cefas_Test6-Run3/Plate 1/@6/ "/>
    <s v=" "/>
    <s v=" 47.3348 "/>
    <x v="12"/>
    <s v=" 3342932.71 "/>
    <s v=" 1231422.4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cbarrier\Desktop\BPA\BPA\20201118_Cefas_Test6-Run3/Plate 1/@7/A7_01.tif "/>
    <s v=" 69972.7091 "/>
    <s v=" 53.8482 "/>
    <x v="0"/>
    <n v="3767906"/>
    <m/>
    <m/>
    <m/>
  </r>
  <r>
    <x v="11"/>
    <x v="0"/>
    <s v="C:\Users\cbarrier\Desktop\BPA\BPA\20201118_Cefas_Test6-Run3/Plate 1/@7/A7_02.tif "/>
    <s v=" 93614.184 "/>
    <s v=" 52.6296 "/>
    <x v="0"/>
    <n v="4926879"/>
    <m/>
    <m/>
    <m/>
  </r>
  <r>
    <x v="11"/>
    <x v="0"/>
    <s v="C:\Users\cbarrier\Desktop\BPA\BPA\20201118_Cefas_Test6-Run3/Plate 1/@7/A7_03.tif "/>
    <s v=" 83361.6139 "/>
    <s v=" 55.9442 "/>
    <x v="0"/>
    <n v="4663600"/>
    <m/>
    <m/>
    <m/>
  </r>
  <r>
    <x v="11"/>
    <x v="1"/>
    <s v="C:\Users\cbarrier\Desktop\BPA\BPA\20201118_Cefas_Test6-Run3/Plate 1/@7/B7_01.tif "/>
    <s v=" 75639.7415 "/>
    <s v=" 55.9371 "/>
    <x v="0"/>
    <n v="4231067"/>
    <m/>
    <m/>
    <m/>
  </r>
  <r>
    <x v="11"/>
    <x v="1"/>
    <s v="C:\Users\cbarrier\Desktop\BPA\BPA\20201118_Cefas_Test6-Run3/Plate 1/@7/B7_02- exclu.tif"/>
    <m/>
    <m/>
    <x v="1"/>
    <m/>
    <m/>
    <m/>
    <m/>
  </r>
  <r>
    <x v="11"/>
    <x v="1"/>
    <s v="C:\Users\cbarrier\Desktop\BPA\BPA\20201118_Cefas_Test6-Run3/Plate 1/@7/B7_03.tif "/>
    <s v=" 61948.0182 "/>
    <s v=" 60.6264 "/>
    <x v="0"/>
    <n v="3755685"/>
    <m/>
    <m/>
    <m/>
  </r>
  <r>
    <x v="11"/>
    <x v="2"/>
    <s v="C:\Users\cbarrier\Desktop\BPA\BPA\20201118_Cefas_Test6-Run3/Plate 1/@7/C7_01.tif "/>
    <s v=" 46763.8322 "/>
    <s v=" 51.5291 "/>
    <x v="0"/>
    <n v="2409700"/>
    <m/>
    <m/>
    <m/>
  </r>
  <r>
    <x v="11"/>
    <x v="2"/>
    <s v="C:\Users\cbarrier\Desktop\BPA\BPA\20201118_Cefas_Test6-Run3/Plate 1/@7/C7_02.tif "/>
    <s v=" 43584.2377 "/>
    <s v=" 52.0328 "/>
    <x v="0"/>
    <n v="2267808"/>
    <m/>
    <m/>
    <m/>
  </r>
  <r>
    <x v="11"/>
    <x v="2"/>
    <s v="C:\Users\cbarrier\Desktop\BPA\BPA\20201118_Cefas_Test6-Run3/Plate 1/@7/C7_03.tif "/>
    <s v=" 44817.1417 "/>
    <s v=" 52.7017 "/>
    <x v="0"/>
    <n v="2361941"/>
    <m/>
    <m/>
    <m/>
  </r>
  <r>
    <x v="11"/>
    <x v="3"/>
    <s v="C:\Users\cbarrier\Desktop\BPA\BPA\20201118_Cefas_Test6-Run3/Plate 1/@7/D7_01.tif "/>
    <s v=" 80073.8699 "/>
    <s v=" 57.4938 "/>
    <x v="0"/>
    <n v="4603750"/>
    <m/>
    <m/>
    <s v=" n total"/>
  </r>
  <r>
    <x v="11"/>
    <x v="3"/>
    <s v="C:\Users\cbarrier\Desktop\BPA\BPA\20201118_Cefas_Test6-Run3/Plate 1/@7/D7_02.tif "/>
    <s v=" 83361.6139 "/>
    <s v=" 57.2506 "/>
    <x v="0"/>
    <n v="4772506"/>
    <m/>
    <m/>
    <n v="24"/>
  </r>
  <r>
    <x v="11"/>
    <x v="3"/>
    <s v="C:\Users\cbarrier\Desktop\BPA\BPA\20201118_Cefas_Test6-Run3/Plate 1/@7/D7_03.tif "/>
    <s v=" 82366.6387 "/>
    <s v=" 57.8887 "/>
    <x v="0"/>
    <n v="4768094"/>
    <m/>
    <m/>
    <m/>
  </r>
  <r>
    <x v="11"/>
    <x v="4"/>
    <s v="C:\Users\cbarrier\Desktop\BPA\BPA\20201118_Cefas_Test6-Run3/Plate 1/@7/E7_01- exclu.tif"/>
    <m/>
    <m/>
    <x v="1"/>
    <m/>
    <m/>
    <m/>
    <m/>
  </r>
  <r>
    <x v="11"/>
    <x v="4"/>
    <s v="C:\Users\cbarrier\Desktop\BPA\BPA\20201118_Cefas_Test6-Run3/Plate 1/@7/E7_02- exclu.tif"/>
    <m/>
    <m/>
    <x v="1"/>
    <m/>
    <m/>
    <m/>
    <m/>
  </r>
  <r>
    <x v="11"/>
    <x v="4"/>
    <s v="C:\Users\cbarrier\Desktop\BPA\BPA\20201118_Cefas_Test6-Run3/Plate 1/@7/E7_03- exclu.tif"/>
    <m/>
    <m/>
    <x v="1"/>
    <m/>
    <m/>
    <m/>
    <m/>
  </r>
  <r>
    <x v="11"/>
    <x v="5"/>
    <s v="C:\Users\cbarrier\Desktop\BPA\BPA\20201118_Cefas_Test6-Run3/Plate 1/@7/F7_01.tif "/>
    <s v=" 69951.0792 "/>
    <s v=" 53.4879 "/>
    <x v="0"/>
    <n v="3741539"/>
    <m/>
    <m/>
    <m/>
  </r>
  <r>
    <x v="11"/>
    <x v="5"/>
    <s v="C:\Users\cbarrier\Desktop\BPA\BPA\20201118_Cefas_Test6-Run3/Plate 1/@7/F7_02.tif "/>
    <s v=" 55480.6797 "/>
    <s v=" 55.4476 "/>
    <x v="0"/>
    <n v="3076269"/>
    <m/>
    <m/>
    <m/>
  </r>
  <r>
    <x v="11"/>
    <x v="5"/>
    <s v="C:\Users\cbarrier\Desktop\BPA\BPA\20201118_Cefas_Test6-Run3/Plate 1/@7/F7_03.tif "/>
    <s v=" 55891.6477 "/>
    <s v=" 56.3514 "/>
    <x v="0"/>
    <n v="3149572"/>
    <m/>
    <m/>
    <m/>
  </r>
  <r>
    <x v="11"/>
    <x v="6"/>
    <s v="C:\Users\cbarrier\Desktop\BPA\BPA\20201118_Cefas_Test6-Run3/Plate 1/@7/G7_01.tif "/>
    <s v=" 84421.4787 "/>
    <s v=" 51.7963 "/>
    <x v="0"/>
    <n v="4372721"/>
    <m/>
    <m/>
    <m/>
  </r>
  <r>
    <x v="11"/>
    <x v="6"/>
    <s v="C:\Users\cbarrier\Desktop\BPA\BPA\20201118_Cefas_Test6-Run3/Plate 1/@7/G7_02.tif "/>
    <s v=" 87644.333 "/>
    <s v=" 55.6273 "/>
    <x v="0"/>
    <n v="4875422"/>
    <m/>
    <m/>
    <m/>
  </r>
  <r>
    <x v="11"/>
    <x v="6"/>
    <s v="C:\Users\cbarrier\Desktop\BPA\BPA\20201118_Cefas_Test6-Run3/Plate 1/@7/G7_03.tif "/>
    <s v=" 84421.4787 "/>
    <s v=" 54.5726 "/>
    <x v="0"/>
    <n v="4607103"/>
    <m/>
    <m/>
    <m/>
  </r>
  <r>
    <x v="11"/>
    <x v="7"/>
    <s v="C:\Users\cbarrier\Desktop\BPA\BPA\20201118_Cefas_Test6-Run3/Plate 1/@7/H7_01.tif "/>
    <s v=" 66490.2961 "/>
    <s v=" 50.1675 "/>
    <x v="0"/>
    <n v="3335654"/>
    <m/>
    <m/>
    <m/>
  </r>
  <r>
    <x v="11"/>
    <x v="7"/>
    <s v="C:\Users\cbarrier\Desktop\BPA\BPA\20201118_Cefas_Test6-Run3/Plate 1/@7/H7_02.tif "/>
    <s v=" 62942.9934 "/>
    <s v=" 49.6732 "/>
    <x v="0"/>
    <n v="3126580"/>
    <m/>
    <m/>
    <m/>
  </r>
  <r>
    <x v="11"/>
    <x v="7"/>
    <s v="C:\Users\cbarrier\Desktop\BPA\BPA\20201118_Cefas_Test6-Run3/Plate 1/@7/H7_03.tif "/>
    <s v=" 62705.0645 "/>
    <s v=" 48.8917 "/>
    <x v="0"/>
    <n v="3065756"/>
    <m/>
    <m/>
    <m/>
  </r>
  <r>
    <x v="1"/>
    <x v="8"/>
    <s v=" "/>
    <m/>
    <m/>
    <x v="1"/>
    <m/>
    <m/>
    <m/>
    <m/>
  </r>
  <r>
    <x v="1"/>
    <x v="8"/>
    <s v="group "/>
    <s v=" "/>
    <s v=" mean of mean fluo "/>
    <x v="2"/>
    <s v=" mean of total fluo "/>
    <s v=" SD total fluo "/>
    <s v=" n fluorescent "/>
    <m/>
  </r>
  <r>
    <x v="11"/>
    <x v="9"/>
    <s v="C:\Users\cbarrier\Desktop\BPA\BPA\20201118_Cefas_Test6-Run3/Plate 1/@7/ "/>
    <s v=" "/>
    <s v=" 55.3415 "/>
    <x v="13"/>
    <s v=" 3807723.96 "/>
    <s v=" 866063.873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cbarrier\Desktop\BPA\BPA\20201118_Cefas_Test6-Run3/Plate 3/@10/A4_01.tif "/>
    <s v=" 865.1958 "/>
    <s v=" 31.675 "/>
    <x v="0"/>
    <n v="27405"/>
    <m/>
    <m/>
    <m/>
  </r>
  <r>
    <x v="12"/>
    <x v="0"/>
    <s v="C:\Users\cbarrier\Desktop\BPA\BPA\20201118_Cefas_Test6-Run3/Plate 3/@10/A4_02.tif "/>
    <s v=" 475.8577 "/>
    <n v="32"/>
    <x v="0"/>
    <n v="15227"/>
    <m/>
    <m/>
    <m/>
  </r>
  <r>
    <x v="12"/>
    <x v="0"/>
    <s v="C:\Users\cbarrier\Desktop\BPA\BPA\20201118_Cefas_Test6-Run3/Plate 3/@10/A4_03.tif "/>
    <s v=" 2314.3987 "/>
    <s v=" 33.4299 "/>
    <x v="0"/>
    <n v="77370"/>
    <m/>
    <m/>
    <m/>
  </r>
  <r>
    <x v="12"/>
    <x v="1"/>
    <s v="C:\Users\cbarrier\Desktop\BPA\BPA\20201118_Cefas_Test6-Run3/Plate 3/@10/B4_01.tif "/>
    <s v=" 7310.9044 "/>
    <s v=" 38.0296 "/>
    <x v="0"/>
    <n v="278031"/>
    <m/>
    <m/>
    <m/>
  </r>
  <r>
    <x v="12"/>
    <x v="1"/>
    <s v="C:\Users\cbarrier\Desktop\BPA\BPA\20201118_Cefas_Test6-Run3/Plate 3/@10/B4_02.tif "/>
    <s v=" 10944.7267 "/>
    <s v=" 36.1443 "/>
    <x v="0"/>
    <n v="395589"/>
    <m/>
    <m/>
    <m/>
  </r>
  <r>
    <x v="12"/>
    <x v="1"/>
    <s v="C:\Users\cbarrier\Desktop\BPA\BPA\20201118_Cefas_Test6-Run3/Plate 3/@10/B4_03.tif "/>
    <s v=" 15292.3355 "/>
    <s v=" 36.2348 "/>
    <x v="0"/>
    <n v="554115"/>
    <m/>
    <m/>
    <m/>
  </r>
  <r>
    <x v="12"/>
    <x v="2"/>
    <s v="C:\Users\cbarrier\Desktop\BPA\BPA\20201118_Cefas_Test6-Run3/Plate 3/@10/C4_01.tif "/>
    <s v=" 627.2669 "/>
    <s v=" 31.8621 "/>
    <x v="0"/>
    <n v="19986"/>
    <m/>
    <m/>
    <m/>
  </r>
  <r>
    <x v="12"/>
    <x v="2"/>
    <s v="C:\Users\cbarrier\Desktop\BPA\BPA\20201118_Cefas_Test6-Run3/Plate 3/@10/C4_02.tif "/>
    <s v=" 367.7082 "/>
    <s v=" 31.5882 "/>
    <x v="0"/>
    <n v="11615"/>
    <m/>
    <m/>
    <m/>
  </r>
  <r>
    <x v="12"/>
    <x v="2"/>
    <s v="C:\Users\cbarrier\Desktop\BPA\BPA\20201118_Cefas_Test6-Run3/Plate 3/@10/C4_03.tif "/>
    <s v=" 454.2278 "/>
    <s v=" 31.4286 "/>
    <x v="0"/>
    <n v="14276"/>
    <m/>
    <m/>
    <m/>
  </r>
  <r>
    <x v="12"/>
    <x v="3"/>
    <s v="C:\Users\cbarrier\Desktop\BPA\BPA\20201118_Cefas_Test6-Run3/Plate 3/@10/D4_01.tif "/>
    <s v=" 259.5587 "/>
    <s v=" 30.5 "/>
    <x v="0"/>
    <n v="7917"/>
    <m/>
    <m/>
    <s v=" n total"/>
  </r>
  <r>
    <x v="12"/>
    <x v="3"/>
    <s v="C:\Users\cbarrier\Desktop\BPA\BPA\20201118_Cefas_Test6-Run3/Plate 3/@10/D4_02.tif "/>
    <s v=" 5623.7726 "/>
    <s v=" 35.8269 "/>
    <x v="0"/>
    <n v="201482"/>
    <m/>
    <m/>
    <n v="24"/>
  </r>
  <r>
    <x v="12"/>
    <x v="3"/>
    <s v="C:\Users\cbarrier\Desktop\BPA\BPA\20201118_Cefas_Test6-Run3/Plate 3/@10/D4_03.tif "/>
    <s v=" 4088.0501 "/>
    <s v=" 34.7249 "/>
    <x v="0"/>
    <n v="141957"/>
    <m/>
    <m/>
    <m/>
  </r>
  <r>
    <x v="12"/>
    <x v="4"/>
    <s v="C:\Users\cbarrier\Desktop\BPA\BPA\20201118_Cefas_Test6-Run3/Plate 3/@10/E4_01.tif "/>
    <s v=" 6510.5983 "/>
    <s v=" 32.2027 "/>
    <x v="0"/>
    <n v="209659"/>
    <m/>
    <m/>
    <m/>
  </r>
  <r>
    <x v="12"/>
    <x v="4"/>
    <s v="C:\Users\cbarrier\Desktop\BPA\BPA\20201118_Cefas_Test6-Run3/Plate 3/@10/E4_02.tif "/>
    <s v=" 13064.4564 "/>
    <s v=" 32.5497 "/>
    <x v="0"/>
    <n v="425244"/>
    <m/>
    <m/>
    <m/>
  </r>
  <r>
    <x v="12"/>
    <x v="4"/>
    <s v="C:\Users\cbarrier\Desktop\BPA\BPA\20201118_Cefas_Test6-Run3/Plate 3/@10/E4_03.tif "/>
    <s v=" 9084.5557 "/>
    <s v=" 33.169 "/>
    <x v="0"/>
    <n v="301326"/>
    <m/>
    <m/>
    <m/>
  </r>
  <r>
    <x v="12"/>
    <x v="5"/>
    <s v="C:\Users\cbarrier\Desktop\BPA\BPA\20201118_Cefas_Test6-Run3/Plate 3/@10/F4_01.tif "/>
    <s v=" 519.1175 "/>
    <s v=" 32.875 "/>
    <x v="0"/>
    <n v="17066"/>
    <m/>
    <m/>
    <m/>
  </r>
  <r>
    <x v="12"/>
    <x v="5"/>
    <s v="C:\Users\cbarrier\Desktop\BPA\BPA\20201118_Cefas_Test6-Run3/Plate 3/@10/F4_02.tif "/>
    <n v="0"/>
    <n v="0"/>
    <x v="0"/>
    <n v="0"/>
    <m/>
    <m/>
    <m/>
  </r>
  <r>
    <x v="12"/>
    <x v="5"/>
    <s v="C:\Users\cbarrier\Desktop\BPA\BPA\20201118_Cefas_Test6-Run3/Plate 3/@10/F4_03.tif "/>
    <s v=" 4196.1996 "/>
    <s v=" 38.6804 "/>
    <x v="0"/>
    <n v="162311"/>
    <m/>
    <m/>
    <m/>
  </r>
  <r>
    <x v="12"/>
    <x v="6"/>
    <s v="C:\Users\cbarrier\Desktop\BPA\BPA\20201118_Cefas_Test6-Run3/Plate 3/@10/G4_01.tif "/>
    <s v=" 6034.7406 "/>
    <s v=" 36.1505 "/>
    <x v="0"/>
    <n v="218159"/>
    <m/>
    <m/>
    <m/>
  </r>
  <r>
    <x v="12"/>
    <x v="6"/>
    <s v="C:\Users\cbarrier\Desktop\BPA\BPA\20201118_Cefas_Test6-Run3/Plate 3/@10/G4_02.tif "/>
    <s v=" 6532.2282 "/>
    <s v=" 37.0033 "/>
    <x v="0"/>
    <n v="241714"/>
    <m/>
    <m/>
    <m/>
  </r>
  <r>
    <x v="12"/>
    <x v="6"/>
    <s v="C:\Users\cbarrier\Desktop\BPA\BPA\20201118_Cefas_Test6-Run3/Plate 3/@10/G4_03.tif "/>
    <s v=" 6013.1107 "/>
    <s v=" 36.3597 "/>
    <x v="0"/>
    <n v="218635"/>
    <m/>
    <m/>
    <m/>
  </r>
  <r>
    <x v="12"/>
    <x v="7"/>
    <s v="C:\Users\cbarrier\Desktop\BPA\BPA\20201118_Cefas_Test6-Run3/Plate 3/@10/H4_01.tif "/>
    <s v=" 3936.6408 "/>
    <s v=" 38.8956 "/>
    <x v="0"/>
    <n v="153118"/>
    <m/>
    <m/>
    <m/>
  </r>
  <r>
    <x v="12"/>
    <x v="7"/>
    <s v="C:\Users\cbarrier\Desktop\BPA\BPA\20201118_Cefas_Test6-Run3/Plate 3/@10/H4_02.tif "/>
    <s v=" 9127.8155 "/>
    <s v=" 39.6919 "/>
    <x v="0"/>
    <n v="362301"/>
    <m/>
    <m/>
    <m/>
  </r>
  <r>
    <x v="12"/>
    <x v="7"/>
    <s v="C:\Users\cbarrier\Desktop\BPA\BPA\20201118_Cefas_Test6-Run3/Plate 3/@10/H4_03.tif "/>
    <s v=" 4347.6088 "/>
    <s v=" 40.199 "/>
    <x v="0"/>
    <n v="174770"/>
    <m/>
    <m/>
    <m/>
  </r>
  <r>
    <x v="1"/>
    <x v="8"/>
    <s v=" "/>
    <m/>
    <m/>
    <x v="1"/>
    <m/>
    <m/>
    <m/>
    <m/>
  </r>
  <r>
    <x v="1"/>
    <x v="8"/>
    <s v="group "/>
    <s v=" "/>
    <s v=" mean of mean fluo "/>
    <x v="2"/>
    <s v=" mean of total fluo "/>
    <s v=" SD total fluo "/>
    <s v=" n fluorescent "/>
    <m/>
  </r>
  <r>
    <x v="12"/>
    <x v="9"/>
    <s v="C:\Users\cbarrier\Desktop\BPA\BPA\20201118_Cefas_Test6-Run3/Plate 3/@10/ "/>
    <s v=" "/>
    <s v=" 33.3842 "/>
    <x v="14"/>
    <s v=" 176219.708 "/>
    <s v=" 153985.528 "/>
    <n v="23"/>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cbarrier\Desktop\BPA\BPA\20201118_Cefas_Test6-Run3/Plate 3/@11/A5_01- exclu.tif"/>
    <m/>
    <m/>
    <x v="1"/>
    <m/>
    <m/>
    <m/>
    <m/>
  </r>
  <r>
    <x v="13"/>
    <x v="0"/>
    <s v="C:\Users\cbarrier\Desktop\BPA\BPA\20201118_Cefas_Test6-Run3/Plate 3/@11/A5_02- exclu.tif"/>
    <m/>
    <m/>
    <x v="1"/>
    <m/>
    <m/>
    <m/>
    <m/>
  </r>
  <r>
    <x v="13"/>
    <x v="0"/>
    <s v="C:\Users\cbarrier\Desktop\BPA\BPA\20201118_Cefas_Test6-Run3/Plate 3/@11/A5_03.tif "/>
    <s v=" 12956.3069 "/>
    <s v=" 34.4391 "/>
    <x v="0"/>
    <n v="446203"/>
    <m/>
    <m/>
    <m/>
  </r>
  <r>
    <x v="13"/>
    <x v="1"/>
    <s v="C:\Users\cbarrier\Desktop\BPA\BPA\20201118_Cefas_Test6-Run3/Plate 3/@11/B5_01.tif "/>
    <s v=" 1795.2813 "/>
    <s v=" 31.9639 "/>
    <x v="0"/>
    <n v="57384"/>
    <m/>
    <m/>
    <m/>
  </r>
  <r>
    <x v="13"/>
    <x v="1"/>
    <s v="C:\Users\cbarrier\Desktop\BPA\BPA\20201118_Cefas_Test6-Run3/Plate 3/@11/B5_02.tif "/>
    <s v=" 324.4484 "/>
    <s v=" 30.6667 "/>
    <x v="0"/>
    <n v="9950"/>
    <m/>
    <m/>
    <m/>
  </r>
  <r>
    <x v="13"/>
    <x v="1"/>
    <s v="C:\Users\cbarrier\Desktop\BPA\BPA\20201118_Cefas_Test6-Run3/Plate 3/@11/B5_03.tif "/>
    <s v=" 4520.648 "/>
    <s v=" 32.8995 "/>
    <x v="0"/>
    <n v="148727"/>
    <m/>
    <m/>
    <m/>
  </r>
  <r>
    <x v="13"/>
    <x v="2"/>
    <s v="C:\Users\cbarrier\Desktop\BPA\BPA\20201118_Cefas_Test6-Run3/Plate 3/@11/C5_01.tif "/>
    <s v=" 42935.3408 "/>
    <s v=" 37.262 "/>
    <x v="0"/>
    <n v="1599855"/>
    <m/>
    <m/>
    <m/>
  </r>
  <r>
    <x v="13"/>
    <x v="2"/>
    <s v="C:\Users\cbarrier\Desktop\BPA\BPA\20201118_Cefas_Test6-Run3/Plate 3/@11/C5_02.tif "/>
    <s v=" 50008.3164 "/>
    <s v=" 37.6367 "/>
    <x v="0"/>
    <n v="1882147"/>
    <m/>
    <m/>
    <m/>
  </r>
  <r>
    <x v="13"/>
    <x v="2"/>
    <s v="C:\Users\cbarrier\Desktop\BPA\BPA\20201118_Cefas_Test6-Run3/Plate 3/@11/C5_03- exclu.tif"/>
    <m/>
    <m/>
    <x v="1"/>
    <m/>
    <m/>
    <m/>
    <m/>
  </r>
  <r>
    <x v="13"/>
    <x v="3"/>
    <s v="C:\Users\cbarrier\Desktop\BPA\BPA\20201118_Cefas_Test6-Run3/Plate 3/@11/D5_01.tif "/>
    <s v=" 42416.2234 "/>
    <s v=" 37.3845 "/>
    <x v="0"/>
    <n v="1585709"/>
    <m/>
    <m/>
    <s v=" n total"/>
  </r>
  <r>
    <x v="13"/>
    <x v="3"/>
    <s v="C:\Users\cbarrier\Desktop\BPA\BPA\20201118_Cefas_Test6-Run3/Plate 3/@11/D5_02.tif "/>
    <s v=" 41118.4297 "/>
    <s v=" 37.5402 "/>
    <x v="0"/>
    <n v="1543596"/>
    <m/>
    <m/>
    <n v="24"/>
  </r>
  <r>
    <x v="13"/>
    <x v="3"/>
    <s v="C:\Users\cbarrier\Desktop\BPA\BPA\20201118_Cefas_Test6-Run3/Plate 3/@11/D5_03.tif "/>
    <s v=" 38760.7712 "/>
    <s v=" 36.4079 "/>
    <x v="0"/>
    <n v="1411199"/>
    <m/>
    <m/>
    <m/>
  </r>
  <r>
    <x v="13"/>
    <x v="4"/>
    <s v="C:\Users\cbarrier\Desktop\BPA\BPA\20201118_Cefas_Test6-Run3/Plate 3/@11/E5_01.tif "/>
    <s v=" 26734.5498 "/>
    <s v=" 34.1909 "/>
    <x v="0"/>
    <n v="914079"/>
    <m/>
    <m/>
    <m/>
  </r>
  <r>
    <x v="13"/>
    <x v="4"/>
    <s v="C:\Users\cbarrier\Desktop\BPA\BPA\20201118_Cefas_Test6-Run3/Plate 3/@11/E5_02.tif "/>
    <s v=" 15140.9262 "/>
    <s v=" 36.3757 "/>
    <x v="0"/>
    <n v="550762"/>
    <m/>
    <m/>
    <m/>
  </r>
  <r>
    <x v="13"/>
    <x v="4"/>
    <s v="C:\Users\cbarrier\Desktop\BPA\BPA\20201118_Cefas_Test6-Run3/Plate 3/@11/E5_03.tif "/>
    <s v=" 12740.0079 "/>
    <s v=" 31.708 "/>
    <x v="0"/>
    <n v="403960"/>
    <m/>
    <m/>
    <m/>
  </r>
  <r>
    <x v="13"/>
    <x v="5"/>
    <s v="C:\Users\cbarrier\Desktop\BPA\BPA\20201118_Cefas_Test6-Run3/Plate 3/@11/F5_01.tif "/>
    <s v=" 32509.7316 "/>
    <s v=" 34.1929 "/>
    <x v="0"/>
    <n v="1111604"/>
    <m/>
    <m/>
    <m/>
  </r>
  <r>
    <x v="13"/>
    <x v="5"/>
    <s v="C:\Users\cbarrier\Desktop\BPA\BPA\20201118_Cefas_Test6-Run3/Plate 3/@11/F5_02- exclu.tif"/>
    <m/>
    <m/>
    <x v="1"/>
    <m/>
    <m/>
    <m/>
    <m/>
  </r>
  <r>
    <x v="13"/>
    <x v="5"/>
    <s v="C:\Users\cbarrier\Desktop\BPA\BPA\20201118_Cefas_Test6-Run3/Plate 3/@11/F5_03- exclu.tif"/>
    <m/>
    <m/>
    <x v="1"/>
    <m/>
    <m/>
    <m/>
    <m/>
  </r>
  <r>
    <x v="13"/>
    <x v="6"/>
    <s v="C:\Users\cbarrier\Desktop\BPA\BPA\20201118_Cefas_Test6-Run3/Plate 3/@11/G5_01.tif "/>
    <s v=" 24203.8521 "/>
    <s v=" 34.151 "/>
    <x v="0"/>
    <n v="826586"/>
    <m/>
    <m/>
    <m/>
  </r>
  <r>
    <x v="13"/>
    <x v="6"/>
    <s v="C:\Users\cbarrier\Desktop\BPA\BPA\20201118_Cefas_Test6-Run3/Plate 3/@11/G5_02.tif "/>
    <s v=" 30736.0803 "/>
    <s v=" 35.1879 "/>
    <x v="0"/>
    <n v="1081538"/>
    <m/>
    <m/>
    <m/>
  </r>
  <r>
    <x v="13"/>
    <x v="6"/>
    <s v="C:\Users\cbarrier\Desktop\BPA\BPA\20201118_Cefas_Test6-Run3/Plate 3/@11/G5_03.tif "/>
    <s v=" 39561.0773 "/>
    <s v=" 34.9131 "/>
    <x v="0"/>
    <n v="1381199"/>
    <m/>
    <m/>
    <m/>
  </r>
  <r>
    <x v="13"/>
    <x v="7"/>
    <s v="C:\Users\cbarrier\Desktop\BPA\BPA\20201118_Cefas_Test6-Run3/Plate 3/@11/H5_01- exclu.tif"/>
    <m/>
    <m/>
    <x v="1"/>
    <m/>
    <m/>
    <m/>
    <m/>
  </r>
  <r>
    <x v="13"/>
    <x v="7"/>
    <s v="C:\Users\cbarrier\Desktop\BPA\BPA\20201118_Cefas_Test6-Run3/Plate 3/@11/H5_02.tif "/>
    <s v=" 45747.2271 "/>
    <s v=" 41.1953 "/>
    <x v="0"/>
    <n v="1884569"/>
    <m/>
    <m/>
    <m/>
  </r>
  <r>
    <x v="13"/>
    <x v="7"/>
    <s v="C:\Users\cbarrier\Desktop\BPA\BPA\20201118_Cefas_Test6-Run3/Plate 3/@11/H5_03.tif "/>
    <s v=" 52041.5265 "/>
    <s v=" 36.9913 "/>
    <x v="0"/>
    <n v="1925082"/>
    <m/>
    <m/>
    <m/>
  </r>
  <r>
    <x v="1"/>
    <x v="8"/>
    <s v=" "/>
    <m/>
    <m/>
    <x v="1"/>
    <m/>
    <m/>
    <m/>
    <m/>
  </r>
  <r>
    <x v="1"/>
    <x v="8"/>
    <s v="group "/>
    <s v=" "/>
    <s v=" mean of mean fluo "/>
    <x v="2"/>
    <s v=" mean of total fluo "/>
    <s v=" SD total fluo "/>
    <s v=" n fluorescent "/>
    <m/>
  </r>
  <r>
    <x v="13"/>
    <x v="9"/>
    <s v="C:\Users\cbarrier\Desktop\BPA\BPA\20201118_Cefas_Test6-Run3/Plate 3/@11/ "/>
    <s v=" "/>
    <s v=" 36.266 "/>
    <x v="15"/>
    <s v=" 1062861.42 "/>
    <s v=" 641087.59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cbarrier\Desktop\BPA\BPA\20201118_Cefas_Test6-Run3/Plate 3/@12/A6_01.tif "/>
    <s v=" 58379.0856 "/>
    <s v=" 42.7988 "/>
    <x v="0"/>
    <n v="2498556"/>
    <m/>
    <m/>
    <m/>
  </r>
  <r>
    <x v="14"/>
    <x v="0"/>
    <s v="C:\Users\cbarrier\Desktop\BPA\BPA\20201118_Cefas_Test6-Run3/Plate 3/@12/A6_02.tif "/>
    <s v=" 44882.0314 "/>
    <s v=" 43.4125 "/>
    <x v="0"/>
    <n v="1948443"/>
    <m/>
    <m/>
    <m/>
  </r>
  <r>
    <x v="14"/>
    <x v="0"/>
    <s v="C:\Users\cbarrier\Desktop\BPA\BPA\20201118_Cefas_Test6-Run3/Plate 3/@12/A6_03.tif "/>
    <s v=" 41399.6183 "/>
    <s v=" 44.0063 "/>
    <x v="0"/>
    <n v="1821843"/>
    <m/>
    <m/>
    <m/>
  </r>
  <r>
    <x v="14"/>
    <x v="1"/>
    <s v="C:\Users\cbarrier\Desktop\BPA\BPA\20201118_Cefas_Test6-Run3/Plate 3/@12/B6_01.tif "/>
    <s v=" 33677.7459 "/>
    <s v=" 33.2158 "/>
    <x v="0"/>
    <n v="1118633"/>
    <m/>
    <m/>
    <m/>
  </r>
  <r>
    <x v="14"/>
    <x v="1"/>
    <s v="C:\Users\cbarrier\Desktop\BPA\BPA\20201118_Cefas_Test6-Run3/Plate 3/@12/B6_02.tif "/>
    <s v=" 38566.1021 "/>
    <s v=" 34.0404 "/>
    <x v="0"/>
    <n v="1312805"/>
    <m/>
    <m/>
    <m/>
  </r>
  <r>
    <x v="14"/>
    <x v="1"/>
    <s v="C:\Users\cbarrier\Desktop\BPA\BPA\20201118_Cefas_Test6-Run3/Plate 3/@12/B6_03.tif "/>
    <s v=" 48818.6722 "/>
    <s v=" 35.6212 "/>
    <x v="0"/>
    <n v="1738979"/>
    <m/>
    <m/>
    <m/>
  </r>
  <r>
    <x v="14"/>
    <x v="2"/>
    <s v="C:\Users\cbarrier\Desktop\BPA\BPA\20201118_Cefas_Test6-Run3/Plate 3/@12/C6_01.tif "/>
    <s v=" 55696.9787 "/>
    <s v=" 36.2718 "/>
    <x v="0"/>
    <n v="2020232"/>
    <m/>
    <m/>
    <m/>
  </r>
  <r>
    <x v="14"/>
    <x v="2"/>
    <s v="C:\Users\cbarrier\Desktop\BPA\BPA\20201118_Cefas_Test6-Run3/Plate 3/@12/C6_02.tif "/>
    <s v=" 67355.4919 "/>
    <s v=" 38.5758 "/>
    <x v="0"/>
    <n v="2598291"/>
    <m/>
    <m/>
    <m/>
  </r>
  <r>
    <x v="14"/>
    <x v="2"/>
    <s v="C:\Users\cbarrier\Desktop\BPA\BPA\20201118_Cefas_Test6-Run3/Plate 3/@12/C6_03.tif "/>
    <s v=" 58638.6443 "/>
    <s v=" 37.5692 "/>
    <x v="0"/>
    <n v="2203005"/>
    <m/>
    <m/>
    <m/>
  </r>
  <r>
    <x v="14"/>
    <x v="3"/>
    <s v="C:\Users\cbarrier\Desktop\BPA\BPA\20201118_Cefas_Test6-Run3/Plate 3/@12/D6_01.tif "/>
    <s v=" 40361.3834 "/>
    <s v=" 40.2036 "/>
    <x v="0"/>
    <n v="1622675"/>
    <m/>
    <m/>
    <s v=" n total"/>
  </r>
  <r>
    <x v="14"/>
    <x v="3"/>
    <s v="C:\Users\cbarrier\Desktop\BPA\BPA\20201118_Cefas_Test6-Run3/Plate 3/@12/D6_02- exclu.tif"/>
    <m/>
    <m/>
    <x v="1"/>
    <m/>
    <m/>
    <m/>
    <n v="24"/>
  </r>
  <r>
    <x v="14"/>
    <x v="3"/>
    <s v="C:\Users\cbarrier\Desktop\BPA\BPA\20201118_Cefas_Test6-Run3/Plate 3/@12/D6_03.tif "/>
    <s v=" 37592.7569 "/>
    <s v=" 39.1381 "/>
    <x v="0"/>
    <n v="1471309"/>
    <m/>
    <m/>
    <m/>
  </r>
  <r>
    <x v="14"/>
    <x v="4"/>
    <s v="C:\Users\cbarrier\Desktop\BPA\BPA\20201118_Cefas_Test6-Run3/Plate 3/@12/E6_01.tif "/>
    <s v=" 49554.0886 "/>
    <s v=" 38.7495 "/>
    <x v="0"/>
    <n v="1920194"/>
    <m/>
    <m/>
    <m/>
  </r>
  <r>
    <x v="14"/>
    <x v="4"/>
    <s v="C:\Users\cbarrier\Desktop\BPA\BPA\20201118_Cefas_Test6-Run3/Plate 3/@12/E6_02.tif "/>
    <s v=" 43865.4263 "/>
    <s v=" 37.5947 "/>
    <x v="0"/>
    <n v="1649106"/>
    <m/>
    <m/>
    <m/>
  </r>
  <r>
    <x v="1"/>
    <x v="8"/>
    <s v=" "/>
    <m/>
    <m/>
    <x v="1"/>
    <m/>
    <m/>
    <m/>
    <m/>
  </r>
  <r>
    <x v="1"/>
    <x v="8"/>
    <s v="group "/>
    <s v=" "/>
    <s v=" mean of mean fluo "/>
    <x v="2"/>
    <s v=" mean of total fluo "/>
    <s v=" SD total fluo "/>
    <s v=" n fluorescent "/>
    <m/>
  </r>
  <r>
    <x v="14"/>
    <x v="9"/>
    <s v="C:\Users\cbarrier\Desktop\BPA\BPA\20201118_Cefas_Test6-Run3/Plate 3/@12/ "/>
    <s v=" "/>
    <s v=" 38.0609 "/>
    <x v="16"/>
    <s v=" 1717225.29 "/>
    <s v=" 618745.887 "/>
    <n v="1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cbarrier\Desktop\BPA\BPA\20201118_Cefas_Test6-Run3/Plate 3/@17/A8_01.tif "/>
    <s v=" 65062.723 "/>
    <s v=" 45.4508 "/>
    <x v="0"/>
    <n v="2957153"/>
    <m/>
    <m/>
    <m/>
  </r>
  <r>
    <x v="15"/>
    <x v="0"/>
    <s v="C:\Users\cbarrier\Desktop\BPA\BPA\20201118_Cefas_Test6-Run3/Plate 3/@17/A8_02.tif "/>
    <s v=" 74277.0582 "/>
    <s v=" 48.41 "/>
    <x v="0"/>
    <n v="3595754"/>
    <m/>
    <m/>
    <m/>
  </r>
  <r>
    <x v="15"/>
    <x v="0"/>
    <s v="C:\Users\cbarrier\Desktop\BPA\BPA\20201118_Cefas_Test6-Run3/Plate 3/@17/A8_03.tif "/>
    <s v=" 72330.3676 "/>
    <s v=" 42.6462 "/>
    <x v="0"/>
    <n v="3084618"/>
    <m/>
    <m/>
    <m/>
  </r>
  <r>
    <x v="15"/>
    <x v="1"/>
    <s v="C:\Users\cbarrier\Desktop\BPA\BPA\20201118_Cefas_Test6-Run3/Plate 3/@17/B8_01.tif "/>
    <s v=" 30822.5998 "/>
    <s v=" 35.5853 "/>
    <x v="0"/>
    <n v="1096830"/>
    <m/>
    <m/>
    <m/>
  </r>
  <r>
    <x v="15"/>
    <x v="1"/>
    <s v="C:\Users\cbarrier\Desktop\BPA\BPA\20201118_Cefas_Test6-Run3/Plate 3/@17/B8_02.tif "/>
    <s v=" 36705.9312 "/>
    <s v=" 35.3253 "/>
    <x v="0"/>
    <n v="1296647"/>
    <m/>
    <m/>
    <m/>
  </r>
  <r>
    <x v="15"/>
    <x v="1"/>
    <s v="C:\Users\cbarrier\Desktop\BPA\BPA\20201118_Cefas_Test6-Run3/Plate 3/@17/B8_03.tif "/>
    <s v=" 37636.0167 "/>
    <s v=" 36.4523 "/>
    <x v="0"/>
    <n v="1371919"/>
    <m/>
    <m/>
    <m/>
  </r>
  <r>
    <x v="15"/>
    <x v="2"/>
    <s v="C:\Users\cbarrier\Desktop\BPA\BPA\20201118_Cefas_Test6-Run3/Plate 3/@17/C8_01- exclu.tif"/>
    <m/>
    <m/>
    <x v="1"/>
    <m/>
    <m/>
    <m/>
    <m/>
  </r>
  <r>
    <x v="15"/>
    <x v="2"/>
    <s v="C:\Users\cbarrier\Desktop\BPA\BPA\20201118_Cefas_Test6-Run3/Plate 3/@17/C8_02.tif "/>
    <s v=" 7851.6518 "/>
    <s v=" 34.8457 "/>
    <x v="0"/>
    <n v="273597"/>
    <m/>
    <m/>
    <m/>
  </r>
  <r>
    <x v="15"/>
    <x v="2"/>
    <s v="C:\Users\cbarrier\Desktop\BPA\BPA\20201118_Cefas_Test6-Run3/Plate 3/@17/C8_03.tif "/>
    <s v=" 8565.4383 "/>
    <s v=" 33.3864 "/>
    <x v="0"/>
    <n v="285969"/>
    <m/>
    <m/>
    <m/>
  </r>
  <r>
    <x v="15"/>
    <x v="3"/>
    <s v="C:\Users\cbarrier\Desktop\BPA\BPA\20201118_Cefas_Test6-Run3/Plate 3/@17/D8_01.tif "/>
    <s v=" 7613.7229 "/>
    <s v=" 33.7415 "/>
    <x v="0"/>
    <n v="256898"/>
    <m/>
    <m/>
    <m/>
  </r>
  <r>
    <x v="15"/>
    <x v="3"/>
    <s v="C:\Users\cbarrier\Desktop\BPA\BPA\20201118_Cefas_Test6-Run3/Plate 3/@17/D8_02.tif "/>
    <s v=" 5018.1356 "/>
    <s v=" 34.0517 "/>
    <x v="0"/>
    <n v="170876"/>
    <m/>
    <m/>
    <m/>
  </r>
  <r>
    <x v="15"/>
    <x v="3"/>
    <s v="C:\Users\cbarrier\Desktop\BPA\BPA\20201118_Cefas_Test6-Run3/Plate 3/@17/D8_03.tif "/>
    <s v=" 2314.3987 "/>
    <s v=" 33.5981 "/>
    <x v="0"/>
    <n v="77759"/>
    <m/>
    <m/>
    <m/>
  </r>
  <r>
    <x v="15"/>
    <x v="4"/>
    <s v="C:\Users\cbarrier\Desktop\BPA\BPA\20201118_Cefas_Test6-Run3/Plate 3/@17/E8_01.tif "/>
    <s v=" 75704.6312 "/>
    <s v=" 45.7611 "/>
    <x v="0"/>
    <n v="3464330"/>
    <m/>
    <m/>
    <m/>
  </r>
  <r>
    <x v="15"/>
    <x v="4"/>
    <s v="C:\Users\cbarrier\Desktop\BPA\BPA\20201118_Cefas_Test6-Run3/Plate 3/@17/E8_02.tif "/>
    <s v=" 68523.5062 "/>
    <s v=" 44.6408 "/>
    <x v="0"/>
    <n v="3058943"/>
    <m/>
    <m/>
    <m/>
  </r>
  <r>
    <x v="15"/>
    <x v="4"/>
    <s v="C:\Users\cbarrier\Desktop\BPA\BPA\20201118_Cefas_Test6-Run3/Plate 3/@17/E8_03.tif "/>
    <s v=" 66447.0363 "/>
    <s v=" 46.4538 "/>
    <x v="0"/>
    <n v="3086716"/>
    <m/>
    <m/>
    <m/>
  </r>
  <r>
    <x v="15"/>
    <x v="5"/>
    <s v="C:\Users\cbarrier\Desktop\BPA\BPA\20201118_Cefas_Test6-Run3/Plate 3/@17/F8_01.tif "/>
    <s v=" 45336.2591 "/>
    <s v=" 39.4499 "/>
    <x v="0"/>
    <n v="1788511"/>
    <m/>
    <m/>
    <m/>
  </r>
  <r>
    <x v="15"/>
    <x v="5"/>
    <s v="C:\Users\cbarrier\Desktop\BPA\BPA\20201118_Cefas_Test6-Run3/Plate 3/@17/F8_02.tif "/>
    <s v=" 47131.5404 "/>
    <s v=" 39.4654 "/>
    <x v="0"/>
    <n v="1860063"/>
    <m/>
    <m/>
    <m/>
  </r>
  <r>
    <x v="15"/>
    <x v="5"/>
    <s v="C:\Users\cbarrier\Desktop\BPA\BPA\20201118_Cefas_Test6-Run3/Plate 3/@17/F8_03.tif "/>
    <s v=" 45552.5581 "/>
    <s v=" 40.359 "/>
    <x v="0"/>
    <n v="1838455"/>
    <m/>
    <m/>
    <m/>
  </r>
  <r>
    <x v="15"/>
    <x v="6"/>
    <s v="C:\Users\cbarrier\Desktop\BPA\BPA\20201118_Cefas_Test6-Run3/Plate 3/@17/G8_01.tif "/>
    <s v=" 70491.8266 "/>
    <s v=" 43.4511 "/>
    <x v="0"/>
    <n v="3062944"/>
    <m/>
    <m/>
    <m/>
  </r>
  <r>
    <x v="15"/>
    <x v="6"/>
    <s v="C:\Users\cbarrier\Desktop\BPA\BPA\20201118_Cefas_Test6-Run3/Plate 3/@17/G8_02.tif "/>
    <s v=" 72979.2645 "/>
    <s v=" 45.0453 "/>
    <x v="0"/>
    <n v="3287376"/>
    <m/>
    <m/>
    <s v=" n total"/>
  </r>
  <r>
    <x v="15"/>
    <x v="6"/>
    <s v="C:\Users\cbarrier\Desktop\BPA\BPA\20201118_Cefas_Test6-Run3/Plate 3/@17/G8_03.tif "/>
    <s v=" 70189.0081 "/>
    <s v=" 42.127 "/>
    <x v="0"/>
    <n v="2956850"/>
    <m/>
    <m/>
    <n v="24"/>
  </r>
  <r>
    <x v="15"/>
    <x v="7"/>
    <s v="C:\Users\cbarrier\Desktop\BPA\BPA\20201118_Cefas_Test6-Run3/Plate 3/@17/H8_01.tif "/>
    <s v=" 44860.4015 "/>
    <s v=" 38.4392 "/>
    <x v="0"/>
    <n v="1724400"/>
    <m/>
    <m/>
    <m/>
  </r>
  <r>
    <x v="15"/>
    <x v="7"/>
    <s v="C:\Users\cbarrier\Desktop\BPA\BPA\20201118_Cefas_Test6-Run3/Plate 3/@17/H8_02.tif "/>
    <s v=" 37765.796 "/>
    <s v=" 36.2468 "/>
    <x v="0"/>
    <n v="1368891"/>
    <m/>
    <m/>
    <m/>
  </r>
  <r>
    <x v="15"/>
    <x v="7"/>
    <s v="C:\Users\cbarrier\Desktop\BPA\BPA\20201118_Cefas_Test6-Run3/Plate 3/@17/H8_03.tif "/>
    <s v=" 44795.5118 "/>
    <s v=" 39.1352 "/>
    <x v="0"/>
    <n v="1753081"/>
    <m/>
    <m/>
    <m/>
  </r>
  <r>
    <x v="1"/>
    <x v="8"/>
    <s v=" "/>
    <m/>
    <m/>
    <x v="1"/>
    <m/>
    <m/>
    <m/>
    <m/>
  </r>
  <r>
    <x v="1"/>
    <x v="8"/>
    <s v="group "/>
    <s v=" "/>
    <s v=" mean of mean fluo "/>
    <x v="2"/>
    <s v=" mean of total fluo "/>
    <s v=" SD total fluo "/>
    <s v=" n fluorescent "/>
    <m/>
  </r>
  <r>
    <x v="15"/>
    <x v="9"/>
    <s v="C:\Users\cbarrier\Desktop\BPA\BPA\20201118_Cefas_Test6-Run3/Plate 3/@17/ "/>
    <s v=" "/>
    <s v=" 39.4428 "/>
    <x v="17"/>
    <s v=" 1830792.08 "/>
    <s v=" 1208592.89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3"/>
    <s v="C:\Users\cbarrier\Desktop\BPA\BPA\20201118_Cefas_Test6-Run3/Plate 3/@18/D9_03.tif "/>
    <s v=" 90131.7709 "/>
    <s v=" 42.09 "/>
    <x v="0"/>
    <n v="3793646"/>
    <m/>
    <m/>
    <m/>
  </r>
  <r>
    <x v="16"/>
    <x v="4"/>
    <s v="C:\Users\cbarrier\Desktop\BPA\BPA\20201118_Cefas_Test6-Run3/Plate 3/@18/E9_01.tif "/>
    <s v=" 81263.5141 "/>
    <s v=" 43.4072 "/>
    <x v="0"/>
    <n v="3527425"/>
    <m/>
    <m/>
    <m/>
  </r>
  <r>
    <x v="16"/>
    <x v="4"/>
    <s v="C:\Users\cbarrier\Desktop\BPA\BPA\20201118_Cefas_Test6-Run3/Plate 3/@18/E9_02.tif "/>
    <s v=" 78256.9588 "/>
    <s v=" 41.5708 "/>
    <x v="0"/>
    <n v="3253201"/>
    <m/>
    <m/>
    <m/>
  </r>
  <r>
    <x v="16"/>
    <x v="4"/>
    <s v="C:\Users\cbarrier\Desktop\BPA\BPA\20201118_Cefas_Test6-Run3/Plate 3/@18/E9_03.tif "/>
    <s v=" 74731.2859 "/>
    <s v=" 41.1835 "/>
    <x v="0"/>
    <n v="3077696"/>
    <m/>
    <m/>
    <m/>
  </r>
  <r>
    <x v="16"/>
    <x v="5"/>
    <s v="C:\Users\cbarrier\Desktop\BPA\BPA\20201118_Cefas_Test6-Run3/Plate 3/@18/F9_01.tif "/>
    <s v=" 52712.0532 "/>
    <s v=" 43.3024 "/>
    <x v="0"/>
    <n v="2282560"/>
    <m/>
    <m/>
    <m/>
  </r>
  <r>
    <x v="16"/>
    <x v="5"/>
    <s v="C:\Users\cbarrier\Desktop\BPA\BPA\20201118_Cefas_Test6-Run3/Plate 3/@18/F9_02.tif "/>
    <s v=" 46915.2415 "/>
    <s v=" 47.8405 "/>
    <x v="0"/>
    <n v="2244448"/>
    <m/>
    <m/>
    <m/>
  </r>
  <r>
    <x v="16"/>
    <x v="5"/>
    <s v="C:\Users\cbarrier\Desktop\BPA\BPA\20201118_Cefas_Test6-Run3/Plate 3/@18/F9_03.tif "/>
    <s v=" 57643.6692 "/>
    <s v=" 45.46 "/>
    <x v="0"/>
    <n v="2620483"/>
    <m/>
    <m/>
    <m/>
  </r>
  <r>
    <x v="16"/>
    <x v="6"/>
    <s v="C:\Users\cbarrier\Desktop\BPA\BPA\20201118_Cefas_Test6-Run3/Plate 3/@18/G9_01.tif "/>
    <s v=" 75877.6704 "/>
    <s v=" 42.6174 "/>
    <x v="0"/>
    <n v="3233713"/>
    <m/>
    <m/>
    <m/>
  </r>
  <r>
    <x v="16"/>
    <x v="6"/>
    <s v="C:\Users\cbarrier\Desktop\BPA\BPA\20201118_Cefas_Test6-Run3/Plate 3/@18/G9_02.tif "/>
    <s v=" 79338.4535 "/>
    <s v=" 44.208 "/>
    <x v="0"/>
    <n v="3507396"/>
    <m/>
    <m/>
    <m/>
  </r>
  <r>
    <x v="16"/>
    <x v="6"/>
    <s v="C:\Users\cbarrier\Desktop\BPA\BPA\20201118_Cefas_Test6-Run3/Plate 3/@18/G9_03.tif "/>
    <s v=" 79273.5638 "/>
    <s v=" 44.292 "/>
    <x v="0"/>
    <n v="3511181"/>
    <m/>
    <m/>
    <s v=" n total"/>
  </r>
  <r>
    <x v="16"/>
    <x v="7"/>
    <s v="C:\Users\cbarrier\Desktop\BPA\BPA\20201118_Cefas_Test6-Run3/Plate 3/@18/H9_01- exclu.tif"/>
    <m/>
    <m/>
    <x v="1"/>
    <m/>
    <m/>
    <m/>
    <n v="14"/>
  </r>
  <r>
    <x v="16"/>
    <x v="7"/>
    <s v="C:\Users\cbarrier\Desktop\BPA\BPA\20201118_Cefas_Test6-Run3/Plate 3/@18/H9_02- exclu.tif"/>
    <m/>
    <m/>
    <x v="1"/>
    <m/>
    <m/>
    <m/>
    <m/>
  </r>
  <r>
    <x v="16"/>
    <x v="7"/>
    <s v="C:\Users\cbarrier\Desktop\BPA\BPA\20201118_Cefas_Test6-Run3/Plate 3/@18/H9_03- exclu.tif"/>
    <m/>
    <m/>
    <x v="1"/>
    <m/>
    <m/>
    <m/>
    <m/>
  </r>
  <r>
    <x v="1"/>
    <x v="8"/>
    <s v=" "/>
    <m/>
    <m/>
    <x v="1"/>
    <m/>
    <m/>
    <m/>
    <m/>
  </r>
  <r>
    <x v="1"/>
    <x v="8"/>
    <s v="group "/>
    <s v=" "/>
    <s v=" mean of mean fluo "/>
    <x v="2"/>
    <s v=" mean of total fluo "/>
    <s v=" SD total fluo "/>
    <s v=" n fluorescent "/>
    <m/>
  </r>
  <r>
    <x v="16"/>
    <x v="9"/>
    <s v="C:\Users\cbarrier\Desktop\BPA\BPA\20201118_Cefas_Test6-Run3/Plate 3/@18/ "/>
    <s v=" "/>
    <s v=" 41.3679 "/>
    <x v="18"/>
    <s v=" 2559131.08 "/>
    <s v=" 1167507.97 "/>
    <n v="13"/>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cbarrier\Desktop\BPA\BPA\20201118_Cefas_Test6-Run3/Plate 3/@19/A10_01.tif "/>
    <s v=" 93332.9953 "/>
    <s v=" 52.7101 "/>
    <x v="0"/>
    <n v="4919590"/>
    <m/>
    <m/>
    <m/>
  </r>
  <r>
    <x v="17"/>
    <x v="0"/>
    <s v="C:\Users\cbarrier\Desktop\BPA\BPA\20201118_Cefas_Test6-Run3/Plate 3/@19/A10_02.tif "/>
    <s v=" 83707.6922 "/>
    <s v=" 54.0881 "/>
    <x v="0"/>
    <n v="4527591"/>
    <m/>
    <m/>
    <m/>
  </r>
  <r>
    <x v="17"/>
    <x v="0"/>
    <s v="C:\Users\cbarrier\Desktop\BPA\BPA\20201118_Cefas_Test6-Run3/Plate 3/@19/A10_03.tif "/>
    <s v=" 90304.8101 "/>
    <s v=" 52.3988 "/>
    <x v="0"/>
    <n v="4731864"/>
    <m/>
    <m/>
    <m/>
  </r>
  <r>
    <x v="17"/>
    <x v="1"/>
    <s v="C:\Users\cbarrier\Desktop\BPA\BPA\20201118_Cefas_Test6-Run3/Plate 3/@19/B10_01.tif "/>
    <s v=" 70513.4565 "/>
    <s v=" 49.1344 "/>
    <x v="0"/>
    <n v="3464633"/>
    <m/>
    <m/>
    <m/>
  </r>
  <r>
    <x v="17"/>
    <x v="1"/>
    <s v="C:\Users\cbarrier\Desktop\BPA\BPA\20201118_Cefas_Test6-Run3/Plate 3/@19/B10_02.tif "/>
    <s v=" 70794.6451 "/>
    <s v=" 47.8417 "/>
    <x v="0"/>
    <n v="3386939"/>
    <m/>
    <m/>
    <m/>
  </r>
  <r>
    <x v="17"/>
    <x v="1"/>
    <s v="C:\Users\cbarrier\Desktop\BPA\BPA\20201118_Cefas_Test6-Run3/Plate 3/@19/B10_03.tif "/>
    <s v=" 81220.2543 "/>
    <s v=" 46.1688 "/>
    <x v="0"/>
    <n v="3749845"/>
    <m/>
    <m/>
    <m/>
  </r>
  <r>
    <x v="17"/>
    <x v="2"/>
    <s v="C:\Users\cbarrier\Desktop\BPA\BPA\20201118_Cefas_Test6-Run3/Plate 3/@19/C10_01.tif "/>
    <s v=" 62099.4275 "/>
    <s v=" 44.4734 "/>
    <x v="0"/>
    <n v="2761770"/>
    <m/>
    <m/>
    <m/>
  </r>
  <r>
    <x v="17"/>
    <x v="2"/>
    <s v="C:\Users\cbarrier\Desktop\BPA\BPA\20201118_Cefas_Test6-Run3/Plate 3/@19/C10_02.tif "/>
    <s v=" 59482.2102 "/>
    <s v=" 43.3178 "/>
    <x v="0"/>
    <n v="2576640"/>
    <m/>
    <m/>
    <m/>
  </r>
  <r>
    <x v="17"/>
    <x v="2"/>
    <s v="C:\Users\cbarrier\Desktop\BPA\BPA\20201118_Cefas_Test6-Run3/Plate 3/@19/C10_03.tif "/>
    <s v=" 62250.8367 "/>
    <s v=" 44.6727 "/>
    <x v="0"/>
    <n v="2780912"/>
    <m/>
    <m/>
    <m/>
  </r>
  <r>
    <x v="17"/>
    <x v="3"/>
    <s v="C:\Users\cbarrier\Desktop\BPA\BPA\20201118_Cefas_Test6-Run3/Plate 3/@19/D10_01.tif "/>
    <s v=" 90348.0699 "/>
    <s v=" 49.6505 "/>
    <x v="0"/>
    <n v="4485824"/>
    <m/>
    <m/>
    <m/>
  </r>
  <r>
    <x v="17"/>
    <x v="3"/>
    <s v="C:\Users\cbarrier\Desktop\BPA\BPA\20201118_Cefas_Test6-Run3/Plate 3/@19/D10_02.tif "/>
    <s v=" 90283.1802 "/>
    <s v=" 47.8816 "/>
    <x v="0"/>
    <n v="4322907"/>
    <m/>
    <m/>
    <m/>
  </r>
  <r>
    <x v="17"/>
    <x v="3"/>
    <s v="C:\Users\cbarrier\Desktop\BPA\BPA\20201118_Cefas_Test6-Run3/Plate 3/@19/D10_03.tif "/>
    <s v=" 88509.5288 "/>
    <s v=" 48.8519 "/>
    <x v="0"/>
    <n v="4323859"/>
    <m/>
    <m/>
    <m/>
  </r>
  <r>
    <x v="17"/>
    <x v="4"/>
    <s v="C:\Users\cbarrier\Desktop\BPA\BPA\20201118_Cefas_Test6-Run3/Plate 3/@19/E10_01.tif "/>
    <s v=" 81176.9945 "/>
    <s v=" 49.4889 "/>
    <x v="0"/>
    <n v="4017364"/>
    <m/>
    <m/>
    <m/>
  </r>
  <r>
    <x v="17"/>
    <x v="4"/>
    <s v="C:\Users\cbarrier\Desktop\BPA\BPA\20201118_Cefas_Test6-Run3/Plate 3/@19/E10_02.tif "/>
    <s v=" 71832.8801 "/>
    <s v=" 50.1575 "/>
    <x v="0"/>
    <n v="3602956"/>
    <m/>
    <m/>
    <m/>
  </r>
  <r>
    <x v="17"/>
    <x v="4"/>
    <s v="C:\Users\cbarrier\Desktop\BPA\BPA\20201118_Cefas_Test6-Run3/Plate 3/@19/E10_03.tif "/>
    <s v=" 73173.9335 "/>
    <s v=" 48.5223 "/>
    <x v="0"/>
    <n v="3550569"/>
    <m/>
    <m/>
    <m/>
  </r>
  <r>
    <x v="17"/>
    <x v="5"/>
    <s v="C:\Users\cbarrier\Desktop\BPA\BPA\20201118_Cefas_Test6-Run3/Plate 3/@19/F10_01.tif "/>
    <s v=" 50895.1421 "/>
    <s v=" 39.8287 "/>
    <x v="0"/>
    <n v="2027089"/>
    <m/>
    <m/>
    <m/>
  </r>
  <r>
    <x v="17"/>
    <x v="5"/>
    <s v="C:\Users\cbarrier\Desktop\BPA\BPA\20201118_Cefas_Test6-Run3/Plate 3/@19/F10_02.tif "/>
    <s v=" 52906.7223 "/>
    <s v=" 40.9886 "/>
    <x v="0"/>
    <n v="2168570"/>
    <m/>
    <m/>
    <m/>
  </r>
  <r>
    <x v="17"/>
    <x v="5"/>
    <s v="C:\Users\cbarrier\Desktop\BPA\BPA\20201118_Cefas_Test6-Run3/Plate 3/@19/F10_03.tif "/>
    <s v=" 51522.409 "/>
    <s v=" 41.3564 "/>
    <x v="0"/>
    <n v="2130783"/>
    <m/>
    <m/>
    <m/>
  </r>
  <r>
    <x v="17"/>
    <x v="6"/>
    <s v="C:\Users\cbarrier\Desktop\BPA\BPA\20201118_Cefas_Test6-Run3/Plate 3/@19/G10_01.tif "/>
    <s v=" 93917.0025 "/>
    <s v=" 54.1214 "/>
    <x v="0"/>
    <n v="5082917"/>
    <m/>
    <m/>
    <m/>
  </r>
  <r>
    <x v="17"/>
    <x v="6"/>
    <s v="C:\Users\cbarrier\Desktop\BPA\BPA\20201118_Cefas_Test6-Run3/Plate 3/@19/G10_02.tif "/>
    <s v=" 92792.248 "/>
    <s v=" 54.8669 "/>
    <x v="0"/>
    <n v="5091223"/>
    <m/>
    <m/>
    <m/>
  </r>
  <r>
    <x v="17"/>
    <x v="6"/>
    <s v="C:\Users\cbarrier\Desktop\BPA\BPA\20201118_Cefas_Test6-Run3/Plate 3/@19/G10_03- exclu.tif"/>
    <m/>
    <m/>
    <x v="1"/>
    <m/>
    <m/>
    <m/>
    <s v=" n total"/>
  </r>
  <r>
    <x v="17"/>
    <x v="7"/>
    <s v="C:\Users\cbarrier\Desktop\BPA\BPA\20201118_Cefas_Test6-Run3/Plate 3/@19/H10_01.tif "/>
    <s v=" 67204.0826 "/>
    <s v=" 47.4699 "/>
    <x v="0"/>
    <n v="3190172"/>
    <m/>
    <m/>
    <n v="24"/>
  </r>
  <r>
    <x v="17"/>
    <x v="7"/>
    <s v="C:\Users\cbarrier\Desktop\BPA\BPA\20201118_Cefas_Test6-Run3/Plate 3/@19/H10_02- exclu.tif"/>
    <m/>
    <m/>
    <x v="1"/>
    <m/>
    <m/>
    <m/>
    <m/>
  </r>
  <r>
    <x v="17"/>
    <x v="7"/>
    <s v="C:\Users\cbarrier\Desktop\BPA\BPA\20201118_Cefas_Test6-Run3/Plate 3/@19/H10_03.tif "/>
    <s v=" 69929.4493 "/>
    <s v=" 50.9521 "/>
    <x v="0"/>
    <n v="3563049"/>
    <m/>
    <m/>
    <m/>
  </r>
  <r>
    <x v="1"/>
    <x v="8"/>
    <s v=" "/>
    <m/>
    <m/>
    <x v="1"/>
    <m/>
    <m/>
    <m/>
    <m/>
  </r>
  <r>
    <x v="1"/>
    <x v="8"/>
    <s v="group "/>
    <s v=" "/>
    <s v=" mean of mean fluo "/>
    <x v="2"/>
    <s v=" mean of total fluo "/>
    <s v=" SD total fluo "/>
    <s v=" n fluorescent "/>
    <m/>
  </r>
  <r>
    <x v="17"/>
    <x v="9"/>
    <s v="C:\Users\cbarrier\Desktop\BPA\BPA\20201118_Cefas_Test6-Run3/Plate 3/@19/ "/>
    <s v=" "/>
    <s v=" 47.6479 "/>
    <x v="19"/>
    <s v=" 3532968.46 "/>
    <s v=" 1100635.34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cbarrier\Desktop\BPA\BPA\20201118_Cefas_Test6-Run3/Plate 3/@20/A11_01.tif "/>
    <s v=" 90326.44 "/>
    <s v=" 54.7565 "/>
    <x v="0"/>
    <n v="4945957"/>
    <m/>
    <m/>
    <m/>
  </r>
  <r>
    <x v="18"/>
    <x v="0"/>
    <s v="C:\Users\cbarrier\Desktop\BPA\BPA\20201118_Cefas_Test6-Run3/Plate 3/@20/A11_02.tif "/>
    <s v=" 89374.7246 "/>
    <s v=" 54.855 "/>
    <x v="0"/>
    <n v="4902654"/>
    <m/>
    <m/>
    <m/>
  </r>
  <r>
    <x v="18"/>
    <x v="0"/>
    <s v="C:\Users\cbarrier\Desktop\BPA\BPA\20201118_Cefas_Test6-Run3/Plate 3/@20/A11_03.tif "/>
    <s v=" 80592.9874 "/>
    <s v=" 50.4761 "/>
    <x v="0"/>
    <n v="4068021"/>
    <m/>
    <m/>
    <m/>
  </r>
  <r>
    <x v="18"/>
    <x v="1"/>
    <s v="C:\Users\cbarrier\Desktop\BPA\BPA\20201118_Cefas_Test6-Run3/Plate 3/@20/B11_01.tif "/>
    <s v=" 87254.9949 "/>
    <s v=" 53.9388 "/>
    <x v="0"/>
    <n v="4706427"/>
    <m/>
    <m/>
    <m/>
  </r>
  <r>
    <x v="18"/>
    <x v="1"/>
    <s v="C:\Users\cbarrier\Desktop\BPA\BPA\20201118_Cefas_Test6-Run3/Plate 3/@20/B11_02.tif "/>
    <s v=" 75358.5529 "/>
    <s v=" 53.8683 "/>
    <x v="0"/>
    <n v="4059434"/>
    <m/>
    <m/>
    <m/>
  </r>
  <r>
    <x v="18"/>
    <x v="1"/>
    <s v="C:\Users\cbarrier\Desktop\BPA\BPA\20201118_Cefas_Test6-Run3/Plate 3/@20/B11_03.tif "/>
    <s v=" 79078.8948 "/>
    <s v=" 50.0246 "/>
    <x v="0"/>
    <n v="3955891"/>
    <m/>
    <m/>
    <m/>
  </r>
  <r>
    <x v="18"/>
    <x v="2"/>
    <s v="C:\Users\cbarrier\Desktop\BPA\BPA\20201118_Cefas_Test6-Run3/Plate 3/@20/C11_01.tif "/>
    <s v=" 102655.48 "/>
    <s v=" 51.3778 "/>
    <x v="0"/>
    <n v="5274212"/>
    <m/>
    <m/>
    <m/>
  </r>
  <r>
    <x v="18"/>
    <x v="2"/>
    <s v="C:\Users\cbarrier\Desktop\BPA\BPA\20201118_Cefas_Test6-Run3/Plate 3/@20/C11_02.tif "/>
    <s v=" 101400.946 "/>
    <s v=" 47.0875 "/>
    <x v="0"/>
    <n v="4774713"/>
    <m/>
    <m/>
    <m/>
  </r>
  <r>
    <x v="18"/>
    <x v="2"/>
    <s v="C:\Users\cbarrier\Desktop\BPA\BPA\20201118_Cefas_Test6-Run3/Plate 3/@20/C11_03.tif "/>
    <s v=" 102504.071 "/>
    <s v=" 49.134 "/>
    <x v="0"/>
    <n v="5036434"/>
    <m/>
    <m/>
    <m/>
  </r>
  <r>
    <x v="18"/>
    <x v="3"/>
    <s v="C:\Users\cbarrier\Desktop\BPA\BPA\20201118_Cefas_Test6-Run3/Plate 3/@20/D11_01.tif "/>
    <s v=" 52690.4233 "/>
    <s v=" 58.8448 "/>
    <x v="0"/>
    <n v="3100559"/>
    <m/>
    <m/>
    <s v=" n total"/>
  </r>
  <r>
    <x v="18"/>
    <x v="3"/>
    <s v="C:\Users\cbarrier\Desktop\BPA\BPA\20201118_Cefas_Test6-Run3/Plate 3/@20/D11_02- exclu.tif"/>
    <m/>
    <m/>
    <x v="1"/>
    <m/>
    <m/>
    <m/>
    <n v="13"/>
  </r>
  <r>
    <x v="18"/>
    <x v="3"/>
    <s v="C:\Users\cbarrier\Desktop\BPA\BPA\20201118_Cefas_Test6-Run3/Plate 3/@20/D11_03.tif "/>
    <s v=" 75012.4746 "/>
    <s v=" 53.355 "/>
    <x v="0"/>
    <n v="4002288"/>
    <m/>
    <m/>
    <m/>
  </r>
  <r>
    <x v="18"/>
    <x v="4"/>
    <s v="C:\Users\cbarrier\Desktop\BPA\BPA\20201118_Cefas_Test6-Run3/Plate 3/@20/E11_01.tif "/>
    <s v=" 21.6299 "/>
    <n v="31"/>
    <x v="0"/>
    <n v="671"/>
    <m/>
    <m/>
    <m/>
  </r>
  <r>
    <x v="18"/>
    <x v="4"/>
    <s v="C:\Users\cbarrier\Desktop\BPA\BPA\20201118_Cefas_Test6-Run3/Plate 3/@20/E11_02- exclu.tif"/>
    <m/>
    <m/>
    <x v="1"/>
    <m/>
    <m/>
    <m/>
    <m/>
  </r>
  <r>
    <x v="18"/>
    <x v="4"/>
    <s v="C:\Users\cbarrier\Desktop\BPA\BPA\20201118_Cefas_Test6-Run3/Plate 3/@20/E11_03- exclu.tif"/>
    <m/>
    <m/>
    <x v="1"/>
    <m/>
    <m/>
    <m/>
    <m/>
  </r>
  <r>
    <x v="18"/>
    <x v="5"/>
    <s v="C:\Users\cbarrier\Desktop\BPA\BPA\20201118_Cefas_Test6-Run3/Plate 3/@20/F11_01.tif "/>
    <s v=" 77889.2506 "/>
    <s v=" 49.5665 "/>
    <x v="0"/>
    <n v="3860698"/>
    <m/>
    <m/>
    <m/>
  </r>
  <r>
    <x v="18"/>
    <x v="5"/>
    <s v="C:\Users\cbarrier\Desktop\BPA\BPA\20201118_Cefas_Test6-Run3/Plate 3/@20/F11_02.tif "/>
    <s v=" 57513.8898 "/>
    <s v=" 49.4389 "/>
    <x v="0"/>
    <n v="2843423"/>
    <m/>
    <m/>
    <m/>
  </r>
  <r>
    <x v="18"/>
    <x v="5"/>
    <s v="C:\Users\cbarrier\Desktop\BPA\BPA\20201118_Cefas_Test6-Run3/Plate 3/@20/F11_03.tif "/>
    <s v=" 71162.3533 "/>
    <s v=" 49.907 "/>
    <x v="0"/>
    <n v="3551499"/>
    <m/>
    <m/>
    <m/>
  </r>
  <r>
    <x v="18"/>
    <x v="6"/>
    <s v="C:\Users\cbarrier\Desktop\BPA\BPA\20201118_Cefas_Test6-Run3/Plate 3/@20/G11_01.tif "/>
    <s v=" 79576.3823 "/>
    <s v=" 46.9399 "/>
    <x v="0"/>
    <n v="3735310"/>
    <m/>
    <m/>
    <m/>
  </r>
  <r>
    <x v="18"/>
    <x v="6"/>
    <s v="C:\Users\cbarrier\Desktop\BPA\BPA\20201118_Cefas_Test6-Run3/Plate 3/@20/G11_02.tif "/>
    <s v=" 77110.5744 "/>
    <s v=" 45.3638 "/>
    <x v="0"/>
    <n v="3498030"/>
    <m/>
    <m/>
    <m/>
  </r>
  <r>
    <x v="18"/>
    <x v="6"/>
    <s v="C:\Users\cbarrier\Desktop\BPA\BPA\20201118_Cefas_Test6-Run3/Plate 3/@20/G11_03.tif "/>
    <s v=" 79057.2649 "/>
    <s v=" 44.4476 "/>
    <x v="0"/>
    <n v="3513906"/>
    <m/>
    <m/>
    <m/>
  </r>
  <r>
    <x v="18"/>
    <x v="7"/>
    <s v="C:\Users\cbarrier\Desktop\BPA\BPA\20201118_Cefas_Test6-Run3/Plate 3/@20/H11_01.tif "/>
    <s v=" 56367.5054 "/>
    <s v=" 41.3292 "/>
    <x v="0"/>
    <n v="2329626"/>
    <m/>
    <m/>
    <m/>
  </r>
  <r>
    <x v="18"/>
    <x v="7"/>
    <s v="C:\Users\cbarrier\Desktop\BPA\BPA\20201118_Cefas_Test6-Run3/Plate 3/@20/H11_02.tif "/>
    <s v=" 64132.6376 "/>
    <s v=" 45.3771 "/>
    <x v="0"/>
    <n v="2910151"/>
    <m/>
    <m/>
    <m/>
  </r>
  <r>
    <x v="18"/>
    <x v="7"/>
    <s v="C:\Users\cbarrier\Desktop\BPA\BPA\20201118_Cefas_Test6-Run3/Plate 3/@20/H11_03.tif "/>
    <s v=" 56583.8043 "/>
    <s v=" 43.4679 "/>
    <x v="0"/>
    <n v="2459579"/>
    <m/>
    <m/>
    <m/>
  </r>
  <r>
    <x v="1"/>
    <x v="8"/>
    <s v=" "/>
    <m/>
    <m/>
    <x v="1"/>
    <m/>
    <m/>
    <m/>
    <m/>
  </r>
  <r>
    <x v="1"/>
    <x v="8"/>
    <s v="group "/>
    <s v=" "/>
    <s v=" mean of mean fluo "/>
    <x v="2"/>
    <s v=" mean of total fluo "/>
    <s v=" SD total fluo "/>
    <s v=" n fluorescent "/>
    <m/>
  </r>
  <r>
    <x v="18"/>
    <x v="9"/>
    <s v="C:\Users\cbarrier\Desktop\BPA\BPA\20201118_Cefas_Test6-Run3/Plate 3/@20/ "/>
    <s v=" "/>
    <s v=" 48.7559 "/>
    <x v="20"/>
    <s v=" 3389870.54 "/>
    <s v=" 1435815.88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cbarrier\Desktop\BPA\BPA\20201118_Cefas_Test6-Run3/Plate 3/@21/A12_01.tif "/>
    <s v=" 49618.9783 "/>
    <s v=" 43.5279 "/>
    <x v="0"/>
    <n v="2159810"/>
    <m/>
    <m/>
    <m/>
  </r>
  <r>
    <x v="19"/>
    <x v="0"/>
    <s v="C:\Users\cbarrier\Desktop\BPA\BPA\20201118_Cefas_Test6-Run3/Plate 3/@21/A12_02.tif "/>
    <s v=" 53014.8717 "/>
    <s v=" 45.2942 "/>
    <x v="0"/>
    <n v="2401264"/>
    <m/>
    <m/>
    <m/>
  </r>
  <r>
    <x v="19"/>
    <x v="0"/>
    <s v="C:\Users\cbarrier\Desktop\BPA\BPA\20201118_Cefas_Test6-Run3/Plate 3/@21/A12_03.tif "/>
    <s v=" 50938.4019 "/>
    <s v=" 46.8352 "/>
    <x v="0"/>
    <n v="2385712"/>
    <m/>
    <m/>
    <m/>
  </r>
  <r>
    <x v="19"/>
    <x v="1"/>
    <s v="C:\Users\cbarrier\Desktop\BPA\BPA\20201118_Cefas_Test6-Run3/Plate 3/@21/B12_01.tif "/>
    <s v=" 71832.8801 "/>
    <s v=" 54.7964 "/>
    <x v="0"/>
    <n v="3936187"/>
    <m/>
    <m/>
    <m/>
  </r>
  <r>
    <x v="19"/>
    <x v="1"/>
    <s v="C:\Users\cbarrier\Desktop\BPA\BPA\20201118_Cefas_Test6-Run3/Plate 3/@21/B12_02.tif "/>
    <s v=" 69410.3319 "/>
    <s v=" 47.3546 "/>
    <x v="0"/>
    <n v="3286900"/>
    <m/>
    <m/>
    <m/>
  </r>
  <r>
    <x v="19"/>
    <x v="1"/>
    <s v="C:\Users\cbarrier\Desktop\BPA\BPA\20201118_Cefas_Test6-Run3/Plate 3/@21/B12_03.tif "/>
    <s v=" 67723.2001 "/>
    <s v=" 51.0156 "/>
    <x v="0"/>
    <n v="3454943"/>
    <m/>
    <m/>
    <m/>
  </r>
  <r>
    <x v="19"/>
    <x v="2"/>
    <s v="C:\Users\cbarrier\Desktop\BPA\BPA\20201118_Cefas_Test6-Run3/Plate 3/@21/C12_01.tif "/>
    <s v=" 82691.0872 "/>
    <s v=" 52.1407 "/>
    <x v="0"/>
    <n v="4311573"/>
    <m/>
    <m/>
    <m/>
  </r>
  <r>
    <x v="19"/>
    <x v="2"/>
    <s v="C:\Users\cbarrier\Desktop\BPA\BPA\20201118_Cefas_Test6-Run3/Plate 3/@21/C12_02.tif "/>
    <s v=" 84486.3684 "/>
    <s v=" 49.8989 "/>
    <x v="0"/>
    <n v="4215775"/>
    <m/>
    <m/>
    <m/>
  </r>
  <r>
    <x v="19"/>
    <x v="2"/>
    <s v="C:\Users\cbarrier\Desktop\BPA\BPA\20201118_Cefas_Test6-Run3/Plate 3/@21/C12_03.tif "/>
    <s v=" 83664.4324 "/>
    <s v=" 49.5318 "/>
    <x v="0"/>
    <n v="4144050"/>
    <m/>
    <m/>
    <m/>
  </r>
  <r>
    <x v="19"/>
    <x v="3"/>
    <s v="C:\Users\cbarrier\Desktop\BPA\BPA\20201118_Cefas_Test6-Run3/Plate 3/@21/D12_01.tif "/>
    <s v=" 71681.4708 "/>
    <s v=" 51.656 "/>
    <x v="0"/>
    <n v="3702778"/>
    <m/>
    <m/>
    <s v=" n total"/>
  </r>
  <r>
    <x v="19"/>
    <x v="3"/>
    <s v="C:\Users\cbarrier\Desktop\BPA\BPA\20201118_Cefas_Test6-Run3/Plate 3/@21/D12_02.tif "/>
    <s v=" 68934.4742 "/>
    <s v=" 52.1312 "/>
    <x v="0"/>
    <n v="3593634"/>
    <m/>
    <m/>
    <n v="24"/>
  </r>
  <r>
    <x v="19"/>
    <x v="3"/>
    <s v="C:\Users\cbarrier\Desktop\BPA\BPA\20201118_Cefas_Test6-Run3/Plate 3/@21/D12_03.tif "/>
    <s v=" 93549.2943 "/>
    <s v=" 48.4643 "/>
    <x v="0"/>
    <n v="4533799"/>
    <m/>
    <m/>
    <m/>
  </r>
  <r>
    <x v="19"/>
    <x v="4"/>
    <s v="C:\Users\cbarrier\Desktop\BPA\BPA\20201118_Cefas_Test6-Run3/Plate 3/@21/E12_01.tif "/>
    <s v=" 61104.4523 "/>
    <s v=" 53.6 "/>
    <x v="0"/>
    <n v="3275199"/>
    <m/>
    <m/>
    <m/>
  </r>
  <r>
    <x v="19"/>
    <x v="4"/>
    <s v="C:\Users\cbarrier\Desktop\BPA\BPA\20201118_Cefas_Test6-Run3/Plate 3/@21/E12_02- exclu.tif"/>
    <m/>
    <m/>
    <x v="1"/>
    <m/>
    <m/>
    <m/>
    <m/>
  </r>
  <r>
    <x v="19"/>
    <x v="4"/>
    <s v="C:\Users\cbarrier\Desktop\BPA\BPA\20201118_Cefas_Test6-Run3/Plate 3/@21/E12_03- exclu.tif"/>
    <m/>
    <m/>
    <x v="1"/>
    <m/>
    <m/>
    <m/>
    <m/>
  </r>
  <r>
    <x v="19"/>
    <x v="5"/>
    <s v="C:\Users\cbarrier\Desktop\BPA\BPA\20201118_Cefas_Test6-Run3/Plate 3/@21/F12_01.tif "/>
    <s v=" 51003.2915 "/>
    <s v=" 41.6832 "/>
    <x v="0"/>
    <n v="2125981"/>
    <m/>
    <m/>
    <m/>
  </r>
  <r>
    <x v="19"/>
    <x v="5"/>
    <s v="C:\Users\cbarrier\Desktop\BPA\BPA\20201118_Cefas_Test6-Run3/Plate 3/@21/F12_02.tif "/>
    <s v=" 46590.793 "/>
    <s v=" 40.4805 "/>
    <x v="0"/>
    <n v="1886019"/>
    <m/>
    <m/>
    <m/>
  </r>
  <r>
    <x v="19"/>
    <x v="5"/>
    <s v="C:\Users\cbarrier\Desktop\BPA\BPA\20201118_Cefas_Test6-Run3/Plate 3/@21/F12_03.tif "/>
    <s v=" 49208.0103 "/>
    <s v=" 42.2743 "/>
    <x v="0"/>
    <n v="2080233"/>
    <m/>
    <m/>
    <m/>
  </r>
  <r>
    <x v="19"/>
    <x v="6"/>
    <s v="C:\Users\cbarrier\Desktop\BPA\BPA\20201118_Cefas_Test6-Run3/Plate 3/@21/G12_01.tif "/>
    <s v=" 105553.886 "/>
    <s v=" 53.7488 "/>
    <x v="0"/>
    <n v="5673392"/>
    <m/>
    <m/>
    <m/>
  </r>
  <r>
    <x v="19"/>
    <x v="6"/>
    <s v="C:\Users\cbarrier\Desktop\BPA\BPA\20201118_Cefas_Test6-Run3/Plate 3/@21/G12_02.tif "/>
    <s v=" 102850.149 "/>
    <s v=" 56.7571 "/>
    <x v="0"/>
    <n v="5837476"/>
    <m/>
    <m/>
    <m/>
  </r>
  <r>
    <x v="19"/>
    <x v="6"/>
    <s v="C:\Users\cbarrier\Desktop\BPA\BPA\20201118_Cefas_Test6-Run3/Plate 3/@21/G12_03.tif "/>
    <s v=" 102417.551 "/>
    <s v=" 56.7599 "/>
    <x v="0"/>
    <n v="5813207"/>
    <m/>
    <m/>
    <m/>
  </r>
  <r>
    <x v="19"/>
    <x v="7"/>
    <s v="C:\Users\cbarrier\Desktop\BPA\BPA\20201118_Cefas_Test6-Run3/Plate 3/@21/H12_01.tif "/>
    <s v=" 42481.1131 "/>
    <s v=" 39.6461 "/>
    <x v="0"/>
    <n v="1684212"/>
    <m/>
    <m/>
    <m/>
  </r>
  <r>
    <x v="19"/>
    <x v="7"/>
    <s v="C:\Users\cbarrier\Desktop\BPA\BPA\20201118_Cefas_Test6-Run3/Plate 3/@21/H12_02.tif "/>
    <s v=" 42697.412 "/>
    <s v=" 40.2371 "/>
    <x v="0"/>
    <n v="1718019"/>
    <m/>
    <m/>
    <m/>
  </r>
  <r>
    <x v="19"/>
    <x v="7"/>
    <s v="C:\Users\cbarrier\Desktop\BPA\BPA\20201118_Cefas_Test6-Run3/Plate 3/@21/H12_03.tif "/>
    <s v=" 44146.6149 "/>
    <s v=" 42.4243 "/>
    <x v="0"/>
    <n v="1872889"/>
    <m/>
    <m/>
    <m/>
  </r>
  <r>
    <x v="1"/>
    <x v="8"/>
    <s v=" "/>
    <m/>
    <m/>
    <x v="1"/>
    <m/>
    <m/>
    <m/>
    <m/>
  </r>
  <r>
    <x v="1"/>
    <x v="8"/>
    <s v="group "/>
    <s v=" "/>
    <s v=" mean of mean fluo "/>
    <x v="2"/>
    <s v=" mean of total fluo "/>
    <s v=" SD total fluo "/>
    <s v=" n fluorescent "/>
    <m/>
  </r>
  <r>
    <x v="19"/>
    <x v="9"/>
    <s v="C:\Users\cbarrier\Desktop\BPA\BPA\20201118_Cefas_Test6-Run3/Plate 3/@21/ "/>
    <s v=" "/>
    <s v=" 46.8834 "/>
    <x v="21"/>
    <s v=" 3099492.67 "/>
    <s v=" 1574798.99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cbarrier\Desktop\BPA\BPA\20201118_Cefas_Test6-Run3/Plate 3/@8/A2_01.tif "/>
    <n v="0"/>
    <n v="0"/>
    <x v="0"/>
    <n v="0"/>
    <m/>
    <m/>
    <m/>
  </r>
  <r>
    <x v="20"/>
    <x v="0"/>
    <s v="C:\Users\cbarrier\Desktop\BPA\BPA\20201118_Cefas_Test6-Run3/Plate 3/@8/A2_02.tif "/>
    <s v=" 7786.7621 "/>
    <s v=" 35.2222 "/>
    <x v="0"/>
    <n v="274267"/>
    <m/>
    <m/>
    <m/>
  </r>
  <r>
    <x v="20"/>
    <x v="0"/>
    <s v="C:\Users\cbarrier\Desktop\BPA\BPA\20201118_Cefas_Test6-Run3/Plate 3/@8/A2_03.tif "/>
    <s v=" 9755.0825 "/>
    <s v=" 39.1885 "/>
    <x v="0"/>
    <n v="382287"/>
    <m/>
    <m/>
    <m/>
  </r>
  <r>
    <x v="20"/>
    <x v="1"/>
    <s v="C:\Users\cbarrier\Desktop\BPA\BPA\20201118_Cefas_Test6-Run3/Plate 3/@8/B2_01.tif "/>
    <s v=" 4347.6088 "/>
    <s v=" 34.6866 "/>
    <x v="0"/>
    <n v="150804"/>
    <m/>
    <m/>
    <m/>
  </r>
  <r>
    <x v="20"/>
    <x v="1"/>
    <s v="C:\Users\cbarrier\Desktop\BPA\BPA\20201118_Cefas_Test6-Run3/Plate 3/@8/B2_02.tif "/>
    <s v=" 3049.8151 "/>
    <s v=" 33.844 "/>
    <x v="0"/>
    <n v="103218"/>
    <m/>
    <m/>
    <m/>
  </r>
  <r>
    <x v="20"/>
    <x v="1"/>
    <s v="C:\Users\cbarrier\Desktop\BPA\BPA\20201118_Cefas_Test6-Run3/Plate 3/@8/B2_03.tif "/>
    <s v=" 1816.9111 "/>
    <s v=" 33.8452 "/>
    <x v="0"/>
    <n v="61494"/>
    <m/>
    <m/>
    <m/>
  </r>
  <r>
    <x v="20"/>
    <x v="2"/>
    <s v="C:\Users\cbarrier\Desktop\BPA\BPA\20201118_Cefas_Test6-Run3/Plate 3/@8/C2_01.tif "/>
    <s v=" 5039.7654 "/>
    <s v=" 42.4077 "/>
    <x v="0"/>
    <n v="213725"/>
    <m/>
    <m/>
    <m/>
  </r>
  <r>
    <x v="20"/>
    <x v="2"/>
    <s v="C:\Users\cbarrier\Desktop\BPA\BPA\20201118_Cefas_Test6-Run3/Plate 3/@8/C2_02.tif "/>
    <s v=" 7721.8724 "/>
    <s v=" 42.0196 "/>
    <x v="0"/>
    <n v="324470"/>
    <m/>
    <m/>
    <m/>
  </r>
  <r>
    <x v="20"/>
    <x v="2"/>
    <s v="C:\Users\cbarrier\Desktop\BPA\BPA\20201118_Cefas_Test6-Run3/Plate 3/@8/C2_03.tif "/>
    <s v=" 4628.7975 "/>
    <s v=" 37.4953 "/>
    <x v="0"/>
    <n v="173558"/>
    <m/>
    <m/>
    <m/>
  </r>
  <r>
    <x v="20"/>
    <x v="3"/>
    <s v="C:\Users\cbarrier\Desktop\BPA\BPA\20201118_Cefas_Test6-Run3/Plate 3/@8/D2_01.tif "/>
    <s v=" 7916.5414 "/>
    <s v=" 41.847 "/>
    <x v="0"/>
    <n v="331283"/>
    <m/>
    <m/>
    <s v=" n total"/>
  </r>
  <r>
    <x v="20"/>
    <x v="3"/>
    <s v="C:\Users\cbarrier\Desktop\BPA\BPA\20201118_Cefas_Test6-Run3/Plate 3/@8/D2_02.tif "/>
    <s v=" 4304.349 "/>
    <s v=" 35.4874 "/>
    <x v="0"/>
    <n v="152750"/>
    <m/>
    <m/>
    <n v="24"/>
  </r>
  <r>
    <x v="20"/>
    <x v="3"/>
    <s v="C:\Users\cbarrier\Desktop\BPA\BPA\20201118_Cefas_Test6-Run3/Plate 3/@8/D2_03.tif "/>
    <s v=" 4628.7975 "/>
    <s v=" 38.0467 "/>
    <x v="0"/>
    <n v="176111"/>
    <m/>
    <m/>
    <m/>
  </r>
  <r>
    <x v="20"/>
    <x v="4"/>
    <s v="C:\Users\cbarrier\Desktop\BPA\BPA\20201118_Cefas_Test6-Run3/Plate 3/@8/E2_01.tif "/>
    <s v=" 6359.189 "/>
    <s v=" 34.2959 "/>
    <x v="0"/>
    <n v="218094"/>
    <m/>
    <m/>
    <m/>
  </r>
  <r>
    <x v="20"/>
    <x v="4"/>
    <s v="C:\Users\cbarrier\Desktop\BPA\BPA\20201118_Cefas_Test6-Run3/Plate 3/@8/E2_02.tif "/>
    <s v=" 2206.2493 "/>
    <s v=" 32.8529 "/>
    <x v="0"/>
    <n v="72482"/>
    <m/>
    <m/>
    <m/>
  </r>
  <r>
    <x v="20"/>
    <x v="4"/>
    <s v="C:\Users\cbarrier\Desktop\BPA\BPA\20201118_Cefas_Test6-Run3/Plate 3/@8/E2_03.tif "/>
    <s v=" 4261.0892 "/>
    <s v=" 35.0914 "/>
    <x v="0"/>
    <n v="149527"/>
    <m/>
    <m/>
    <m/>
  </r>
  <r>
    <x v="20"/>
    <x v="5"/>
    <s v="C:\Users\cbarrier\Desktop\BPA\BPA\20201118_Cefas_Test6-Run3/Plate 3/@8/F2_01.tif "/>
    <s v=" 2141.3596 "/>
    <s v=" 33.2727 "/>
    <x v="0"/>
    <n v="71249"/>
    <m/>
    <m/>
    <m/>
  </r>
  <r>
    <x v="20"/>
    <x v="5"/>
    <s v="C:\Users\cbarrier\Desktop\BPA\BPA\20201118_Cefas_Test6-Run3/Plate 3/@8/F2_02.tif "/>
    <s v=" 1362.6834 "/>
    <s v=" 33.4921 "/>
    <x v="0"/>
    <n v="45639"/>
    <m/>
    <m/>
    <m/>
  </r>
  <r>
    <x v="20"/>
    <x v="5"/>
    <s v="C:\Users\cbarrier\Desktop\BPA\BPA\20201118_Cefas_Test6-Run3/Plate 3/@8/F2_03.tif "/>
    <s v=" 2422.5482 "/>
    <s v=" 35.3036 "/>
    <x v="0"/>
    <n v="85525"/>
    <m/>
    <m/>
    <m/>
  </r>
  <r>
    <x v="20"/>
    <x v="6"/>
    <s v="C:\Users\cbarrier\Desktop\BPA\BPA\20201118_Cefas_Test6-Run3/Plate 3/@8/G2_01.tif "/>
    <s v=" 8803.3671 "/>
    <s v=" 36.6143 "/>
    <x v="0"/>
    <n v="322329"/>
    <m/>
    <m/>
    <m/>
  </r>
  <r>
    <x v="20"/>
    <x v="6"/>
    <s v="C:\Users\cbarrier\Desktop\BPA\BPA\20201118_Cefas_Test6-Run3/Plate 3/@8/G2_02.tif "/>
    <s v=" 6662.0075 "/>
    <s v=" 34.1396 "/>
    <x v="0"/>
    <n v="227438"/>
    <m/>
    <m/>
    <m/>
  </r>
  <r>
    <x v="20"/>
    <x v="6"/>
    <s v="C:\Users\cbarrier\Desktop\BPA\BPA\20201118_Cefas_Test6-Run3/Plate 3/@8/G2_03.tif "/>
    <s v=" 4347.6088 "/>
    <s v=" 37.4428 "/>
    <x v="0"/>
    <n v="162787"/>
    <m/>
    <m/>
    <m/>
  </r>
  <r>
    <x v="20"/>
    <x v="7"/>
    <s v="C:\Users\cbarrier\Desktop\BPA\BPA\20201118_Cefas_Test6-Run3/Plate 3/@8/H2_01.tif "/>
    <s v=" 10295.8298 "/>
    <s v=" 47.6471 "/>
    <x v="0"/>
    <n v="490566"/>
    <m/>
    <m/>
    <m/>
  </r>
  <r>
    <x v="20"/>
    <x v="7"/>
    <s v="C:\Users\cbarrier\Desktop\BPA\BPA\20201118_Cefas_Test6-Run3/Plate 3/@8/H2_02.tif "/>
    <s v=" 7375.7941 "/>
    <s v=" 41.2991 "/>
    <x v="0"/>
    <n v="304614"/>
    <m/>
    <m/>
    <m/>
  </r>
  <r>
    <x v="20"/>
    <x v="7"/>
    <s v="C:\Users\cbarrier\Desktop\BPA\BPA\20201118_Cefas_Test6-Run3/Plate 3/@8/H2_03.tif "/>
    <s v=" 5775.1819 "/>
    <s v=" 39.6966 "/>
    <x v="0"/>
    <n v="229255"/>
    <m/>
    <m/>
    <m/>
  </r>
  <r>
    <x v="1"/>
    <x v="8"/>
    <s v=" "/>
    <m/>
    <m/>
    <x v="1"/>
    <m/>
    <m/>
    <m/>
    <m/>
  </r>
  <r>
    <x v="1"/>
    <x v="8"/>
    <s v="group "/>
    <s v=" "/>
    <s v=" mean of mean fluo "/>
    <x v="2"/>
    <s v=" mean of total fluo "/>
    <s v=" SD total fluo "/>
    <s v=" n fluorescent "/>
    <m/>
  </r>
  <r>
    <x v="20"/>
    <x v="9"/>
    <s v="C:\Users\cbarrier\Desktop\BPA\BPA\20201118_Cefas_Test6-Run3/Plate 3/@8/ "/>
    <s v=" "/>
    <s v=" 35.6349 "/>
    <x v="22"/>
    <s v=" 196811.333 "/>
    <s v=" 120120.381 "/>
    <n v="23"/>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cbarrier\Desktop\BPA\BPA\20201118_Cefas_Test6-Run3/Plate 3/@9/A3_01.tif "/>
    <s v=" 3698.712 "/>
    <s v=" 36.2047 "/>
    <x v="0"/>
    <n v="133911"/>
    <m/>
    <m/>
    <m/>
  </r>
  <r>
    <x v="21"/>
    <x v="0"/>
    <s v="C:\Users\cbarrier\Desktop\BPA\BPA\20201118_Cefas_Test6-Run3/Plate 3/@9/A3_02.tif "/>
    <s v=" 3677.0821 "/>
    <s v=" 36.0529 "/>
    <x v="0"/>
    <n v="132570"/>
    <m/>
    <m/>
    <m/>
  </r>
  <r>
    <x v="21"/>
    <x v="0"/>
    <s v="C:\Users\cbarrier\Desktop\BPA\BPA\20201118_Cefas_Test6-Run3/Plate 3/@9/A3_03.tif "/>
    <s v=" 259.5587 "/>
    <s v=" 31.9167 "/>
    <x v="0"/>
    <n v="8284"/>
    <m/>
    <m/>
    <m/>
  </r>
  <r>
    <x v="21"/>
    <x v="1"/>
    <s v="C:\Users\cbarrier\Desktop\BPA\BPA\20201118_Cefas_Test6-Run3/Plate 3/@9/B3_01.tif "/>
    <s v=" 3590.5625 "/>
    <s v=" 35.5301 "/>
    <x v="0"/>
    <n v="127573"/>
    <m/>
    <m/>
    <m/>
  </r>
  <r>
    <x v="21"/>
    <x v="1"/>
    <s v="C:\Users\cbarrier\Desktop\BPA\BPA\20201118_Cefas_Test6-Run3/Plate 3/@9/B3_02.tif "/>
    <s v=" 4758.5768 "/>
    <s v=" 35.4136 "/>
    <x v="0"/>
    <n v="168519"/>
    <m/>
    <m/>
    <m/>
  </r>
  <r>
    <x v="21"/>
    <x v="1"/>
    <s v="C:\Users\cbarrier\Desktop\BPA\BPA\20201118_Cefas_Test6-Run3/Plate 3/@9/B3_03.tif "/>
    <s v=" 3049.8151 "/>
    <s v=" 35.3475 "/>
    <x v="0"/>
    <n v="107803"/>
    <m/>
    <m/>
    <m/>
  </r>
  <r>
    <x v="21"/>
    <x v="2"/>
    <s v="C:\Users\cbarrier\Desktop\BPA\BPA\20201118_Cefas_Test6-Run3/Plate 3/@9/C3_01.tif "/>
    <n v="0"/>
    <n v="0"/>
    <x v="0"/>
    <n v="0"/>
    <m/>
    <m/>
    <m/>
  </r>
  <r>
    <x v="21"/>
    <x v="2"/>
    <s v="C:\Users\cbarrier\Desktop\BPA\BPA\20201118_Cefas_Test6-Run3/Plate 3/@9/C3_02.tif "/>
    <s v=" 1362.6834 "/>
    <s v=" 33.0159 "/>
    <x v="0"/>
    <n v="44990"/>
    <m/>
    <m/>
    <m/>
  </r>
  <r>
    <x v="21"/>
    <x v="2"/>
    <s v="C:\Users\cbarrier\Desktop\BPA\BPA\20201118_Cefas_Test6-Run3/Plate 3/@9/C3_03.tif "/>
    <s v=" 281.1886 "/>
    <s v=" 31.9231 "/>
    <x v="0"/>
    <n v="8976"/>
    <m/>
    <m/>
    <m/>
  </r>
  <r>
    <x v="21"/>
    <x v="3"/>
    <s v="C:\Users\cbarrier\Desktop\BPA\BPA\20201118_Cefas_Test6-Run3/Plate 3/@9/D3_01.tif "/>
    <s v=" 4196.1996 "/>
    <s v=" 33.6959 "/>
    <x v="0"/>
    <n v="141395"/>
    <m/>
    <m/>
    <s v=" n total"/>
  </r>
  <r>
    <x v="21"/>
    <x v="3"/>
    <s v="C:\Users\cbarrier\Desktop\BPA\BPA\20201118_Cefas_Test6-Run3/Plate 3/@9/D3_02.tif "/>
    <s v=" 6683.6374 "/>
    <s v=" 36.343 "/>
    <x v="0"/>
    <n v="242904"/>
    <m/>
    <m/>
    <n v="24"/>
  </r>
  <r>
    <x v="21"/>
    <x v="3"/>
    <s v="C:\Users\cbarrier\Desktop\BPA\BPA\20201118_Cefas_Test6-Run3/Plate 3/@9/D3_03.tif "/>
    <s v=" 2855.1461 "/>
    <s v=" 36.0833 "/>
    <x v="0"/>
    <n v="103023"/>
    <m/>
    <m/>
    <m/>
  </r>
  <r>
    <x v="21"/>
    <x v="4"/>
    <s v="C:\Users\cbarrier\Desktop\BPA\BPA\20201118_Cefas_Test6-Run3/Plate 3/@9/E3_01.tif "/>
    <s v=" 6272.6694 "/>
    <s v=" 37.2759 "/>
    <x v="0"/>
    <n v="233819"/>
    <m/>
    <m/>
    <m/>
  </r>
  <r>
    <x v="21"/>
    <x v="4"/>
    <s v="C:\Users\cbarrier\Desktop\BPA\BPA\20201118_Cefas_Test6-Run3/Plate 3/@9/E3_02.tif "/>
    <s v=" 3958.2707 "/>
    <s v=" 36.4699 "/>
    <x v="0"/>
    <n v="144358"/>
    <m/>
    <m/>
    <m/>
  </r>
  <r>
    <x v="21"/>
    <x v="4"/>
    <s v="C:\Users\cbarrier\Desktop\BPA\BPA\20201118_Cefas_Test6-Run3/Plate 3/@9/E3_03.tif "/>
    <s v=" 3222.8543 "/>
    <s v=" 38.8658 "/>
    <x v="0"/>
    <n v="125259"/>
    <m/>
    <m/>
    <m/>
  </r>
  <r>
    <x v="21"/>
    <x v="5"/>
    <s v="C:\Users\cbarrier\Desktop\BPA\BPA\20201118_Cefas_Test6-Run3/Plate 3/@9/F3_01.tif "/>
    <s v=" 3201.2244 "/>
    <s v=" 33.6351 "/>
    <x v="0"/>
    <n v="107674"/>
    <m/>
    <m/>
    <m/>
  </r>
  <r>
    <x v="21"/>
    <x v="5"/>
    <s v="C:\Users\cbarrier\Desktop\BPA\BPA\20201118_Cefas_Test6-Run3/Plate 3/@9/F3_02.tif "/>
    <s v=" 1124.7545 "/>
    <s v=" 31.25 "/>
    <x v="0"/>
    <n v="35149"/>
    <m/>
    <m/>
    <m/>
  </r>
  <r>
    <x v="21"/>
    <x v="5"/>
    <s v="C:\Users\cbarrier\Desktop\BPA\BPA\20201118_Cefas_Test6-Run3/Plate 3/@9/F3_03.tif "/>
    <s v=" 21.6299 "/>
    <n v="30"/>
    <x v="0"/>
    <n v="649"/>
    <m/>
    <m/>
    <m/>
  </r>
  <r>
    <x v="21"/>
    <x v="6"/>
    <s v="C:\Users\cbarrier\Desktop\BPA\BPA\20201118_Cefas_Test6-Run3/Plate 3/@9/G3_01.tif "/>
    <s v=" 6056.3705 "/>
    <s v=" 39.1429 "/>
    <x v="0"/>
    <n v="237064"/>
    <m/>
    <m/>
    <m/>
  </r>
  <r>
    <x v="21"/>
    <x v="6"/>
    <s v="C:\Users\cbarrier\Desktop\BPA\BPA\20201118_Cefas_Test6-Run3/Plate 3/@9/G3_02.tif "/>
    <s v=" 5753.552 "/>
    <s v=" 36.9135 "/>
    <x v="0"/>
    <n v="212384"/>
    <m/>
    <m/>
    <m/>
  </r>
  <r>
    <x v="21"/>
    <x v="6"/>
    <s v="C:\Users\cbarrier\Desktop\BPA\BPA\20201118_Cefas_Test6-Run3/Plate 3/@9/G3_03.tif "/>
    <s v=" 6013.1107 "/>
    <s v=" 39.8597 "/>
    <x v="0"/>
    <n v="239681"/>
    <m/>
    <m/>
    <m/>
  </r>
  <r>
    <x v="21"/>
    <x v="7"/>
    <s v="C:\Users\cbarrier\Desktop\BPA\BPA\20201118_Cefas_Test6-Run3/Plate 3/@9/H3_01.tif "/>
    <s v=" 7397.424 "/>
    <s v=" 40.4737 "/>
    <x v="0"/>
    <n v="299401"/>
    <m/>
    <m/>
    <m/>
  </r>
  <r>
    <x v="21"/>
    <x v="7"/>
    <s v="C:\Users\cbarrier\Desktop\BPA\BPA\20201118_Cefas_Test6-Run3/Plate 3/@9/H3_02.tif "/>
    <s v=" 108.1495 "/>
    <s v=" 33.2 "/>
    <x v="0"/>
    <n v="3591"/>
    <m/>
    <m/>
    <m/>
  </r>
  <r>
    <x v="21"/>
    <x v="7"/>
    <s v="C:\Users\cbarrier\Desktop\BPA\BPA\20201118_Cefas_Test6-Run3/Plate 3/@9/H3_03.tif "/>
    <s v=" 6813.4168 "/>
    <s v=" 40.4032 "/>
    <x v="0"/>
    <n v="275284"/>
    <m/>
    <m/>
    <m/>
  </r>
  <r>
    <x v="1"/>
    <x v="8"/>
    <s v=" "/>
    <m/>
    <m/>
    <x v="1"/>
    <m/>
    <m/>
    <m/>
    <m/>
  </r>
  <r>
    <x v="1"/>
    <x v="8"/>
    <s v="group "/>
    <s v=" "/>
    <s v=" mean of mean fluo "/>
    <x v="2"/>
    <s v=" mean of total fluo "/>
    <s v=" SD total fluo "/>
    <s v=" n fluorescent "/>
    <m/>
  </r>
  <r>
    <x v="21"/>
    <x v="9"/>
    <s v="C:\Users\cbarrier\Desktop\BPA\BPA\20201118_Cefas_Test6-Run3/Plate 3/@9/ "/>
    <s v=" "/>
    <s v=" 34.1257 "/>
    <x v="23"/>
    <s v=" 130594.208 "/>
    <s v=" 93828.2256 "/>
    <n v="23"/>
    <m/>
  </r>
  <r>
    <x v="20"/>
    <x v="3"/>
    <s v="C:\Users\andre\Desktop\REACTIV CEFAS\BPA\BPA/20201118_Cefas_Test6-Run3/Plate 3/@8/D2_02.tif "/>
    <s v=" 4304.349 "/>
    <s v=" 35.4874 "/>
    <x v="0"/>
    <n v="152750"/>
    <m/>
    <m/>
    <m/>
  </r>
  <r>
    <x v="20"/>
    <x v="3"/>
    <s v="C:\Users\andre\Desktop\REACTIV CEFAS\BPA\BPA/20201118_Cefas_Test6-Run3/Plate 3/@8/D2_03.tif "/>
    <s v=" 4628.7975 "/>
    <s v=" 38.0467 "/>
    <x v="0"/>
    <n v="176111"/>
    <m/>
    <m/>
    <m/>
  </r>
  <r>
    <x v="20"/>
    <x v="4"/>
    <s v="C:\Users\andre\Desktop\REACTIV CEFAS\BPA\BPA/20201118_Cefas_Test6-Run3/Plate 3/@8/E2_01.tif "/>
    <s v=" 6359.189 "/>
    <s v=" 34.2959 "/>
    <x v="0"/>
    <n v="218094"/>
    <m/>
    <m/>
    <m/>
  </r>
  <r>
    <x v="20"/>
    <x v="4"/>
    <s v="C:\Users\andre\Desktop\REACTIV CEFAS\BPA\BPA/20201118_Cefas_Test6-Run3/Plate 3/@8/E2_02.tif "/>
    <s v=" 2206.2493 "/>
    <s v=" 32.8529 "/>
    <x v="0"/>
    <n v="72482"/>
    <m/>
    <m/>
    <m/>
  </r>
  <r>
    <x v="20"/>
    <x v="4"/>
    <s v="C:\Users\andre\Desktop\REACTIV CEFAS\BPA\BPA/20201118_Cefas_Test6-Run3/Plate 3/@8/E2_03.tif "/>
    <s v=" 4261.0892 "/>
    <s v=" 35.0914 "/>
    <x v="0"/>
    <n v="149527"/>
    <m/>
    <m/>
    <m/>
  </r>
  <r>
    <x v="20"/>
    <x v="5"/>
    <s v="C:\Users\andre\Desktop\REACTIV CEFAS\BPA\BPA/20201118_Cefas_Test6-Run3/Plate 3/@8/F2_01.tif "/>
    <s v=" 2141.3596 "/>
    <s v=" 33.2727 "/>
    <x v="0"/>
    <n v="71249"/>
    <m/>
    <m/>
    <m/>
  </r>
  <r>
    <x v="20"/>
    <x v="5"/>
    <s v="C:\Users\andre\Desktop\REACTIV CEFAS\BPA\BPA/20201118_Cefas_Test6-Run3/Plate 3/@8/F2_02.tif "/>
    <s v=" 1362.6834 "/>
    <s v=" 33.4921 "/>
    <x v="0"/>
    <n v="45639"/>
    <m/>
    <m/>
    <m/>
  </r>
  <r>
    <x v="20"/>
    <x v="5"/>
    <s v="C:\Users\andre\Desktop\REACTIV CEFAS\BPA\BPA/20201118_Cefas_Test6-Run3/Plate 3/@8/F2_03.tif "/>
    <s v=" 2422.5482 "/>
    <s v=" 35.3036 "/>
    <x v="0"/>
    <n v="85525"/>
    <m/>
    <m/>
    <m/>
  </r>
  <r>
    <x v="20"/>
    <x v="6"/>
    <s v="C:\Users\andre\Desktop\REACTIV CEFAS\BPA\BPA/20201118_Cefas_Test6-Run3/Plate 3/@8/G2_01.tif "/>
    <s v=" 8803.3671 "/>
    <s v=" 36.6143 "/>
    <x v="0"/>
    <n v="322329"/>
    <m/>
    <m/>
    <m/>
  </r>
  <r>
    <x v="20"/>
    <x v="6"/>
    <s v="C:\Users\andre\Desktop\REACTIV CEFAS\BPA\BPA/20201118_Cefas_Test6-Run3/Plate 3/@8/G2_02.tif "/>
    <s v=" 6662.0075 "/>
    <s v=" 34.1396 "/>
    <x v="0"/>
    <n v="227438"/>
    <m/>
    <m/>
    <m/>
  </r>
  <r>
    <x v="20"/>
    <x v="6"/>
    <s v="C:\Users\andre\Desktop\REACTIV CEFAS\BPA\BPA/20201118_Cefas_Test6-Run3/Plate 3/@8/G2_03.tif "/>
    <s v=" 4347.6088 "/>
    <s v=" 37.4428 "/>
    <x v="0"/>
    <n v="162787"/>
    <m/>
    <m/>
    <m/>
  </r>
  <r>
    <x v="20"/>
    <x v="7"/>
    <s v="C:\Users\andre\Desktop\REACTIV CEFAS\BPA\BPA/20201118_Cefas_Test6-Run3/Plate 3/@8/H2_01.tif "/>
    <s v=" 10295.8298 "/>
    <s v=" 47.6471 "/>
    <x v="0"/>
    <n v="490566"/>
    <m/>
    <m/>
    <m/>
  </r>
  <r>
    <x v="20"/>
    <x v="7"/>
    <s v="C:\Users\andre\Desktop\REACTIV CEFAS\BPA\BPA/20201118_Cefas_Test6-Run3/Plate 3/@8/H2_02.tif "/>
    <s v=" 7375.7941 "/>
    <s v=" 41.2991 "/>
    <x v="0"/>
    <n v="304614"/>
    <m/>
    <m/>
    <m/>
  </r>
  <r>
    <x v="20"/>
    <x v="7"/>
    <s v="C:\Users\andre\Desktop\REACTIV CEFAS\BPA\BPA/20201118_Cefas_Test6-Run3/Plate 3/@8/H2_03.tif "/>
    <s v=" 5775.1819 "/>
    <s v=" 39.6966 "/>
    <x v="0"/>
    <n v="229255"/>
    <m/>
    <m/>
    <m/>
  </r>
  <r>
    <x v="1"/>
    <x v="8"/>
    <s v=" "/>
    <m/>
    <m/>
    <x v="1"/>
    <m/>
    <m/>
    <m/>
    <m/>
  </r>
  <r>
    <x v="1"/>
    <x v="8"/>
    <s v="group "/>
    <s v=" "/>
    <s v=" mean of mean fluo "/>
    <x v="2"/>
    <s v=" mean of total fluo "/>
    <s v=" SD total fluo "/>
    <s v=" n fluorescent "/>
    <s v=" n total"/>
  </r>
  <r>
    <x v="20"/>
    <x v="9"/>
    <s v="C:\Users\andre\Desktop\REACTIV CEFAS\BPA\BPA/20201118_Cefas_Test6-Run3/Plate 3/@8/ "/>
    <s v=" "/>
    <s v=" 35.6349 "/>
    <x v="22"/>
    <s v=" 196811.333 "/>
    <s v=" 120120.381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BPA\BPA/20201118_Cefas_Test6-Run3/Plate 3/@9/A3_01.tif "/>
    <s v=" 3698.712 "/>
    <s v=" 36.2047 "/>
    <x v="0"/>
    <n v="133911"/>
    <m/>
    <m/>
    <m/>
  </r>
  <r>
    <x v="21"/>
    <x v="0"/>
    <s v="C:\Users\andre\Desktop\REACTIV CEFAS\BPA\BPA/20201118_Cefas_Test6-Run3/Plate 3/@9/A3_02.tif "/>
    <s v=" 3677.0821 "/>
    <s v=" 36.0529 "/>
    <x v="0"/>
    <n v="132570"/>
    <m/>
    <m/>
    <m/>
  </r>
  <r>
    <x v="21"/>
    <x v="0"/>
    <s v="C:\Users\andre\Desktop\REACTIV CEFAS\BPA\BPA/20201118_Cefas_Test6-Run3/Plate 3/@9/A3_03.tif "/>
    <s v=" 259.5587 "/>
    <s v=" 31.9167 "/>
    <x v="0"/>
    <n v="8284"/>
    <m/>
    <m/>
    <m/>
  </r>
  <r>
    <x v="21"/>
    <x v="1"/>
    <s v="C:\Users\andre\Desktop\REACTIV CEFAS\BPA\BPA/20201118_Cefas_Test6-Run3/Plate 3/@9/B3_01.tif "/>
    <s v=" 3590.5625 "/>
    <s v=" 35.5301 "/>
    <x v="0"/>
    <n v="127573"/>
    <m/>
    <m/>
    <m/>
  </r>
  <r>
    <x v="21"/>
    <x v="1"/>
    <s v="C:\Users\andre\Desktop\REACTIV CEFAS\BPA\BPA/20201118_Cefas_Test6-Run3/Plate 3/@9/B3_02.tif "/>
    <s v=" 4758.5768 "/>
    <s v=" 35.4136 "/>
    <x v="0"/>
    <n v="168519"/>
    <m/>
    <m/>
    <m/>
  </r>
  <r>
    <x v="21"/>
    <x v="1"/>
    <s v="C:\Users\andre\Desktop\REACTIV CEFAS\BPA\BPA/20201118_Cefas_Test6-Run3/Plate 3/@9/B3_03.tif "/>
    <s v=" 3049.8151 "/>
    <s v=" 35.3475 "/>
    <x v="0"/>
    <n v="107803"/>
    <m/>
    <m/>
    <m/>
  </r>
  <r>
    <x v="21"/>
    <x v="2"/>
    <s v="C:\Users\andre\Desktop\REACTIV CEFAS\BPA\BPA/20201118_Cefas_Test6-Run3/Plate 3/@9/C3_01.tif "/>
    <n v="0"/>
    <n v="0"/>
    <x v="0"/>
    <n v="0"/>
    <m/>
    <m/>
    <m/>
  </r>
  <r>
    <x v="21"/>
    <x v="2"/>
    <s v="C:\Users\andre\Desktop\REACTIV CEFAS\BPA\BPA/20201118_Cefas_Test6-Run3/Plate 3/@9/C3_02.tif "/>
    <s v=" 1362.6834 "/>
    <s v=" 33.0159 "/>
    <x v="0"/>
    <n v="44990"/>
    <m/>
    <m/>
    <m/>
  </r>
  <r>
    <x v="21"/>
    <x v="2"/>
    <s v="C:\Users\andre\Desktop\REACTIV CEFAS\BPA\BPA/20201118_Cefas_Test6-Run3/Plate 3/@9/C3_03.tif "/>
    <s v=" 281.1886 "/>
    <s v=" 31.9231 "/>
    <x v="0"/>
    <n v="8976"/>
    <m/>
    <m/>
    <m/>
  </r>
  <r>
    <x v="21"/>
    <x v="3"/>
    <s v="C:\Users\andre\Desktop\REACTIV CEFAS\BPA\BPA/20201118_Cefas_Test6-Run3/Plate 3/@9/D3_01.tif "/>
    <s v=" 4196.1996 "/>
    <s v=" 33.6959 "/>
    <x v="0"/>
    <n v="141395"/>
    <m/>
    <m/>
    <m/>
  </r>
  <r>
    <x v="21"/>
    <x v="3"/>
    <s v="C:\Users\andre\Desktop\REACTIV CEFAS\BPA\BPA/20201118_Cefas_Test6-Run3/Plate 3/@9/D3_02.tif "/>
    <s v=" 6683.6374 "/>
    <s v=" 36.343 "/>
    <x v="0"/>
    <n v="242904"/>
    <m/>
    <m/>
    <m/>
  </r>
  <r>
    <x v="21"/>
    <x v="3"/>
    <s v="C:\Users\andre\Desktop\REACTIV CEFAS\BPA\BPA/20201118_Cefas_Test6-Run3/Plate 3/@9/D3_03.tif "/>
    <s v=" 2855.1461 "/>
    <s v=" 36.0833 "/>
    <x v="0"/>
    <n v="103023"/>
    <m/>
    <m/>
    <m/>
  </r>
  <r>
    <x v="21"/>
    <x v="4"/>
    <s v="C:\Users\andre\Desktop\REACTIV CEFAS\BPA\BPA/20201118_Cefas_Test6-Run3/Plate 3/@9/E3_01.tif "/>
    <s v=" 6272.6694 "/>
    <s v=" 37.2759 "/>
    <x v="0"/>
    <n v="233819"/>
    <m/>
    <m/>
    <m/>
  </r>
  <r>
    <x v="21"/>
    <x v="4"/>
    <s v="C:\Users\andre\Desktop\REACTIV CEFAS\BPA\BPA/20201118_Cefas_Test6-Run3/Plate 3/@9/E3_02.tif "/>
    <s v=" 3958.2707 "/>
    <s v=" 36.4699 "/>
    <x v="0"/>
    <n v="144358"/>
    <m/>
    <m/>
    <m/>
  </r>
  <r>
    <x v="21"/>
    <x v="4"/>
    <s v="C:\Users\andre\Desktop\REACTIV CEFAS\BPA\BPA/20201118_Cefas_Test6-Run3/Plate 3/@9/E3_03.tif "/>
    <s v=" 3222.8543 "/>
    <s v=" 38.8658 "/>
    <x v="0"/>
    <n v="125259"/>
    <m/>
    <m/>
    <m/>
  </r>
  <r>
    <x v="21"/>
    <x v="5"/>
    <s v="C:\Users\andre\Desktop\REACTIV CEFAS\BPA\BPA/20201118_Cefas_Test6-Run3/Plate 3/@9/F3_01.tif "/>
    <s v=" 3201.2244 "/>
    <s v=" 33.6351 "/>
    <x v="0"/>
    <n v="107674"/>
    <m/>
    <m/>
    <m/>
  </r>
  <r>
    <x v="21"/>
    <x v="5"/>
    <s v="C:\Users\andre\Desktop\REACTIV CEFAS\BPA\BPA/20201118_Cefas_Test6-Run3/Plate 3/@9/F3_02.tif "/>
    <s v=" 1124.7545 "/>
    <s v=" 31.25 "/>
    <x v="0"/>
    <n v="35149"/>
    <m/>
    <m/>
    <m/>
  </r>
  <r>
    <x v="21"/>
    <x v="5"/>
    <s v="C:\Users\andre\Desktop\REACTIV CEFAS\BPA\BPA/20201118_Cefas_Test6-Run3/Plate 3/@9/F3_03.tif "/>
    <s v=" 21.6299 "/>
    <n v="30"/>
    <x v="0"/>
    <n v="649"/>
    <m/>
    <m/>
    <m/>
  </r>
  <r>
    <x v="21"/>
    <x v="6"/>
    <s v="C:\Users\andre\Desktop\REACTIV CEFAS\BPA\BPA/20201118_Cefas_Test6-Run3/Plate 3/@9/G3_01.tif "/>
    <s v=" 6056.3705 "/>
    <s v=" 39.1429 "/>
    <x v="0"/>
    <n v="237064"/>
    <m/>
    <m/>
    <m/>
  </r>
  <r>
    <x v="21"/>
    <x v="6"/>
    <s v="C:\Users\andre\Desktop\REACTIV CEFAS\BPA\BPA/20201118_Cefas_Test6-Run3/Plate 3/@9/G3_02.tif "/>
    <s v=" 5753.552 "/>
    <s v=" 36.9135 "/>
    <x v="0"/>
    <n v="212384"/>
    <m/>
    <m/>
    <m/>
  </r>
  <r>
    <x v="21"/>
    <x v="6"/>
    <s v="C:\Users\andre\Desktop\REACTIV CEFAS\BPA\BPA/20201118_Cefas_Test6-Run3/Plate 3/@9/G3_03.tif "/>
    <s v=" 6013.1107 "/>
    <s v=" 39.8597 "/>
    <x v="0"/>
    <n v="239681"/>
    <m/>
    <m/>
    <m/>
  </r>
  <r>
    <x v="21"/>
    <x v="7"/>
    <s v="C:\Users\andre\Desktop\REACTIV CEFAS\BPA\BPA/20201118_Cefas_Test6-Run3/Plate 3/@9/H3_01.tif "/>
    <s v=" 7397.424 "/>
    <s v=" 40.4737 "/>
    <x v="0"/>
    <n v="299401"/>
    <m/>
    <m/>
    <m/>
  </r>
  <r>
    <x v="21"/>
    <x v="7"/>
    <s v="C:\Users\andre\Desktop\REACTIV CEFAS\BPA\BPA/20201118_Cefas_Test6-Run3/Plate 3/@9/H3_02.tif "/>
    <s v=" 108.1495 "/>
    <s v=" 33.2 "/>
    <x v="0"/>
    <n v="3591"/>
    <m/>
    <m/>
    <m/>
  </r>
  <r>
    <x v="21"/>
    <x v="7"/>
    <s v="C:\Users\andre\Desktop\REACTIV CEFAS\BPA\BPA/20201118_Cefas_Test6-Run3/Plate 3/@9/H3_03.tif "/>
    <s v=" 6813.4168 "/>
    <s v=" 40.4032 "/>
    <x v="0"/>
    <n v="275284"/>
    <m/>
    <m/>
    <m/>
  </r>
  <r>
    <x v="1"/>
    <x v="8"/>
    <s v=" "/>
    <m/>
    <m/>
    <x v="1"/>
    <m/>
    <m/>
    <m/>
    <m/>
  </r>
  <r>
    <x v="1"/>
    <x v="8"/>
    <s v="group "/>
    <s v=" "/>
    <s v=" mean of mean fluo "/>
    <x v="2"/>
    <s v=" mean of total fluo "/>
    <s v=" SD total fluo "/>
    <s v=" n fluorescent "/>
    <s v=" n total"/>
  </r>
  <r>
    <x v="21"/>
    <x v="9"/>
    <s v="C:\Users\andre\Desktop\REACTIV CEFAS\BPA\BPA/20201118_Cefas_Test6-Run3/Plate 3/@9/ "/>
    <s v=" "/>
    <s v=" 34.1257 "/>
    <x v="23"/>
    <s v=" 130594.208 "/>
    <s v=" 93828.2256 "/>
    <n v="23"/>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C:\Users\cbarrier\Desktop\BPA\BPA\20201117_Cefas_Test6-Run2/Plate 1/@1/A10_01.tif "/>
    <s v=" 43.2598 "/>
    <s v=" 30.5 "/>
    <x v="0"/>
    <n v="1319"/>
    <m/>
    <m/>
    <m/>
  </r>
  <r>
    <x v="0"/>
    <x v="0"/>
    <s v="C:\Users\cbarrier\Desktop\BPA\BPA\20201117_Cefas_Test6-Run2/Plate 1/@1/A10_02.tif "/>
    <s v=" 1319.4236 "/>
    <s v=" 34.2459 "/>
    <x v="0"/>
    <n v="45185"/>
    <m/>
    <m/>
    <m/>
  </r>
  <r>
    <x v="0"/>
    <x v="0"/>
    <s v="C:\Users\cbarrier\Desktop\BPA\BPA\20201117_Cefas_Test6-Run2/Plate 1/@1/A10_03.tif "/>
    <n v="0"/>
    <n v="0"/>
    <x v="0"/>
    <n v="0"/>
    <m/>
    <m/>
    <m/>
  </r>
  <r>
    <x v="0"/>
    <x v="1"/>
    <s v="C:\Users\cbarrier\Desktop\BPA\BPA\20201117_Cefas_Test6-Run2/Plate 1/@1/B10_01.tif "/>
    <s v=" 670.5267 "/>
    <s v=" 33.1935 "/>
    <x v="0"/>
    <n v="22257"/>
    <m/>
    <m/>
    <m/>
  </r>
  <r>
    <x v="0"/>
    <x v="1"/>
    <s v="C:\Users\cbarrier\Desktop\BPA\BPA\20201117_Cefas_Test6-Run2/Plate 1/@1/B10_02.tif "/>
    <n v="0"/>
    <n v="0"/>
    <x v="0"/>
    <n v="0"/>
    <m/>
    <m/>
    <m/>
  </r>
  <r>
    <x v="0"/>
    <x v="1"/>
    <s v="C:\Users\cbarrier\Desktop\BPA\BPA\20201117_Cefas_Test6-Run2/Plate 1/@1/B10_03.tif "/>
    <s v=" 9928.1216 "/>
    <s v=" 42.427 "/>
    <x v="0"/>
    <n v="421221"/>
    <m/>
    <m/>
    <m/>
  </r>
  <r>
    <x v="0"/>
    <x v="2"/>
    <s v="C:\Users\cbarrier\Desktop\BPA\BPA\20201117_Cefas_Test6-Run2/Plate 1/@1/C10_01.tif "/>
    <s v=" 194.6691 "/>
    <s v=" 34.1111 "/>
    <x v="0"/>
    <n v="6640"/>
    <m/>
    <m/>
    <m/>
  </r>
  <r>
    <x v="0"/>
    <x v="2"/>
    <s v="C:\Users\cbarrier\Desktop\BPA\BPA\20201117_Cefas_Test6-Run2/Plate 1/@1/C10_02.tif "/>
    <s v=" 475.8577 "/>
    <s v=" 32.9091 "/>
    <x v="0"/>
    <n v="15660"/>
    <m/>
    <m/>
    <m/>
  </r>
  <r>
    <x v="0"/>
    <x v="2"/>
    <s v="C:\Users\cbarrier\Desktop\BPA\BPA\20201117_Cefas_Test6-Run2/Plate 1/@1/C10_03.tif "/>
    <s v=" 6683.6374 "/>
    <s v=" 38.0906 "/>
    <x v="0"/>
    <n v="254584"/>
    <m/>
    <m/>
    <m/>
  </r>
  <r>
    <x v="0"/>
    <x v="3"/>
    <s v="C:\Users\cbarrier\Desktop\BPA\BPA\20201117_Cefas_Test6-Run2/Plate 1/@1/D10_01.tif "/>
    <s v=" 4672.0572 "/>
    <s v=" 34.7917 "/>
    <x v="0"/>
    <n v="162549"/>
    <m/>
    <m/>
    <m/>
  </r>
  <r>
    <x v="0"/>
    <x v="3"/>
    <s v="C:\Users\cbarrier\Desktop\BPA\BPA\20201117_Cefas_Test6-Run2/Plate 1/@1/D10_02.tif "/>
    <s v=" 4217.8295 "/>
    <s v=" 34.0513 "/>
    <x v="0"/>
    <n v="143623"/>
    <m/>
    <m/>
    <m/>
  </r>
  <r>
    <x v="0"/>
    <x v="3"/>
    <s v="C:\Users\cbarrier\Desktop\BPA\BPA\20201117_Cefas_Test6-Run2/Plate 1/@1/D10_03.tif "/>
    <s v=" 4931.616 "/>
    <s v=" 36.9211 "/>
    <x v="0"/>
    <n v="182080"/>
    <m/>
    <m/>
    <m/>
  </r>
  <r>
    <x v="0"/>
    <x v="4"/>
    <s v="C:\Users\cbarrier\Desktop\BPA\BPA\20201117_Cefas_Test6-Run2/Plate 1/@1/E10_01.tif "/>
    <s v=" 3655.4522 "/>
    <s v=" 39.2959 "/>
    <x v="0"/>
    <n v="143644"/>
    <m/>
    <m/>
    <m/>
  </r>
  <r>
    <x v="0"/>
    <x v="4"/>
    <s v="C:\Users\cbarrier\Desktop\BPA\BPA\20201117_Cefas_Test6-Run2/Plate 1/@1/E10_02.tif "/>
    <s v=" 3677.0821 "/>
    <s v=" 36.8529 "/>
    <x v="0"/>
    <n v="135511"/>
    <m/>
    <m/>
    <m/>
  </r>
  <r>
    <x v="0"/>
    <x v="4"/>
    <s v="C:\Users\cbarrier\Desktop\BPA\BPA\20201117_Cefas_Test6-Run2/Plate 1/@1/E10_03.tif "/>
    <s v=" 2379.2884 "/>
    <s v=" 33.5455 "/>
    <x v="0"/>
    <n v="79814"/>
    <m/>
    <m/>
    <m/>
  </r>
  <r>
    <x v="0"/>
    <x v="5"/>
    <s v="C:\Users\cbarrier\Desktop\BPA\BPA\20201117_Cefas_Test6-Run2/Plate 1/@1/F10_01.tif "/>
    <s v=" 21.6299 "/>
    <n v="30"/>
    <x v="0"/>
    <n v="649"/>
    <m/>
    <m/>
    <m/>
  </r>
  <r>
    <x v="0"/>
    <x v="5"/>
    <s v="C:\Users\cbarrier\Desktop\BPA\BPA\20201117_Cefas_Test6-Run2/Plate 1/@1/F10_02.tif "/>
    <n v="0"/>
    <n v="0"/>
    <x v="0"/>
    <n v="0"/>
    <m/>
    <m/>
    <m/>
  </r>
  <r>
    <x v="0"/>
    <x v="5"/>
    <s v="C:\Users\cbarrier\Desktop\BPA\BPA\20201117_Cefas_Test6-Run2/Plate 1/@1/F10_03.tif "/>
    <s v=" 64.8897 "/>
    <s v=" 30.6667 "/>
    <x v="0"/>
    <n v="1990"/>
    <m/>
    <m/>
    <m/>
  </r>
  <r>
    <x v="0"/>
    <x v="6"/>
    <s v="C:\Users\cbarrier\Desktop\BPA\BPA\20201117_Cefas_Test6-Run2/Plate 1/@1/G10_01.tif "/>
    <s v=" 3655.4522 "/>
    <s v=" 39.5799 "/>
    <x v="0"/>
    <n v="144682"/>
    <m/>
    <m/>
    <m/>
  </r>
  <r>
    <x v="0"/>
    <x v="6"/>
    <s v="C:\Users\cbarrier\Desktop\BPA\BPA\20201117_Cefas_Test6-Run2/Plate 1/@1/G10_02.tif "/>
    <s v=" 7721.8724 "/>
    <s v=" 39.395 "/>
    <x v="0"/>
    <n v="304203"/>
    <m/>
    <m/>
    <m/>
  </r>
  <r>
    <x v="0"/>
    <x v="6"/>
    <s v="C:\Users\cbarrier\Desktop\BPA\BPA\20201117_Cefas_Test6-Run2/Plate 1/@1/G10_03.tif "/>
    <s v=" 6251.0395 "/>
    <s v=" 38.6263 "/>
    <x v="0"/>
    <n v="241455"/>
    <m/>
    <m/>
    <m/>
  </r>
  <r>
    <x v="0"/>
    <x v="7"/>
    <s v="C:\Users\cbarrier\Desktop\BPA\BPA\20201117_Cefas_Test6-Run2/Plate 1/@1/H10_01- exclu.tif"/>
    <m/>
    <m/>
    <x v="1"/>
    <m/>
    <m/>
    <m/>
    <m/>
  </r>
  <r>
    <x v="0"/>
    <x v="7"/>
    <s v="C:\Users\cbarrier\Desktop\BPA\BPA\20201117_Cefas_Test6-Run2/Plate 1/@1/H10_02- exclu.tif"/>
    <m/>
    <m/>
    <x v="1"/>
    <m/>
    <m/>
    <m/>
    <m/>
  </r>
  <r>
    <x v="0"/>
    <x v="7"/>
    <s v="C:\Users\cbarrier\Desktop\BPA\BPA\20201117_Cefas_Test6-Run2/Plate 1/@1/H10_03- exclu.tif"/>
    <m/>
    <m/>
    <x v="1"/>
    <m/>
    <m/>
    <m/>
    <m/>
  </r>
  <r>
    <x v="1"/>
    <x v="8"/>
    <s v=" "/>
    <m/>
    <m/>
    <x v="1"/>
    <m/>
    <m/>
    <m/>
    <m/>
  </r>
  <r>
    <x v="1"/>
    <x v="8"/>
    <s v="group "/>
    <s v=" "/>
    <s v=" mean of mean fluo "/>
    <x v="2"/>
    <s v=" mean of total fluo "/>
    <s v=" SD total fluo "/>
    <s v=" n fluorescent "/>
    <s v=" n total"/>
  </r>
  <r>
    <x v="0"/>
    <x v="9"/>
    <s v="C:\Users\cbarrier\Desktop\BPA\BPA\20201117_Cefas_Test6-Run2/Plate 1/@1/ "/>
    <s v=" "/>
    <s v=" 26.6335 "/>
    <x v="3"/>
    <s v=" 96127.75 "/>
    <s v=" 118071.906 "/>
    <n v="18"/>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cbarrier\Desktop\BPA\BPA\20201117_Cefas_Test6-Run2/Plate 1/@13/A8_01.tif "/>
    <s v=" 28162.1228 "/>
    <s v=" 35.7427 "/>
    <x v="0"/>
    <n v="1006590"/>
    <m/>
    <m/>
    <m/>
  </r>
  <r>
    <x v="2"/>
    <x v="0"/>
    <s v="C:\Users\cbarrier\Desktop\BPA\BPA\20201117_Cefas_Test6-Run2/Plate 1/@13/A8_02.tif "/>
    <s v=" 31947.3544 "/>
    <s v=" 35.4028 "/>
    <x v="0"/>
    <n v="1131027"/>
    <m/>
    <m/>
    <m/>
  </r>
  <r>
    <x v="2"/>
    <x v="0"/>
    <s v="C:\Users\cbarrier\Desktop\BPA\BPA\20201117_Cefas_Test6-Run2/Plate 1/@13/A8_03.tif "/>
    <s v=" 31752.6853 "/>
    <s v=" 35.6199 "/>
    <x v="0"/>
    <n v="1131027"/>
    <m/>
    <m/>
    <m/>
  </r>
  <r>
    <x v="2"/>
    <x v="1"/>
    <s v="C:\Users\cbarrier\Desktop\BPA\BPA\20201117_Cefas_Test6-Run2/Plate 1/@13/B8_01.tif "/>
    <s v=" 62056.1677 "/>
    <s v=" 40.4333 "/>
    <x v="0"/>
    <n v="2509133"/>
    <m/>
    <m/>
    <m/>
  </r>
  <r>
    <x v="2"/>
    <x v="1"/>
    <s v="C:\Users\cbarrier\Desktop\BPA\BPA\20201117_Cefas_Test6-Run2/Plate 1/@13/B8_02.tif "/>
    <s v=" 71551.6914 "/>
    <s v=" 41.7288 "/>
    <x v="0"/>
    <n v="2985769"/>
    <m/>
    <m/>
    <m/>
  </r>
  <r>
    <x v="2"/>
    <x v="1"/>
    <s v="C:\Users\cbarrier\Desktop\BPA\BPA\20201117_Cefas_Test6-Run2/Plate 1/@13/B8_03.tif "/>
    <s v=" 62640.1748 "/>
    <s v=" 41.0915 "/>
    <x v="0"/>
    <n v="2573979"/>
    <m/>
    <m/>
    <m/>
  </r>
  <r>
    <x v="2"/>
    <x v="2"/>
    <s v="C:\Users\cbarrier\Desktop\BPA\BPA\20201117_Cefas_Test6-Run2/Plate 1/@13/C8_01.tif "/>
    <s v=" 16135.9014 "/>
    <s v=" 34.5965 "/>
    <x v="0"/>
    <n v="558246"/>
    <m/>
    <m/>
    <m/>
  </r>
  <r>
    <x v="2"/>
    <x v="2"/>
    <s v="C:\Users\cbarrier\Desktop\BPA\BPA\20201117_Cefas_Test6-Run2/Plate 1/@13/C8_02.tif "/>
    <s v=" 6986.456 "/>
    <s v=" 32.0836 "/>
    <x v="0"/>
    <n v="224151"/>
    <m/>
    <m/>
    <m/>
  </r>
  <r>
    <x v="2"/>
    <x v="2"/>
    <s v="C:\Users\cbarrier\Desktop\BPA\BPA\20201117_Cefas_Test6-Run2/Plate 1/@13/C8_03.tif "/>
    <s v=" 12610.2286 "/>
    <s v=" 33.8988 "/>
    <x v="0"/>
    <n v="427472"/>
    <m/>
    <m/>
    <m/>
  </r>
  <r>
    <x v="2"/>
    <x v="3"/>
    <s v="C:\Users\cbarrier\Desktop\BPA\BPA\20201117_Cefas_Test6-Run2/Plate 1/@13/D8_01.tif "/>
    <s v=" 30281.8525 "/>
    <s v=" 35.1586 "/>
    <x v="0"/>
    <n v="1064667"/>
    <m/>
    <m/>
    <m/>
  </r>
  <r>
    <x v="2"/>
    <x v="3"/>
    <s v="C:\Users\cbarrier\Desktop\BPA\BPA\20201117_Cefas_Test6-Run2/Plate 1/@13/D8_02.tif "/>
    <s v=" 38717.5114 "/>
    <s v=" 35.8877 "/>
    <x v="0"/>
    <n v="1389483"/>
    <m/>
    <m/>
    <m/>
  </r>
  <r>
    <x v="2"/>
    <x v="3"/>
    <s v="C:\Users\cbarrier\Desktop\BPA\BPA\20201117_Cefas_Test6-Run2/Plate 1/@13/D8_03.tif "/>
    <s v=" 29654.5855 "/>
    <s v=" 34.9555 "/>
    <x v="0"/>
    <n v="1036591"/>
    <m/>
    <m/>
    <m/>
  </r>
  <r>
    <x v="2"/>
    <x v="4"/>
    <s v="C:\Users\cbarrier\Desktop\BPA\BPA\20201117_Cefas_Test6-Run2/Plate 1/@13/E8_01.tif "/>
    <s v=" 46244.7147 "/>
    <s v=" 39.5776 "/>
    <x v="0"/>
    <n v="1830257"/>
    <m/>
    <m/>
    <m/>
  </r>
  <r>
    <x v="2"/>
    <x v="4"/>
    <s v="C:\Users\cbarrier\Desktop\BPA\BPA\20201117_Cefas_Test6-Run2/Plate 1/@13/E8_02.tif "/>
    <s v=" 63829.819 "/>
    <s v=" 43.0661 "/>
    <x v="0"/>
    <n v="2748900"/>
    <m/>
    <m/>
    <m/>
  </r>
  <r>
    <x v="2"/>
    <x v="4"/>
    <s v="C:\Users\cbarrier\Desktop\BPA\BPA\20201117_Cefas_Test6-Run2/Plate 1/@13/E8_03.tif "/>
    <s v=" 63548.6304 "/>
    <s v=" 42.0218 "/>
    <x v="0"/>
    <n v="2670427"/>
    <m/>
    <m/>
    <m/>
  </r>
  <r>
    <x v="2"/>
    <x v="5"/>
    <s v="C:\Users\cbarrier\Desktop\BPA\BPA\20201117_Cefas_Test6-Run2/Plate 1/@13/F8_01.tif "/>
    <s v=" 66187.4776 "/>
    <s v=" 44.6853 "/>
    <x v="0"/>
    <n v="2957607"/>
    <m/>
    <m/>
    <m/>
  </r>
  <r>
    <x v="2"/>
    <x v="5"/>
    <s v="C:\Users\cbarrier\Desktop\BPA\BPA\20201117_Cefas_Test6-Run2/Plate 1/@13/F8_02.tif "/>
    <s v=" 62207.577 "/>
    <s v=" 42.9503 "/>
    <x v="0"/>
    <n v="2671833"/>
    <m/>
    <m/>
    <m/>
  </r>
  <r>
    <x v="2"/>
    <x v="5"/>
    <s v="C:\Users\cbarrier\Desktop\BPA\BPA\20201117_Cefas_Test6-Run2/Plate 1/@13/F8_03.tif "/>
    <s v=" 60001.3277 "/>
    <s v=" 40.8983 "/>
    <x v="0"/>
    <n v="2453955"/>
    <m/>
    <m/>
    <m/>
  </r>
  <r>
    <x v="2"/>
    <x v="6"/>
    <s v="C:\Users\cbarrier\Desktop\BPA\BPA\20201117_Cefas_Test6-Run2/Plate 1/@13/G8_01.tif "/>
    <s v=" 32704.4007 "/>
    <s v=" 36.6806 "/>
    <x v="0"/>
    <n v="1199616"/>
    <m/>
    <m/>
    <m/>
  </r>
  <r>
    <x v="2"/>
    <x v="6"/>
    <s v="C:\Users\cbarrier\Desktop\BPA\BPA\20201117_Cefas_Test6-Run2/Plate 1/@13/G8_02.tif "/>
    <s v=" 40815.6112 "/>
    <s v=" 36.9565 "/>
    <x v="0"/>
    <n v="1508404"/>
    <m/>
    <m/>
    <m/>
  </r>
  <r>
    <x v="2"/>
    <x v="6"/>
    <s v="C:\Users\cbarrier\Desktop\BPA\BPA\20201117_Cefas_Test6-Run2/Plate 1/@13/G8_03.tif "/>
    <s v=" 27578.1157 "/>
    <s v=" 36.28 "/>
    <x v="0"/>
    <n v="1000534"/>
    <m/>
    <m/>
    <m/>
  </r>
  <r>
    <x v="2"/>
    <x v="7"/>
    <s v="C:\Users\cbarrier\Desktop\BPA\BPA\20201117_Cefas_Test6-Run2/Plate 1/@13/H8_01.tif "/>
    <s v=" 4780.2067 "/>
    <s v=" 31.4027 "/>
    <x v="0"/>
    <n v="150111"/>
    <m/>
    <m/>
    <m/>
  </r>
  <r>
    <x v="2"/>
    <x v="7"/>
    <s v="C:\Users\cbarrier\Desktop\BPA\BPA\20201117_Cefas_Test6-Run2/Plate 1/@13/H8_02.tif "/>
    <s v=" 7851.6518 "/>
    <s v=" 32.1763 "/>
    <x v="0"/>
    <n v="252637"/>
    <m/>
    <m/>
    <m/>
  </r>
  <r>
    <x v="2"/>
    <x v="7"/>
    <s v="C:\Users\cbarrier\Desktop\BPA\BPA\20201117_Cefas_Test6-Run2/Plate 1/@13/H8_03.tif "/>
    <s v=" 4607.1676 "/>
    <s v=" 32.3897 "/>
    <x v="0"/>
    <n v="149225"/>
    <m/>
    <m/>
    <m/>
  </r>
  <r>
    <x v="1"/>
    <x v="8"/>
    <s v=" "/>
    <m/>
    <m/>
    <x v="1"/>
    <m/>
    <m/>
    <m/>
    <m/>
  </r>
  <r>
    <x v="1"/>
    <x v="8"/>
    <s v="group "/>
    <s v=" "/>
    <s v=" mean of mean fluo "/>
    <x v="2"/>
    <s v=" mean of total fluo "/>
    <s v=" SD total fluo "/>
    <s v=" n fluorescent "/>
    <s v=" n total"/>
  </r>
  <r>
    <x v="2"/>
    <x v="9"/>
    <s v="C:\Users\cbarrier\Desktop\BPA\BPA\20201117_Cefas_Test6-Run2/Plate 1/@13/ "/>
    <s v=" "/>
    <s v=" 37.3202 "/>
    <x v="4"/>
    <s v=" 1484651.71 "/>
    <s v=" 977127.3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cbarrier\Desktop\BPA\BPA\20201117_Cefas_Test6-Run2/Plate 1/@14/A9_01- exclu.tif"/>
    <m/>
    <m/>
    <x v="1"/>
    <m/>
    <m/>
    <m/>
    <m/>
  </r>
  <r>
    <x v="3"/>
    <x v="0"/>
    <s v="C:\Users\cbarrier\Desktop\BPA\BPA\20201117_Cefas_Test6-Run2/Plate 1/@14/A9_02- exclu.tif"/>
    <m/>
    <m/>
    <x v="1"/>
    <m/>
    <m/>
    <m/>
    <m/>
  </r>
  <r>
    <x v="3"/>
    <x v="0"/>
    <s v="C:\Users\cbarrier\Desktop\BPA\BPA\20201117_Cefas_Test6-Run2/Plate 1/@14/A9_03- exclu.tif"/>
    <m/>
    <m/>
    <x v="1"/>
    <m/>
    <m/>
    <m/>
    <m/>
  </r>
  <r>
    <x v="3"/>
    <x v="1"/>
    <s v="C:\Users\cbarrier\Desktop\BPA\BPA\20201117_Cefas_Test6-Run2/Plate 1/@14/B9_01.tif "/>
    <s v=" 65473.691 "/>
    <s v=" 41.8427 "/>
    <x v="0"/>
    <n v="2739599"/>
    <m/>
    <m/>
    <m/>
  </r>
  <r>
    <x v="3"/>
    <x v="1"/>
    <s v="C:\Users\cbarrier\Desktop\BPA\BPA\20201117_Cefas_Test6-Run2/Plate 1/@14/B9_02.tif "/>
    <s v=" 65279.022 "/>
    <s v=" 41.9433 "/>
    <x v="0"/>
    <n v="2738020"/>
    <m/>
    <m/>
    <m/>
  </r>
  <r>
    <x v="3"/>
    <x v="1"/>
    <s v="C:\Users\cbarrier\Desktop\BPA\BPA\20201117_Cefas_Test6-Run2/Plate 1/@14/B9_03.tif "/>
    <s v=" 69799.67 "/>
    <s v=" 42.5931 "/>
    <x v="0"/>
    <n v="2972986"/>
    <m/>
    <m/>
    <m/>
  </r>
  <r>
    <x v="3"/>
    <x v="2"/>
    <s v="C:\Users\cbarrier\Desktop\BPA\BPA\20201117_Cefas_Test6-Run2/Plate 1/@14/C9_01.tif "/>
    <s v=" 44687.3623 "/>
    <s v=" 37.4593 "/>
    <x v="0"/>
    <n v="1673959"/>
    <m/>
    <m/>
    <m/>
  </r>
  <r>
    <x v="3"/>
    <x v="2"/>
    <s v="C:\Users\cbarrier\Desktop\BPA\BPA\20201117_Cefas_Test6-Run2/Plate 1/@14/C9_02.tif "/>
    <s v=" 40253.2339 "/>
    <s v=" 36.3853 "/>
    <x v="0"/>
    <n v="1464625"/>
    <m/>
    <m/>
    <m/>
  </r>
  <r>
    <x v="3"/>
    <x v="2"/>
    <s v="C:\Users\cbarrier\Desktop\BPA\BPA\20201117_Cefas_Test6-Run2/Plate 1/@14/C9_03.tif "/>
    <s v=" 49965.0566 "/>
    <s v=" 38.1784 "/>
    <x v="0"/>
    <n v="1907584"/>
    <m/>
    <m/>
    <m/>
  </r>
  <r>
    <x v="3"/>
    <x v="3"/>
    <s v="C:\Users\cbarrier\Desktop\BPA\BPA\20201117_Cefas_Test6-Run2/Plate 1/@14/D9_01.tif "/>
    <s v=" 65884.659 "/>
    <s v=" 48.4875 "/>
    <x v="0"/>
    <n v="3194584"/>
    <m/>
    <m/>
    <m/>
  </r>
  <r>
    <x v="3"/>
    <x v="3"/>
    <s v="C:\Users\cbarrier\Desktop\BPA\BPA\20201117_Cefas_Test6-Run2/Plate 1/@14/D9_02.tif "/>
    <s v=" 74190.5386 "/>
    <s v=" 44.9469 "/>
    <x v="0"/>
    <n v="3334638"/>
    <m/>
    <m/>
    <m/>
  </r>
  <r>
    <x v="3"/>
    <x v="3"/>
    <s v="C:\Users\cbarrier\Desktop\BPA\BPA\20201117_Cefas_Test6-Run2/Plate 1/@14/D9_03.tif "/>
    <s v=" 70080.8586 "/>
    <s v=" 49.0164 "/>
    <x v="0"/>
    <n v="3435108"/>
    <m/>
    <m/>
    <m/>
  </r>
  <r>
    <x v="3"/>
    <x v="4"/>
    <s v="C:\Users\cbarrier\Desktop\BPA\BPA\20201117_Cefas_Test6-Run2/Plate 1/@14/E9_01.tif "/>
    <s v=" 2271.1389 "/>
    <s v=" 31.8952 "/>
    <x v="0"/>
    <n v="72439"/>
    <m/>
    <m/>
    <m/>
  </r>
  <r>
    <x v="3"/>
    <x v="4"/>
    <s v="C:\Users\cbarrier\Desktop\BPA\BPA\20201117_Cefas_Test6-Run2/Plate 1/@14/E9_02.tif "/>
    <s v=" 6164.52 "/>
    <s v=" 33.786 "/>
    <x v="0"/>
    <n v="208274"/>
    <m/>
    <m/>
    <m/>
  </r>
  <r>
    <x v="3"/>
    <x v="4"/>
    <s v="C:\Users\cbarrier\Desktop\BPA\BPA\20201117_Cefas_Test6-Run2/Plate 1/@14/E9_03.tif "/>
    <s v=" 605.637 "/>
    <s v=" 32.3214 "/>
    <x v="0"/>
    <n v="19575"/>
    <m/>
    <m/>
    <m/>
  </r>
  <r>
    <x v="3"/>
    <x v="5"/>
    <s v="C:\Users\cbarrier\Desktop\BPA\BPA\20201117_Cefas_Test6-Run2/Plate 1/@14/F9_01.tif "/>
    <s v=" 30433.2617 "/>
    <s v=" 34.9666 "/>
    <x v="0"/>
    <n v="1064148"/>
    <m/>
    <m/>
    <m/>
  </r>
  <r>
    <x v="3"/>
    <x v="5"/>
    <s v="C:\Users\cbarrier\Desktop\BPA\BPA\20201117_Cefas_Test6-Run2/Plate 1/@14/F9_02.tif "/>
    <s v=" 23814.514 "/>
    <s v=" 35.3497 "/>
    <x v="0"/>
    <n v="841835"/>
    <m/>
    <m/>
    <m/>
  </r>
  <r>
    <x v="3"/>
    <x v="5"/>
    <s v="C:\Users\cbarrier\Desktop\BPA\BPA\20201117_Cefas_Test6-Run2/Plate 1/@14/F9_03.tif "/>
    <s v=" 23317.0264 "/>
    <s v=" 32.8275 "/>
    <x v="0"/>
    <n v="765439"/>
    <m/>
    <m/>
    <m/>
  </r>
  <r>
    <x v="3"/>
    <x v="6"/>
    <s v="C:\Users\cbarrier\Desktop\BPA\BPA\20201117_Cefas_Test6-Run2/Plate 1/@14/G9_01.tif "/>
    <s v=" 8651.9579 "/>
    <s v=" 33.79 "/>
    <x v="0"/>
    <n v="292350"/>
    <m/>
    <m/>
    <m/>
  </r>
  <r>
    <x v="3"/>
    <x v="6"/>
    <s v="C:\Users\cbarrier\Desktop\BPA\BPA\20201117_Cefas_Test6-Run2/Plate 1/@14/G9_02.tif "/>
    <s v=" 5212.8046 "/>
    <s v=" 32.5726 "/>
    <x v="0"/>
    <n v="169795"/>
    <m/>
    <m/>
    <m/>
  </r>
  <r>
    <x v="3"/>
    <x v="6"/>
    <s v="C:\Users\cbarrier\Desktop\BPA\BPA\20201117_Cefas_Test6-Run2/Plate 1/@14/G9_03.tif "/>
    <s v=" 8673.5877 "/>
    <s v=" 33.9701 "/>
    <x v="0"/>
    <n v="294642"/>
    <m/>
    <m/>
    <m/>
  </r>
  <r>
    <x v="3"/>
    <x v="7"/>
    <s v="C:\Users\cbarrier\Desktop\BPA\BPA\20201117_Cefas_Test6-Run2/Plate 1/@14/H9_01.tif "/>
    <s v=" 20656.5494 "/>
    <s v=" 34.7864 "/>
    <x v="0"/>
    <n v="718567"/>
    <m/>
    <m/>
    <m/>
  </r>
  <r>
    <x v="3"/>
    <x v="7"/>
    <s v="C:\Users\cbarrier\Desktop\BPA\BPA\20201117_Cefas_Test6-Run2/Plate 1/@14/H9_02.tif "/>
    <s v=" 24701.3397 "/>
    <s v=" 35.4475 "/>
    <x v="0"/>
    <n v="875600"/>
    <m/>
    <m/>
    <m/>
  </r>
  <r>
    <x v="3"/>
    <x v="7"/>
    <s v="C:\Users\cbarrier\Desktop\BPA\BPA\20201117_Cefas_Test6-Run2/Plate 1/@14/H9_03.tif "/>
    <s v=" 30022.2937 "/>
    <s v=" 36.286 "/>
    <x v="0"/>
    <n v="1089390"/>
    <m/>
    <m/>
    <m/>
  </r>
  <r>
    <x v="1"/>
    <x v="8"/>
    <s v=" "/>
    <m/>
    <m/>
    <x v="1"/>
    <m/>
    <m/>
    <m/>
    <m/>
  </r>
  <r>
    <x v="1"/>
    <x v="8"/>
    <s v="group "/>
    <s v=" "/>
    <s v=" mean of mean fluo "/>
    <x v="2"/>
    <s v=" mean of total fluo "/>
    <s v=" SD total fluo "/>
    <s v=" n fluorescent "/>
    <s v=" n total"/>
  </r>
  <r>
    <x v="3"/>
    <x v="9"/>
    <s v="C:\Users\cbarrier\Desktop\BPA\BPA\20201117_Cefas_Test6-Run2/Plate 1/@14/ "/>
    <s v=" "/>
    <s v=" 38.0158 "/>
    <x v="5"/>
    <s v=" 1502746.92 "/>
    <s v=" 1134745.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cbarrier\Desktop\BPA\BPA\20201117_Cefas_Test6-Run2/Plate 1/@15/A11_01.tif "/>
    <s v=" 94111.6715 "/>
    <s v=" 50.7378 "/>
    <x v="0"/>
    <n v="4775016"/>
    <m/>
    <m/>
    <m/>
  </r>
  <r>
    <x v="4"/>
    <x v="0"/>
    <s v="C:\Users\cbarrier\Desktop\BPA\BPA\20201117_Cefas_Test6-Run2/Plate 1/@15/A11_02.tif "/>
    <s v=" 88985.3865 "/>
    <s v=" 45.1728 "/>
    <x v="0"/>
    <n v="4019721"/>
    <m/>
    <m/>
    <m/>
  </r>
  <r>
    <x v="4"/>
    <x v="0"/>
    <s v="C:\Users\cbarrier\Desktop\BPA\BPA\20201117_Cefas_Test6-Run2/Plate 1/@15/A11_03.tif "/>
    <s v=" 78776.0762 "/>
    <s v=" 52.0695 "/>
    <x v="0"/>
    <n v="4101828"/>
    <m/>
    <m/>
    <m/>
  </r>
  <r>
    <x v="4"/>
    <x v="1"/>
    <s v="C:\Users\cbarrier\Desktop\BPA\BPA\20201117_Cefas_Test6-Run2/Plate 1/@15/B11_01.tif "/>
    <s v=" 54053.1067 "/>
    <s v=" 44.0656 "/>
    <x v="0"/>
    <n v="2381884"/>
    <m/>
    <m/>
    <m/>
  </r>
  <r>
    <x v="4"/>
    <x v="1"/>
    <s v="C:\Users\cbarrier\Desktop\BPA\BPA\20201117_Cefas_Test6-Run2/Plate 1/@15/B11_02.tif "/>
    <s v=" 52344.345 "/>
    <s v=" 45.3826 "/>
    <x v="0"/>
    <n v="2375525"/>
    <m/>
    <m/>
    <m/>
  </r>
  <r>
    <x v="4"/>
    <x v="1"/>
    <s v="C:\Users\cbarrier\Desktop\BPA\BPA\20201117_Cefas_Test6-Run2/Plate 1/@15/B11_03.tif "/>
    <s v=" 53166.281 "/>
    <s v=" 46.6851 "/>
    <x v="0"/>
    <n v="2482074"/>
    <m/>
    <m/>
    <m/>
  </r>
  <r>
    <x v="4"/>
    <x v="2"/>
    <s v="C:\Users\cbarrier\Desktop\BPA\BPA\20201117_Cefas_Test6-Run2/Plate 1/@15/C11_01.tif "/>
    <s v=" 40296.4937 "/>
    <s v=" 40.2979 "/>
    <x v="0"/>
    <n v="1623864"/>
    <m/>
    <m/>
    <m/>
  </r>
  <r>
    <x v="4"/>
    <x v="2"/>
    <s v="C:\Users\cbarrier\Desktop\BPA\BPA\20201117_Cefas_Test6-Run2/Plate 1/@15/C11_02- exclu.tif"/>
    <m/>
    <m/>
    <x v="1"/>
    <m/>
    <m/>
    <m/>
    <m/>
  </r>
  <r>
    <x v="4"/>
    <x v="2"/>
    <s v="C:\Users\cbarrier\Desktop\BPA\BPA\20201117_Cefas_Test6-Run2/Plate 1/@15/C11_03- exclu.tif"/>
    <m/>
    <m/>
    <x v="1"/>
    <m/>
    <m/>
    <m/>
    <m/>
  </r>
  <r>
    <x v="4"/>
    <x v="3"/>
    <s v="C:\Users\cbarrier\Desktop\BPA\BPA\20201117_Cefas_Test6-Run2/Plate 1/@15/D11_01.tif "/>
    <s v=" 57470.63 "/>
    <s v=" 50.9364 "/>
    <x v="0"/>
    <n v="2927347"/>
    <m/>
    <m/>
    <m/>
  </r>
  <r>
    <x v="4"/>
    <x v="3"/>
    <s v="C:\Users\cbarrier\Desktop\BPA\BPA\20201117_Cefas_Test6-Run2/Plate 1/@15/D11_02.tif "/>
    <s v=" 54226.1458 "/>
    <s v=" 44.3797 "/>
    <x v="0"/>
    <n v="2406542"/>
    <m/>
    <m/>
    <m/>
  </r>
  <r>
    <x v="4"/>
    <x v="3"/>
    <s v="C:\Users\cbarrier\Desktop\BPA\BPA\20201117_Cefas_Test6-Run2/Plate 1/@15/D11_03.tif "/>
    <s v=" 62878.1037 "/>
    <s v=" 44.0791 "/>
    <x v="0"/>
    <n v="2771611"/>
    <m/>
    <m/>
    <m/>
  </r>
  <r>
    <x v="4"/>
    <x v="4"/>
    <s v="C:\Users\cbarrier\Desktop\BPA\BPA\20201117_Cefas_Test6-Run2/Plate 1/@15/E11_01.tif "/>
    <s v=" 93852.1128 "/>
    <s v=" 56.575 "/>
    <x v="0"/>
    <n v="5309685"/>
    <m/>
    <m/>
    <m/>
  </r>
  <r>
    <x v="4"/>
    <x v="4"/>
    <s v="C:\Users\cbarrier\Desktop\BPA\BPA\20201117_Cefas_Test6-Run2/Plate 1/@15/E11_02.tif "/>
    <s v=" 98848.6185 "/>
    <s v=" 53.0672 "/>
    <x v="0"/>
    <n v="5245617"/>
    <m/>
    <m/>
    <m/>
  </r>
  <r>
    <x v="4"/>
    <x v="4"/>
    <s v="C:\Users\cbarrier\Desktop\BPA\BPA\20201117_Cefas_Test6-Run2/Plate 1/@15/E11_03.tif "/>
    <s v=" 100362.711 "/>
    <s v=" 56.5625 "/>
    <x v="0"/>
    <n v="5676766"/>
    <m/>
    <m/>
    <m/>
  </r>
  <r>
    <x v="4"/>
    <x v="5"/>
    <s v="C:\Users\cbarrier\Desktop\BPA\BPA\20201117_Cefas_Test6-Run2/Plate 1/@15/F11_01.tif "/>
    <s v=" 79727.7916 "/>
    <s v=" 53.1039 "/>
    <x v="0"/>
    <n v="4233857"/>
    <m/>
    <m/>
    <m/>
  </r>
  <r>
    <x v="4"/>
    <x v="5"/>
    <s v="C:\Users\cbarrier\Desktop\BPA\BPA\20201117_Cefas_Test6-Run2/Plate 1/@15/F11_02.tif "/>
    <s v=" 81047.2152 "/>
    <s v=" 55.6864 "/>
    <x v="0"/>
    <n v="4513229"/>
    <m/>
    <m/>
    <m/>
  </r>
  <r>
    <x v="4"/>
    <x v="5"/>
    <s v="C:\Users\cbarrier\Desktop\BPA\BPA\20201117_Cefas_Test6-Run2/Plate 1/@15/F11_03.tif "/>
    <s v=" 84443.1086 "/>
    <s v=" 48.3135 "/>
    <x v="0"/>
    <n v="4079744"/>
    <m/>
    <m/>
    <m/>
  </r>
  <r>
    <x v="4"/>
    <x v="6"/>
    <s v="C:\Users\cbarrier\Desktop\BPA\BPA\20201117_Cefas_Test6-Run2/Plate 1/@15/G11_01.tif "/>
    <s v=" 82042.1903 "/>
    <s v=" 41.1819 "/>
    <x v="0"/>
    <n v="3378654"/>
    <m/>
    <m/>
    <m/>
  </r>
  <r>
    <x v="4"/>
    <x v="6"/>
    <s v="C:\Users\cbarrier\Desktop\BPA\BPA\20201117_Cefas_Test6-Run2/Plate 1/@15/G11_02.tif "/>
    <s v=" 82799.2366 "/>
    <s v=" 43.7244 "/>
    <x v="0"/>
    <n v="3620347"/>
    <m/>
    <m/>
    <m/>
  </r>
  <r>
    <x v="4"/>
    <x v="6"/>
    <s v="C:\Users\cbarrier\Desktop\BPA\BPA\20201117_Cefas_Test6-Run2/Plate 1/@15/G11_03.tif "/>
    <s v=" 66338.8868 "/>
    <s v=" 43.0619 "/>
    <x v="0"/>
    <n v="2856682"/>
    <m/>
    <m/>
    <m/>
  </r>
  <r>
    <x v="4"/>
    <x v="7"/>
    <s v="C:\Users\cbarrier\Desktop\BPA\BPA\20201117_Cefas_Test6-Run2/Plate 1/@15/H11_01.tif "/>
    <s v=" 75034.1045 "/>
    <s v=" 49.8818 "/>
    <x v="0"/>
    <n v="3742837"/>
    <m/>
    <m/>
    <m/>
  </r>
  <r>
    <x v="4"/>
    <x v="7"/>
    <s v="C:\Users\cbarrier\Desktop\BPA\BPA\20201117_Cefas_Test6-Run2/Plate 1/@15/H11_02.tif "/>
    <s v=" 82388.2686 "/>
    <s v=" 49.4214 "/>
    <x v="0"/>
    <n v="4071741"/>
    <m/>
    <m/>
    <m/>
  </r>
  <r>
    <x v="4"/>
    <x v="7"/>
    <s v="C:\Users\cbarrier\Desktop\BPA\BPA\20201117_Cefas_Test6-Run2/Plate 1/@15/H11_03.tif "/>
    <s v=" 72611.5563 "/>
    <s v=" 48.3324 "/>
    <x v="0"/>
    <n v="3509494"/>
    <m/>
    <m/>
    <m/>
  </r>
  <r>
    <x v="1"/>
    <x v="8"/>
    <s v=" "/>
    <m/>
    <m/>
    <x v="1"/>
    <m/>
    <m/>
    <m/>
    <m/>
  </r>
  <r>
    <x v="1"/>
    <x v="8"/>
    <s v="group "/>
    <s v=" "/>
    <s v=" mean of mean fluo "/>
    <x v="2"/>
    <s v=" mean of total fluo "/>
    <s v=" SD total fluo "/>
    <s v=" n fluorescent "/>
    <s v=" n total"/>
  </r>
  <r>
    <x v="4"/>
    <x v="9"/>
    <s v="C:\Users\cbarrier\Desktop\BPA\BPA\20201117_Cefas_Test6-Run2/Plate 1/@15/ "/>
    <s v=" "/>
    <s v=" 47.5661 "/>
    <x v="6"/>
    <s v=" 3492183.46 "/>
    <s v=" 1155670.2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cbarrier\Desktop\BPA\BPA\20201117_Cefas_Test6-Run2/Plate 1/@16/A12_01.tif "/>
    <s v=" 129.7794 "/>
    <s v=" 31.6667 "/>
    <x v="0"/>
    <n v="4110"/>
    <m/>
    <m/>
    <m/>
  </r>
  <r>
    <x v="5"/>
    <x v="0"/>
    <s v="C:\Users\cbarrier\Desktop\BPA\BPA\20201117_Cefas_Test6-Run2/Plate 1/@16/A12_02.tif "/>
    <s v=" 8954.7764 "/>
    <s v=" 38.5652 "/>
    <x v="0"/>
    <n v="345343"/>
    <m/>
    <m/>
    <m/>
  </r>
  <r>
    <x v="5"/>
    <x v="0"/>
    <s v="C:\Users\cbarrier\Desktop\BPA\BPA\20201117_Cefas_Test6-Run2/Plate 1/@16/A12_03.tif "/>
    <s v=" 7310.9044 "/>
    <s v=" 35.8609 "/>
    <x v="0"/>
    <n v="262176"/>
    <m/>
    <m/>
    <m/>
  </r>
  <r>
    <x v="5"/>
    <x v="1"/>
    <s v="C:\Users\cbarrier\Desktop\BPA\BPA\20201117_Cefas_Test6-Run2/Plate 1/@16/B12_01.tif "/>
    <s v=" 1881.8008 "/>
    <s v=" 36.1839 "/>
    <x v="0"/>
    <n v="68091"/>
    <m/>
    <m/>
    <m/>
  </r>
  <r>
    <x v="5"/>
    <x v="1"/>
    <s v="C:\Users\cbarrier\Desktop\BPA\BPA\20201117_Cefas_Test6-Run2/Plate 1/@16/B12_02.tif "/>
    <s v=" 5731.9221 "/>
    <s v=" 42.9057 "/>
    <x v="0"/>
    <n v="245932"/>
    <m/>
    <m/>
    <m/>
  </r>
  <r>
    <x v="5"/>
    <x v="1"/>
    <s v="C:\Users\cbarrier\Desktop\BPA\BPA\20201117_Cefas_Test6-Run2/Plate 1/@16/B12_03.tif "/>
    <s v=" 8889.8867 "/>
    <s v=" 46.292 "/>
    <x v="0"/>
    <n v="411530"/>
    <m/>
    <m/>
    <m/>
  </r>
  <r>
    <x v="5"/>
    <x v="2"/>
    <s v="C:\Users\cbarrier\Desktop\BPA\BPA\20201117_Cefas_Test6-Run2/Plate 1/@16/C12_01.tif "/>
    <s v=" 1427.573 "/>
    <s v=" 33.0758 "/>
    <x v="0"/>
    <n v="47218"/>
    <m/>
    <m/>
    <m/>
  </r>
  <r>
    <x v="5"/>
    <x v="2"/>
    <s v="C:\Users\cbarrier\Desktop\BPA\BPA\20201117_Cefas_Test6-Run2/Plate 1/@16/C12_02.tif "/>
    <s v=" 9214.3351 "/>
    <s v=" 39.6596 "/>
    <x v="0"/>
    <n v="365437"/>
    <m/>
    <m/>
    <m/>
  </r>
  <r>
    <x v="5"/>
    <x v="2"/>
    <s v="C:\Users\cbarrier\Desktop\BPA\BPA\20201117_Cefas_Test6-Run2/Plate 1/@16/C12_03.tif "/>
    <s v=" 6445.7086 "/>
    <s v=" 38.0839 "/>
    <x v="0"/>
    <n v="245478"/>
    <m/>
    <m/>
    <m/>
  </r>
  <r>
    <x v="5"/>
    <x v="3"/>
    <s v="C:\Users\cbarrier\Desktop\BPA\BPA\20201117_Cefas_Test6-Run2/Plate 1/@16/D12_01.tif "/>
    <s v=" 367.7082 "/>
    <s v=" 31.3529 "/>
    <x v="0"/>
    <n v="11529"/>
    <m/>
    <m/>
    <m/>
  </r>
  <r>
    <x v="5"/>
    <x v="3"/>
    <s v="C:\Users\cbarrier\Desktop\BPA\BPA\20201117_Cefas_Test6-Run2/Plate 1/@16/D12_02.tif "/>
    <s v=" 259.5587 "/>
    <s v=" 31.5 "/>
    <x v="0"/>
    <n v="8176"/>
    <m/>
    <m/>
    <m/>
  </r>
  <r>
    <x v="5"/>
    <x v="3"/>
    <s v="C:\Users\cbarrier\Desktop\BPA\BPA\20201117_Cefas_Test6-Run2/Plate 1/@16/D12_03.tif "/>
    <s v=" 1773.6514 "/>
    <s v=" 33.4512 "/>
    <x v="0"/>
    <n v="59331"/>
    <m/>
    <m/>
    <m/>
  </r>
  <r>
    <x v="5"/>
    <x v="4"/>
    <s v="C:\Users\cbarrier\Desktop\BPA\BPA\20201117_Cefas_Test6-Run2/Plate 1/@16/E12_01.tif "/>
    <s v=" 21.6299 "/>
    <n v="30"/>
    <x v="0"/>
    <n v="649"/>
    <m/>
    <m/>
    <m/>
  </r>
  <r>
    <x v="5"/>
    <x v="4"/>
    <s v="C:\Users\cbarrier\Desktop\BPA\BPA\20201117_Cefas_Test6-Run2/Plate 1/@16/E12_02.tif "/>
    <n v="0"/>
    <n v="0"/>
    <x v="0"/>
    <n v="0"/>
    <m/>
    <m/>
    <m/>
  </r>
  <r>
    <x v="5"/>
    <x v="4"/>
    <s v="C:\Users\cbarrier\Desktop\BPA\BPA\20201117_Cefas_Test6-Run2/Plate 1/@16/E12_03.tif "/>
    <s v=" 3504.0429 "/>
    <s v=" 37.642 "/>
    <x v="0"/>
    <n v="131899"/>
    <m/>
    <m/>
    <m/>
  </r>
  <r>
    <x v="5"/>
    <x v="5"/>
    <s v="C:\Users\cbarrier\Desktop\BPA\BPA\20201117_Cefas_Test6-Run2/Plate 1/@16/F12_01.tif "/>
    <s v=" 10490.4989 "/>
    <s v=" 39.0536 "/>
    <x v="0"/>
    <n v="409692"/>
    <m/>
    <m/>
    <m/>
  </r>
  <r>
    <x v="5"/>
    <x v="5"/>
    <s v="C:\Users\cbarrier\Desktop\BPA\BPA\20201117_Cefas_Test6-Run2/Plate 1/@16/F12_02.tif "/>
    <s v=" 6705.2673 "/>
    <s v=" 39.1 "/>
    <x v="0"/>
    <n v="262176"/>
    <m/>
    <m/>
    <m/>
  </r>
  <r>
    <x v="5"/>
    <x v="5"/>
    <s v="C:\Users\cbarrier\Desktop\BPA\BPA\20201117_Cefas_Test6-Run2/Plate 1/@16/F12_03.tif "/>
    <s v=" 8154.4703 "/>
    <s v=" 38.1459 "/>
    <x v="0"/>
    <n v="311060"/>
    <m/>
    <m/>
    <m/>
  </r>
  <r>
    <x v="5"/>
    <x v="6"/>
    <s v="C:\Users\cbarrier\Desktop\BPA\BPA\20201117_Cefas_Test6-Run2/Plate 1/@16/G12_01.tif "/>
    <s v=" 5256.0644 "/>
    <s v=" 37.0412 "/>
    <x v="0"/>
    <n v="194691"/>
    <m/>
    <m/>
    <m/>
  </r>
  <r>
    <x v="5"/>
    <x v="6"/>
    <s v="C:\Users\cbarrier\Desktop\BPA\BPA\20201117_Cefas_Test6-Run2/Plate 1/@16/G12_02.tif "/>
    <s v=" 4390.8686 "/>
    <s v=" 35.069 "/>
    <x v="0"/>
    <n v="153983"/>
    <m/>
    <m/>
    <m/>
  </r>
  <r>
    <x v="5"/>
    <x v="6"/>
    <s v="C:\Users\cbarrier\Desktop\BPA\BPA\20201117_Cefas_Test6-Run2/Plate 1/@16/G12_03.tif "/>
    <s v=" 2033.2101 "/>
    <s v=" 33.4574 "/>
    <x v="0"/>
    <n v="68026"/>
    <m/>
    <m/>
    <m/>
  </r>
  <r>
    <x v="5"/>
    <x v="7"/>
    <s v="C:\Users\cbarrier\Desktop\BPA\BPA\20201117_Cefas_Test6-Run2/Plate 1/@16/H12_01.tif "/>
    <s v=" 6294.2993 "/>
    <s v=" 36.4536 "/>
    <x v="0"/>
    <n v="229450"/>
    <m/>
    <m/>
    <m/>
  </r>
  <r>
    <x v="5"/>
    <x v="7"/>
    <s v="C:\Users\cbarrier\Desktop\BPA\BPA\20201117_Cefas_Test6-Run2/Plate 1/@16/H12_02.tif "/>
    <s v=" 3071.445 "/>
    <s v=" 36.831 "/>
    <x v="0"/>
    <n v="113124"/>
    <m/>
    <m/>
    <m/>
  </r>
  <r>
    <x v="5"/>
    <x v="7"/>
    <s v="C:\Users\cbarrier\Desktop\BPA\BPA\20201117_Cefas_Test6-Run2/Plate 1/@16/H12_03.tif "/>
    <s v=" 4390.8686 "/>
    <s v=" 36.9754 "/>
    <x v="0"/>
    <n v="162354"/>
    <m/>
    <m/>
    <m/>
  </r>
  <r>
    <x v="1"/>
    <x v="8"/>
    <s v=" "/>
    <m/>
    <m/>
    <x v="1"/>
    <m/>
    <m/>
    <m/>
    <m/>
  </r>
  <r>
    <x v="1"/>
    <x v="8"/>
    <s v="group "/>
    <s v=" "/>
    <s v=" mean of mean fluo "/>
    <x v="2"/>
    <s v=" mean of total fluo "/>
    <s v=" SD total fluo "/>
    <s v=" n fluorescent "/>
    <s v=" n total"/>
  </r>
  <r>
    <x v="5"/>
    <x v="9"/>
    <s v="C:\Users\cbarrier\Desktop\BPA\BPA\20201117_Cefas_Test6-Run2/Plate 1/@16/ "/>
    <s v=" "/>
    <s v=" 34.932 "/>
    <x v="7"/>
    <s v=" 171310.625 "/>
    <s v=" 136205.397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cbarrier\Desktop\BPA\BPA\20201117_Cefas_Test6-Run2/Plate 1/@2/A2_01- exclu.tif"/>
    <m/>
    <m/>
    <x v="1"/>
    <m/>
    <m/>
    <m/>
    <m/>
  </r>
  <r>
    <x v="6"/>
    <x v="0"/>
    <s v="C:\Users\cbarrier\Desktop\BPA\BPA\20201117_Cefas_Test6-Run2/Plate 1/@2/A2_02- exclu.tif"/>
    <m/>
    <m/>
    <x v="1"/>
    <m/>
    <m/>
    <m/>
    <m/>
  </r>
  <r>
    <x v="6"/>
    <x v="0"/>
    <s v="C:\Users\cbarrier\Desktop\BPA\BPA\20201117_Cefas_Test6-Run2/Plate 1/@2/A2_03- exclu.tif"/>
    <m/>
    <m/>
    <x v="1"/>
    <m/>
    <m/>
    <m/>
    <m/>
  </r>
  <r>
    <x v="6"/>
    <x v="1"/>
    <s v="C:\Users\cbarrier\Desktop\BPA\BPA\20201117_Cefas_Test6-Run2/Plate 1/@2/B2_01.tif "/>
    <s v=" 4369.2387 "/>
    <s v=" 40.5248 "/>
    <x v="0"/>
    <n v="177062"/>
    <m/>
    <m/>
    <m/>
  </r>
  <r>
    <x v="6"/>
    <x v="1"/>
    <s v="C:\Users\cbarrier\Desktop\BPA\BPA\20201117_Cefas_Test6-Run2/Plate 1/@2/B2_02.tif "/>
    <s v=" 3460.7831 "/>
    <s v=" 34.8188 "/>
    <x v="0"/>
    <n v="120500"/>
    <m/>
    <m/>
    <m/>
  </r>
  <r>
    <x v="6"/>
    <x v="1"/>
    <s v="C:\Users\cbarrier\Desktop\BPA\BPA\20201117_Cefas_Test6-Run2/Plate 1/@2/B2_03.tif "/>
    <s v=" 3157.9646 "/>
    <s v=" 36.2877 "/>
    <x v="0"/>
    <n v="114595"/>
    <m/>
    <m/>
    <m/>
  </r>
  <r>
    <x v="6"/>
    <x v="2"/>
    <s v="C:\Users\cbarrier\Desktop\BPA\BPA\20201117_Cefas_Test6-Run2/Plate 1/@2/C2_01.tif "/>
    <s v=" 8716.8475 "/>
    <s v=" 40.3474 "/>
    <x v="0"/>
    <n v="351702"/>
    <m/>
    <m/>
    <m/>
  </r>
  <r>
    <x v="6"/>
    <x v="2"/>
    <s v="C:\Users\cbarrier\Desktop\BPA\BPA\20201117_Cefas_Test6-Run2/Plate 1/@2/C2_02.tif "/>
    <s v=" 3136.3347 "/>
    <s v=" 32.3793 "/>
    <x v="0"/>
    <n v="101552"/>
    <m/>
    <m/>
    <m/>
  </r>
  <r>
    <x v="6"/>
    <x v="2"/>
    <s v="C:\Users\cbarrier\Desktop\BPA\BPA\20201117_Cefas_Test6-Run2/Plate 1/@2/C2_03.tif "/>
    <s v=" 5104.6551 "/>
    <s v=" 36.1017 "/>
    <x v="0"/>
    <n v="184287"/>
    <m/>
    <m/>
    <m/>
  </r>
  <r>
    <x v="6"/>
    <x v="3"/>
    <s v="C:\Users\cbarrier\Desktop\BPA\BPA\20201117_Cefas_Test6-Run2/Plate 1/@2/D2_01.tif "/>
    <s v=" 7700.2425 "/>
    <s v=" 37.1292 "/>
    <x v="0"/>
    <n v="285904"/>
    <m/>
    <m/>
    <m/>
  </r>
  <r>
    <x v="6"/>
    <x v="3"/>
    <s v="C:\Users\cbarrier\Desktop\BPA\BPA\20201117_Cefas_Test6-Run2/Plate 1/@2/D2_02.tif "/>
    <s v=" 6078.0004 "/>
    <s v=" 37.2527 "/>
    <x v="0"/>
    <n v="226422"/>
    <m/>
    <m/>
    <m/>
  </r>
  <r>
    <x v="6"/>
    <x v="3"/>
    <s v="C:\Users\cbarrier\Desktop\BPA\BPA\20201117_Cefas_Test6-Run2/Plate 1/@2/D2_03.tif "/>
    <s v=" 1124.7545 "/>
    <s v=" 33.0192 "/>
    <x v="0"/>
    <n v="37139"/>
    <m/>
    <m/>
    <m/>
  </r>
  <r>
    <x v="6"/>
    <x v="4"/>
    <s v="C:\Users\cbarrier\Desktop\BPA\BPA\20201117_Cefas_Test6-Run2/Plate 1/@2/E2_01.tif "/>
    <s v=" 14470.3995 "/>
    <s v=" 41.7175 "/>
    <x v="0"/>
    <n v="603669"/>
    <m/>
    <m/>
    <m/>
  </r>
  <r>
    <x v="6"/>
    <x v="4"/>
    <s v="C:\Users\cbarrier\Desktop\BPA\BPA\20201117_Cefas_Test6-Run2/Plate 1/@2/E2_02.tif "/>
    <s v=" 216.2989 "/>
    <s v=" 33.6 "/>
    <x v="0"/>
    <n v="7268"/>
    <m/>
    <m/>
    <m/>
  </r>
  <r>
    <x v="6"/>
    <x v="4"/>
    <s v="C:\Users\cbarrier\Desktop\BPA\BPA\20201117_Cefas_Test6-Run2/Plate 1/@2/E2_03- exclu.tif"/>
    <m/>
    <m/>
    <x v="1"/>
    <m/>
    <m/>
    <m/>
    <m/>
  </r>
  <r>
    <x v="6"/>
    <x v="5"/>
    <s v="C:\Users\cbarrier\Desktop\BPA\BPA\20201117_Cefas_Test6-Run2/Plate 1/@2/F2_01.tif "/>
    <n v="0"/>
    <n v="0"/>
    <x v="0"/>
    <n v="0"/>
    <m/>
    <m/>
    <m/>
  </r>
  <r>
    <x v="6"/>
    <x v="5"/>
    <s v="C:\Users\cbarrier\Desktop\BPA\BPA\20201117_Cefas_Test6-Run2/Plate 1/@2/F2_02- exclu.tif"/>
    <m/>
    <m/>
    <x v="1"/>
    <m/>
    <m/>
    <m/>
    <m/>
  </r>
  <r>
    <x v="6"/>
    <x v="5"/>
    <s v="C:\Users\cbarrier\Desktop\BPA\BPA\20201117_Cefas_Test6-Run2/Plate 1/@2/F2_03- exclu.tif"/>
    <m/>
    <m/>
    <x v="1"/>
    <m/>
    <m/>
    <m/>
    <m/>
  </r>
  <r>
    <x v="6"/>
    <x v="6"/>
    <s v="C:\Users\cbarrier\Desktop\BPA\BPA\20201117_Cefas_Test6-Run2/Plate 1/@2/G2_01- exclu.tif"/>
    <m/>
    <m/>
    <x v="1"/>
    <m/>
    <m/>
    <m/>
    <m/>
  </r>
  <r>
    <x v="6"/>
    <x v="6"/>
    <s v="C:\Users\cbarrier\Desktop\BPA\BPA\20201117_Cefas_Test6-Run2/Plate 1/@2/G2_02.tif "/>
    <s v=" 3417.5234 "/>
    <s v=" 36.6456 "/>
    <x v="0"/>
    <n v="125237"/>
    <m/>
    <m/>
    <m/>
  </r>
  <r>
    <x v="6"/>
    <x v="6"/>
    <s v="C:\Users\cbarrier\Desktop\BPA\BPA\20201117_Cefas_Test6-Run2/Plate 1/@2/G2_03.tif "/>
    <n v="0"/>
    <n v="0"/>
    <x v="0"/>
    <n v="0"/>
    <m/>
    <m/>
    <m/>
  </r>
  <r>
    <x v="6"/>
    <x v="7"/>
    <s v="C:\Users\cbarrier\Desktop\BPA\BPA\20201117_Cefas_Test6-Run2/Plate 1/@2/H2_01.tif "/>
    <s v=" 4088.0501 "/>
    <s v=" 36.1429 "/>
    <x v="0"/>
    <n v="147754"/>
    <m/>
    <m/>
    <m/>
  </r>
  <r>
    <x v="6"/>
    <x v="7"/>
    <s v="C:\Users\cbarrier\Desktop\BPA\BPA\20201117_Cefas_Test6-Run2/Plate 1/@2/H2_02.tif "/>
    <s v=" 3871.7511 "/>
    <s v=" 37.6983 "/>
    <x v="0"/>
    <n v="145959"/>
    <m/>
    <m/>
    <m/>
  </r>
  <r>
    <x v="6"/>
    <x v="7"/>
    <s v="C:\Users\cbarrier\Desktop\BPA\BPA\20201117_Cefas_Test6-Run2/Plate 1/@2/H2_03.tif "/>
    <s v=" 3763.6017 "/>
    <s v=" 35.7471 "/>
    <x v="0"/>
    <n v="134538"/>
    <m/>
    <m/>
    <m/>
  </r>
  <r>
    <x v="1"/>
    <x v="8"/>
    <s v=" "/>
    <m/>
    <m/>
    <x v="1"/>
    <m/>
    <m/>
    <m/>
    <m/>
  </r>
  <r>
    <x v="1"/>
    <x v="8"/>
    <s v="group "/>
    <s v=" "/>
    <s v=" mean of mean fluo "/>
    <x v="2"/>
    <s v=" mean of total fluo "/>
    <s v=" SD total fluo "/>
    <s v=" n fluorescent "/>
    <s v=" n total"/>
  </r>
  <r>
    <x v="6"/>
    <x v="9"/>
    <s v="C:\Users\cbarrier\Desktop\BPA\BPA\20201117_Cefas_Test6-Run2/Plate 1/@2/ "/>
    <s v=" "/>
    <s v=" 33.5932 "/>
    <x v="8"/>
    <s v=" 219280.333 "/>
    <s v=" 257252.564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cbarrier\Desktop\BPA\BPA\20201117_Cefas_Test6-Run2/Plate 1/@3/A3_01.tif "/>
    <s v=" 6813.4168 "/>
    <s v=" 39.5619 "/>
    <x v="0"/>
    <n v="269552"/>
    <m/>
    <m/>
    <m/>
  </r>
  <r>
    <x v="7"/>
    <x v="0"/>
    <s v="C:\Users\cbarrier\Desktop\BPA\BPA\20201117_Cefas_Test6-Run2/Plate 1/@3/A3_02.tif "/>
    <s v=" 692.1566 "/>
    <s v=" 32.7812 "/>
    <x v="0"/>
    <n v="22690"/>
    <m/>
    <m/>
    <m/>
  </r>
  <r>
    <x v="7"/>
    <x v="0"/>
    <s v="C:\Users\cbarrier\Desktop\BPA\BPA\20201117_Cefas_Test6-Run2/Plate 1/@3/A3_03.tif "/>
    <s v=" 605.637 "/>
    <s v=" 32.3214 "/>
    <x v="0"/>
    <n v="19575"/>
    <m/>
    <m/>
    <m/>
  </r>
  <r>
    <x v="7"/>
    <x v="1"/>
    <s v="C:\Users\cbarrier\Desktop\BPA\BPA\20201117_Cefas_Test6-Run2/Plate 1/@3/B3_01.tif "/>
    <s v=" 1038.2349 "/>
    <s v=" 34.4167 "/>
    <x v="0"/>
    <n v="35733"/>
    <m/>
    <m/>
    <m/>
  </r>
  <r>
    <x v="7"/>
    <x v="1"/>
    <s v="C:\Users\cbarrier\Desktop\BPA\BPA\20201117_Cefas_Test6-Run2/Plate 1/@3/B3_02.tif "/>
    <s v=" 605.637 "/>
    <s v=" 33.25 "/>
    <x v="0"/>
    <n v="20137"/>
    <m/>
    <m/>
    <m/>
  </r>
  <r>
    <x v="7"/>
    <x v="1"/>
    <s v="C:\Users\cbarrier\Desktop\BPA\BPA\20201117_Cefas_Test6-Run2/Plate 1/@3/B3_03- exclu.tif"/>
    <m/>
    <m/>
    <x v="1"/>
    <m/>
    <m/>
    <m/>
    <m/>
  </r>
  <r>
    <x v="7"/>
    <x v="2"/>
    <s v="C:\Users\cbarrier\Desktop\BPA\BPA\20201117_Cefas_Test6-Run2/Plate 1/@3/C3_01.tif "/>
    <s v=" 6121.2602 "/>
    <s v=" 38.0813 "/>
    <x v="0"/>
    <n v="233105"/>
    <m/>
    <m/>
    <m/>
  </r>
  <r>
    <x v="7"/>
    <x v="2"/>
    <s v="C:\Users\cbarrier\Desktop\BPA\BPA\20201117_Cefas_Test6-Run2/Plate 1/@3/C3_02- exclu.tif"/>
    <m/>
    <m/>
    <x v="1"/>
    <m/>
    <m/>
    <m/>
    <m/>
  </r>
  <r>
    <x v="7"/>
    <x v="2"/>
    <s v="C:\Users\cbarrier\Desktop\BPA\BPA\20201117_Cefas_Test6-Run2/Plate 1/@3/C3_03- exclu.tif"/>
    <m/>
    <m/>
    <x v="1"/>
    <m/>
    <m/>
    <m/>
    <m/>
  </r>
  <r>
    <x v="7"/>
    <x v="3"/>
    <s v="C:\Users\cbarrier\Desktop\BPA\BPA\20201117_Cefas_Test6-Run2/Plate 1/@3/D3_01.tif "/>
    <s v=" 584.0072 "/>
    <s v=" 31.2222 "/>
    <x v="0"/>
    <n v="18234"/>
    <m/>
    <m/>
    <m/>
  </r>
  <r>
    <x v="7"/>
    <x v="3"/>
    <s v="C:\Users\cbarrier\Desktop\BPA\BPA\20201117_Cefas_Test6-Run2/Plate 1/@3/D3_02.tif "/>
    <s v=" 1773.6514 "/>
    <n v="32"/>
    <x v="0"/>
    <n v="56757"/>
    <m/>
    <m/>
    <m/>
  </r>
  <r>
    <x v="7"/>
    <x v="3"/>
    <s v="C:\Users\cbarrier\Desktop\BPA\BPA\20201117_Cefas_Test6-Run2/Plate 1/@3/D3_03.tif "/>
    <s v=" 2984.9255 "/>
    <s v=" 33.0362 "/>
    <x v="0"/>
    <n v="98611"/>
    <m/>
    <m/>
    <m/>
  </r>
  <r>
    <x v="7"/>
    <x v="4"/>
    <s v="C:\Users\cbarrier\Desktop\BPA\BPA\20201117_Cefas_Test6-Run2/Plate 1/@3/E3_01.tif "/>
    <s v=" 5320.9541 "/>
    <s v=" 40.8171 "/>
    <x v="0"/>
    <n v="217186"/>
    <m/>
    <m/>
    <m/>
  </r>
  <r>
    <x v="7"/>
    <x v="4"/>
    <s v="C:\Users\cbarrier\Desktop\BPA\BPA\20201117_Cefas_Test6-Run2/Plate 1/@3/E3_02.tif "/>
    <s v=" 4390.8686 "/>
    <s v=" 37.7931 "/>
    <x v="0"/>
    <n v="165945"/>
    <m/>
    <m/>
    <m/>
  </r>
  <r>
    <x v="7"/>
    <x v="4"/>
    <s v="C:\Users\cbarrier\Desktop\BPA\BPA\20201117_Cefas_Test6-Run2/Plate 1/@3/E3_03.tif "/>
    <s v=" 5169.5448 "/>
    <s v=" 36.5272 "/>
    <x v="0"/>
    <n v="188829"/>
    <m/>
    <m/>
    <m/>
  </r>
  <r>
    <x v="7"/>
    <x v="5"/>
    <s v="C:\Users\cbarrier\Desktop\BPA\BPA\20201117_Cefas_Test6-Run2/Plate 1/@3/F3_01.tif "/>
    <n v="0"/>
    <n v="0"/>
    <x v="0"/>
    <n v="0"/>
    <m/>
    <m/>
    <m/>
  </r>
  <r>
    <x v="7"/>
    <x v="5"/>
    <s v="C:\Users\cbarrier\Desktop\BPA\BPA\20201117_Cefas_Test6-Run2/Plate 1/@3/F3_02.tif "/>
    <s v=" 5991.4808 "/>
    <s v=" 36.1227 "/>
    <x v="0"/>
    <n v="216429"/>
    <m/>
    <m/>
    <m/>
  </r>
  <r>
    <x v="7"/>
    <x v="5"/>
    <s v="C:\Users\cbarrier\Desktop\BPA\BPA\20201117_Cefas_Test6-Run2/Plate 1/@3/F3_03.tif "/>
    <s v=" 3547.3027 "/>
    <s v=" 39.1768 "/>
    <x v="0"/>
    <n v="138972"/>
    <m/>
    <m/>
    <m/>
  </r>
  <r>
    <x v="7"/>
    <x v="6"/>
    <s v="C:\Users\cbarrier\Desktop\BPA\BPA\20201117_Cefas_Test6-Run2/Plate 1/@3/G3_01.tif "/>
    <s v=" 43.2598 "/>
    <n v="32"/>
    <x v="0"/>
    <n v="1384"/>
    <m/>
    <m/>
    <m/>
  </r>
  <r>
    <x v="7"/>
    <x v="6"/>
    <s v="C:\Users\cbarrier\Desktop\BPA\BPA\20201117_Cefas_Test6-Run2/Plate 1/@3/G3_02.tif "/>
    <s v=" 5861.7014 "/>
    <s v=" 36.3358 "/>
    <x v="0"/>
    <n v="212990"/>
    <m/>
    <m/>
    <m/>
  </r>
  <r>
    <x v="7"/>
    <x v="6"/>
    <s v="C:\Users\cbarrier\Desktop\BPA\BPA\20201117_Cefas_Test6-Run2/Plate 1/@3/G3_03.tif "/>
    <s v=" 6013.1107 "/>
    <s v=" 36.4317 "/>
    <x v="0"/>
    <n v="219068"/>
    <m/>
    <m/>
    <m/>
  </r>
  <r>
    <x v="7"/>
    <x v="7"/>
    <s v="C:\Users\cbarrier\Desktop\BPA\BPA\20201117_Cefas_Test6-Run2/Plate 1/@3/H3_01.tif "/>
    <n v="0"/>
    <n v="0"/>
    <x v="0"/>
    <n v="0"/>
    <m/>
    <m/>
    <m/>
  </r>
  <r>
    <x v="7"/>
    <x v="7"/>
    <s v="C:\Users\cbarrier\Desktop\BPA\BPA\20201117_Cefas_Test6-Run2/Plate 1/@3/H3_02.tif "/>
    <s v=" 216.2989 "/>
    <s v=" 32.6 "/>
    <x v="0"/>
    <n v="7051"/>
    <m/>
    <m/>
    <m/>
  </r>
  <r>
    <x v="7"/>
    <x v="7"/>
    <s v="C:\Users\cbarrier\Desktop\BPA\BPA\20201117_Cefas_Test6-Run2/Plate 1/@3/H3_03.tif "/>
    <s v=" 584.0072 "/>
    <s v=" 31.9259 "/>
    <x v="0"/>
    <n v="18645"/>
    <m/>
    <m/>
    <m/>
  </r>
  <r>
    <x v="1"/>
    <x v="8"/>
    <s v=" "/>
    <m/>
    <m/>
    <x v="1"/>
    <m/>
    <m/>
    <m/>
    <m/>
  </r>
  <r>
    <x v="1"/>
    <x v="8"/>
    <s v="group "/>
    <s v=" "/>
    <s v=" mean of mean fluo "/>
    <x v="2"/>
    <s v=" mean of total fluo "/>
    <s v=" SD total fluo "/>
    <s v=" n fluorescent "/>
    <s v=" n total"/>
  </r>
  <r>
    <x v="7"/>
    <x v="9"/>
    <s v="C:\Users\cbarrier\Desktop\BPA\BPA\20201117_Cefas_Test6-Run2/Plate 1/@3/ "/>
    <s v=" "/>
    <s v=" 30.8566 "/>
    <x v="9"/>
    <s v=" 110473.833 "/>
    <s v=" 125021.735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cbarrier\Desktop\BPA\BPA\20201117_Cefas_Test6-Run2/Plate 1/@4/A4_01.tif "/>
    <s v=" 108.1495 "/>
    <s v=" 31.2 "/>
    <x v="0"/>
    <n v="3374"/>
    <m/>
    <m/>
    <m/>
  </r>
  <r>
    <x v="8"/>
    <x v="0"/>
    <s v="C:\Users\cbarrier\Desktop\BPA\BPA\20201117_Cefas_Test6-Run2/Plate 1/@4/A4_02.tif "/>
    <s v=" 1146.3844 "/>
    <s v=" 34.566 "/>
    <x v="0"/>
    <n v="39626"/>
    <m/>
    <m/>
    <m/>
  </r>
  <r>
    <x v="8"/>
    <x v="0"/>
    <s v="C:\Users\cbarrier\Desktop\BPA\BPA\20201117_Cefas_Test6-Run2/Plate 1/@4/A4_03- exclu.tif"/>
    <m/>
    <m/>
    <x v="1"/>
    <m/>
    <m/>
    <m/>
    <m/>
  </r>
  <r>
    <x v="8"/>
    <x v="1"/>
    <s v="C:\Users\cbarrier\Desktop\BPA\BPA\20201117_Cefas_Test6-Run2/Plate 1/@4/B4_01.tif "/>
    <s v=" 2184.6194 "/>
    <s v=" 33.6733 "/>
    <x v="0"/>
    <n v="73563"/>
    <m/>
    <m/>
    <m/>
  </r>
  <r>
    <x v="8"/>
    <x v="1"/>
    <s v="C:\Users\cbarrier\Desktop\BPA\BPA\20201117_Cefas_Test6-Run2/Plate 1/@4/B4_02.tif "/>
    <s v=" 1362.6834 "/>
    <s v=" 32.8413 "/>
    <x v="0"/>
    <n v="44752"/>
    <m/>
    <m/>
    <m/>
  </r>
  <r>
    <x v="8"/>
    <x v="1"/>
    <s v="C:\Users\cbarrier\Desktop\BPA\BPA\20201117_Cefas_Test6-Run2/Plate 1/@4/B4_03.tif "/>
    <s v=" 3136.3347 "/>
    <s v=" 35.3793 "/>
    <x v="0"/>
    <n v="110961"/>
    <m/>
    <m/>
    <m/>
  </r>
  <r>
    <x v="8"/>
    <x v="2"/>
    <s v="C:\Users\cbarrier\Desktop\BPA\BPA\20201117_Cefas_Test6-Run2/Plate 1/@4/C4_01- exclu.tif"/>
    <m/>
    <m/>
    <x v="1"/>
    <m/>
    <m/>
    <m/>
    <m/>
  </r>
  <r>
    <x v="8"/>
    <x v="2"/>
    <s v="C:\Users\cbarrier\Desktop\BPA\BPA\20201117_Cefas_Test6-Run2/Plate 1/@4/C4_02- exclu.tif"/>
    <m/>
    <m/>
    <x v="1"/>
    <m/>
    <m/>
    <m/>
    <m/>
  </r>
  <r>
    <x v="8"/>
    <x v="2"/>
    <s v="C:\Users\cbarrier\Desktop\BPA\BPA\20201117_Cefas_Test6-Run2/Plate 1/@4/C4_03- exclu.tif"/>
    <m/>
    <m/>
    <x v="1"/>
    <m/>
    <m/>
    <m/>
    <m/>
  </r>
  <r>
    <x v="8"/>
    <x v="3"/>
    <s v="C:\Users\cbarrier\Desktop\BPA\BPA\20201117_Cefas_Test6-Run2/Plate 1/@4/D4_01.tif "/>
    <s v=" 173.0392 "/>
    <s v=" 30.75 "/>
    <x v="0"/>
    <n v="5321"/>
    <m/>
    <m/>
    <m/>
  </r>
  <r>
    <x v="8"/>
    <x v="3"/>
    <s v="C:\Users\cbarrier\Desktop\BPA\BPA\20201117_Cefas_Test6-Run2/Plate 1/@4/D4_02.tif "/>
    <s v=" 4780.2067 "/>
    <s v=" 33.8778 "/>
    <x v="0"/>
    <n v="161943"/>
    <m/>
    <m/>
    <m/>
  </r>
  <r>
    <x v="8"/>
    <x v="3"/>
    <s v="C:\Users\cbarrier\Desktop\BPA\BPA\20201117_Cefas_Test6-Run2/Plate 1/@4/D4_03.tif "/>
    <s v=" 4109.68 "/>
    <s v=" 35.1158 "/>
    <x v="0"/>
    <n v="144315"/>
    <m/>
    <m/>
    <m/>
  </r>
  <r>
    <x v="8"/>
    <x v="4"/>
    <s v="C:\Users\cbarrier\Desktop\BPA\BPA\20201117_Cefas_Test6-Run2/Plate 1/@4/E4_01.tif "/>
    <s v=" 5256.0644 "/>
    <s v=" 37.214 "/>
    <x v="0"/>
    <n v="195599"/>
    <m/>
    <m/>
    <m/>
  </r>
  <r>
    <x v="8"/>
    <x v="4"/>
    <s v="C:\Users\cbarrier\Desktop\BPA\BPA\20201117_Cefas_Test6-Run2/Plate 1/@4/E4_02.tif "/>
    <s v=" 302.8185 "/>
    <s v=" 31.3571 "/>
    <x v="0"/>
    <n v="9496"/>
    <m/>
    <m/>
    <m/>
  </r>
  <r>
    <x v="8"/>
    <x v="4"/>
    <s v="C:\Users\cbarrier\Desktop\BPA\BPA\20201117_Cefas_Test6-Run2/Plate 1/@4/E4_03.tif "/>
    <s v=" 5364.2139 "/>
    <s v=" 40.3226 "/>
    <x v="0"/>
    <n v="216299"/>
    <m/>
    <m/>
    <m/>
  </r>
  <r>
    <x v="8"/>
    <x v="5"/>
    <s v="C:\Users\cbarrier\Desktop\BPA\BPA\20201117_Cefas_Test6-Run2/Plate 1/@4/F4_01.tif "/>
    <s v=" 5948.221 "/>
    <s v=" 39.2364 "/>
    <x v="0"/>
    <n v="233387"/>
    <m/>
    <m/>
    <m/>
  </r>
  <r>
    <x v="8"/>
    <x v="5"/>
    <s v="C:\Users\cbarrier\Desktop\BPA\BPA\20201117_Cefas_Test6-Run2/Plate 1/@4/F4_02.tif "/>
    <s v=" 4239.4593 "/>
    <s v=" 37.7806 "/>
    <x v="0"/>
    <n v="160169"/>
    <m/>
    <m/>
    <m/>
  </r>
  <r>
    <x v="8"/>
    <x v="5"/>
    <s v="C:\Users\cbarrier\Desktop\BPA\BPA\20201117_Cefas_Test6-Run2/Plate 1/@4/F4_03.tif "/>
    <s v=" 4174.5697 "/>
    <s v=" 36.9275 "/>
    <x v="0"/>
    <n v="154156"/>
    <m/>
    <m/>
    <m/>
  </r>
  <r>
    <x v="8"/>
    <x v="6"/>
    <s v="C:\Users\cbarrier\Desktop\BPA\BPA\20201117_Cefas_Test6-Run2/Plate 1/@4/G4_01.tif "/>
    <s v=" 12026.2214 "/>
    <s v=" 41.3094 "/>
    <x v="0"/>
    <n v="496795"/>
    <m/>
    <m/>
    <m/>
  </r>
  <r>
    <x v="8"/>
    <x v="6"/>
    <s v="C:\Users\cbarrier\Desktop\BPA\BPA\20201117_Cefas_Test6-Run2/Plate 1/@4/G4_02.tif "/>
    <s v=" 13064.4564 "/>
    <s v=" 34.8642 "/>
    <x v="0"/>
    <n v="455482"/>
    <m/>
    <m/>
    <m/>
  </r>
  <r>
    <x v="8"/>
    <x v="6"/>
    <s v="C:\Users\cbarrier\Desktop\BPA\BPA\20201117_Cefas_Test6-Run2/Plate 1/@4/G4_03- exclu.tif"/>
    <m/>
    <m/>
    <x v="1"/>
    <m/>
    <m/>
    <m/>
    <m/>
  </r>
  <r>
    <x v="8"/>
    <x v="7"/>
    <s v="C:\Users\cbarrier\Desktop\BPA\BPA\20201117_Cefas_Test6-Run2/Plate 1/@4/H4_01.tif "/>
    <s v=" 4023.1604 "/>
    <s v=" 35.4946 "/>
    <x v="0"/>
    <n v="142801"/>
    <m/>
    <m/>
    <m/>
  </r>
  <r>
    <x v="8"/>
    <x v="7"/>
    <s v="C:\Users\cbarrier\Desktop\BPA\BPA\20201117_Cefas_Test6-Run2/Plate 1/@4/H4_02.tif "/>
    <s v=" 2509.0678 "/>
    <s v=" 38.1379 "/>
    <x v="0"/>
    <n v="95691"/>
    <m/>
    <m/>
    <m/>
  </r>
  <r>
    <x v="8"/>
    <x v="7"/>
    <s v="C:\Users\cbarrier\Desktop\BPA\BPA\20201117_Cefas_Test6-Run2/Plate 1/@4/H4_03.tif "/>
    <s v=" 9279.2248 "/>
    <s v=" 38.7902 "/>
    <x v="0"/>
    <n v="359943"/>
    <m/>
    <m/>
    <m/>
  </r>
  <r>
    <x v="1"/>
    <x v="8"/>
    <s v=" "/>
    <m/>
    <m/>
    <x v="1"/>
    <m/>
    <m/>
    <m/>
    <m/>
  </r>
  <r>
    <x v="1"/>
    <x v="8"/>
    <s v="group "/>
    <s v=" "/>
    <s v=" mean of mean fluo "/>
    <x v="2"/>
    <s v=" mean of total fluo "/>
    <s v=" SD total fluo "/>
    <s v=" n fluorescent "/>
    <s v=" n total"/>
  </r>
  <r>
    <x v="8"/>
    <x v="9"/>
    <s v="C:\Users\cbarrier\Desktop\BPA\BPA\20201117_Cefas_Test6-Run2/Plate 1/@4/ "/>
    <s v=" "/>
    <s v=" 34.3947 "/>
    <x v="10"/>
    <s v=" 205544.333 "/>
    <s v=" 255013.901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cbarrier\Desktop\BPA\BPA\20201117_Cefas_Test6-Run2/Plate 1/@5/A5_01.tif "/>
    <s v=" 43.2598 "/>
    <s v=" 31.5 "/>
    <x v="0"/>
    <n v="1363"/>
    <m/>
    <m/>
    <m/>
  </r>
  <r>
    <x v="9"/>
    <x v="0"/>
    <s v="C:\Users\cbarrier\Desktop\BPA\BPA\20201117_Cefas_Test6-Run2/Plate 1/@5/A5_02.tif "/>
    <n v="0"/>
    <n v="0"/>
    <x v="0"/>
    <n v="0"/>
    <m/>
    <m/>
    <m/>
  </r>
  <r>
    <x v="9"/>
    <x v="0"/>
    <s v="C:\Users\cbarrier\Desktop\BPA\BPA\20201117_Cefas_Test6-Run2/Plate 1/@5/A5_03- exclu.tif"/>
    <m/>
    <m/>
    <x v="1"/>
    <m/>
    <m/>
    <m/>
    <m/>
  </r>
  <r>
    <x v="9"/>
    <x v="1"/>
    <s v="C:\Users\cbarrier\Desktop\BPA\BPA\20201117_Cefas_Test6-Run2/Plate 1/@5/B5_01.tif "/>
    <s v=" 25523.2757 "/>
    <s v=" 33.15 "/>
    <x v="0"/>
    <n v="846097"/>
    <m/>
    <m/>
    <m/>
  </r>
  <r>
    <x v="9"/>
    <x v="1"/>
    <s v="C:\Users\cbarrier\Desktop\BPA\BPA\20201117_Cefas_Test6-Run2/Plate 1/@5/B5_02.tif "/>
    <s v=" 39128.4794 "/>
    <s v=" 35.4024 "/>
    <x v="0"/>
    <n v="1385243"/>
    <m/>
    <m/>
    <m/>
  </r>
  <r>
    <x v="9"/>
    <x v="1"/>
    <s v="C:\Users\cbarrier\Desktop\BPA\BPA\20201117_Cefas_Test6-Run2/Plate 1/@5/B5_03.tif "/>
    <s v=" 34845.7602 "/>
    <s v=" 34.509 "/>
    <x v="0"/>
    <n v="1202492"/>
    <m/>
    <m/>
    <m/>
  </r>
  <r>
    <x v="9"/>
    <x v="2"/>
    <s v="C:\Users\cbarrier\Desktop\BPA\BPA\20201117_Cefas_Test6-Run2/Plate 1/@5/C5_01.tif "/>
    <s v=" 2011.5802 "/>
    <s v=" 34.129 "/>
    <x v="0"/>
    <n v="68653"/>
    <m/>
    <m/>
    <m/>
  </r>
  <r>
    <x v="9"/>
    <x v="2"/>
    <s v="C:\Users\cbarrier\Desktop\BPA\BPA\20201117_Cefas_Test6-Run2/Plate 1/@5/C5_02.tif "/>
    <s v=" 692.1566 "/>
    <s v=" 31.4688 "/>
    <x v="0"/>
    <n v="21781"/>
    <m/>
    <m/>
    <m/>
  </r>
  <r>
    <x v="9"/>
    <x v="2"/>
    <s v="C:\Users\cbarrier\Desktop\BPA\BPA\20201117_Cefas_Test6-Run2/Plate 1/@5/C5_03.tif "/>
    <n v="0"/>
    <n v="0"/>
    <x v="0"/>
    <n v="0"/>
    <m/>
    <m/>
    <m/>
  </r>
  <r>
    <x v="9"/>
    <x v="3"/>
    <s v="C:\Users\cbarrier\Desktop\BPA\BPA\20201117_Cefas_Test6-Run2/Plate 1/@5/D5_01.tif "/>
    <n v="0"/>
    <n v="0"/>
    <x v="0"/>
    <n v="0"/>
    <m/>
    <m/>
    <m/>
  </r>
  <r>
    <x v="9"/>
    <x v="3"/>
    <s v="C:\Users\cbarrier\Desktop\BPA\BPA\20201117_Cefas_Test6-Run2/Plate 1/@5/D5_02- exclu.tif"/>
    <m/>
    <m/>
    <x v="1"/>
    <m/>
    <m/>
    <m/>
    <m/>
  </r>
  <r>
    <x v="9"/>
    <x v="3"/>
    <s v="C:\Users\cbarrier\Desktop\BPA\BPA\20201117_Cefas_Test6-Run2/Plate 1/@5/D5_03.tif "/>
    <n v="0"/>
    <n v="0"/>
    <x v="0"/>
    <n v="0"/>
    <m/>
    <m/>
    <m/>
  </r>
  <r>
    <x v="9"/>
    <x v="4"/>
    <s v="C:\Users\cbarrier\Desktop\BPA\BPA\20201117_Cefas_Test6-Run2/Plate 1/@5/E5_01.tif "/>
    <s v=" 30995.639 "/>
    <s v=" 31.529 "/>
    <x v="0"/>
    <n v="977260"/>
    <m/>
    <m/>
    <m/>
  </r>
  <r>
    <x v="9"/>
    <x v="4"/>
    <s v="C:\Users\cbarrier\Desktop\BPA\BPA\20201117_Cefas_Test6-Run2/Plate 1/@5/E5_02.tif "/>
    <s v=" 3525.6728 "/>
    <s v=" 31.3926 "/>
    <x v="0"/>
    <n v="110680"/>
    <m/>
    <m/>
    <m/>
  </r>
  <r>
    <x v="9"/>
    <x v="4"/>
    <s v="C:\Users\cbarrier\Desktop\BPA\BPA\20201117_Cefas_Test6-Run2/Plate 1/@5/E5_03.tif "/>
    <s v=" 14275.7305 "/>
    <s v=" 31.4091 "/>
    <x v="0"/>
    <n v="448388"/>
    <m/>
    <m/>
    <m/>
  </r>
  <r>
    <x v="9"/>
    <x v="5"/>
    <s v="C:\Users\cbarrier\Desktop\BPA\BPA\20201117_Cefas_Test6-Run2/Plate 1/@5/F5_01.tif "/>
    <n v="0"/>
    <n v="0"/>
    <x v="0"/>
    <n v="0"/>
    <m/>
    <m/>
    <m/>
  </r>
  <r>
    <x v="9"/>
    <x v="5"/>
    <s v="C:\Users\cbarrier\Desktop\BPA\BPA\20201117_Cefas_Test6-Run2/Plate 1/@5/F5_02.tif "/>
    <s v=" 713.7865 "/>
    <s v=" 31.1515 "/>
    <x v="0"/>
    <n v="22236"/>
    <m/>
    <m/>
    <m/>
  </r>
  <r>
    <x v="9"/>
    <x v="5"/>
    <s v="C:\Users\cbarrier\Desktop\BPA\BPA\20201117_Cefas_Test6-Run2/Plate 1/@5/F5_03.tif "/>
    <n v="0"/>
    <n v="0"/>
    <x v="0"/>
    <n v="0"/>
    <m/>
    <m/>
    <m/>
  </r>
  <r>
    <x v="9"/>
    <x v="6"/>
    <s v="C:\Users\cbarrier\Desktop\BPA\BPA\20201117_Cefas_Test6-Run2/Plate 1/@5/G5_01.tif "/>
    <s v=" 6424.0787 "/>
    <s v=" 40.3232 "/>
    <x v="0"/>
    <n v="259040"/>
    <m/>
    <m/>
    <m/>
  </r>
  <r>
    <x v="9"/>
    <x v="6"/>
    <s v="C:\Users\cbarrier\Desktop\BPA\BPA\20201117_Cefas_Test6-Run2/Plate 1/@5/G5_02.tif "/>
    <s v=" 3915.0109 "/>
    <s v=" 36.9116 "/>
    <x v="0"/>
    <n v="144509"/>
    <m/>
    <m/>
    <m/>
  </r>
  <r>
    <x v="9"/>
    <x v="6"/>
    <s v="C:\Users\cbarrier\Desktop\BPA\BPA\20201117_Cefas_Test6-Run2/Plate 1/@5/G5_03.tif "/>
    <s v=" 3741.9718 "/>
    <s v=" 35.4682 "/>
    <x v="0"/>
    <n v="132721"/>
    <m/>
    <m/>
    <m/>
  </r>
  <r>
    <x v="9"/>
    <x v="7"/>
    <s v="C:\Users\cbarrier\Desktop\BPA\BPA\20201117_Cefas_Test6-Run2/Plate 1/@5/H5_01.tif "/>
    <s v=" 2725.3667 "/>
    <s v=" 33.3095 "/>
    <x v="0"/>
    <n v="90781"/>
    <m/>
    <m/>
    <m/>
  </r>
  <r>
    <x v="9"/>
    <x v="7"/>
    <s v="C:\Users\cbarrier\Desktop\BPA\BPA\20201117_Cefas_Test6-Run2/Plate 1/@5/H5_02.tif "/>
    <s v=" 5602.1427 "/>
    <s v=" 39.1506 "/>
    <x v="0"/>
    <n v="219327"/>
    <m/>
    <m/>
    <m/>
  </r>
  <r>
    <x v="9"/>
    <x v="7"/>
    <s v="C:\Users\cbarrier\Desktop\BPA\BPA\20201117_Cefas_Test6-Run2/Plate 1/@5/H5_03.tif "/>
    <s v=" 2444.1781 "/>
    <s v=" 34.2035 "/>
    <x v="0"/>
    <n v="83600"/>
    <m/>
    <m/>
    <m/>
  </r>
  <r>
    <x v="1"/>
    <x v="8"/>
    <s v=" "/>
    <m/>
    <m/>
    <x v="1"/>
    <m/>
    <m/>
    <m/>
    <m/>
  </r>
  <r>
    <x v="1"/>
    <x v="8"/>
    <s v="group "/>
    <s v=" "/>
    <s v=" mean of mean fluo "/>
    <x v="2"/>
    <s v=" mean of total fluo "/>
    <s v=" SD total fluo "/>
    <s v=" n fluorescent "/>
    <s v=" n total"/>
  </r>
  <r>
    <x v="9"/>
    <x v="9"/>
    <s v="C:\Users\cbarrier\Desktop\BPA\BPA\20201117_Cefas_Test6-Run2/Plate 1/@5/ "/>
    <s v=" "/>
    <s v=" 24.0956 "/>
    <x v="11"/>
    <s v=" 251220.417 "/>
    <s v=" 412272.07 "/>
    <n v="17"/>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cbarrier\Desktop\BPA\BPA\20201117_Cefas_Test6-Run2/Plate 1/@6/A6_01.tif "/>
    <s v=" 51154.7008 "/>
    <s v=" 41.814 "/>
    <x v="0"/>
    <n v="2138980"/>
    <m/>
    <m/>
    <m/>
  </r>
  <r>
    <x v="10"/>
    <x v="0"/>
    <s v="C:\Users\cbarrier\Desktop\BPA\BPA\20201117_Cefas_Test6-Run2/Plate 1/@6/A6_02.tif "/>
    <s v=" 48861.932 "/>
    <s v=" 44.9637 "/>
    <x v="0"/>
    <n v="2197013"/>
    <m/>
    <m/>
    <m/>
  </r>
  <r>
    <x v="10"/>
    <x v="0"/>
    <s v="C:\Users\cbarrier\Desktop\BPA\BPA\20201117_Cefas_Test6-Run2/Plate 1/@6/A6_03.tif "/>
    <s v=" 66036.0683 "/>
    <s v=" 42.0606 "/>
    <x v="0"/>
    <n v="2777516"/>
    <m/>
    <m/>
    <m/>
  </r>
  <r>
    <x v="10"/>
    <x v="1"/>
    <s v="C:\Users\cbarrier\Desktop\BPA\BPA\20201117_Cefas_Test6-Run2/Plate 1/@6/B6_01.tif "/>
    <s v=" 50938.4019 "/>
    <s v=" 46.118 "/>
    <x v="0"/>
    <n v="2349180"/>
    <m/>
    <m/>
    <m/>
  </r>
  <r>
    <x v="10"/>
    <x v="1"/>
    <s v="C:\Users\cbarrier\Desktop\BPA\BPA\20201117_Cefas_Test6-Run2/Plate 1/@6/B6_02.tif "/>
    <s v=" 53620.5088 "/>
    <s v=" 42.1436 "/>
    <x v="0"/>
    <n v="2259762"/>
    <m/>
    <m/>
    <m/>
  </r>
  <r>
    <x v="10"/>
    <x v="1"/>
    <s v="C:\Users\cbarrier\Desktop\BPA\BPA\20201117_Cefas_Test6-Run2/Plate 1/@6/B6_03.tif "/>
    <s v=" 46742.2023 "/>
    <s v=" 46.0639 "/>
    <x v="0"/>
    <n v="2153126"/>
    <m/>
    <m/>
    <m/>
  </r>
  <r>
    <x v="10"/>
    <x v="2"/>
    <s v="C:\Users\cbarrier\Desktop\BPA\BPA\20201117_Cefas_Test6-Run2/Plate 1/@6/C6_01.tif "/>
    <s v=" 61126.0822 "/>
    <s v=" 46.3857 "/>
    <x v="0"/>
    <n v="2835376"/>
    <m/>
    <m/>
    <m/>
  </r>
  <r>
    <x v="10"/>
    <x v="2"/>
    <s v="C:\Users\cbarrier\Desktop\BPA\BPA\20201117_Cefas_Test6-Run2/Plate 1/@6/C6_02.tif "/>
    <s v=" 58681.9041 "/>
    <s v=" 49.2525 "/>
    <x v="0"/>
    <n v="2890230"/>
    <m/>
    <m/>
    <m/>
  </r>
  <r>
    <x v="10"/>
    <x v="2"/>
    <s v="C:\Users\cbarrier\Desktop\BPA\BPA\20201117_Cefas_Test6-Run2/Plate 1/@6/C6_03.tif "/>
    <s v=" 61991.278 "/>
    <s v=" 48.1553 "/>
    <x v="0"/>
    <n v="2985207"/>
    <m/>
    <m/>
    <m/>
  </r>
  <r>
    <x v="10"/>
    <x v="3"/>
    <s v="C:\Users\cbarrier\Desktop\BPA\BPA\20201117_Cefas_Test6-Run2/Plate 1/@6/D6_01- exclu.tif"/>
    <m/>
    <m/>
    <x v="1"/>
    <m/>
    <m/>
    <m/>
    <m/>
  </r>
  <r>
    <x v="10"/>
    <x v="3"/>
    <s v="C:\Users\cbarrier\Desktop\BPA\BPA\20201117_Cefas_Test6-Run2/Plate 1/@6/D6_02- exclu.tif"/>
    <m/>
    <m/>
    <x v="1"/>
    <m/>
    <m/>
    <m/>
    <m/>
  </r>
  <r>
    <x v="10"/>
    <x v="3"/>
    <s v="C:\Users\cbarrier\Desktop\BPA\BPA\20201117_Cefas_Test6-Run2/Plate 1/@6/D6_03- exclu.tif"/>
    <m/>
    <m/>
    <x v="1"/>
    <m/>
    <m/>
    <m/>
    <m/>
  </r>
  <r>
    <x v="10"/>
    <x v="4"/>
    <s v="C:\Users\cbarrier\Desktop\BPA\BPA\20201117_Cefas_Test6-Run2/Plate 1/@6/E6_01.tif "/>
    <s v=" 99194.6968 "/>
    <s v=" 50.1742 "/>
    <x v="0"/>
    <n v="4977017"/>
    <m/>
    <m/>
    <m/>
  </r>
  <r>
    <x v="10"/>
    <x v="4"/>
    <s v="C:\Users\cbarrier\Desktop\BPA\BPA\20201117_Cefas_Test6-Run2/Plate 1/@6/E6_02.tif "/>
    <s v=" 98653.9494 "/>
    <s v=" 47.4389 "/>
    <x v="0"/>
    <n v="4680039"/>
    <m/>
    <m/>
    <m/>
  </r>
  <r>
    <x v="10"/>
    <x v="4"/>
    <s v="C:\Users\cbarrier\Desktop\BPA\BPA\20201117_Cefas_Test6-Run2/Plate 1/@6/E6_03.tif "/>
    <s v=" 92727.3583 "/>
    <s v=" 45.7331 "/>
    <x v="0"/>
    <n v="4240714"/>
    <m/>
    <m/>
    <m/>
  </r>
  <r>
    <x v="10"/>
    <x v="5"/>
    <s v="C:\Users\cbarrier\Desktop\BPA\BPA\20201117_Cefas_Test6-Run2/Plate 1/@6/F6_01.tif "/>
    <s v=" 49143.1206 "/>
    <s v=" 43.5066 "/>
    <x v="0"/>
    <n v="2138050"/>
    <m/>
    <m/>
    <m/>
  </r>
  <r>
    <x v="10"/>
    <x v="5"/>
    <s v="C:\Users\cbarrier\Desktop\BPA\BPA\20201117_Cefas_Test6-Run2/Plate 1/@6/F6_02.tif "/>
    <s v=" 47023.3909 "/>
    <s v=" 45.4742 "/>
    <x v="0"/>
    <n v="2138353"/>
    <m/>
    <m/>
    <m/>
  </r>
  <r>
    <x v="10"/>
    <x v="5"/>
    <s v="C:\Users\cbarrier\Desktop\BPA\BPA\20201117_Cefas_Test6-Run2/Plate 1/@6/F6_03.tif "/>
    <s v=" 49792.0174 "/>
    <s v=" 49.2024 "/>
    <x v="0"/>
    <n v="2449888"/>
    <m/>
    <m/>
    <m/>
  </r>
  <r>
    <x v="10"/>
    <x v="6"/>
    <s v="C:\Users\cbarrier\Desktop\BPA\BPA\20201117_Cefas_Test6-Run2/Plate 1/@6/G6_01.tif "/>
    <s v=" 68090.9083 "/>
    <s v=" 43.0492 "/>
    <x v="0"/>
    <n v="2931262"/>
    <m/>
    <m/>
    <m/>
  </r>
  <r>
    <x v="10"/>
    <x v="6"/>
    <s v="C:\Users\cbarrier\Desktop\BPA\BPA\20201117_Cefas_Test6-Run2/Plate 1/@6/G6_02.tif "/>
    <s v=" 59417.3205 "/>
    <s v=" 45.5941 "/>
    <x v="0"/>
    <n v="2709079"/>
    <m/>
    <m/>
    <m/>
  </r>
  <r>
    <x v="10"/>
    <x v="6"/>
    <s v="C:\Users\cbarrier\Desktop\BPA\BPA\20201117_Cefas_Test6-Run2/Plate 1/@6/G6_03.tif "/>
    <s v=" 54918.3025 "/>
    <s v=" 42.0654 "/>
    <x v="0"/>
    <n v="2310159"/>
    <m/>
    <m/>
    <m/>
  </r>
  <r>
    <x v="10"/>
    <x v="7"/>
    <s v="C:\Users\cbarrier\Desktop\BPA\BPA\20201117_Cefas_Test6-Run2/Plate 1/@6/H6_01.tif "/>
    <s v=" 67506.9011 "/>
    <s v=" 43.2634 "/>
    <x v="0"/>
    <n v="2920577"/>
    <m/>
    <m/>
    <m/>
  </r>
  <r>
    <x v="10"/>
    <x v="7"/>
    <s v="C:\Users\cbarrier\Desktop\BPA\BPA\20201117_Cefas_Test6-Run2/Plate 1/@6/H6_02.tif "/>
    <s v=" 62726.6944 "/>
    <s v=" 40.13 "/>
    <x v="0"/>
    <n v="2517222"/>
    <m/>
    <m/>
    <m/>
  </r>
  <r>
    <x v="10"/>
    <x v="7"/>
    <s v="C:\Users\cbarrier\Desktop\BPA\BPA\20201117_Cefas_Test6-Run2/Plate 1/@6/H6_03.tif "/>
    <s v=" 56691.9538 "/>
    <s v=" 44.2068 "/>
    <x v="0"/>
    <n v="2506169"/>
    <m/>
    <m/>
    <m/>
  </r>
  <r>
    <x v="1"/>
    <x v="8"/>
    <s v=" "/>
    <m/>
    <m/>
    <x v="1"/>
    <m/>
    <m/>
    <m/>
    <m/>
  </r>
  <r>
    <x v="1"/>
    <x v="8"/>
    <s v="group "/>
    <s v=" "/>
    <s v=" mean of mean fluo "/>
    <x v="2"/>
    <s v=" mean of total fluo "/>
    <s v=" SD total fluo "/>
    <s v=" n fluorescent "/>
    <s v=" n total"/>
  </r>
  <r>
    <x v="10"/>
    <x v="9"/>
    <s v="C:\Users\cbarrier\Desktop\BPA\BPA\20201117_Cefas_Test6-Run2/Plate 1/@6/ "/>
    <s v=" "/>
    <s v=" 44.8068 "/>
    <x v="12"/>
    <s v=" 2605293.71 "/>
    <s v=" 953547.29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cbarrier\Desktop\BPA\BPA\20201117_Cefas_Test6-Run2/Plate 1/@7/A7_01.tif "/>
    <s v=" 80701.1369 "/>
    <s v=" 58.9461 "/>
    <x v="0"/>
    <n v="4757019"/>
    <m/>
    <m/>
    <m/>
  </r>
  <r>
    <x v="11"/>
    <x v="0"/>
    <s v="C:\Users\cbarrier\Desktop\BPA\BPA\20201117_Cefas_Test6-Run2/Plate 1/@7/A7_02.tif "/>
    <s v=" 92035.2016 "/>
    <s v=" 52.6531 "/>
    <x v="0"/>
    <n v="4845940"/>
    <m/>
    <m/>
    <m/>
  </r>
  <r>
    <x v="11"/>
    <x v="0"/>
    <s v="C:\Users\cbarrier\Desktop\BPA\BPA\20201117_Cefas_Test6-Run2/Plate 1/@7/A7_03.tif "/>
    <s v=" 89309.8349 "/>
    <s v=" 57.2662 "/>
    <x v="0"/>
    <n v="5114432"/>
    <m/>
    <m/>
    <m/>
  </r>
  <r>
    <x v="11"/>
    <x v="1"/>
    <s v="C:\Users\cbarrier\Desktop\BPA\BPA\20201117_Cefas_Test6-Run2/Plate 1/@7/B7_01.tif "/>
    <s v=" 68004.3887 "/>
    <s v=" 53.833 "/>
    <x v="0"/>
    <n v="3660881"/>
    <m/>
    <m/>
    <m/>
  </r>
  <r>
    <x v="11"/>
    <x v="1"/>
    <s v="C:\Users\cbarrier\Desktop\BPA\BPA\20201117_Cefas_Test6-Run2/Plate 1/@7/B7_02.tif "/>
    <s v=" 67377.1218 "/>
    <s v=" 54.2421 "/>
    <x v="0"/>
    <n v="3654674"/>
    <m/>
    <m/>
    <m/>
  </r>
  <r>
    <x v="11"/>
    <x v="1"/>
    <s v="C:\Users\cbarrier\Desktop\BPA\BPA\20201117_Cefas_Test6-Run2/Plate 1/@7/B7_03.tif "/>
    <s v=" 67160.8228 "/>
    <s v=" 53.9233 "/>
    <x v="0"/>
    <n v="3621537"/>
    <m/>
    <m/>
    <m/>
  </r>
  <r>
    <x v="11"/>
    <x v="2"/>
    <s v="C:\Users\cbarrier\Desktop\BPA\BPA\20201117_Cefas_Test6-Run2/Plate 1/@7/C7_01.tif "/>
    <s v=" 91191.6358 "/>
    <s v=" 53.6708 "/>
    <x v="0"/>
    <n v="4894326"/>
    <m/>
    <m/>
    <m/>
  </r>
  <r>
    <x v="11"/>
    <x v="2"/>
    <s v="C:\Users\cbarrier\Desktop\BPA\BPA\20201117_Cefas_Test6-Run2/Plate 1/@7/C7_02.tif "/>
    <s v=" 77997.4 "/>
    <s v=" 55.8747 "/>
    <x v="0"/>
    <n v="4358078"/>
    <m/>
    <m/>
    <m/>
  </r>
  <r>
    <x v="11"/>
    <x v="2"/>
    <s v="C:\Users\cbarrier\Desktop\BPA\BPA\20201117_Cefas_Test6-Run2/Plate 1/@7/C7_03.tif "/>
    <s v=" 81739.3718 "/>
    <s v=" 55.7997 "/>
    <x v="0"/>
    <n v="4561031"/>
    <m/>
    <m/>
    <m/>
  </r>
  <r>
    <x v="11"/>
    <x v="3"/>
    <s v="C:\Users\cbarrier\Desktop\BPA\BPA\20201117_Cefas_Test6-Run2/Plate 1/@7/D7_01.tif "/>
    <s v=" 78429.9979 "/>
    <s v=" 55.2722 "/>
    <x v="0"/>
    <n v="4334999"/>
    <m/>
    <m/>
    <m/>
  </r>
  <r>
    <x v="11"/>
    <x v="3"/>
    <s v="C:\Users\cbarrier\Desktop\BPA\BPA\20201117_Cefas_Test6-Run2/Plate 1/@7/D7_02.tif "/>
    <s v=" 80549.7276 "/>
    <s v=" 57.1321 "/>
    <x v="0"/>
    <n v="4601976"/>
    <m/>
    <m/>
    <m/>
  </r>
  <r>
    <x v="11"/>
    <x v="3"/>
    <s v="C:\Users\cbarrier\Desktop\BPA\BPA\20201117_Cefas_Test6-Run2/Plate 1/@7/D7_03.tif "/>
    <s v=" 78148.8093 "/>
    <s v=" 54.6028 "/>
    <x v="0"/>
    <n v="4267146"/>
    <m/>
    <m/>
    <m/>
  </r>
  <r>
    <x v="11"/>
    <x v="4"/>
    <s v="C:\Users\cbarrier\Desktop\BPA\BPA\20201117_Cefas_Test6-Run2/Plate 1/@7/E7_01- exclu.tif"/>
    <m/>
    <m/>
    <x v="1"/>
    <m/>
    <m/>
    <m/>
    <m/>
  </r>
  <r>
    <x v="11"/>
    <x v="4"/>
    <s v="C:\Users\cbarrier\Desktop\BPA\BPA\20201117_Cefas_Test6-Run2/Plate 1/@7/E7_02.tif "/>
    <s v=" 65841.3993 "/>
    <s v=" 59.1659 "/>
    <x v="0"/>
    <n v="3895566"/>
    <m/>
    <m/>
    <m/>
  </r>
  <r>
    <x v="11"/>
    <x v="4"/>
    <s v="C:\Users\cbarrier\Desktop\BPA\BPA\20201117_Cefas_Test6-Run2/Plate 1/@7/E7_03- exclu.tif"/>
    <m/>
    <m/>
    <x v="1"/>
    <m/>
    <m/>
    <m/>
    <m/>
  </r>
  <r>
    <x v="11"/>
    <x v="5"/>
    <s v="C:\Users\cbarrier\Desktop\BPA\BPA\20201117_Cefas_Test6-Run2/Plate 1/@7/F7_01.tif "/>
    <s v=" 71205.6131 "/>
    <s v=" 60.2846 "/>
    <x v="0"/>
    <n v="4292604"/>
    <m/>
    <m/>
    <m/>
  </r>
  <r>
    <x v="11"/>
    <x v="5"/>
    <s v="C:\Users\cbarrier\Desktop\BPA\BPA\20201117_Cefas_Test6-Run2/Plate 1/@7/F7_02.tif "/>
    <s v=" 59633.6195 "/>
    <s v=" 62.5481 "/>
    <x v="0"/>
    <n v="3729967"/>
    <m/>
    <m/>
    <m/>
  </r>
  <r>
    <x v="11"/>
    <x v="5"/>
    <s v="C:\Users\cbarrier\Desktop\BPA\BPA\20201117_Cefas_Test6-Run2/Plate 1/@7/F7_03.tif "/>
    <s v=" 60152.737 "/>
    <s v=" 60.8565 "/>
    <x v="0"/>
    <n v="3660687"/>
    <m/>
    <m/>
    <m/>
  </r>
  <r>
    <x v="11"/>
    <x v="6"/>
    <s v="C:\Users\cbarrier\Desktop\BPA\BPA\20201117_Cefas_Test6-Run2/Plate 1/@7/G7_01.tif "/>
    <s v=" 73173.9335 "/>
    <s v=" 62.5782 "/>
    <x v="0"/>
    <n v="4579092"/>
    <m/>
    <m/>
    <m/>
  </r>
  <r>
    <x v="11"/>
    <x v="6"/>
    <s v="C:\Users\cbarrier\Desktop\BPA\BPA\20201117_Cefas_Test6-Run2/Plate 1/@7/G7_02.tif "/>
    <s v=" 79078.8948 "/>
    <s v=" 59.5364 "/>
    <x v="0"/>
    <n v="4708071"/>
    <m/>
    <m/>
    <m/>
  </r>
  <r>
    <x v="11"/>
    <x v="6"/>
    <s v="C:\Users\cbarrier\Desktop\BPA\BPA\20201117_Cefas_Test6-Run2/Plate 1/@7/G7_03.tif "/>
    <s v=" 73022.5243 "/>
    <s v=" 59.0649 "/>
    <x v="0"/>
    <n v="4313066"/>
    <m/>
    <m/>
    <m/>
  </r>
  <r>
    <x v="11"/>
    <x v="7"/>
    <s v="C:\Users\cbarrier\Desktop\BPA\BPA\20201117_Cefas_Test6-Run2/Plate 1/@7/H7_01.tif "/>
    <s v=" 104256.092 "/>
    <s v=" 53.838 "/>
    <x v="0"/>
    <n v="5612936"/>
    <m/>
    <m/>
    <m/>
  </r>
  <r>
    <x v="11"/>
    <x v="7"/>
    <s v="C:\Users\cbarrier\Desktop\BPA\BPA\20201117_Cefas_Test6-Run2/Plate 1/@7/H7_02.tif "/>
    <s v=" 89180.0556 "/>
    <s v=" 52.5768 "/>
    <x v="0"/>
    <n v="4688799"/>
    <m/>
    <m/>
    <m/>
  </r>
  <r>
    <x v="11"/>
    <x v="7"/>
    <s v="C:\Users\cbarrier\Desktop\BPA\BPA\20201117_Cefas_Test6-Run2/Plate 1/@7/H7_03.tif "/>
    <s v=" 89288.205 "/>
    <s v=" 54.6105 "/>
    <x v="0"/>
    <n v="4876070"/>
    <m/>
    <m/>
    <m/>
  </r>
  <r>
    <x v="1"/>
    <x v="8"/>
    <s v=" "/>
    <m/>
    <m/>
    <x v="1"/>
    <m/>
    <m/>
    <m/>
    <m/>
  </r>
  <r>
    <x v="1"/>
    <x v="8"/>
    <s v="group "/>
    <s v=" "/>
    <s v=" mean of mean fluo "/>
    <x v="2"/>
    <s v=" mean of total fluo "/>
    <s v=" SD total fluo "/>
    <s v=" n fluorescent "/>
    <s v=" n total"/>
  </r>
  <r>
    <x v="11"/>
    <x v="9"/>
    <s v="C:\Users\cbarrier\Desktop\BPA\BPA\20201117_Cefas_Test6-Run2/Plate 1/@7/ "/>
    <s v=" "/>
    <s v=" 56.6624 "/>
    <x v="13"/>
    <s v=" 4287507.5 "/>
    <s v=" 665763.61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cbarrier\Desktop\BPA\BPA\20201117_Cefas_Test6-Run2/Plate 3/@10/A4_01.tif "/>
    <s v=" 5104.6551 "/>
    <s v=" 36.7712 "/>
    <x v="0"/>
    <n v="187704"/>
    <m/>
    <m/>
    <m/>
  </r>
  <r>
    <x v="12"/>
    <x v="0"/>
    <s v="C:\Users\cbarrier\Desktop\BPA\BPA\20201117_Cefas_Test6-Run2/Plate 3/@10/A4_02.tif "/>
    <s v=" 6856.6766 "/>
    <s v=" 37.0315 "/>
    <x v="0"/>
    <n v="253913"/>
    <m/>
    <m/>
    <m/>
  </r>
  <r>
    <x v="12"/>
    <x v="1"/>
    <s v="C:\Users\cbarrier\Desktop\BPA\BPA\20201117_Cefas_Test6-Run2/Plate 3/@10/B4_01- exclu.tif"/>
    <m/>
    <m/>
    <x v="1"/>
    <m/>
    <m/>
    <m/>
    <m/>
  </r>
  <r>
    <x v="12"/>
    <x v="1"/>
    <s v="C:\Users\cbarrier\Desktop\BPA\BPA\20201117_Cefas_Test6-Run2/Plate 3/@10/B4_02- exclu.tif"/>
    <m/>
    <m/>
    <x v="1"/>
    <m/>
    <m/>
    <m/>
    <m/>
  </r>
  <r>
    <x v="12"/>
    <x v="2"/>
    <s v="C:\Users\cbarrier\Desktop\BPA\BPA\20201117_Cefas_Test6-Run2/Plate 3/@10/C4_01.tif "/>
    <s v=" 2703.7368 "/>
    <s v=" 33.44 "/>
    <x v="0"/>
    <n v="90413"/>
    <m/>
    <m/>
    <m/>
  </r>
  <r>
    <x v="12"/>
    <x v="2"/>
    <s v="C:\Users\cbarrier\Desktop\BPA\BPA\20201117_Cefas_Test6-Run2/Plate 3/@10/C4_02.tif "/>
    <s v=" 1276.1638 "/>
    <s v=" 34.1695 "/>
    <x v="0"/>
    <n v="43606"/>
    <m/>
    <m/>
    <m/>
  </r>
  <r>
    <x v="12"/>
    <x v="3"/>
    <s v="C:\Users\cbarrier\Desktop\BPA\BPA\20201117_Cefas_Test6-Run2/Plate 3/@10/D4_01.tif "/>
    <s v=" 7938.1713 "/>
    <s v=" 36.624 "/>
    <x v="0"/>
    <n v="290727"/>
    <m/>
    <m/>
    <m/>
  </r>
  <r>
    <x v="12"/>
    <x v="3"/>
    <s v="C:\Users\cbarrier\Desktop\BPA\BPA\20201117_Cefas_Test6-Run2/Plate 3/@10/D4_02.tif "/>
    <s v=" 6359.189 "/>
    <s v=" 35.3401 "/>
    <x v="0"/>
    <n v="224735"/>
    <m/>
    <m/>
    <m/>
  </r>
  <r>
    <x v="12"/>
    <x v="4"/>
    <s v="C:\Users\cbarrier\Desktop\BPA\BPA\20201117_Cefas_Test6-Run2/Plate 3/@10/E4_01.tif "/>
    <s v=" 4650.4273 "/>
    <s v=" 36.0512 "/>
    <x v="0"/>
    <n v="167653"/>
    <m/>
    <m/>
    <m/>
  </r>
  <r>
    <x v="12"/>
    <x v="4"/>
    <s v="C:\Users\cbarrier\Desktop\BPA\BPA\20201117_Cefas_Test6-Run2/Plate 3/@10/E4_02.tif "/>
    <s v=" 6294.2993 "/>
    <s v=" 37.6632 "/>
    <x v="0"/>
    <n v="237064"/>
    <m/>
    <m/>
    <m/>
  </r>
  <r>
    <x v="12"/>
    <x v="5"/>
    <s v="C:\Users\cbarrier\Desktop\BPA\BPA\20201117_Cefas_Test6-Run2/Plate 3/@10/F4_01.tif "/>
    <s v=" 43.2598 "/>
    <n v="30"/>
    <x v="0"/>
    <n v="1298"/>
    <m/>
    <m/>
    <m/>
  </r>
  <r>
    <x v="12"/>
    <x v="5"/>
    <s v="C:\Users\cbarrier\Desktop\BPA\BPA\20201117_Cefas_Test6-Run2/Plate 3/@10/F4_02.tif "/>
    <s v=" 4196.1996 "/>
    <s v=" 33.9485 "/>
    <x v="0"/>
    <n v="142454"/>
    <m/>
    <m/>
    <m/>
  </r>
  <r>
    <x v="12"/>
    <x v="6"/>
    <s v="C:\Users\cbarrier\Desktop\BPA\BPA\20201117_Cefas_Test6-Run2/Plate 3/@10/G4_01.tif "/>
    <s v=" 64.8897 "/>
    <n v="31"/>
    <x v="0"/>
    <n v="2012"/>
    <m/>
    <m/>
    <m/>
  </r>
  <r>
    <x v="12"/>
    <x v="6"/>
    <s v="C:\Users\cbarrier\Desktop\BPA\BPA\20201117_Cefas_Test6-Run2/Plate 3/@10/G4_02.tif "/>
    <s v=" 4261.0892 "/>
    <s v=" 33.0508 "/>
    <x v="0"/>
    <n v="140832"/>
    <m/>
    <m/>
    <m/>
  </r>
  <r>
    <x v="12"/>
    <x v="7"/>
    <s v="C:\Users\cbarrier\Desktop\BPA\BPA\20201117_Cefas_Test6-Run2/Plate 3/@10/H4_01.tif "/>
    <s v=" 346.0783 "/>
    <s v=" 31.4375 "/>
    <x v="0"/>
    <n v="10880"/>
    <m/>
    <m/>
    <m/>
  </r>
  <r>
    <x v="12"/>
    <x v="7"/>
    <s v="C:\Users\cbarrier\Desktop\BPA\BPA\20201117_Cefas_Test6-Run2/Plate 3/@10/H4_02.tif "/>
    <s v=" 6402.4488 "/>
    <s v=" 36.5676 "/>
    <x v="0"/>
    <n v="234122"/>
    <m/>
    <m/>
    <m/>
  </r>
  <r>
    <x v="1"/>
    <x v="8"/>
    <s v=" "/>
    <m/>
    <m/>
    <x v="1"/>
    <m/>
    <m/>
    <m/>
    <m/>
  </r>
  <r>
    <x v="1"/>
    <x v="8"/>
    <s v="group "/>
    <s v=" "/>
    <s v=" mean of mean fluo "/>
    <x v="2"/>
    <s v=" mean of total fluo "/>
    <s v=" SD total fluo "/>
    <s v=" n fluorescent "/>
    <s v=" n total"/>
  </r>
  <r>
    <x v="12"/>
    <x v="9"/>
    <s v="C:\Users\cbarrier\Desktop\BPA\BPA\20201117_Cefas_Test6-Run2/Plate 3/@10/ "/>
    <s v=" "/>
    <s v=" 36.1786 "/>
    <x v="14"/>
    <s v=" 203634.625 "/>
    <s v=" 185859.932 "/>
    <n v="16"/>
    <n v="16"/>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cbarrier\Desktop\BPA\BPA\20201117_Cefas_Test6-Run2/Plate 3/@11/A5_01.tif "/>
    <s v=" 11096.1359 "/>
    <s v=" 39.5906 "/>
    <x v="0"/>
    <n v="439303"/>
    <m/>
    <m/>
    <m/>
  </r>
  <r>
    <x v="13"/>
    <x v="0"/>
    <s v="C:\Users\cbarrier\Desktop\BPA\BPA\20201117_Cefas_Test6-Run2/Plate 3/@11/A5_02.tif "/>
    <s v=" 11723.4029 "/>
    <s v=" 39.8321 "/>
    <x v="0"/>
    <n v="466968"/>
    <m/>
    <m/>
    <m/>
  </r>
  <r>
    <x v="13"/>
    <x v="1"/>
    <s v="C:\Users\cbarrier\Desktop\BPA\BPA\20201117_Cefas_Test6-Run2/Plate 3/@11/B5_01.tif "/>
    <s v=" 15595.154 "/>
    <s v=" 32.5354 "/>
    <x v="0"/>
    <n v="507394"/>
    <m/>
    <m/>
    <m/>
  </r>
  <r>
    <x v="13"/>
    <x v="1"/>
    <s v="C:\Users\cbarrier\Desktop\BPA\BPA\20201117_Cefas_Test6-Run2/Plate 3/@11/B5_02.tif "/>
    <s v=" 22495.0904 "/>
    <s v=" 33.1731 "/>
    <x v="0"/>
    <n v="746231"/>
    <m/>
    <m/>
    <m/>
  </r>
  <r>
    <x v="13"/>
    <x v="2"/>
    <s v="C:\Users\cbarrier\Desktop\BPA\BPA\20201117_Cefas_Test6-Run2/Plate 3/@11/C5_01- exclu.tif"/>
    <m/>
    <m/>
    <x v="1"/>
    <m/>
    <m/>
    <m/>
    <m/>
  </r>
  <r>
    <x v="13"/>
    <x v="2"/>
    <s v="C:\Users\cbarrier\Desktop\BPA\BPA\20201117_Cefas_Test6-Run2/Plate 3/@11/C5_02- exclu.tif"/>
    <m/>
    <m/>
    <x v="1"/>
    <m/>
    <m/>
    <m/>
    <m/>
  </r>
  <r>
    <x v="13"/>
    <x v="3"/>
    <s v="C:\Users\cbarrier\Desktop\BPA\BPA\20201117_Cefas_Test6-Run2/Plate 3/@11/D5_01.tif "/>
    <s v=" 10187.6804 "/>
    <s v=" 35.6921 "/>
    <x v="0"/>
    <n v="363620"/>
    <m/>
    <m/>
    <m/>
  </r>
  <r>
    <x v="13"/>
    <x v="3"/>
    <s v="C:\Users\cbarrier\Desktop\BPA\BPA\20201117_Cefas_Test6-Run2/Plate 3/@11/D5_02.tif "/>
    <s v=" 17001.0972 "/>
    <s v=" 34.9529 "/>
    <x v="0"/>
    <n v="594238"/>
    <m/>
    <m/>
    <m/>
  </r>
  <r>
    <x v="13"/>
    <x v="4"/>
    <s v="C:\Users\cbarrier\Desktop\BPA\BPA\20201117_Cefas_Test6-Run2/Plate 3/@11/E5_01.tif "/>
    <s v=" 47520.8785 "/>
    <s v=" 36.0332 "/>
    <x v="0"/>
    <n v="1712331"/>
    <m/>
    <m/>
    <m/>
  </r>
  <r>
    <x v="13"/>
    <x v="4"/>
    <s v="C:\Users\cbarrier\Desktop\BPA\BPA\20201117_Cefas_Test6-Run2/Plate 3/@11/E5_02.tif "/>
    <s v=" 39647.5969 "/>
    <s v=" 36.7725 "/>
    <x v="0"/>
    <n v="1457941"/>
    <m/>
    <m/>
    <m/>
  </r>
  <r>
    <x v="13"/>
    <x v="5"/>
    <s v="C:\Users\cbarrier\Desktop\BPA\BPA\20201117_Cefas_Test6-Run2/Plate 3/@11/F5_01.tif "/>
    <s v=" 21305.4462 "/>
    <s v=" 32.932 "/>
    <x v="0"/>
    <n v="701631"/>
    <m/>
    <m/>
    <m/>
  </r>
  <r>
    <x v="13"/>
    <x v="5"/>
    <s v="C:\Users\cbarrier\Desktop\BPA\BPA\20201117_Cefas_Test6-Run2/Plate 3/@11/F5_02.tif "/>
    <s v=" 13799.8728 "/>
    <s v=" 32.8793 "/>
    <x v="0"/>
    <n v="453730"/>
    <m/>
    <m/>
    <m/>
  </r>
  <r>
    <x v="13"/>
    <x v="6"/>
    <s v="C:\Users\cbarrier\Desktop\BPA\BPA\20201117_Cefas_Test6-Run2/Plate 3/@11/G5_01.tif "/>
    <s v=" 70773.0152 "/>
    <s v=" 37.3823 "/>
    <x v="0"/>
    <n v="2645661"/>
    <m/>
    <m/>
    <m/>
  </r>
  <r>
    <x v="13"/>
    <x v="6"/>
    <s v="C:\Users\cbarrier\Desktop\BPA\BPA\20201117_Cefas_Test6-Run2/Plate 3/@11/G5_02.tif "/>
    <s v=" 77326.8733 "/>
    <s v=" 40.2408 "/>
    <x v="0"/>
    <n v="3111698"/>
    <m/>
    <m/>
    <m/>
  </r>
  <r>
    <x v="13"/>
    <x v="7"/>
    <s v="C:\Users\cbarrier\Desktop\BPA\BPA\20201117_Cefas_Test6-Run2/Plate 3/@11/H5_01.tif "/>
    <s v=" 15638.4138 "/>
    <s v=" 32.3928 "/>
    <x v="0"/>
    <n v="506572"/>
    <m/>
    <m/>
    <m/>
  </r>
  <r>
    <x v="13"/>
    <x v="7"/>
    <s v="C:\Users\cbarrier\Desktop\BPA\BPA\20201117_Cefas_Test6-Run2/Plate 3/@11/H5_02.tif "/>
    <s v=" 324.4484 "/>
    <s v=" 31.3333 "/>
    <x v="0"/>
    <n v="10166"/>
    <m/>
    <m/>
    <m/>
  </r>
  <r>
    <x v="1"/>
    <x v="8"/>
    <s v=" "/>
    <m/>
    <m/>
    <x v="1"/>
    <m/>
    <m/>
    <m/>
    <m/>
  </r>
  <r>
    <x v="1"/>
    <x v="8"/>
    <s v="group "/>
    <s v=" "/>
    <s v=" mean of mean fluo "/>
    <x v="2"/>
    <s v=" mean of total fluo "/>
    <s v=" SD total fluo "/>
    <s v=" n fluorescent "/>
    <s v=" n total"/>
  </r>
  <r>
    <x v="13"/>
    <x v="9"/>
    <s v="C:\Users\cbarrier\Desktop\BPA\BPA\20201117_Cefas_Test6-Run2/Plate 3/@11/ "/>
    <s v=" "/>
    <s v=" 36.0233 "/>
    <x v="15"/>
    <s v=" 946710.75 "/>
    <s v=" 860303.699 "/>
    <n v="16"/>
    <n v="16"/>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cbarrier\Desktop\BPA\BPA\20201117_Cefas_Test6-Run2/Plate 3/@12/A6_01.tif "/>
    <s v=" 59633.6195 "/>
    <s v=" 37.4367 "/>
    <x v="0"/>
    <n v="2232486"/>
    <m/>
    <m/>
    <m/>
  </r>
  <r>
    <x v="14"/>
    <x v="0"/>
    <s v="C:\Users\cbarrier\Desktop\BPA\BPA\20201117_Cefas_Test6-Run2/Plate 3/@12/A6_02.tif "/>
    <s v=" 62380.6161 "/>
    <s v=" 40.1983 "/>
    <x v="0"/>
    <n v="2507597"/>
    <m/>
    <m/>
    <m/>
  </r>
  <r>
    <x v="14"/>
    <x v="1"/>
    <s v="C:\Users\cbarrier\Desktop\BPA\BPA\20201117_Cefas_Test6-Run2/Plate 3/@12/B6_01.tif "/>
    <s v=" 44233.1345 "/>
    <s v=" 35.2005 "/>
    <x v="0"/>
    <n v="1557028"/>
    <m/>
    <m/>
    <m/>
  </r>
  <r>
    <x v="14"/>
    <x v="1"/>
    <s v="C:\Users\cbarrier\Desktop\BPA\BPA\20201117_Cefas_Test6-Run2/Plate 3/@12/B6_02.tif "/>
    <s v=" 36143.5539 "/>
    <s v=" 33.7193 "/>
    <x v="0"/>
    <n v="1218736"/>
    <m/>
    <m/>
    <m/>
  </r>
  <r>
    <x v="14"/>
    <x v="2"/>
    <s v="C:\Users\cbarrier\Desktop\BPA\BPA\20201117_Cefas_Test6-Run2/Plate 3/@12/C6_01.tif "/>
    <s v=" 60109.4772 "/>
    <s v=" 41.9852 "/>
    <x v="0"/>
    <n v="2523711"/>
    <m/>
    <m/>
    <m/>
  </r>
  <r>
    <x v="14"/>
    <x v="2"/>
    <s v="C:\Users\cbarrier\Desktop\BPA\BPA\20201117_Cefas_Test6-Run2/Plate 3/@12/C6_02.tif "/>
    <s v=" 59027.9824 "/>
    <s v=" 40.5079 "/>
    <x v="0"/>
    <n v="2391098"/>
    <m/>
    <m/>
    <m/>
  </r>
  <r>
    <x v="14"/>
    <x v="3"/>
    <s v="C:\Users\cbarrier\Desktop\BPA\BPA\20201117_Cefas_Test6-Run2/Plate 3/@12/D6_01.tif "/>
    <s v=" 25285.3468 "/>
    <s v=" 34.2789 "/>
    <x v="0"/>
    <n v="866753"/>
    <m/>
    <m/>
    <m/>
  </r>
  <r>
    <x v="14"/>
    <x v="3"/>
    <s v="C:\Users\cbarrier\Desktop\BPA\BPA\20201117_Cefas_Test6-Run2/Plate 3/@12/D6_02.tif "/>
    <s v=" 40404.6432 "/>
    <s v=" 36.53 "/>
    <x v="0"/>
    <n v="1475981"/>
    <m/>
    <m/>
    <m/>
  </r>
  <r>
    <x v="14"/>
    <x v="4"/>
    <s v="C:\Users\cbarrier\Desktop\BPA\BPA\20201117_Cefas_Test6-Run2/Plate 3/@12/E6_01.tif "/>
    <s v=" 81761.0017 "/>
    <s v=" 39.5315 "/>
    <x v="0"/>
    <n v="3232134"/>
    <m/>
    <m/>
    <m/>
  </r>
  <r>
    <x v="14"/>
    <x v="4"/>
    <s v="C:\Users\cbarrier\Desktop\BPA\BPA\20201117_Cefas_Test6-Run2/Plate 3/@12/E6_02.tif "/>
    <s v=" 92056.8315 "/>
    <s v=" 43.6295 "/>
    <x v="0"/>
    <n v="4016390"/>
    <m/>
    <m/>
    <m/>
  </r>
  <r>
    <x v="14"/>
    <x v="5"/>
    <s v="C:\Users\cbarrier\Desktop\BPA\BPA\20201117_Cefas_Test6-Run2/Plate 3/@12/F6_01.tif "/>
    <s v=" 38393.063 "/>
    <s v=" 37.8434 "/>
    <x v="0"/>
    <n v="1452923"/>
    <m/>
    <m/>
    <m/>
  </r>
  <r>
    <x v="14"/>
    <x v="5"/>
    <s v="C:\Users\cbarrier\Desktop\BPA\BPA\20201117_Cefas_Test6-Run2/Plate 3/@12/F6_02.tif "/>
    <s v=" 44535.953 "/>
    <s v=" 38.7159 "/>
    <x v="0"/>
    <n v="1724249"/>
    <m/>
    <m/>
    <m/>
  </r>
  <r>
    <x v="14"/>
    <x v="6"/>
    <s v="C:\Users\cbarrier\Desktop\BPA\BPA\20201117_Cefas_Test6-Run2/Plate 3/@12/G6_01.tif "/>
    <s v=" 46893.6116 "/>
    <s v=" 35.5613 "/>
    <x v="0"/>
    <n v="1667600"/>
    <m/>
    <m/>
    <m/>
  </r>
  <r>
    <x v="14"/>
    <x v="6"/>
    <s v="C:\Users\cbarrier\Desktop\BPA\BPA\20201117_Cefas_Test6-Run2/Plate 3/@12/G6_02.tif "/>
    <s v=" 53317.6903 "/>
    <s v=" 37.312 "/>
    <x v="0"/>
    <n v="1989388"/>
    <m/>
    <m/>
    <m/>
  </r>
  <r>
    <x v="14"/>
    <x v="7"/>
    <s v="C:\Users\cbarrier\Desktop\BPA\BPA\20201117_Cefas_Test6-Run2/Plate 3/@12/H6_01.tif "/>
    <s v=" 80982.3255 "/>
    <s v=" 45.5785 "/>
    <x v="0"/>
    <n v="3691055"/>
    <m/>
    <m/>
    <m/>
  </r>
  <r>
    <x v="14"/>
    <x v="7"/>
    <s v="C:\Users\cbarrier\Desktop\BPA\BPA\20201117_Cefas_Test6-Run2/Plate 3/@12/H6_02.tif "/>
    <s v=" 82258.4893 "/>
    <s v=" 47.6363 "/>
    <x v="0"/>
    <n v="3918493"/>
    <m/>
    <m/>
    <m/>
  </r>
  <r>
    <x v="1"/>
    <x v="8"/>
    <s v=" "/>
    <m/>
    <m/>
    <x v="1"/>
    <m/>
    <m/>
    <m/>
    <m/>
  </r>
  <r>
    <x v="1"/>
    <x v="8"/>
    <s v="group "/>
    <s v=" "/>
    <s v=" mean of mean fluo "/>
    <x v="2"/>
    <s v=" mean of total fluo "/>
    <s v=" SD total fluo "/>
    <s v=" n fluorescent "/>
    <s v=" n total"/>
  </r>
  <r>
    <x v="14"/>
    <x v="9"/>
    <s v="C:\Users\cbarrier\Desktop\BPA\BPA\20201117_Cefas_Test6-Run2/Plate 3/@12/ "/>
    <s v=" "/>
    <s v=" 39.1041 "/>
    <x v="16"/>
    <s v=" 2279101.38 "/>
    <s v=" 982113.905 "/>
    <n v="16"/>
    <n v="16"/>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cbarrier\Desktop\BPA\BPA\20201117_Cefas_Test6-Run2/Plate 3/@17/A8_01.tif "/>
    <s v=" 54031.4768 "/>
    <s v=" 39.5761 "/>
    <x v="0"/>
    <n v="2138353"/>
    <m/>
    <m/>
    <m/>
  </r>
  <r>
    <x v="15"/>
    <x v="0"/>
    <s v="C:\Users\cbarrier\Desktop\BPA\BPA\20201117_Cefas_Test6-Run2/Plate 3/@17/A8_02.tif "/>
    <s v=" 53663.7686 "/>
    <s v=" 37.9657 "/>
    <x v="0"/>
    <n v="2037385"/>
    <m/>
    <m/>
    <m/>
  </r>
  <r>
    <x v="15"/>
    <x v="1"/>
    <s v="C:\Users\cbarrier\Desktop\BPA\BPA\20201117_Cefas_Test6-Run2/Plate 3/@17/B8_01.tif "/>
    <s v=" 27383.4466 "/>
    <s v=" 33.9463 "/>
    <x v="0"/>
    <n v="929566"/>
    <m/>
    <m/>
    <m/>
  </r>
  <r>
    <x v="15"/>
    <x v="1"/>
    <s v="C:\Users\cbarrier\Desktop\BPA\BPA\20201117_Cefas_Test6-Run2/Plate 3/@17/B8_02.tif "/>
    <s v=" 27232.0373 "/>
    <s v=" 33.9063 "/>
    <x v="0"/>
    <n v="923337"/>
    <m/>
    <m/>
    <m/>
  </r>
  <r>
    <x v="15"/>
    <x v="2"/>
    <s v="C:\Users\cbarrier\Desktop\BPA\BPA\20201117_Cefas_Test6-Run2/Plate 3/@17/C8_01.tif "/>
    <s v=" 24744.5995 "/>
    <s v=" 42.0017 "/>
    <x v="0"/>
    <n v="1039316"/>
    <m/>
    <m/>
    <m/>
  </r>
  <r>
    <x v="15"/>
    <x v="2"/>
    <s v="C:\Users\cbarrier\Desktop\BPA\BPA\20201117_Cefas_Test6-Run2/Plate 3/@17/C8_02.tif "/>
    <s v=" 30108.8133 "/>
    <s v=" 42.9389 "/>
    <x v="0"/>
    <n v="1292840"/>
    <m/>
    <m/>
    <m/>
  </r>
  <r>
    <x v="15"/>
    <x v="3"/>
    <s v="C:\Users\cbarrier\Desktop\BPA\BPA\20201117_Cefas_Test6-Run2/Plate 3/@17/D8_01.tif "/>
    <s v=" 68653.2856 "/>
    <s v=" 51.4883 "/>
    <x v="0"/>
    <n v="3534844"/>
    <m/>
    <m/>
    <m/>
  </r>
  <r>
    <x v="15"/>
    <x v="3"/>
    <s v="C:\Users\cbarrier\Desktop\BPA\BPA\20201117_Cefas_Test6-Run2/Plate 3/@17/D8_02.tif "/>
    <s v=" 72049.179 "/>
    <s v=" 50.8793 "/>
    <x v="0"/>
    <n v="3665813"/>
    <m/>
    <m/>
    <m/>
  </r>
  <r>
    <x v="15"/>
    <x v="4"/>
    <s v="C:\Users\cbarrier\Desktop\BPA\BPA\20201117_Cefas_Test6-Run2/Plate 3/@17/E8_01.tif "/>
    <s v=" 49532.4587 "/>
    <s v=" 37.2987 "/>
    <x v="0"/>
    <n v="1847496"/>
    <m/>
    <m/>
    <m/>
  </r>
  <r>
    <x v="15"/>
    <x v="4"/>
    <s v="C:\Users\cbarrier\Desktop\BPA\BPA\20201117_Cefas_Test6-Run2/Plate 3/@17/E8_02.tif "/>
    <s v=" 51284.4802 "/>
    <s v=" 37.5188 "/>
    <x v="0"/>
    <n v="1924131"/>
    <m/>
    <m/>
    <m/>
  </r>
  <r>
    <x v="15"/>
    <x v="5"/>
    <s v="C:\Users\cbarrier\Desktop\BPA\BPA\20201117_Cefas_Test6-Run2/Plate 3/@17/F8_01.tif "/>
    <s v=" 29178.7279 "/>
    <s v=" 35.6738 "/>
    <x v="0"/>
    <n v="1040917"/>
    <m/>
    <m/>
    <m/>
  </r>
  <r>
    <x v="15"/>
    <x v="5"/>
    <s v="C:\Users\cbarrier\Desktop\BPA\BPA\20201117_Cefas_Test6-Run2/Plate 3/@17/F8_02.tif "/>
    <s v=" 31320.0874 "/>
    <s v=" 36.0117 "/>
    <x v="0"/>
    <n v="1127891"/>
    <m/>
    <m/>
    <m/>
  </r>
  <r>
    <x v="15"/>
    <x v="6"/>
    <s v="C:\Users\cbarrier\Desktop\BPA\BPA\20201117_Cefas_Test6-Run2/Plate 3/@17/G8_01.tif "/>
    <s v=" 50808.6225 "/>
    <s v=" 39.6696 "/>
    <x v="0"/>
    <n v="2015560"/>
    <m/>
    <m/>
    <m/>
  </r>
  <r>
    <x v="15"/>
    <x v="6"/>
    <s v="C:\Users\cbarrier\Desktop\BPA\BPA\20201117_Cefas_Test6-Run2/Plate 3/@17/G8_02.tif "/>
    <s v=" 60304.1462 "/>
    <s v=" 43.9473 "/>
    <x v="0"/>
    <n v="2650203"/>
    <m/>
    <m/>
    <m/>
  </r>
  <r>
    <x v="15"/>
    <x v="7"/>
    <s v="C:\Users\cbarrier\Desktop\BPA\BPA\20201117_Cefas_Test6-Run2/Plate 3/@17/H8_01.tif "/>
    <s v=" 68718.1752 "/>
    <s v=" 45.0016 "/>
    <x v="0"/>
    <n v="3092426"/>
    <m/>
    <m/>
    <m/>
  </r>
  <r>
    <x v="15"/>
    <x v="7"/>
    <s v="C:\Users\cbarrier\Desktop\BPA\BPA\20201117_Cefas_Test6-Run2/Plate 3/@17/H8_02.tif "/>
    <s v=" 61904.7584 "/>
    <s v=" 42.1778 "/>
    <x v="0"/>
    <n v="2611009"/>
    <m/>
    <m/>
    <m/>
  </r>
  <r>
    <x v="1"/>
    <x v="8"/>
    <s v=" "/>
    <m/>
    <m/>
    <x v="1"/>
    <m/>
    <m/>
    <m/>
    <m/>
  </r>
  <r>
    <x v="1"/>
    <x v="8"/>
    <s v="group "/>
    <s v=" "/>
    <s v=" mean of mean fluo "/>
    <x v="2"/>
    <s v=" mean of total fluo "/>
    <s v=" SD total fluo "/>
    <s v=" n fluorescent "/>
    <s v=" n total"/>
  </r>
  <r>
    <x v="15"/>
    <x v="9"/>
    <s v="C:\Users\cbarrier\Desktop\BPA\BPA\20201117_Cefas_Test6-Run2/Plate 3/@17/ "/>
    <s v=" "/>
    <s v=" 40.6251 "/>
    <x v="17"/>
    <s v=" 1991942.94 "/>
    <s v=" 915691.406 "/>
    <n v="16"/>
    <n v="16"/>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cbarrier\Desktop\BPA\BPA\20201117_Cefas_Test6-Run2/Plate 3/@18/A9_01.tif "/>
    <s v=" 66728.2249 "/>
    <s v=" 40.964 "/>
    <x v="0"/>
    <n v="2733456"/>
    <m/>
    <m/>
    <m/>
  </r>
  <r>
    <x v="16"/>
    <x v="0"/>
    <s v="C:\Users\cbarrier\Desktop\BPA\BPA\20201117_Cefas_Test6-Run2/Plate 3/@18/A9_02.tif "/>
    <s v=" 58768.4237 "/>
    <s v=" 43.0162 "/>
    <x v="0"/>
    <n v="2527994"/>
    <m/>
    <m/>
    <m/>
  </r>
  <r>
    <x v="16"/>
    <x v="1"/>
    <s v="C:\Users\cbarrier\Desktop\BPA\BPA\20201117_Cefas_Test6-Run2/Plate 3/@18/B9_01.tif "/>
    <s v=" 70491.8266 "/>
    <s v=" 43.0365 "/>
    <x v="0"/>
    <n v="3033723"/>
    <m/>
    <m/>
    <m/>
  </r>
  <r>
    <x v="16"/>
    <x v="1"/>
    <s v="C:\Users\cbarrier\Desktop\BPA\BPA\20201117_Cefas_Test6-Run2/Plate 3/@18/B9_02.tif "/>
    <s v=" 57816.7083 "/>
    <s v=" 38.9865 "/>
    <x v="0"/>
    <n v="2254073"/>
    <m/>
    <m/>
    <m/>
  </r>
  <r>
    <x v="16"/>
    <x v="2"/>
    <s v="C:\Users\cbarrier\Desktop\BPA\BPA\20201117_Cefas_Test6-Run2/Plate 3/@18/C9_01.tif "/>
    <s v=" 69778.0401 "/>
    <s v=" 44.3072 "/>
    <x v="0"/>
    <n v="3091669"/>
    <m/>
    <m/>
    <m/>
  </r>
  <r>
    <x v="16"/>
    <x v="2"/>
    <s v="C:\Users\cbarrier\Desktop\BPA\BPA\20201117_Cefas_Test6-Run2/Plate 3/@18/C9_02.tif "/>
    <s v=" 62142.6873 "/>
    <s v=" 42.6805 "/>
    <x v="0"/>
    <n v="2652279"/>
    <m/>
    <m/>
    <m/>
  </r>
  <r>
    <x v="16"/>
    <x v="3"/>
    <s v="C:\Users\cbarrier\Desktop\BPA\BPA\20201117_Cefas_Test6-Run2/Plate 3/@18/D9_01.tif "/>
    <s v=" 49770.3875 "/>
    <s v=" 47.1791 "/>
    <x v="0"/>
    <n v="2348120"/>
    <m/>
    <m/>
    <m/>
  </r>
  <r>
    <x v="16"/>
    <x v="3"/>
    <s v="C:\Users\cbarrier\Desktop\BPA\BPA\20201117_Cefas_Test6-Run2/Plate 3/@18/D9_02.tif "/>
    <s v=" 57081.2919 "/>
    <s v=" 49.3361 "/>
    <x v="0"/>
    <n v="2816169"/>
    <m/>
    <m/>
    <m/>
  </r>
  <r>
    <x v="16"/>
    <x v="4"/>
    <s v="C:\Users\cbarrier\Desktop\BPA\BPA\20201117_Cefas_Test6-Run2/Plate 3/@18/E9_01.tif "/>
    <s v=" 77175.464 "/>
    <s v=" 47.3433 "/>
    <x v="0"/>
    <n v="3653743"/>
    <m/>
    <m/>
    <m/>
  </r>
  <r>
    <x v="16"/>
    <x v="4"/>
    <s v="C:\Users\cbarrier\Desktop\BPA\BPA\20201117_Cefas_Test6-Run2/Plate 3/@18/E9_02.tif "/>
    <s v=" 71119.0935 "/>
    <s v=" 45.5344 "/>
    <x v="0"/>
    <n v="3238363"/>
    <m/>
    <m/>
    <m/>
  </r>
  <r>
    <x v="16"/>
    <x v="5"/>
    <s v="C:\Users\cbarrier\Desktop\BPA\BPA\20201117_Cefas_Test6-Run2/Plate 3/@18/F9_01.tif "/>
    <s v=" 68047.6485 "/>
    <s v=" 47.7003 "/>
    <x v="0"/>
    <n v="3245890"/>
    <m/>
    <m/>
    <m/>
  </r>
  <r>
    <x v="16"/>
    <x v="5"/>
    <s v="C:\Users\cbarrier\Desktop\BPA\BPA\20201117_Cefas_Test6-Run2/Plate 3/@18/F9_02.tif "/>
    <s v=" 66641.7054 "/>
    <s v=" 44.6657 "/>
    <x v="0"/>
    <n v="2976598"/>
    <m/>
    <m/>
    <m/>
  </r>
  <r>
    <x v="16"/>
    <x v="6"/>
    <s v="C:\Users\cbarrier\Desktop\BPA\BPA\20201117_Cefas_Test6-Run2/Plate 3/@18/G9_01.tif "/>
    <s v=" 57816.7083 "/>
    <s v=" 39.3977 "/>
    <x v="0"/>
    <n v="2277844"/>
    <m/>
    <m/>
    <m/>
  </r>
  <r>
    <x v="16"/>
    <x v="6"/>
    <s v="C:\Users\cbarrier\Desktop\BPA\BPA\20201117_Cefas_Test6-Run2/Plate 3/@18/G9_02.tif "/>
    <s v=" 54528.9644 "/>
    <s v=" 37.0186 "/>
    <x v="0"/>
    <n v="2018588"/>
    <m/>
    <m/>
    <m/>
  </r>
  <r>
    <x v="16"/>
    <x v="7"/>
    <s v="C:\Users\cbarrier\Desktop\BPA\BPA\20201117_Cefas_Test6-Run2/Plate 3/@18/H9_01.tif "/>
    <s v=" 61472.1605 "/>
    <s v=" 44.5373 "/>
    <x v="0"/>
    <n v="2737804"/>
    <m/>
    <m/>
    <m/>
  </r>
  <r>
    <x v="16"/>
    <x v="7"/>
    <s v="C:\Users\cbarrier\Desktop\BPA\BPA\20201117_Cefas_Test6-Run2/Plate 3/@18/H9_02.tif "/>
    <s v=" 52668.7934 "/>
    <s v=" 43.9462 "/>
    <x v="0"/>
    <n v="2314593"/>
    <m/>
    <m/>
    <m/>
  </r>
  <r>
    <x v="1"/>
    <x v="8"/>
    <s v=" "/>
    <m/>
    <m/>
    <x v="1"/>
    <m/>
    <m/>
    <m/>
    <m/>
  </r>
  <r>
    <x v="1"/>
    <x v="8"/>
    <s v="group "/>
    <s v=" "/>
    <s v=" mean of mean fluo "/>
    <x v="2"/>
    <s v=" mean of total fluo "/>
    <s v=" SD total fluo "/>
    <s v=" n fluorescent "/>
    <s v=" n total"/>
  </r>
  <r>
    <x v="16"/>
    <x v="9"/>
    <s v="C:\Users\cbarrier\Desktop\BPA\BPA\20201117_Cefas_Test6-Run2/Plate 3/@18/ "/>
    <s v=" "/>
    <s v=" 43.7281 "/>
    <x v="18"/>
    <s v=" 2745056.62 "/>
    <s v=" 444815.381 "/>
    <n v="16"/>
    <n v="16"/>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cbarrier\Desktop\BPA\BPA\20201117_Cefas_Test6-Run2/Plate 3/@19/A10_01.tif "/>
    <s v=" 35797.4756 "/>
    <s v=" 47.5329 "/>
    <x v="0"/>
    <n v="1701559"/>
    <m/>
    <m/>
    <m/>
  </r>
  <r>
    <x v="17"/>
    <x v="0"/>
    <s v="C:\Users\cbarrier\Desktop\BPA\BPA\20201117_Cefas_Test6-Run2/Plate 3/@19/A10_02.tif "/>
    <s v=" 35602.8066 "/>
    <s v=" 42.0802 "/>
    <x v="0"/>
    <n v="1498173"/>
    <m/>
    <m/>
    <m/>
  </r>
  <r>
    <x v="17"/>
    <x v="1"/>
    <s v="C:\Users\cbarrier\Desktop\BPA\BPA\20201117_Cefas_Test6-Run2/Plate 3/@19/B10_01.tif "/>
    <s v=" 95669.0239 "/>
    <s v=" 55.3773 "/>
    <x v="0"/>
    <n v="5297897"/>
    <m/>
    <m/>
    <m/>
  </r>
  <r>
    <x v="17"/>
    <x v="1"/>
    <s v="C:\Users\cbarrier\Desktop\BPA\BPA\20201117_Cefas_Test6-Run2/Plate 3/@19/B10_02.tif "/>
    <s v=" 87190.1052 "/>
    <s v=" 51.6467 "/>
    <x v="0"/>
    <n v="4503085"/>
    <m/>
    <m/>
    <m/>
  </r>
  <r>
    <x v="17"/>
    <x v="2"/>
    <s v="C:\Users\cbarrier\Desktop\BPA\BPA\20201117_Cefas_Test6-Run2/Plate 3/@19/C10_01.tif "/>
    <s v=" 68674.9154 "/>
    <s v=" 42.668 "/>
    <x v="0"/>
    <n v="2930223"/>
    <m/>
    <m/>
    <m/>
  </r>
  <r>
    <x v="17"/>
    <x v="2"/>
    <s v="C:\Users\cbarrier\Desktop\BPA\BPA\20201117_Cefas_Test6-Run2/Plate 3/@19/C10_02.tif "/>
    <s v=" 69669.8906 "/>
    <s v=" 42.1254 "/>
    <x v="0"/>
    <n v="2934874"/>
    <m/>
    <m/>
    <m/>
  </r>
  <r>
    <x v="17"/>
    <x v="3"/>
    <s v="C:\Users\cbarrier\Desktop\BPA\BPA\20201117_Cefas_Test6-Run2/Plate 3/@19/D10_01.tif "/>
    <s v=" 64175.8974 "/>
    <s v=" 46.4277 "/>
    <x v="0"/>
    <n v="2979540"/>
    <m/>
    <m/>
    <m/>
  </r>
  <r>
    <x v="17"/>
    <x v="3"/>
    <s v="C:\Users\cbarrier\Desktop\BPA\BPA\20201117_Cefas_Test6-Run2/Plate 3/@19/D10_02.tif "/>
    <s v=" 60650.2245 "/>
    <s v=" 44.5977 "/>
    <x v="0"/>
    <n v="2704862"/>
    <m/>
    <m/>
    <m/>
  </r>
  <r>
    <x v="17"/>
    <x v="4"/>
    <s v="C:\Users\cbarrier\Desktop\BPA\BPA\20201117_Cefas_Test6-Run2/Plate 3/@19/E10_01.tif "/>
    <s v=" 71811.2502 "/>
    <s v=" 50.2386 "/>
    <x v="0"/>
    <n v="3607693"/>
    <m/>
    <m/>
    <m/>
  </r>
  <r>
    <x v="17"/>
    <x v="4"/>
    <s v="C:\Users\cbarrier\Desktop\BPA\BPA\20201117_Cefas_Test6-Run2/Plate 3/@19/E10_02.tif "/>
    <s v=" 67420.3816 "/>
    <s v=" 48.4033 "/>
    <x v="0"/>
    <n v="3263367"/>
    <m/>
    <m/>
    <m/>
  </r>
  <r>
    <x v="17"/>
    <x v="5"/>
    <s v="C:\Users\cbarrier\Desktop\BPA\BPA\20201117_Cefas_Test6-Run2/Plate 3/@19/F10_01.tif "/>
    <s v=" 66879.6342 "/>
    <s v=" 47.9903 "/>
    <x v="0"/>
    <n v="3209574"/>
    <m/>
    <m/>
    <m/>
  </r>
  <r>
    <x v="17"/>
    <x v="5"/>
    <s v="C:\Users\cbarrier\Desktop\BPA\BPA\20201117_Cefas_Test6-Run2/Plate 3/@19/F10_02.tif "/>
    <s v=" 70686.4956 "/>
    <s v=" 44.1034 "/>
    <x v="0"/>
    <n v="3117517"/>
    <m/>
    <m/>
    <m/>
  </r>
  <r>
    <x v="17"/>
    <x v="6"/>
    <s v="C:\Users\cbarrier\Desktop\BPA\BPA\20201117_Cefas_Test6-Run2/Plate 3/@19/G10_01.tif "/>
    <s v=" 69020.9938 "/>
    <s v=" 46.3049 "/>
    <x v="0"/>
    <n v="3196012"/>
    <m/>
    <m/>
    <m/>
  </r>
  <r>
    <x v="17"/>
    <x v="6"/>
    <s v="C:\Users\cbarrier\Desktop\BPA\BPA\20201117_Cefas_Test6-Run2/Plate 3/@19/G10_02.tif "/>
    <s v=" 61926.3883 "/>
    <s v=" 47.4408 "/>
    <x v="0"/>
    <n v="2937837"/>
    <m/>
    <m/>
    <m/>
  </r>
  <r>
    <x v="17"/>
    <x v="7"/>
    <s v="C:\Users\cbarrier\Desktop\BPA\BPA\20201117_Cefas_Test6-Run2/Plate 3/@19/H10_01.tif "/>
    <s v=" 57081.2919 "/>
    <s v=" 38.7563 "/>
    <x v="0"/>
    <n v="2212262"/>
    <m/>
    <m/>
    <m/>
  </r>
  <r>
    <x v="17"/>
    <x v="7"/>
    <s v="C:\Users\cbarrier\Desktop\BPA\BPA\20201117_Cefas_Test6-Run2/Plate 3/@19/H10_02.tif "/>
    <s v=" 55415.79 "/>
    <s v=" 37.6885 "/>
    <x v="0"/>
    <n v="2088539"/>
    <m/>
    <m/>
    <m/>
  </r>
  <r>
    <x v="1"/>
    <x v="8"/>
    <s v=" "/>
    <m/>
    <m/>
    <x v="1"/>
    <m/>
    <m/>
    <m/>
    <m/>
  </r>
  <r>
    <x v="1"/>
    <x v="8"/>
    <s v="group "/>
    <s v=" "/>
    <s v=" mean of mean fluo "/>
    <x v="2"/>
    <s v=" mean of total fluo "/>
    <s v=" SD total fluo "/>
    <s v=" n fluorescent "/>
    <s v=" n total"/>
  </r>
  <r>
    <x v="17"/>
    <x v="9"/>
    <s v="C:\Users\cbarrier\Desktop\BPA\BPA\20201117_Cefas_Test6-Run2/Plate 3/@19/ "/>
    <s v=" "/>
    <s v=" 45.8364 "/>
    <x v="19"/>
    <s v=" 3011438.38 "/>
    <s v=" 950983.075 "/>
    <n v="16"/>
    <n v="16"/>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cbarrier\Desktop\BPA\BPA\20201117_Cefas_Test6-Run2/Plate 3/@20/A11_01.tif "/>
    <s v=" 85178.525 "/>
    <s v=" 44.6244 "/>
    <x v="0"/>
    <n v="3801043"/>
    <m/>
    <m/>
    <m/>
  </r>
  <r>
    <x v="18"/>
    <x v="0"/>
    <s v="C:\Users\cbarrier\Desktop\BPA\BPA\20201117_Cefas_Test6-Run2/Plate 3/@20/A11_02.tif "/>
    <s v=" 95279.6858 "/>
    <s v=" 50.7353 "/>
    <x v="0"/>
    <n v="4834044"/>
    <m/>
    <m/>
    <m/>
  </r>
  <r>
    <x v="18"/>
    <x v="1"/>
    <s v="C:\Users\cbarrier\Desktop\BPA\BPA\20201117_Cefas_Test6-Run2/Plate 3/@20/B11_01- exclu.tif"/>
    <m/>
    <m/>
    <x v="1"/>
    <m/>
    <m/>
    <m/>
    <m/>
  </r>
  <r>
    <x v="18"/>
    <x v="1"/>
    <s v="C:\Users\cbarrier\Desktop\BPA\BPA\20201117_Cefas_Test6-Run2/Plate 3/@20/B11_02- exclu.tif"/>
    <m/>
    <m/>
    <x v="1"/>
    <m/>
    <m/>
    <m/>
    <m/>
  </r>
  <r>
    <x v="18"/>
    <x v="2"/>
    <s v="C:\Users\cbarrier\Desktop\BPA\BPA\20201117_Cefas_Test6-Run2/Plate 3/@20/C11_01.tif "/>
    <s v=" 72157.3285 "/>
    <s v=" 44.1921 "/>
    <x v="0"/>
    <n v="3188787"/>
    <m/>
    <m/>
    <m/>
  </r>
  <r>
    <x v="18"/>
    <x v="2"/>
    <s v="C:\Users\cbarrier\Desktop\BPA\BPA\20201117_Cefas_Test6-Run2/Plate 3/@20/C11_02.tif "/>
    <s v=" 67615.0506 "/>
    <s v=" 40.3055 "/>
    <x v="0"/>
    <n v="2725259"/>
    <m/>
    <m/>
    <m/>
  </r>
  <r>
    <x v="18"/>
    <x v="3"/>
    <s v="C:\Users\cbarrier\Desktop\BPA\BPA\20201117_Cefas_Test6-Run2/Plate 3/@20/D11_01.tif "/>
    <s v=" 80766.0265 "/>
    <s v=" 49.0629 "/>
    <x v="0"/>
    <n v="3962618"/>
    <m/>
    <m/>
    <m/>
  </r>
  <r>
    <x v="18"/>
    <x v="3"/>
    <s v="C:\Users\cbarrier\Desktop\BPA\BPA\20201117_Cefas_Test6-Run2/Plate 3/@20/D11_02.tif "/>
    <s v=" 89958.7318 "/>
    <s v=" 54.0373 "/>
    <x v="0"/>
    <n v="4861124"/>
    <m/>
    <m/>
    <m/>
  </r>
  <r>
    <x v="18"/>
    <x v="4"/>
    <s v="C:\Users\cbarrier\Desktop\BPA\BPA\20201117_Cefas_Test6-Run2/Plate 3/@20/E11_01.tif "/>
    <s v=" 90650.8884 "/>
    <s v=" 52.5932 "/>
    <x v="0"/>
    <n v="4767618"/>
    <m/>
    <m/>
    <m/>
  </r>
  <r>
    <x v="18"/>
    <x v="4"/>
    <s v="C:\Users\cbarrier\Desktop\BPA\BPA\20201117_Cefas_Test6-Run2/Plate 3/@20/E11_02.tif "/>
    <s v=" 93549.2943 "/>
    <s v=" 57.3163 "/>
    <x v="0"/>
    <n v="5361899"/>
    <m/>
    <m/>
    <m/>
  </r>
  <r>
    <x v="18"/>
    <x v="5"/>
    <s v="C:\Users\cbarrier\Desktop\BPA\BPA\20201117_Cefas_Test6-Run2/Plate 3/@20/F11_01.tif "/>
    <s v=" 59958.0679 "/>
    <s v=" 43.3301 "/>
    <x v="0"/>
    <n v="2597988"/>
    <m/>
    <m/>
    <m/>
  </r>
  <r>
    <x v="18"/>
    <x v="5"/>
    <s v="C:\Users\cbarrier\Desktop\BPA\BPA\20201117_Cefas_Test6-Run2/Plate 3/@20/F11_02.tif "/>
    <s v=" 61537.0502 "/>
    <s v=" 42.639 "/>
    <x v="0"/>
    <n v="2623879"/>
    <m/>
    <m/>
    <m/>
  </r>
  <r>
    <x v="18"/>
    <x v="6"/>
    <s v="C:\Users\cbarrier\Desktop\BPA\BPA\20201117_Cefas_Test6-Run2/Plate 3/@20/G11_01.tif "/>
    <s v=" 80722.7668 "/>
    <s v=" 50.8387 "/>
    <x v="0"/>
    <n v="4103840"/>
    <m/>
    <m/>
    <m/>
  </r>
  <r>
    <x v="18"/>
    <x v="6"/>
    <s v="C:\Users\cbarrier\Desktop\BPA\BPA\20201117_Cefas_Test6-Run2/Plate 3/@20/G11_02.tif "/>
    <s v=" 81198.6244 "/>
    <s v=" 49.0589 "/>
    <x v="0"/>
    <n v="3983513"/>
    <m/>
    <m/>
    <m/>
  </r>
  <r>
    <x v="18"/>
    <x v="7"/>
    <s v="C:\Users\cbarrier\Desktop\BPA\BPA\20201117_Cefas_Test6-Run2/Plate 3/@20/H11_01.tif "/>
    <s v=" 86216.76 "/>
    <s v=" 47.9842 "/>
    <x v="0"/>
    <n v="4137042"/>
    <m/>
    <m/>
    <m/>
  </r>
  <r>
    <x v="18"/>
    <x v="7"/>
    <s v="C:\Users\cbarrier\Desktop\BPA\BPA\20201117_Cefas_Test6-Run2/Plate 3/@20/H11_02.tif "/>
    <s v=" 78949.1154 "/>
    <s v=" 48.5978 "/>
    <x v="0"/>
    <n v="3836754"/>
    <m/>
    <m/>
    <m/>
  </r>
  <r>
    <x v="1"/>
    <x v="8"/>
    <s v=" "/>
    <m/>
    <m/>
    <x v="1"/>
    <m/>
    <m/>
    <m/>
    <m/>
  </r>
  <r>
    <x v="1"/>
    <x v="8"/>
    <s v="group "/>
    <s v=" "/>
    <s v=" mean of mean fluo "/>
    <x v="2"/>
    <s v=" mean of total fluo "/>
    <s v=" SD total fluo "/>
    <s v=" n fluorescent "/>
    <s v=" n total"/>
  </r>
  <r>
    <x v="18"/>
    <x v="9"/>
    <s v="C:\Users\cbarrier\Desktop\BPA\BPA\20201117_Cefas_Test6-Run2/Plate 3/@20/ "/>
    <s v=" "/>
    <s v=" 47.8259 "/>
    <x v="20"/>
    <s v=" 3602771.25 "/>
    <s v=" 1283959.85 "/>
    <n v="16"/>
    <n v="16"/>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cbarrier\Desktop\BPA\BPA\20201117_Cefas_Test6-Run2/Plate 3/@21/A12_01.tif "/>
    <s v=" 78559.7773 "/>
    <s v=" 41.4339 "/>
    <x v="0"/>
    <n v="3255040"/>
    <m/>
    <m/>
    <m/>
  </r>
  <r>
    <x v="19"/>
    <x v="0"/>
    <s v="C:\Users\cbarrier\Desktop\BPA\BPA\20201117_Cefas_Test6-Run2/Plate 3/@21/A12_02.tif "/>
    <s v=" 72265.478 "/>
    <s v=" 44.317 "/>
    <x v="0"/>
    <n v="3202587"/>
    <m/>
    <m/>
    <m/>
  </r>
  <r>
    <x v="19"/>
    <x v="1"/>
    <s v="C:\Users\cbarrier\Desktop\BPA\BPA\20201117_Cefas_Test6-Run2/Plate 3/@21/B12_01.tif "/>
    <s v=" 71746.3605 "/>
    <s v=" 47.0353 "/>
    <x v="0"/>
    <n v="3374610"/>
    <m/>
    <m/>
    <m/>
  </r>
  <r>
    <x v="19"/>
    <x v="1"/>
    <s v="C:\Users\cbarrier\Desktop\BPA\BPA\20201117_Cefas_Test6-Run2/Plate 3/@21/B12_02.tif "/>
    <s v=" 72654.8161 "/>
    <s v=" 47.1271 "/>
    <x v="0"/>
    <n v="3424012"/>
    <m/>
    <m/>
    <m/>
  </r>
  <r>
    <x v="19"/>
    <x v="2"/>
    <s v="C:\Users\cbarrier\Desktop\BPA\BPA\20201117_Cefas_Test6-Run2/Plate 3/@21/C12_01.tif "/>
    <s v=" 58465.6052 "/>
    <s v=" 48.4044 "/>
    <x v="0"/>
    <n v="2829991"/>
    <m/>
    <m/>
    <m/>
  </r>
  <r>
    <x v="19"/>
    <x v="2"/>
    <s v="C:\Users\cbarrier\Desktop\BPA\BPA\20201117_Cefas_Test6-Run2/Plate 3/@21/C12_02.tif "/>
    <s v=" 68588.3959 "/>
    <s v=" 47.4178 "/>
    <x v="0"/>
    <n v="3252314"/>
    <m/>
    <m/>
    <m/>
  </r>
  <r>
    <x v="19"/>
    <x v="3"/>
    <s v="C:\Users\cbarrier\Desktop\BPA\BPA\20201117_Cefas_Test6-Run2/Plate 3/@21/D12_01.tif "/>
    <s v=" 84918.9663 "/>
    <s v=" 52.5642 "/>
    <x v="0"/>
    <n v="4463696"/>
    <m/>
    <m/>
    <m/>
  </r>
  <r>
    <x v="19"/>
    <x v="3"/>
    <s v="C:\Users\cbarrier\Desktop\BPA\BPA\20201117_Cefas_Test6-Run2/Plate 3/@21/D12_02.tif "/>
    <s v=" 79792.6813 "/>
    <s v=" 52.0529 "/>
    <x v="0"/>
    <n v="4153437"/>
    <m/>
    <m/>
    <m/>
  </r>
  <r>
    <x v="19"/>
    <x v="4"/>
    <s v="C:\Users\cbarrier\Desktop\BPA\BPA\20201117_Cefas_Test6-Run2/Plate 3/@21/E12_01.tif "/>
    <s v=" 57038.0321 "/>
    <s v=" 53.4092 "/>
    <x v="0"/>
    <n v="3046354"/>
    <m/>
    <m/>
    <m/>
  </r>
  <r>
    <x v="19"/>
    <x v="4"/>
    <s v="C:\Users\cbarrier\Desktop\BPA\BPA\20201117_Cefas_Test6-Run2/Plate 3/@21/E12_02- exclu.tif"/>
    <m/>
    <m/>
    <x v="1"/>
    <m/>
    <m/>
    <m/>
    <m/>
  </r>
  <r>
    <x v="19"/>
    <x v="5"/>
    <s v="C:\Users\cbarrier\Desktop\BPA\BPA\20201117_Cefas_Test6-Run2/Plate 3/@21/F12_01.tif "/>
    <s v=" 89201.6854 "/>
    <s v=" 54.2723 "/>
    <x v="0"/>
    <n v="4841181"/>
    <m/>
    <m/>
    <m/>
  </r>
  <r>
    <x v="19"/>
    <x v="5"/>
    <s v="C:\Users\cbarrier\Desktop\BPA\BPA\20201117_Cefas_Test6-Run2/Plate 3/@21/F12_02.tif "/>
    <s v=" 86368.1693 "/>
    <s v=" 50.2837 "/>
    <x v="0"/>
    <n v="4342915"/>
    <m/>
    <m/>
    <m/>
  </r>
  <r>
    <x v="19"/>
    <x v="6"/>
    <s v="C:\Users\cbarrier\Desktop\BPA\BPA\20201117_Cefas_Test6-Run2/Plate 3/@21/G12_01.tif "/>
    <s v=" 68004.3887 "/>
    <s v=" 48.6753 "/>
    <x v="0"/>
    <n v="3310131"/>
    <m/>
    <m/>
    <m/>
  </r>
  <r>
    <x v="19"/>
    <x v="6"/>
    <s v="C:\Users\cbarrier\Desktop\BPA\BPA\20201117_Cefas_Test6-Run2/Plate 3/@21/G12_02.tif "/>
    <s v=" 70924.4245 "/>
    <s v=" 49.0698 "/>
    <x v="0"/>
    <n v="3480250"/>
    <m/>
    <m/>
    <m/>
  </r>
  <r>
    <x v="19"/>
    <x v="7"/>
    <s v="C:\Users\cbarrier\Desktop\BPA\BPA\20201117_Cefas_Test6-Run2/Plate 3/@21/H12_01.tif "/>
    <s v=" 73693.051 "/>
    <s v=" 57.6117 "/>
    <x v="0"/>
    <n v="4245581"/>
    <m/>
    <m/>
    <m/>
  </r>
  <r>
    <x v="19"/>
    <x v="7"/>
    <s v="C:\Users\cbarrier\Desktop\BPA\BPA\20201117_Cefas_Test6-Run2/Plate 3/@21/H12_02.tif "/>
    <s v=" 79360.0834 "/>
    <s v=" 55.9392 "/>
    <x v="0"/>
    <n v="4439341"/>
    <m/>
    <m/>
    <m/>
  </r>
  <r>
    <x v="1"/>
    <x v="8"/>
    <s v=" "/>
    <m/>
    <m/>
    <x v="1"/>
    <m/>
    <m/>
    <m/>
    <m/>
  </r>
  <r>
    <x v="1"/>
    <x v="8"/>
    <s v="group "/>
    <s v=" "/>
    <s v=" mean of mean fluo "/>
    <x v="2"/>
    <s v=" mean of total fluo "/>
    <s v=" SD total fluo "/>
    <s v=" n fluorescent "/>
    <s v=" n total"/>
  </r>
  <r>
    <x v="19"/>
    <x v="9"/>
    <s v="C:\Users\cbarrier\Desktop\BPA\BPA\20201117_Cefas_Test6-Run2/Plate 3/@21/ "/>
    <s v=" "/>
    <s v=" 49.625 "/>
    <x v="21"/>
    <s v=" 3678597.5 "/>
    <s v=" 622235.578 "/>
    <n v="16"/>
    <n v="16"/>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cbarrier\Desktop\BPA\BPA\20201117_Cefas_Test6-Run2/Plate 3/@8/A2_01.tif "/>
    <s v=" 4823.4665 "/>
    <s v=" 35.8161 "/>
    <x v="0"/>
    <n v="172758"/>
    <m/>
    <m/>
    <m/>
  </r>
  <r>
    <x v="20"/>
    <x v="0"/>
    <s v="C:\Users\cbarrier\Desktop\BPA\BPA\20201117_Cefas_Test6-Run2/Plate 3/@8/A2_02.tif "/>
    <s v=" 5256.0644 "/>
    <s v=" 35.6379 "/>
    <x v="0"/>
    <n v="187315"/>
    <m/>
    <m/>
    <m/>
  </r>
  <r>
    <x v="20"/>
    <x v="1"/>
    <s v="C:\Users\cbarrier\Desktop\BPA\BPA\20201117_Cefas_Test6-Run2/Plate 3/@8/B2_01.tif "/>
    <s v=" 10360.7195 "/>
    <s v=" 41.5491 "/>
    <x v="0"/>
    <n v="430478"/>
    <m/>
    <m/>
    <m/>
  </r>
  <r>
    <x v="20"/>
    <x v="1"/>
    <s v="C:\Users\cbarrier\Desktop\BPA\BPA\20201117_Cefas_Test6-Run2/Plate 3/@8/B2_02.tif "/>
    <s v=" 10230.9402 "/>
    <s v=" 40.814 "/>
    <x v="0"/>
    <n v="417565"/>
    <m/>
    <m/>
    <m/>
  </r>
  <r>
    <x v="20"/>
    <x v="2"/>
    <s v="C:\Users\cbarrier\Desktop\BPA\BPA\20201117_Cefas_Test6-Run2/Plate 3/@8/C2_01.tif "/>
    <s v=" 4736.9469 "/>
    <s v=" 39.0639 "/>
    <x v="0"/>
    <n v="185044"/>
    <m/>
    <m/>
    <m/>
  </r>
  <r>
    <x v="20"/>
    <x v="2"/>
    <s v="C:\Users\cbarrier\Desktop\BPA\BPA\20201117_Cefas_Test6-Run2/Plate 3/@8/C2_02.tif "/>
    <s v=" 4239.4593 "/>
    <s v=" 36.2551 "/>
    <x v="0"/>
    <n v="153702"/>
    <m/>
    <m/>
    <m/>
  </r>
  <r>
    <x v="20"/>
    <x v="3"/>
    <s v="C:\Users\cbarrier\Desktop\BPA\BPA\20201117_Cefas_Test6-Run2/Plate 3/@8/D2_01.tif "/>
    <s v=" 3698.712 "/>
    <s v=" 33.2222 "/>
    <x v="0"/>
    <n v="122879"/>
    <m/>
    <m/>
    <m/>
  </r>
  <r>
    <x v="20"/>
    <x v="3"/>
    <s v="C:\Users\cbarrier\Desktop\BPA\BPA\20201117_Cefas_Test6-Run2/Plate 3/@8/D2_02.tif "/>
    <s v=" 6553.8581 "/>
    <s v=" 38.5248 "/>
    <x v="0"/>
    <n v="252486"/>
    <m/>
    <m/>
    <m/>
  </r>
  <r>
    <x v="20"/>
    <x v="4"/>
    <s v="C:\Users\cbarrier\Desktop\BPA\BPA\20201117_Cefas_Test6-Run2/Plate 3/@8/E2_01.tif "/>
    <n v="0"/>
    <n v="0"/>
    <x v="0"/>
    <n v="0"/>
    <m/>
    <m/>
    <m/>
  </r>
  <r>
    <x v="20"/>
    <x v="4"/>
    <s v="C:\Users\cbarrier\Desktop\BPA\BPA\20201117_Cefas_Test6-Run2/Plate 3/@8/E2_02.tif "/>
    <s v=" 237.9288 "/>
    <s v=" 31.4545 "/>
    <x v="0"/>
    <n v="7484"/>
    <m/>
    <m/>
    <m/>
  </r>
  <r>
    <x v="20"/>
    <x v="5"/>
    <s v="C:\Users\cbarrier\Desktop\BPA\BPA\20201117_Cefas_Test6-Run2/Plate 3/@8/F2_01.tif "/>
    <s v=" 9387.3743 "/>
    <s v=" 43.5783 "/>
    <x v="0"/>
    <n v="409086"/>
    <m/>
    <m/>
    <m/>
  </r>
  <r>
    <x v="20"/>
    <x v="5"/>
    <s v="C:\Users\cbarrier\Desktop\BPA\BPA\20201117_Cefas_Test6-Run2/Plate 3/@8/F2_02.tif "/>
    <s v=" 10879.837 "/>
    <s v=" 41.6163 "/>
    <x v="0"/>
    <n v="452779"/>
    <m/>
    <m/>
    <m/>
  </r>
  <r>
    <x v="20"/>
    <x v="6"/>
    <s v="C:\Users\cbarrier\Desktop\BPA\BPA\20201117_Cefas_Test6-Run2/Plate 3/@8/G2_01.tif "/>
    <s v=" 5450.7334 "/>
    <s v=" 35.4921 "/>
    <x v="0"/>
    <n v="193458"/>
    <m/>
    <m/>
    <m/>
  </r>
  <r>
    <x v="20"/>
    <x v="6"/>
    <s v="C:\Users\cbarrier\Desktop\BPA\BPA\20201117_Cefas_Test6-Run2/Plate 3/@8/G2_02.tif "/>
    <s v=" 8111.2105 "/>
    <s v=" 35.88 "/>
    <x v="0"/>
    <n v="291030"/>
    <m/>
    <m/>
    <m/>
  </r>
  <r>
    <x v="20"/>
    <x v="7"/>
    <s v="C:\Users\cbarrier\Desktop\BPA\BPA\20201117_Cefas_Test6-Run2/Plate 3/@8/H2_01.tif "/>
    <s v=" 5234.4345 "/>
    <s v=" 35.6281 "/>
    <x v="0"/>
    <n v="186493"/>
    <m/>
    <m/>
    <m/>
  </r>
  <r>
    <x v="20"/>
    <x v="7"/>
    <s v="C:\Users\cbarrier\Desktop\BPA\BPA\20201117_Cefas_Test6-Run2/Plate 3/@8/H2_02.tif "/>
    <s v=" 2811.8863 "/>
    <s v=" 34.5538 "/>
    <x v="0"/>
    <n v="97161"/>
    <m/>
    <m/>
    <m/>
  </r>
  <r>
    <x v="1"/>
    <x v="8"/>
    <s v=" "/>
    <m/>
    <m/>
    <x v="1"/>
    <m/>
    <m/>
    <m/>
    <m/>
  </r>
  <r>
    <x v="1"/>
    <x v="8"/>
    <s v="group "/>
    <s v=" "/>
    <s v=" mean of mean fluo "/>
    <x v="2"/>
    <s v=" mean of total fluo "/>
    <s v=" SD total fluo "/>
    <s v=" n fluorescent "/>
    <s v=" n total"/>
  </r>
  <r>
    <x v="20"/>
    <x v="9"/>
    <s v="C:\Users\cbarrier\Desktop\BPA\BPA\20201117_Cefas_Test6-Run2/Plate 3/@8/ "/>
    <s v=" "/>
    <s v=" 34.9429 "/>
    <x v="22"/>
    <s v=" 222482.375 "/>
    <s v=" 143318.787 "/>
    <n v="15"/>
    <n v="16"/>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cbarrier\Desktop\BPA\BPA\20201117_Cefas_Test6-Run2/Plate 3/@9/A3_01.tif "/>
    <s v=" 2509.0678 "/>
    <s v=" 33.5776 "/>
    <x v="0"/>
    <n v="84248"/>
    <m/>
    <m/>
    <m/>
  </r>
  <r>
    <x v="21"/>
    <x v="0"/>
    <s v="C:\Users\cbarrier\Desktop\BPA\BPA\20201117_Cefas_Test6-Run2/Plate 3/@9/A3_02.tif "/>
    <s v=" 5861.7014 "/>
    <s v=" 36.3911 "/>
    <x v="0"/>
    <n v="213314"/>
    <m/>
    <m/>
    <m/>
  </r>
  <r>
    <x v="21"/>
    <x v="1"/>
    <s v="C:\Users\cbarrier\Desktop\BPA\BPA\20201117_Cefas_Test6-Run2/Plate 3/@9/B3_01.tif "/>
    <s v=" 10490.4989 "/>
    <s v=" 43.5856 "/>
    <x v="0"/>
    <n v="457234"/>
    <m/>
    <m/>
    <m/>
  </r>
  <r>
    <x v="21"/>
    <x v="1"/>
    <s v="C:\Users\cbarrier\Desktop\BPA\BPA\20201117_Cefas_Test6-Run2/Plate 3/@9/B3_02.tif "/>
    <s v=" 9819.9722 "/>
    <s v=" 40.9163 "/>
    <x v="0"/>
    <n v="401797"/>
    <m/>
    <m/>
    <m/>
  </r>
  <r>
    <x v="21"/>
    <x v="2"/>
    <s v="C:\Users\cbarrier\Desktop\BPA\BPA\20201117_Cefas_Test6-Run2/Plate 3/@9/C3_01.tif "/>
    <s v=" 7938.1713 "/>
    <s v=" 38.6131 "/>
    <x v="0"/>
    <n v="306517"/>
    <m/>
    <m/>
    <m/>
  </r>
  <r>
    <x v="21"/>
    <x v="2"/>
    <s v="C:\Users\cbarrier\Desktop\BPA\BPA\20201117_Cefas_Test6-Run2/Plate 3/@9/C3_02.tif "/>
    <s v=" 7310.9044 "/>
    <s v=" 38.4172 "/>
    <x v="0"/>
    <n v="280864"/>
    <m/>
    <m/>
    <m/>
  </r>
  <r>
    <x v="21"/>
    <x v="3"/>
    <s v="C:\Users\cbarrier\Desktop\BPA\BPA\20201117_Cefas_Test6-Run2/Plate 3/@9/D3_01.tif "/>
    <s v=" 4780.2067 "/>
    <s v=" 38.1086 "/>
    <x v="0"/>
    <n v="182167"/>
    <m/>
    <m/>
    <m/>
  </r>
  <r>
    <x v="21"/>
    <x v="3"/>
    <s v="C:\Users\cbarrier\Desktop\BPA\BPA\20201117_Cefas_Test6-Run2/Plate 3/@9/D3_02.tif "/>
    <s v=" 6597.1179 "/>
    <s v=" 36.3148 "/>
    <x v="0"/>
    <n v="239573"/>
    <m/>
    <m/>
    <m/>
  </r>
  <r>
    <x v="21"/>
    <x v="4"/>
    <s v="C:\Users\cbarrier\Desktop\BPA\BPA\20201117_Cefas_Test6-Run2/Plate 3/@9/E3_01.tif "/>
    <s v=" 3547.3027 "/>
    <s v=" 33.8415 "/>
    <x v="0"/>
    <n v="120046"/>
    <m/>
    <m/>
    <m/>
  </r>
  <r>
    <x v="21"/>
    <x v="4"/>
    <s v="C:\Users\cbarrier\Desktop\BPA\BPA\20201117_Cefas_Test6-Run2/Plate 3/@9/E3_02.tif "/>
    <s v=" 648.8968 "/>
    <s v=" 31.5 "/>
    <x v="0"/>
    <n v="20440"/>
    <m/>
    <m/>
    <m/>
  </r>
  <r>
    <x v="21"/>
    <x v="5"/>
    <s v="C:\Users\cbarrier\Desktop\BPA\BPA\20201117_Cefas_Test6-Run2/Plate 3/@9/F3_01.tif "/>
    <s v=" 1081.4947 "/>
    <s v=" 32.48 "/>
    <x v="0"/>
    <n v="35127"/>
    <m/>
    <m/>
    <m/>
  </r>
  <r>
    <x v="21"/>
    <x v="5"/>
    <s v="C:\Users\cbarrier\Desktop\BPA\BPA\20201117_Cefas_Test6-Run2/Plate 3/@9/F3_02.tif "/>
    <s v=" 389.3381 "/>
    <s v=" 31.5 "/>
    <x v="0"/>
    <n v="12264"/>
    <m/>
    <m/>
    <m/>
  </r>
  <r>
    <x v="21"/>
    <x v="6"/>
    <s v="C:\Users\cbarrier\Desktop\BPA\BPA\20201117_Cefas_Test6-Run2/Plate 3/@9/G3_01.tif "/>
    <s v=" 7592.093 "/>
    <s v=" 39.2593 "/>
    <x v="0"/>
    <n v="298060"/>
    <m/>
    <m/>
    <m/>
  </r>
  <r>
    <x v="21"/>
    <x v="6"/>
    <s v="C:\Users\cbarrier\Desktop\BPA\BPA\20201117_Cefas_Test6-Run2/Plate 3/@9/G3_02.tif "/>
    <s v=" 9322.4846 "/>
    <s v=" 44.9049 "/>
    <x v="0"/>
    <n v="418625"/>
    <m/>
    <m/>
    <m/>
  </r>
  <r>
    <x v="21"/>
    <x v="7"/>
    <s v="C:\Users\cbarrier\Desktop\BPA\BPA\20201117_Cefas_Test6-Run2/Plate 3/@9/H3_01.tif "/>
    <s v=" 4758.5768 "/>
    <s v=" 34.9864 "/>
    <x v="0"/>
    <n v="166485"/>
    <m/>
    <m/>
    <m/>
  </r>
  <r>
    <x v="21"/>
    <x v="7"/>
    <s v="C:\Users\cbarrier\Desktop\BPA\BPA\20201117_Cefas_Test6-Run2/Plate 3/@9/H3_02.tif "/>
    <s v=" 6510.5983 "/>
    <s v=" 37.3787 "/>
    <x v="0"/>
    <n v="243358"/>
    <m/>
    <m/>
    <m/>
  </r>
  <r>
    <x v="1"/>
    <x v="8"/>
    <s v=" "/>
    <m/>
    <m/>
    <x v="1"/>
    <m/>
    <m/>
    <m/>
    <m/>
  </r>
  <r>
    <x v="1"/>
    <x v="8"/>
    <s v="group "/>
    <s v=" "/>
    <s v=" mean of mean fluo "/>
    <x v="2"/>
    <s v=" mean of total fluo "/>
    <s v=" SD total fluo "/>
    <s v=" n fluorescent "/>
    <s v=" n total"/>
  </r>
  <r>
    <x v="21"/>
    <x v="9"/>
    <s v="C:\Users\cbarrier\Desktop\BPA\BPA\20201117_Cefas_Test6-Run2/Plate 3/@9/ "/>
    <s v=" "/>
    <s v=" 36.9859 "/>
    <x v="23"/>
    <s v=" 217507.438 "/>
    <s v=" 140667.469 "/>
    <n v="16"/>
    <n v="16"/>
  </r>
  <r>
    <x v="1"/>
    <x v="8"/>
    <s v=" "/>
    <m/>
    <m/>
    <x v="1"/>
    <m/>
    <m/>
    <m/>
    <m/>
  </r>
  <r>
    <x v="1"/>
    <x v="8"/>
    <s v=" "/>
    <m/>
    <m/>
    <x v="1"/>
    <m/>
    <m/>
    <m/>
    <m/>
  </r>
  <r>
    <x v="1"/>
    <x v="8"/>
    <s v=" "/>
    <m/>
    <m/>
    <x v="1"/>
    <m/>
    <m/>
    <m/>
    <m/>
  </r>
  <r>
    <x v="1"/>
    <x v="8"/>
    <s v=" "/>
    <m/>
    <m/>
    <x v="1"/>
    <m/>
    <m/>
    <m/>
    <m/>
  </r>
  <r>
    <x v="1"/>
    <x v="8"/>
    <s v=" "/>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22"/>
    <x v="10"/>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C:\Users\cbarrier\Desktop\BPA\BPA\20201116_Cefas_Test6-Run1/20201116_Cefas_Test6-Run1/Plate 1/@1/A10_01.tif "/>
    <s v=" 9473.8938 "/>
    <s v=" 38.9132 "/>
    <x v="0"/>
    <n v="368660"/>
    <m/>
    <m/>
    <m/>
  </r>
  <r>
    <x v="0"/>
    <x v="0"/>
    <s v="C:\Users\cbarrier\Desktop\BPA\BPA\20201116_Cefas_Test6-Run1/20201116_Cefas_Test6-Run1/Plate 1/@1/A10_02.tif "/>
    <s v=" 2746.9966 "/>
    <s v=" 38.8819 "/>
    <x v="0"/>
    <n v="106808"/>
    <m/>
    <m/>
    <m/>
  </r>
  <r>
    <x v="0"/>
    <x v="0"/>
    <s v="C:\Users\cbarrier\Desktop\BPA\BPA\20201116_Cefas_Test6-Run1/20201116_Cefas_Test6-Run1/Plate 1/@1/A10_03.tif "/>
    <s v=" 4563.9078 "/>
    <s v=" 33.7488 "/>
    <x v="0"/>
    <n v="154026"/>
    <m/>
    <m/>
    <m/>
  </r>
  <r>
    <x v="0"/>
    <x v="1"/>
    <s v="C:\Users\cbarrier\Desktop\BPA\BPA\20201116_Cefas_Test6-Run1/20201116_Cefas_Test6-Run1/Plate 1/@1/B10_01.tif "/>
    <s v=" 3741.9718 "/>
    <s v=" 39.4566 "/>
    <x v="0"/>
    <n v="147646"/>
    <m/>
    <m/>
    <m/>
  </r>
  <r>
    <x v="0"/>
    <x v="1"/>
    <s v="C:\Users\cbarrier\Desktop\BPA\BPA\20201116_Cefas_Test6-Run1/20201116_Cefas_Test6-Run1/Plate 1/@1/B10_02.tif "/>
    <s v=" 5818.4417 "/>
    <s v=" 39.7286 "/>
    <x v="0"/>
    <n v="231159"/>
    <m/>
    <m/>
    <m/>
  </r>
  <r>
    <x v="0"/>
    <x v="1"/>
    <s v="C:\Users\cbarrier\Desktop\BPA\BPA\20201116_Cefas_Test6-Run1/20201116_Cefas_Test6-Run1/Plate 1/@1/B10_03.tif "/>
    <s v=" 7246.0147 "/>
    <s v=" 37.4627 "/>
    <x v="0"/>
    <n v="271455"/>
    <m/>
    <m/>
    <m/>
  </r>
  <r>
    <x v="0"/>
    <x v="2"/>
    <s v="C:\Users\cbarrier\Desktop\BPA\BPA\20201116_Cefas_Test6-Run1/20201116_Cefas_Test6-Run1/Plate 1/@1/C10_01.tif "/>
    <s v=" 14297.3603 "/>
    <s v=" 43.6263 "/>
    <x v="0"/>
    <n v="623741"/>
    <m/>
    <m/>
    <m/>
  </r>
  <r>
    <x v="0"/>
    <x v="2"/>
    <s v="C:\Users\cbarrier\Desktop\BPA\BPA\20201116_Cefas_Test6-Run1/20201116_Cefas_Test6-Run1/Plate 1/@1/C10_02.tif "/>
    <s v=" 11398.9545 "/>
    <s v=" 42.8577 "/>
    <x v="0"/>
    <n v="488533"/>
    <m/>
    <m/>
    <m/>
  </r>
  <r>
    <x v="0"/>
    <x v="2"/>
    <s v="C:\Users\cbarrier\Desktop\BPA\BPA\20201116_Cefas_Test6-Run1/20201116_Cefas_Test6-Run1/Plate 1/@1/C10_03.tif "/>
    <s v=" 3893.381 "/>
    <s v=" 37.2444 "/>
    <x v="0"/>
    <n v="145007"/>
    <m/>
    <m/>
    <m/>
  </r>
  <r>
    <x v="0"/>
    <x v="3"/>
    <s v="C:\Users\cbarrier\Desktop\BPA\BPA\20201116_Cefas_Test6-Run1/20201116_Cefas_Test6-Run1/Plate 1/@1/D10_01.tif "/>
    <s v=" 10166.0505 "/>
    <s v=" 41.4787 "/>
    <x v="0"/>
    <n v="421675"/>
    <m/>
    <m/>
    <m/>
  </r>
  <r>
    <x v="0"/>
    <x v="3"/>
    <s v="C:\Users\cbarrier\Desktop\BPA\BPA\20201116_Cefas_Test6-Run1/20201116_Cefas_Test6-Run1/Plate 1/@1/D10_02.tif "/>
    <s v=" 5083.0252 "/>
    <s v=" 40.0809 "/>
    <x v="0"/>
    <n v="203732"/>
    <m/>
    <m/>
    <m/>
  </r>
  <r>
    <x v="0"/>
    <x v="3"/>
    <s v="C:\Users\cbarrier\Desktop\BPA\BPA\20201116_Cefas_Test6-Run1/20201116_Cefas_Test6-Run1/Plate 1/@1/D10_03.tif "/>
    <s v=" 497.4876 "/>
    <s v=" 31.3043 "/>
    <x v="0"/>
    <n v="15574"/>
    <m/>
    <m/>
    <m/>
  </r>
  <r>
    <x v="0"/>
    <x v="4"/>
    <s v="C:\Users\cbarrier\Desktop\BPA\BPA\20201116_Cefas_Test6-Run1/20201116_Cefas_Test6-Run1/Plate 1/@1/E10_01.tif "/>
    <s v=" 7332.5343 "/>
    <s v=" 37.8643 "/>
    <x v="0"/>
    <n v="277641"/>
    <m/>
    <m/>
    <m/>
  </r>
  <r>
    <x v="0"/>
    <x v="4"/>
    <s v="C:\Users\cbarrier\Desktop\BPA\BPA\20201116_Cefas_Test6-Run1/20201116_Cefas_Test6-Run1/Plate 1/@1/E10_02.tif "/>
    <s v=" 7072.9755 "/>
    <s v=" 34.7034 "/>
    <x v="0"/>
    <n v="245456"/>
    <m/>
    <m/>
    <m/>
  </r>
  <r>
    <x v="0"/>
    <x v="4"/>
    <s v="C:\Users\cbarrier\Desktop\BPA\BPA\20201116_Cefas_Test6-Run1/20201116_Cefas_Test6-Run1/Plate 1/@1/E10_03.tif "/>
    <s v=" 10295.8298 "/>
    <s v=" 35.7563 "/>
    <x v="0"/>
    <n v="368141"/>
    <m/>
    <m/>
    <m/>
  </r>
  <r>
    <x v="0"/>
    <x v="5"/>
    <s v="C:\Users\cbarrier\Desktop\BPA\BPA\20201116_Cefas_Test6-Run1/20201116_Cefas_Test6-Run1/Plate 1/@1/F10_01.tif "/>
    <s v=" 4996.5057 "/>
    <s v=" 36.4719 "/>
    <x v="0"/>
    <n v="182232"/>
    <m/>
    <m/>
    <m/>
  </r>
  <r>
    <x v="0"/>
    <x v="5"/>
    <s v="C:\Users\cbarrier\Desktop\BPA\BPA\20201116_Cefas_Test6-Run1/20201116_Cefas_Test6-Run1/Plate 1/@1/F10_02.tif "/>
    <s v=" 2898.4059 "/>
    <s v=" 35.7388 "/>
    <x v="0"/>
    <n v="103586"/>
    <m/>
    <m/>
    <m/>
  </r>
  <r>
    <x v="0"/>
    <x v="5"/>
    <s v="C:\Users\cbarrier\Desktop\BPA\BPA\20201116_Cefas_Test6-Run1/20201116_Cefas_Test6-Run1/Plate 1/@1/F10_03.tif "/>
    <s v=" 2660.477 "/>
    <s v=" 33.5854 "/>
    <x v="0"/>
    <n v="89353"/>
    <m/>
    <m/>
    <m/>
  </r>
  <r>
    <x v="0"/>
    <x v="6"/>
    <s v="C:\Users\cbarrier\Desktop\BPA\BPA\20201116_Cefas_Test6-Run1/20201116_Cefas_Test6-Run1/Plate 1/@1/G10_01.tif "/>
    <s v=" 4412.4985 "/>
    <s v=" 37.0343 "/>
    <x v="0"/>
    <n v="163414"/>
    <m/>
    <m/>
    <m/>
  </r>
  <r>
    <x v="0"/>
    <x v="6"/>
    <s v="C:\Users\cbarrier\Desktop\BPA\BPA\20201116_Cefas_Test6-Run1/20201116_Cefas_Test6-Run1/Plate 1/@1/G10_02.tif "/>
    <s v=" 3655.4522 "/>
    <s v=" 40.3609 "/>
    <x v="0"/>
    <n v="147538"/>
    <m/>
    <m/>
    <m/>
  </r>
  <r>
    <x v="0"/>
    <x v="6"/>
    <s v="C:\Users\cbarrier\Desktop\BPA\BPA\20201116_Cefas_Test6-Run1/20201116_Cefas_Test6-Run1/Plate 1/@1/G10_03.tif "/>
    <s v=" 43.2598 "/>
    <n v="30"/>
    <x v="0"/>
    <n v="1298"/>
    <m/>
    <m/>
    <m/>
  </r>
  <r>
    <x v="0"/>
    <x v="7"/>
    <s v="C:\Users\cbarrier\Desktop\BPA\BPA\20201116_Cefas_Test6-Run1/20201116_Cefas_Test6-Run1/Plate 1/@1/H10_01.tif "/>
    <s v=" 1124.7545 "/>
    <s v=" 32.8269 "/>
    <x v="0"/>
    <n v="36922"/>
    <m/>
    <m/>
    <m/>
  </r>
  <r>
    <x v="0"/>
    <x v="7"/>
    <s v="C:\Users\cbarrier\Desktop\BPA\BPA\20201116_Cefas_Test6-Run1/20201116_Cefas_Test6-Run1/Plate 1/@1/H10_02.tif "/>
    <s v=" 3071.445 "/>
    <s v=" 36.2113 "/>
    <x v="0"/>
    <n v="111221"/>
    <m/>
    <m/>
    <m/>
  </r>
  <r>
    <x v="0"/>
    <x v="7"/>
    <s v="C:\Users\cbarrier\Desktop\BPA\BPA\20201116_Cefas_Test6-Run1/20201116_Cefas_Test6-Run1/Plate 1/@1/H10_03.tif "/>
    <s v=" 2876.776 "/>
    <s v=" 35.1429 "/>
    <x v="0"/>
    <n v="101098"/>
    <m/>
    <m/>
    <m/>
  </r>
  <r>
    <x v="1"/>
    <x v="8"/>
    <s v=" "/>
    <m/>
    <m/>
    <x v="1"/>
    <m/>
    <m/>
    <m/>
    <m/>
  </r>
  <r>
    <x v="1"/>
    <x v="8"/>
    <s v="group "/>
    <s v=" "/>
    <s v=" mean of mean fluo "/>
    <x v="2"/>
    <s v=" mean of total fluo "/>
    <s v=" SD total fluo "/>
    <s v=" n fluorescent "/>
    <s v=" n total"/>
  </r>
  <r>
    <x v="0"/>
    <x v="9"/>
    <s v="C:\Users\cbarrier\Desktop\BPA\BPA\20201116_Cefas_Test6-Run1/20201116_Cefas_Test6-Run1/Plate 1/@1/ "/>
    <s v=" "/>
    <s v=" 37.1034 "/>
    <x v="3"/>
    <s v=" 208579.833 "/>
    <s v=" 153416.8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cbarrier\Desktop\BPA\BPA\20201116_Cefas_Test6-Run1/20201116_Cefas_Test6-Run1/Plate 1/@13/A8_01.tif "/>
    <s v=" 54658.7437 "/>
    <s v=" 36.9577 "/>
    <x v="0"/>
    <n v="2020059"/>
    <m/>
    <m/>
    <m/>
  </r>
  <r>
    <x v="2"/>
    <x v="0"/>
    <s v="C:\Users\cbarrier\Desktop\BPA\BPA\20201116_Cefas_Test6-Run1/20201116_Cefas_Test6-Run1/Plate 1/@13/A8_02.tif "/>
    <s v=" 38782.4011 "/>
    <s v=" 34.9927 "/>
    <x v="0"/>
    <n v="1357103"/>
    <m/>
    <m/>
    <m/>
  </r>
  <r>
    <x v="2"/>
    <x v="0"/>
    <s v="C:\Users\cbarrier\Desktop\BPA\BPA\20201116_Cefas_Test6-Run1/20201116_Cefas_Test6-Run1/Plate 1/@13/A8_03.tif "/>
    <s v=" 47758.8073 "/>
    <s v=" 35.5077 "/>
    <x v="0"/>
    <n v="1695805"/>
    <m/>
    <m/>
    <m/>
  </r>
  <r>
    <x v="2"/>
    <x v="1"/>
    <s v="C:\Users\cbarrier\Desktop\BPA\BPA\20201116_Cefas_Test6-Run1/20201116_Cefas_Test6-Run1/Plate 1/@13/B8_01.tif "/>
    <s v=" 994.9752 "/>
    <s v=" 31.6957 "/>
    <x v="0"/>
    <n v="31536"/>
    <m/>
    <m/>
    <m/>
  </r>
  <r>
    <x v="2"/>
    <x v="1"/>
    <s v="C:\Users\cbarrier\Desktop\BPA\BPA\20201116_Cefas_Test6-Run1/20201116_Cefas_Test6-Run1/Plate 1/@13/B8_02.tif "/>
    <s v=" 1427.573 "/>
    <s v=" 31.1061 "/>
    <x v="0"/>
    <n v="44406"/>
    <m/>
    <m/>
    <m/>
  </r>
  <r>
    <x v="2"/>
    <x v="1"/>
    <s v="C:\Users\cbarrier\Desktop\BPA\BPA\20201116_Cefas_Test6-Run1/20201116_Cefas_Test6-Run1/Plate 1/@13/B8_03.tif "/>
    <s v=" 4455.7583 "/>
    <s v=" 31.7184 "/>
    <x v="0"/>
    <n v="141330"/>
    <m/>
    <m/>
    <m/>
  </r>
  <r>
    <x v="2"/>
    <x v="2"/>
    <s v="C:\Users\cbarrier\Desktop\BPA\BPA\20201116_Cefas_Test6-Run1/20201116_Cefas_Test6-Run1/Plate 1/@13/C8_01.tif "/>
    <s v=" 47196.4301 "/>
    <s v=" 36.9418 "/>
    <x v="0"/>
    <n v="1743521"/>
    <m/>
    <m/>
    <m/>
  </r>
  <r>
    <x v="2"/>
    <x v="2"/>
    <s v="C:\Users\cbarrier\Desktop\BPA\BPA\20201116_Cefas_Test6-Run1/20201116_Cefas_Test6-Run1/Plate 1/@13/C8_02.tif "/>
    <s v=" 34045.4541 "/>
    <s v=" 34.6499 "/>
    <x v="0"/>
    <n v="1179673"/>
    <m/>
    <m/>
    <m/>
  </r>
  <r>
    <x v="2"/>
    <x v="2"/>
    <s v="C:\Users\cbarrier\Desktop\BPA\BPA\20201116_Cefas_Test6-Run1/20201116_Cefas_Test6-Run1/Plate 1/@13/C8_03.tif "/>
    <s v=" 41983.6255 "/>
    <s v=" 36.1783 "/>
    <x v="0"/>
    <n v="1518894"/>
    <m/>
    <m/>
    <m/>
  </r>
  <r>
    <x v="2"/>
    <x v="3"/>
    <s v="C:\Users\cbarrier\Desktop\BPA\BPA\20201116_Cefas_Test6-Run1/20201116_Cefas_Test6-Run1/Plate 1/@13/D8_01.tif "/>
    <s v=" 24528.3005 "/>
    <s v=" 33.0467 "/>
    <x v="0"/>
    <n v="810580"/>
    <m/>
    <m/>
    <m/>
  </r>
  <r>
    <x v="2"/>
    <x v="3"/>
    <s v="C:\Users\cbarrier\Desktop\BPA\BPA\20201116_Cefas_Test6-Run1/20201116_Cefas_Test6-Run1/Plate 1/@13/D8_02- exclu.tif"/>
    <m/>
    <m/>
    <x v="1"/>
    <m/>
    <m/>
    <m/>
    <m/>
  </r>
  <r>
    <x v="2"/>
    <x v="3"/>
    <s v="C:\Users\cbarrier\Desktop\BPA\BPA\20201116_Cefas_Test6-Run1/20201116_Cefas_Test6-Run1/Plate 1/@13/D8_03.tif "/>
    <s v=" 37679.2764 "/>
    <s v=" 34.7365 "/>
    <x v="0"/>
    <n v="1308847"/>
    <m/>
    <m/>
    <m/>
  </r>
  <r>
    <x v="2"/>
    <x v="4"/>
    <s v="C:\Users\cbarrier\Desktop\BPA\BPA\20201116_Cefas_Test6-Run1/20201116_Cefas_Test6-Run1/Plate 1/@13/E8_01.tif "/>
    <s v=" 14340.6201 "/>
    <s v=" 34.0332 "/>
    <x v="0"/>
    <n v="488057"/>
    <m/>
    <m/>
    <m/>
  </r>
  <r>
    <x v="2"/>
    <x v="4"/>
    <s v="C:\Users\cbarrier\Desktop\BPA\BPA\20201116_Cefas_Test6-Run1/20201116_Cefas_Test6-Run1/Plate 1/@13/E8_02.tif "/>
    <s v=" 9300.8547 "/>
    <s v=" 32.8163 "/>
    <x v="0"/>
    <n v="305219"/>
    <m/>
    <m/>
    <m/>
  </r>
  <r>
    <x v="2"/>
    <x v="4"/>
    <s v="C:\Users\cbarrier\Desktop\BPA\BPA\20201116_Cefas_Test6-Run1/20201116_Cefas_Test6-Run1/Plate 1/@13/E8_03.tif "/>
    <s v=" 6683.6374 "/>
    <s v=" 32.7217 "/>
    <x v="0"/>
    <n v="218700"/>
    <m/>
    <m/>
    <m/>
  </r>
  <r>
    <x v="2"/>
    <x v="5"/>
    <s v="C:\Users\cbarrier\Desktop\BPA\BPA\20201116_Cefas_Test6-Run1/20201116_Cefas_Test6-Run1/Plate 1/@13/F8_01.tif "/>
    <s v=" 57405.7403 "/>
    <s v=" 39.8425 "/>
    <x v="0"/>
    <n v="2287188"/>
    <m/>
    <m/>
    <m/>
  </r>
  <r>
    <x v="2"/>
    <x v="5"/>
    <s v="C:\Users\cbarrier\Desktop\BPA\BPA\20201116_Cefas_Test6-Run1/20201116_Cefas_Test6-Run1/Plate 1/@13/F8_02.tif "/>
    <s v=" 42978.6006 "/>
    <s v=" 37.4459 "/>
    <x v="0"/>
    <n v="1609372"/>
    <m/>
    <m/>
    <m/>
  </r>
  <r>
    <x v="2"/>
    <x v="5"/>
    <s v="C:\Users\cbarrier\Desktop\BPA\BPA\20201116_Cefas_Test6-Run1/20201116_Cefas_Test6-Run1/Plate 1/@13/F8_03.tif "/>
    <s v=" 56194.4662 "/>
    <s v=" 40.0481 "/>
    <x v="0"/>
    <n v="2250482"/>
    <m/>
    <m/>
    <m/>
  </r>
  <r>
    <x v="2"/>
    <x v="6"/>
    <s v="C:\Users\cbarrier\Desktop\BPA\BPA\20201116_Cefas_Test6-Run1/20201116_Cefas_Test6-Run1/Plate 1/@13/G8_01.tif "/>
    <s v=" 129.7794 "/>
    <s v=" 31.3333 "/>
    <x v="0"/>
    <n v="4066"/>
    <m/>
    <m/>
    <m/>
  </r>
  <r>
    <x v="2"/>
    <x v="6"/>
    <s v="C:\Users\cbarrier\Desktop\BPA\BPA\20201116_Cefas_Test6-Run1/20201116_Cefas_Test6-Run1/Plate 1/@13/G8_02.tif "/>
    <s v=" 1838.541 "/>
    <s v=" 34.6 "/>
    <x v="0"/>
    <n v="63614"/>
    <m/>
    <m/>
    <m/>
  </r>
  <r>
    <x v="2"/>
    <x v="6"/>
    <s v="C:\Users\cbarrier\Desktop\BPA\BPA\20201116_Cefas_Test6-Run1/20201116_Cefas_Test6-Run1/Plate 1/@13/G8_03.tif "/>
    <s v=" 216.2989 "/>
    <s v=" 31.4 "/>
    <x v="0"/>
    <n v="6792"/>
    <m/>
    <m/>
    <m/>
  </r>
  <r>
    <x v="2"/>
    <x v="7"/>
    <s v="C:\Users\cbarrier\Desktop\BPA\BPA\20201116_Cefas_Test6-Run1/20201116_Cefas_Test6-Run1/Plate 1/@13/H8_01.tif "/>
    <s v=" 13670.0934 "/>
    <s v=" 35.4589 "/>
    <x v="0"/>
    <n v="484726"/>
    <m/>
    <m/>
    <m/>
  </r>
  <r>
    <x v="2"/>
    <x v="7"/>
    <s v="C:\Users\cbarrier\Desktop\BPA\BPA\20201116_Cefas_Test6-Run1/20201116_Cefas_Test6-Run1/Plate 1/@13/H8_02- exclu.tif"/>
    <m/>
    <m/>
    <x v="1"/>
    <m/>
    <m/>
    <m/>
    <m/>
  </r>
  <r>
    <x v="2"/>
    <x v="7"/>
    <s v="C:\Users\cbarrier\Desktop\BPA\BPA\20201116_Cefas_Test6-Run1/20201116_Cefas_Test6-Run1/Plate 1/@13/H8_03- exclu.tif"/>
    <m/>
    <m/>
    <x v="1"/>
    <m/>
    <m/>
    <m/>
    <m/>
  </r>
  <r>
    <x v="1"/>
    <x v="8"/>
    <s v=" "/>
    <m/>
    <m/>
    <x v="1"/>
    <m/>
    <m/>
    <m/>
    <m/>
  </r>
  <r>
    <x v="1"/>
    <x v="8"/>
    <s v="group "/>
    <s v=" "/>
    <s v=" mean of mean fluo "/>
    <x v="2"/>
    <s v=" mean of total fluo "/>
    <s v=" SD total fluo "/>
    <s v=" n fluorescent "/>
    <m/>
  </r>
  <r>
    <x v="2"/>
    <x v="9"/>
    <s v="C:\Users\cbarrier\Desktop\BPA\BPA\20201116_Cefas_Test6-Run1/20201116_Cefas_Test6-Run1/Plate 1/@13/ "/>
    <s v=" "/>
    <s v=" 35.253 "/>
    <x v="4"/>
    <s v=" 899741.375 "/>
    <s v=" 764905.496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cbarrier\Desktop\BPA\BPA\20201116_Cefas_Test6-Run1/20201116_Cefas_Test6-Run1/Plate 1/@14/A9_01.tif "/>
    <s v=" 2422.5482 "/>
    <s v=" 34.5179 "/>
    <x v="0"/>
    <n v="83621"/>
    <m/>
    <m/>
    <m/>
  </r>
  <r>
    <x v="3"/>
    <x v="0"/>
    <s v="C:\Users\cbarrier\Desktop\BPA\BPA\20201116_Cefas_Test6-Run1/20201116_Cefas_Test6-Run1/Plate 1/@14/A9_02.tif "/>
    <s v=" 3049.8151 "/>
    <s v=" 39.5887 "/>
    <x v="0"/>
    <n v="120738"/>
    <m/>
    <m/>
    <m/>
  </r>
  <r>
    <x v="3"/>
    <x v="0"/>
    <s v="C:\Users\cbarrier\Desktop\BPA\BPA\20201116_Cefas_Test6-Run1/20201116_Cefas_Test6-Run1/Plate 1/@14/A9_03.tif "/>
    <s v=" 151.4093 "/>
    <s v=" 30.8571 "/>
    <x v="0"/>
    <n v="4672"/>
    <m/>
    <m/>
    <m/>
  </r>
  <r>
    <x v="3"/>
    <x v="1"/>
    <s v="C:\Users\cbarrier\Desktop\BPA\BPA\20201116_Cefas_Test6-Run1/20201116_Cefas_Test6-Run1/Plate 1/@14/B9_01.tif "/>
    <s v=" 3049.8151 "/>
    <s v=" 33.7589 "/>
    <x v="0"/>
    <n v="102958"/>
    <m/>
    <m/>
    <m/>
  </r>
  <r>
    <x v="3"/>
    <x v="1"/>
    <s v="C:\Users\cbarrier\Desktop\BPA\BPA\20201116_Cefas_Test6-Run1/20201116_Cefas_Test6-Run1/Plate 1/@14/B9_02.tif "/>
    <s v=" 1384.3133 "/>
    <s v=" 31.4531 "/>
    <x v="0"/>
    <n v="43541"/>
    <m/>
    <m/>
    <m/>
  </r>
  <r>
    <x v="3"/>
    <x v="1"/>
    <s v="C:\Users\cbarrier\Desktop\BPA\BPA\20201116_Cefas_Test6-Run1/20201116_Cefas_Test6-Run1/Plate 1/@14/B9_03.tif "/>
    <s v=" 1730.3916 "/>
    <s v=" 32.25 "/>
    <x v="0"/>
    <n v="55805"/>
    <m/>
    <m/>
    <m/>
  </r>
  <r>
    <x v="3"/>
    <x v="2"/>
    <s v="C:\Users\cbarrier\Desktop\BPA\BPA\20201116_Cefas_Test6-Run1/20201116_Cefas_Test6-Run1/Plate 1/@14/C9_01.tif "/>
    <s v=" 44060.0954 "/>
    <s v=" 38.1816 "/>
    <x v="0"/>
    <n v="1682287"/>
    <m/>
    <m/>
    <m/>
  </r>
  <r>
    <x v="3"/>
    <x v="2"/>
    <s v="C:\Users\cbarrier\Desktop\BPA\BPA\20201116_Cefas_Test6-Run1/20201116_Cefas_Test6-Run1/Plate 1/@14/C9_02.tif "/>
    <s v=" 45509.2983 "/>
    <s v=" 38.9187 "/>
    <x v="0"/>
    <n v="1771164"/>
    <m/>
    <m/>
    <m/>
  </r>
  <r>
    <x v="3"/>
    <x v="2"/>
    <s v="C:\Users\cbarrier\Desktop\BPA\BPA\20201116_Cefas_Test6-Run1/20201116_Cefas_Test6-Run1/Plate 1/@14/C9_03.tif "/>
    <s v=" 46547.5332 "/>
    <s v=" 40.0316 "/>
    <x v="0"/>
    <n v="1863372"/>
    <m/>
    <m/>
    <m/>
  </r>
  <r>
    <x v="3"/>
    <x v="3"/>
    <s v="C:\Users\cbarrier\Desktop\BPA\BPA\20201116_Cefas_Test6-Run1/20201116_Cefas_Test6-Run1/Plate 1/@14/D9_01- exclu.tif"/>
    <m/>
    <m/>
    <x v="1"/>
    <m/>
    <m/>
    <m/>
    <m/>
  </r>
  <r>
    <x v="3"/>
    <x v="3"/>
    <s v="C:\Users\cbarrier\Desktop\BPA\BPA\20201116_Cefas_Test6-Run1/20201116_Cefas_Test6-Run1/Plate 1/@14/D9_02- exclu.tif"/>
    <m/>
    <m/>
    <x v="1"/>
    <m/>
    <m/>
    <m/>
    <m/>
  </r>
  <r>
    <x v="3"/>
    <x v="3"/>
    <s v="C:\Users\cbarrier\Desktop\BPA\BPA\20201116_Cefas_Test6-Run1/20201116_Cefas_Test6-Run1/Plate 1/@14/D9_03- exclu.tif"/>
    <m/>
    <m/>
    <x v="1"/>
    <m/>
    <m/>
    <m/>
    <m/>
  </r>
  <r>
    <x v="3"/>
    <x v="4"/>
    <s v="C:\Users\cbarrier\Desktop\BPA\BPA\20201116_Cefas_Test6-Run1/20201116_Cefas_Test6-Run1/Plate 1/@14/E9_01.tif "/>
    <s v=" 16114.2715 "/>
    <s v=" 32.5732 "/>
    <x v="0"/>
    <n v="524893"/>
    <m/>
    <m/>
    <m/>
  </r>
  <r>
    <x v="3"/>
    <x v="4"/>
    <s v="C:\Users\cbarrier\Desktop\BPA\BPA\20201116_Cefas_Test6-Run1/20201116_Cefas_Test6-Run1/Plate 1/@14/E9_02.tif "/>
    <s v=" 8760.1073 "/>
    <s v=" 31.6691 "/>
    <x v="0"/>
    <n v="277425"/>
    <m/>
    <m/>
    <m/>
  </r>
  <r>
    <x v="3"/>
    <x v="4"/>
    <s v="C:\Users\cbarrier\Desktop\BPA\BPA\20201116_Cefas_Test6-Run1/20201116_Cefas_Test6-Run1/Plate 1/@14/E9_03.tif "/>
    <s v=" 10447.2391 "/>
    <s v=" 31.9379 "/>
    <x v="0"/>
    <n v="333663"/>
    <m/>
    <m/>
    <m/>
  </r>
  <r>
    <x v="3"/>
    <x v="5"/>
    <s v="C:\Users\cbarrier\Desktop\BPA\BPA\20201116_Cefas_Test6-Run1/20201116_Cefas_Test6-Run1/Plate 1/@14/F9_01.tif "/>
    <s v=" 13324.0151 "/>
    <s v=" 33.2451 "/>
    <x v="0"/>
    <n v="442959"/>
    <m/>
    <m/>
    <m/>
  </r>
  <r>
    <x v="3"/>
    <x v="5"/>
    <s v="C:\Users\cbarrier\Desktop\BPA\BPA\20201116_Cefas_Test6-Run1/20201116_Cefas_Test6-Run1/Plate 1/@14/F9_02.tif "/>
    <s v=" 15184.186 "/>
    <s v=" 33.584 "/>
    <x v="0"/>
    <n v="509946"/>
    <m/>
    <m/>
    <m/>
  </r>
  <r>
    <x v="3"/>
    <x v="5"/>
    <s v="C:\Users\cbarrier\Desktop\BPA\BPA\20201116_Cefas_Test6-Run1/20201116_Cefas_Test6-Run1/Plate 1/@14/F9_03.tif "/>
    <s v=" 18861.2681 "/>
    <s v=" 33.836 "/>
    <x v="0"/>
    <n v="638190"/>
    <m/>
    <m/>
    <m/>
  </r>
  <r>
    <x v="3"/>
    <x v="6"/>
    <s v="C:\Users\cbarrier\Desktop\BPA\BPA\20201116_Cefas_Test6-Run1/20201116_Cefas_Test6-Run1/Plate 1/@14/G9_01.tif "/>
    <s v=" 6575.488 "/>
    <s v=" 36.1447 "/>
    <x v="0"/>
    <n v="237669"/>
    <m/>
    <m/>
    <m/>
  </r>
  <r>
    <x v="3"/>
    <x v="6"/>
    <s v="C:\Users\cbarrier\Desktop\BPA\BPA\20201116_Cefas_Test6-Run1/20201116_Cefas_Test6-Run1/Plate 1/@14/G9_02.tif "/>
    <s v=" 4109.68 "/>
    <s v=" 34.9895 "/>
    <x v="0"/>
    <n v="143796"/>
    <m/>
    <m/>
    <m/>
  </r>
  <r>
    <x v="3"/>
    <x v="6"/>
    <s v="C:\Users\cbarrier\Desktop\BPA\BPA\20201116_Cefas_Test6-Run1/20201116_Cefas_Test6-Run1/Plate 1/@14/G9_03.tif "/>
    <s v=" 4758.5768 "/>
    <s v=" 36.7727 "/>
    <x v="0"/>
    <n v="174986"/>
    <m/>
    <m/>
    <m/>
  </r>
  <r>
    <x v="3"/>
    <x v="7"/>
    <s v="C:\Users\cbarrier\Desktop\BPA\BPA\20201116_Cefas_Test6-Run1/20201116_Cefas_Test6-Run1/Plate 1/@14/H9_01.tif "/>
    <s v=" 18969.4176 "/>
    <s v=" 32.7241 "/>
    <x v="0"/>
    <n v="620756"/>
    <m/>
    <m/>
    <m/>
  </r>
  <r>
    <x v="3"/>
    <x v="7"/>
    <s v="C:\Users\cbarrier\Desktop\BPA\BPA\20201116_Cefas_Test6-Run1/20201116_Cefas_Test6-Run1/Plate 1/@14/H9_02.tif "/>
    <s v=" 26280.322 "/>
    <s v=" 33.8543 "/>
    <x v="0"/>
    <n v="889702"/>
    <m/>
    <m/>
    <m/>
  </r>
  <r>
    <x v="3"/>
    <x v="7"/>
    <s v="C:\Users\cbarrier\Desktop\BPA\BPA\20201116_Cefas_Test6-Run1/20201116_Cefas_Test6-Run1/Plate 1/@14/H9_03.tif "/>
    <s v=" 17065.9869 "/>
    <s v=" 33.4081 "/>
    <x v="0"/>
    <n v="570142"/>
    <m/>
    <m/>
    <m/>
  </r>
  <r>
    <x v="1"/>
    <x v="8"/>
    <s v=" "/>
    <m/>
    <m/>
    <x v="1"/>
    <m/>
    <m/>
    <m/>
    <m/>
  </r>
  <r>
    <x v="1"/>
    <x v="8"/>
    <s v="group "/>
    <s v=" "/>
    <s v=" mean of mean fluo "/>
    <x v="2"/>
    <s v=" mean of total fluo "/>
    <s v=" SD total fluo "/>
    <s v=" n fluorescent "/>
    <m/>
  </r>
  <r>
    <x v="3"/>
    <x v="9"/>
    <s v="C:\Users\cbarrier\Desktop\BPA\BPA\20201116_Cefas_Test6-Run1/20201116_Cefas_Test6-Run1/Plate 1/@14/ "/>
    <s v=" "/>
    <s v=" 34.8573 "/>
    <x v="5"/>
    <s v=" 513082.708 "/>
    <s v=" 544247.102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cbarrier\Desktop\BPA\BPA\20201116_Cefas_Test6-Run1/20201116_Cefas_Test6-Run1/Plate 1/@15/A11_01.tif "/>
    <s v=" 99648.9246 "/>
    <s v=" 51.2633 "/>
    <x v="0"/>
    <n v="5108332"/>
    <m/>
    <m/>
    <m/>
  </r>
  <r>
    <x v="4"/>
    <x v="0"/>
    <s v="C:\Users\cbarrier\Desktop\BPA\BPA\20201116_Cefas_Test6-Run1/20201116_Cefas_Test6-Run1/Plate 1/@15/A11_02.tif "/>
    <s v=" 100254.562 "/>
    <s v=" 50.2412 "/>
    <x v="0"/>
    <n v="5036910"/>
    <m/>
    <m/>
    <m/>
  </r>
  <r>
    <x v="4"/>
    <x v="0"/>
    <s v="C:\Users\cbarrier\Desktop\BPA\BPA\20201116_Cefas_Test6-Run1/20201116_Cefas_Test6-Run1/Plate 1/@15/A11_03.tif "/>
    <s v=" 95517.6147 "/>
    <s v=" 54.0562 "/>
    <x v="0"/>
    <n v="5163315"/>
    <m/>
    <m/>
    <m/>
  </r>
  <r>
    <x v="4"/>
    <x v="1"/>
    <s v="C:\Users\cbarrier\Desktop\BPA\BPA\20201116_Cefas_Test6-Run1/20201116_Cefas_Test6-Run1/Plate 1/@15/B11_01.tif "/>
    <s v=" 82907.3861 "/>
    <s v=" 52.2507 "/>
    <x v="0"/>
    <n v="4331970"/>
    <m/>
    <m/>
    <m/>
  </r>
  <r>
    <x v="4"/>
    <x v="1"/>
    <s v="C:\Users\cbarrier\Desktop\BPA\BPA\20201116_Cefas_Test6-Run1/20201116_Cefas_Test6-Run1/Plate 1/@15/B11_02.tif "/>
    <s v=" 79273.5638 "/>
    <s v=" 49.949 "/>
    <x v="0"/>
    <n v="3959633"/>
    <m/>
    <m/>
    <m/>
  </r>
  <r>
    <x v="4"/>
    <x v="1"/>
    <s v="C:\Users\cbarrier\Desktop\BPA\BPA\20201116_Cefas_Test6-Run1/20201116_Cefas_Test6-Run1/Plate 1/@15/B11_03.tif "/>
    <s v=" 83058.7954 "/>
    <s v=" 49.032 "/>
    <x v="0"/>
    <n v="4072541"/>
    <m/>
    <m/>
    <m/>
  </r>
  <r>
    <x v="4"/>
    <x v="2"/>
    <s v="C:\Users\cbarrier\Desktop\BPA\BPA\20201116_Cefas_Test6-Run1/20201116_Cefas_Test6-Run1/Plate 1/@15/C11_01.tif "/>
    <s v=" 76829.3857 "/>
    <s v=" 49.2123 "/>
    <x v="0"/>
    <n v="3780949"/>
    <m/>
    <m/>
    <m/>
  </r>
  <r>
    <x v="4"/>
    <x v="2"/>
    <s v="C:\Users\cbarrier\Desktop\BPA\BPA\20201116_Cefas_Test6-Run1/20201116_Cefas_Test6-Run1/Plate 1/@15/C11_02.tif "/>
    <s v=" 78213.699 "/>
    <s v=" 50.9051 "/>
    <x v="0"/>
    <n v="3981480"/>
    <m/>
    <m/>
    <m/>
  </r>
  <r>
    <x v="4"/>
    <x v="2"/>
    <s v="C:\Users\cbarrier\Desktop\BPA\BPA\20201116_Cefas_Test6-Run1/20201116_Cefas_Test6-Run1/Plate 1/@15/C11_03.tif "/>
    <s v=" 79944.0905 "/>
    <s v=" 51.7018 "/>
    <x v="0"/>
    <n v="4133257"/>
    <m/>
    <m/>
    <m/>
  </r>
  <r>
    <x v="4"/>
    <x v="3"/>
    <s v="C:\Users\cbarrier\Desktop\BPA\BPA\20201116_Cefas_Test6-Run1/20201116_Cefas_Test6-Run1/Plate 1/@15/D11_01.tif "/>
    <s v=" 74168.9087 "/>
    <s v=" 45.5894 "/>
    <x v="0"/>
    <n v="3381315"/>
    <m/>
    <m/>
    <m/>
  </r>
  <r>
    <x v="4"/>
    <x v="3"/>
    <s v="C:\Users\cbarrier\Desktop\BPA\BPA\20201116_Cefas_Test6-Run1/20201116_Cefas_Test6-Run1/Plate 1/@15/D11_02.tif "/>
    <s v=" 73736.3108 "/>
    <s v=" 44.2077 "/>
    <x v="0"/>
    <n v="3259712"/>
    <m/>
    <m/>
    <m/>
  </r>
  <r>
    <x v="4"/>
    <x v="3"/>
    <s v="C:\Users\cbarrier\Desktop\BPA\BPA\20201116_Cefas_Test6-Run1/20201116_Cefas_Test6-Run1/Plate 1/@15/D11_03.tif "/>
    <s v=" 81003.9554 "/>
    <s v=" 47.2475 "/>
    <x v="0"/>
    <n v="3827237"/>
    <m/>
    <m/>
    <m/>
  </r>
  <r>
    <x v="4"/>
    <x v="4"/>
    <s v="C:\Users\cbarrier\Desktop\BPA\BPA\20201116_Cefas_Test6-Run1/20201116_Cefas_Test6-Run1/Plate 1/@15/E11_01.tif "/>
    <s v=" 47412.729 "/>
    <s v=" 42.927 "/>
    <x v="0"/>
    <n v="2035287"/>
    <m/>
    <m/>
    <m/>
  </r>
  <r>
    <x v="4"/>
    <x v="4"/>
    <s v="C:\Users\cbarrier\Desktop\BPA\BPA\20201116_Cefas_Test6-Run1/20201116_Cefas_Test6-Run1/Plate 1/@15/E11_02.tif "/>
    <s v=" 41010.2802 "/>
    <s v=" 41.6108 "/>
    <x v="0"/>
    <n v="1706469"/>
    <m/>
    <m/>
    <m/>
  </r>
  <r>
    <x v="4"/>
    <x v="4"/>
    <s v="C:\Users\cbarrier\Desktop\BPA\BPA\20201116_Cefas_Test6-Run1/20201116_Cefas_Test6-Run1/Plate 1/@15/E11_03.tif "/>
    <s v=" 43043.4903 "/>
    <s v=" 43.8065 "/>
    <x v="0"/>
    <n v="1885586"/>
    <m/>
    <m/>
    <m/>
  </r>
  <r>
    <x v="4"/>
    <x v="5"/>
    <s v="C:\Users\cbarrier\Desktop\BPA\BPA\20201116_Cefas_Test6-Run1/20201116_Cefas_Test6-Run1/Plate 1/@15/F11_01.tif "/>
    <s v=" 64846.4241 "/>
    <s v=" 45.6044 "/>
    <x v="0"/>
    <n v="2957282"/>
    <m/>
    <m/>
    <m/>
  </r>
  <r>
    <x v="4"/>
    <x v="5"/>
    <s v="C:\Users\cbarrier\Desktop\BPA\BPA\20201116_Cefas_Test6-Run1/20201116_Cefas_Test6-Run1/Plate 1/@15/F11_02.tif "/>
    <s v=" 60606.9648 "/>
    <s v=" 51.2434 "/>
    <x v="0"/>
    <n v="3105707"/>
    <m/>
    <m/>
    <m/>
  </r>
  <r>
    <x v="4"/>
    <x v="5"/>
    <s v="C:\Users\cbarrier\Desktop\BPA\BPA\20201116_Cefas_Test6-Run1/20201116_Cefas_Test6-Run1/Plate 1/@15/F11_03.tif "/>
    <s v=" 60542.0751 "/>
    <s v=" 48.1168 "/>
    <x v="0"/>
    <n v="2913093"/>
    <m/>
    <m/>
    <m/>
  </r>
  <r>
    <x v="4"/>
    <x v="6"/>
    <s v="C:\Users\cbarrier\Desktop\BPA\BPA\20201116_Cefas_Test6-Run1/20201116_Cefas_Test6-Run1/Plate 1/@15/G11_01.tif "/>
    <s v=" 74731.2859 "/>
    <s v=" 45.2104 "/>
    <x v="0"/>
    <n v="3378633"/>
    <m/>
    <m/>
    <m/>
  </r>
  <r>
    <x v="4"/>
    <x v="6"/>
    <s v="C:\Users\cbarrier\Desktop\BPA\BPA\20201116_Cefas_Test6-Run1/20201116_Cefas_Test6-Run1/Plate 1/@15/G11_02.tif "/>
    <s v=" 76937.5352 "/>
    <s v=" 48.8336 "/>
    <x v="0"/>
    <n v="3757134"/>
    <m/>
    <m/>
    <m/>
  </r>
  <r>
    <x v="4"/>
    <x v="6"/>
    <s v="C:\Users\cbarrier\Desktop\BPA\BPA\20201116_Cefas_Test6-Run1/20201116_Cefas_Test6-Run1/Plate 1/@15/G11_03.tif "/>
    <s v=" 77975.7701 "/>
    <s v=" 49.6419 "/>
    <x v="0"/>
    <n v="3870864"/>
    <m/>
    <m/>
    <m/>
  </r>
  <r>
    <x v="4"/>
    <x v="7"/>
    <s v="C:\Users\cbarrier\Desktop\BPA\BPA\20201116_Cefas_Test6-Run1/20201116_Cefas_Test6-Run1/Plate 1/@15/H11_01.tif "/>
    <s v=" 81328.4038 "/>
    <s v=" 41.8516 "/>
    <x v="0"/>
    <n v="3403723"/>
    <m/>
    <m/>
    <m/>
  </r>
  <r>
    <x v="4"/>
    <x v="7"/>
    <s v="C:\Users\cbarrier\Desktop\BPA\BPA\20201116_Cefas_Test6-Run1/20201116_Cefas_Test6-Run1/Plate 1/@15/H11_02.tif "/>
    <s v=" 90737.408 "/>
    <s v=" 41.2737 "/>
    <x v="0"/>
    <n v="3745065"/>
    <m/>
    <m/>
    <m/>
  </r>
  <r>
    <x v="4"/>
    <x v="7"/>
    <s v="C:\Users\cbarrier\Desktop\BPA\BPA\20201116_Cefas_Test6-Run1/20201116_Cefas_Test6-Run1/Plate 1/@15/H11_03.tif "/>
    <s v=" 71119.0935 "/>
    <s v=" 41.8656 "/>
    <x v="0"/>
    <n v="2977442"/>
    <m/>
    <m/>
    <m/>
  </r>
  <r>
    <x v="1"/>
    <x v="8"/>
    <s v=" "/>
    <m/>
    <m/>
    <x v="1"/>
    <m/>
    <m/>
    <m/>
    <m/>
  </r>
  <r>
    <x v="1"/>
    <x v="8"/>
    <s v="group "/>
    <s v=" "/>
    <s v=" mean of mean fluo "/>
    <x v="2"/>
    <s v=" mean of total fluo "/>
    <s v=" SD total fluo "/>
    <s v=" n fluorescent "/>
    <m/>
  </r>
  <r>
    <x v="4"/>
    <x v="9"/>
    <s v="C:\Users\cbarrier\Desktop\BPA\BPA\20201116_Cefas_Test6-Run1/20201116_Cefas_Test6-Run1/Plate 1/@15/ "/>
    <s v=" "/>
    <s v=" 47.4017 "/>
    <x v="6"/>
    <s v=" 3573872.33 "/>
    <s v=" 909613.124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cbarrier\Desktop\BPA\BPA\20201116_Cefas_Test6-Run1/20201116_Cefas_Test6-Run1/Plate 1/@16/A12_01.tif "/>
    <s v=" 1146.3844 "/>
    <s v=" 33.8868 "/>
    <x v="0"/>
    <n v="38847"/>
    <m/>
    <m/>
    <m/>
  </r>
  <r>
    <x v="5"/>
    <x v="0"/>
    <s v="C:\Users\cbarrier\Desktop\BPA\BPA\20201116_Cefas_Test6-Run1/20201116_Cefas_Test6-Run1/Plate 1/@16/A12_02.tif "/>
    <s v=" 2098.0998 "/>
    <s v=" 34.6804 "/>
    <x v="0"/>
    <n v="72763"/>
    <m/>
    <m/>
    <m/>
  </r>
  <r>
    <x v="5"/>
    <x v="0"/>
    <s v="C:\Users\cbarrier\Desktop\BPA\BPA\20201116_Cefas_Test6-Run1/20201116_Cefas_Test6-Run1/Plate 1/@16/A12_03.tif "/>
    <s v=" 1211.2741 "/>
    <s v=" 32.1429 "/>
    <x v="0"/>
    <n v="38934"/>
    <m/>
    <m/>
    <m/>
  </r>
  <r>
    <x v="5"/>
    <x v="1"/>
    <s v="C:\Users\cbarrier\Desktop\BPA\BPA\20201116_Cefas_Test6-Run1/20201116_Cefas_Test6-Run1/Plate 1/@16/B12_01.tif "/>
    <s v=" 2898.4059 "/>
    <s v=" 36.7388 "/>
    <x v="0"/>
    <n v="106484"/>
    <m/>
    <m/>
    <m/>
  </r>
  <r>
    <x v="5"/>
    <x v="1"/>
    <s v="C:\Users\cbarrier\Desktop\BPA\BPA\20201116_Cefas_Test6-Run1/20201116_Cefas_Test6-Run1/Plate 1/@16/B12_02.tif "/>
    <s v=" 2054.84 "/>
    <s v=" 34.7158 "/>
    <x v="0"/>
    <n v="71335"/>
    <m/>
    <m/>
    <m/>
  </r>
  <r>
    <x v="5"/>
    <x v="1"/>
    <s v="C:\Users\cbarrier\Desktop\BPA\BPA\20201116_Cefas_Test6-Run1/20201116_Cefas_Test6-Run1/Plate 1/@16/B12_03.tif "/>
    <s v=" 6078.0004 "/>
    <s v=" 36.4199 "/>
    <x v="0"/>
    <n v="221360"/>
    <m/>
    <m/>
    <m/>
  </r>
  <r>
    <x v="5"/>
    <x v="2"/>
    <s v="C:\Users\cbarrier\Desktop\BPA\BPA\20201116_Cefas_Test6-Run1/20201116_Cefas_Test6-Run1/Plate 1/@16/C12_01.tif "/>
    <s v=" 1276.1638 "/>
    <s v=" 34.6271 "/>
    <x v="0"/>
    <n v="44190"/>
    <m/>
    <m/>
    <m/>
  </r>
  <r>
    <x v="5"/>
    <x v="2"/>
    <s v="C:\Users\cbarrier\Desktop\BPA\BPA\20201116_Cefas_Test6-Run1/20201116_Cefas_Test6-Run1/Plate 1/@16/C12_02- exclu.tif"/>
    <m/>
    <m/>
    <x v="1"/>
    <m/>
    <m/>
    <m/>
    <m/>
  </r>
  <r>
    <x v="5"/>
    <x v="2"/>
    <s v="C:\Users\cbarrier\Desktop\BPA\BPA\20201116_Cefas_Test6-Run1/20201116_Cefas_Test6-Run1/Plate 1/@16/C12_03.tif "/>
    <s v=" 3633.8223 "/>
    <s v=" 36.131 "/>
    <x v="0"/>
    <n v="131293"/>
    <m/>
    <m/>
    <m/>
  </r>
  <r>
    <x v="5"/>
    <x v="3"/>
    <s v="C:\Users\cbarrier\Desktop\BPA\BPA\20201116_Cefas_Test6-Run1/20201116_Cefas_Test6-Run1/Plate 1/@16/D12_01.tif "/>
    <s v=" 2855.1461 "/>
    <s v=" 36.8636 "/>
    <x v="0"/>
    <n v="105251"/>
    <m/>
    <m/>
    <m/>
  </r>
  <r>
    <x v="5"/>
    <x v="3"/>
    <s v="C:\Users\cbarrier\Desktop\BPA\BPA\20201116_Cefas_Test6-Run1/20201116_Cefas_Test6-Run1/Plate 1/@16/D12_02.tif "/>
    <s v=" 1557.3524 "/>
    <s v=" 33.625 "/>
    <x v="0"/>
    <n v="52366"/>
    <m/>
    <m/>
    <m/>
  </r>
  <r>
    <x v="5"/>
    <x v="3"/>
    <s v="C:\Users\cbarrier\Desktop\BPA\BPA\20201116_Cefas_Test6-Run1/20201116_Cefas_Test6-Run1/Plate 1/@16/D12_03.tif "/>
    <s v=" 237.9288 "/>
    <s v=" 31.2727 "/>
    <x v="0"/>
    <n v="7441"/>
    <m/>
    <m/>
    <m/>
  </r>
  <r>
    <x v="5"/>
    <x v="4"/>
    <s v="C:\Users\cbarrier\Desktop\BPA\BPA\20201116_Cefas_Test6-Run1/20201116_Cefas_Test6-Run1/Plate 1/@16/E12_01.tif "/>
    <s v=" 2444.1781 "/>
    <s v=" 31.0265 "/>
    <x v="0"/>
    <n v="75834"/>
    <m/>
    <m/>
    <m/>
  </r>
  <r>
    <x v="5"/>
    <x v="4"/>
    <s v="C:\Users\cbarrier\Desktop\BPA\BPA\20201116_Cefas_Test6-Run1/20201116_Cefas_Test6-Run1/Plate 1/@16/E12_02.tif "/>
    <s v=" 9646.933 "/>
    <s v=" 36.704 "/>
    <x v="0"/>
    <n v="354081"/>
    <m/>
    <m/>
    <m/>
  </r>
  <r>
    <x v="5"/>
    <x v="4"/>
    <s v="C:\Users\cbarrier\Desktop\BPA\BPA\20201116_Cefas_Test6-Run1/20201116_Cefas_Test6-Run1/Plate 1/@16/E12_03.tif "/>
    <s v=" 9949.7515 "/>
    <s v=" 40.5152 "/>
    <x v="0"/>
    <n v="403116"/>
    <m/>
    <m/>
    <m/>
  </r>
  <r>
    <x v="5"/>
    <x v="5"/>
    <s v="C:\Users\cbarrier\Desktop\BPA\BPA\20201116_Cefas_Test6-Run1/20201116_Cefas_Test6-Run1/Plate 1/@16/F12_01.tif "/>
    <s v=" 1405.9432 "/>
    <s v=" 32.9385 "/>
    <x v="0"/>
    <n v="46310"/>
    <m/>
    <m/>
    <m/>
  </r>
  <r>
    <x v="5"/>
    <x v="5"/>
    <s v="C:\Users\cbarrier\Desktop\BPA\BPA\20201116_Cefas_Test6-Run1/20201116_Cefas_Test6-Run1/Plate 1/@16/F12_02.tif "/>
    <s v=" 1535.7225 "/>
    <s v=" 32.6056 "/>
    <x v="0"/>
    <n v="50073"/>
    <m/>
    <m/>
    <m/>
  </r>
  <r>
    <x v="5"/>
    <x v="5"/>
    <s v="C:\Users\cbarrier\Desktop\BPA\BPA\20201116_Cefas_Test6-Run1/20201116_Cefas_Test6-Run1/Plate 1/@16/F12_03.tif "/>
    <n v="0"/>
    <n v="0"/>
    <x v="0"/>
    <n v="0"/>
    <m/>
    <m/>
    <m/>
  </r>
  <r>
    <x v="5"/>
    <x v="6"/>
    <s v="C:\Users\cbarrier\Desktop\BPA\BPA\20201116_Cefas_Test6-Run1/20201116_Cefas_Test6-Run1/Plate 1/@16/G12_01.tif "/>
    <s v=" 4412.4985 "/>
    <s v=" 41.4657 "/>
    <x v="0"/>
    <n v="182967"/>
    <m/>
    <m/>
    <m/>
  </r>
  <r>
    <x v="5"/>
    <x v="6"/>
    <s v="C:\Users\cbarrier\Desktop\BPA\BPA\20201116_Cefas_Test6-Run1/20201116_Cefas_Test6-Run1/Plate 1/@16/G12_02.tif "/>
    <s v=" 584.0072 "/>
    <s v=" 31.8519 "/>
    <x v="0"/>
    <n v="18602"/>
    <m/>
    <m/>
    <m/>
  </r>
  <r>
    <x v="5"/>
    <x v="6"/>
    <s v="C:\Users\cbarrier\Desktop\BPA\BPA\20201116_Cefas_Test6-Run1/20201116_Cefas_Test6-Run1/Plate 1/@16/G12_03.tif "/>
    <s v=" 1643.872 "/>
    <s v=" 32.8684 "/>
    <x v="0"/>
    <n v="54031"/>
    <m/>
    <m/>
    <m/>
  </r>
  <r>
    <x v="5"/>
    <x v="7"/>
    <s v="C:\Users\cbarrier\Desktop\BPA\BPA\20201116_Cefas_Test6-Run1/20201116_Cefas_Test6-Run1/Plate 1/@16/H12_01.tif "/>
    <s v=" 7483.9435 "/>
    <s v=" 37.3728 "/>
    <x v="0"/>
    <n v="279696"/>
    <m/>
    <m/>
    <m/>
  </r>
  <r>
    <x v="5"/>
    <x v="7"/>
    <s v="C:\Users\cbarrier\Desktop\BPA\BPA\20201116_Cefas_Test6-Run1/20201116_Cefas_Test6-Run1/Plate 1/@16/H12_02.tif "/>
    <s v=" 5775.1819 "/>
    <s v=" 37.1873 "/>
    <x v="0"/>
    <n v="214763"/>
    <m/>
    <m/>
    <m/>
  </r>
  <r>
    <x v="5"/>
    <x v="7"/>
    <s v="C:\Users\cbarrier\Desktop\BPA\BPA\20201116_Cefas_Test6-Run1/20201116_Cefas_Test6-Run1/Plate 1/@16/H12_03.tif "/>
    <s v=" 2941.6657 "/>
    <s v=" 33.5588 "/>
    <x v="0"/>
    <n v="98719"/>
    <m/>
    <m/>
    <m/>
  </r>
  <r>
    <x v="1"/>
    <x v="8"/>
    <s v=" "/>
    <m/>
    <m/>
    <x v="1"/>
    <m/>
    <m/>
    <m/>
    <m/>
  </r>
  <r>
    <x v="1"/>
    <x v="8"/>
    <s v="group "/>
    <s v=" "/>
    <s v=" mean of mean fluo "/>
    <x v="2"/>
    <s v=" mean of total fluo "/>
    <s v=" SD total fluo "/>
    <s v=" n fluorescent "/>
    <m/>
  </r>
  <r>
    <x v="5"/>
    <x v="9"/>
    <s v="C:\Users\cbarrier\Desktop\BPA\BPA\20201116_Cefas_Test6-Run1/20201116_Cefas_Test6-Run1/Plate 1/@16/ "/>
    <s v=" "/>
    <s v=" 33.415 "/>
    <x v="7"/>
    <s v=" 114020.083 "/>
    <s v=" 108055.155 "/>
    <n v="23"/>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cbarrier\Desktop\BPA\BPA\20201116_Cefas_Test6-Run1/20201116_Cefas_Test6-Run1/Plate 1/@2/A2_01.tif "/>
    <s v=" 7419.0539 "/>
    <s v=" 36.3907 "/>
    <x v="0"/>
    <n v="269984"/>
    <m/>
    <m/>
    <m/>
  </r>
  <r>
    <x v="6"/>
    <x v="0"/>
    <s v="C:\Users\cbarrier\Desktop\BPA\BPA\20201116_Cefas_Test6-Run1/20201116_Cefas_Test6-Run1/Plate 1/@2/A2_02.tif "/>
    <s v=" 10079.5309 "/>
    <s v=" 36.7146 "/>
    <x v="0"/>
    <n v="370066"/>
    <m/>
    <m/>
    <m/>
  </r>
  <r>
    <x v="6"/>
    <x v="0"/>
    <s v="C:\Users\cbarrier\Desktop\BPA\BPA\20201116_Cefas_Test6-Run1/20201116_Cefas_Test6-Run1/Plate 1/@2/A2_03.tif "/>
    <s v=" 3179.5945 "/>
    <s v=" 33.898 "/>
    <x v="0"/>
    <n v="107782"/>
    <m/>
    <m/>
    <m/>
  </r>
  <r>
    <x v="6"/>
    <x v="1"/>
    <s v="C:\Users\cbarrier\Desktop\BPA\BPA\20201116_Cefas_Test6-Run1/20201116_Cefas_Test6-Run1/Plate 1/@2/B2_01.tif "/>
    <s v=" 21.6299 "/>
    <n v="30"/>
    <x v="0"/>
    <n v="649"/>
    <m/>
    <m/>
    <m/>
  </r>
  <r>
    <x v="6"/>
    <x v="1"/>
    <s v="C:\Users\cbarrier\Desktop\BPA\BPA\20201116_Cefas_Test6-Run1/20201116_Cefas_Test6-Run1/Plate 1/@2/B2_02.tif "/>
    <s v=" 86.5196 "/>
    <s v=" 31.25 "/>
    <x v="0"/>
    <n v="2704"/>
    <m/>
    <m/>
    <m/>
  </r>
  <r>
    <x v="6"/>
    <x v="1"/>
    <s v="C:\Users\cbarrier\Desktop\BPA\BPA\20201116_Cefas_Test6-Run1/20201116_Cefas_Test6-Run1/Plate 1/@2/B2_03.tif "/>
    <s v=" 3395.8935 "/>
    <s v=" 33.4968 "/>
    <x v="0"/>
    <n v="113752"/>
    <m/>
    <m/>
    <m/>
  </r>
  <r>
    <x v="6"/>
    <x v="2"/>
    <s v="C:\Users\cbarrier\Desktop\BPA\BPA\20201116_Cefas_Test6-Run1/20201116_Cefas_Test6-Run1/Plate 1/@2/C2_01.tif "/>
    <s v=" 5320.9541 "/>
    <s v=" 36.378 "/>
    <x v="0"/>
    <n v="193566"/>
    <m/>
    <m/>
    <m/>
  </r>
  <r>
    <x v="6"/>
    <x v="2"/>
    <s v="C:\Users\cbarrier\Desktop\BPA\BPA\20201116_Cefas_Test6-Run1/20201116_Cefas_Test6-Run1/Plate 1/@2/C2_02.tif "/>
    <s v=" 2898.4059 "/>
    <s v=" 34.8582 "/>
    <x v="0"/>
    <n v="101033"/>
    <m/>
    <m/>
    <m/>
  </r>
  <r>
    <x v="6"/>
    <x v="2"/>
    <s v="C:\Users\cbarrier\Desktop\BPA\BPA\20201116_Cefas_Test6-Run1/20201116_Cefas_Test6-Run1/Plate 1/@2/C2_03.tif "/>
    <s v=" 4888.3562 "/>
    <s v=" 36.9956 "/>
    <x v="0"/>
    <n v="180848"/>
    <m/>
    <m/>
    <m/>
  </r>
  <r>
    <x v="6"/>
    <x v="3"/>
    <s v="C:\Users\cbarrier\Desktop\BPA\BPA\20201116_Cefas_Test6-Run1/20201116_Cefas_Test6-Run1/Plate 1/@2/D2_01.tif "/>
    <s v=" 5904.9612 "/>
    <s v=" 40.8132 "/>
    <x v="0"/>
    <n v="241000"/>
    <m/>
    <m/>
    <m/>
  </r>
  <r>
    <x v="6"/>
    <x v="3"/>
    <s v="C:\Users\cbarrier\Desktop\BPA\BPA\20201116_Cefas_Test6-Run1/20201116_Cefas_Test6-Run1/Plate 1/@2/D2_02.tif "/>
    <s v=" 4044.7903 "/>
    <s v=" 37.1497 "/>
    <x v="0"/>
    <n v="150263"/>
    <m/>
    <m/>
    <m/>
  </r>
  <r>
    <x v="6"/>
    <x v="3"/>
    <s v="C:\Users\cbarrier\Desktop\BPA\BPA\20201116_Cefas_Test6-Run1/20201116_Cefas_Test6-Run1/Plate 1/@2/D2_03.tif "/>
    <s v=" 3266.1141 "/>
    <s v=" 37.1589 "/>
    <x v="0"/>
    <n v="121365"/>
    <m/>
    <m/>
    <m/>
  </r>
  <r>
    <x v="6"/>
    <x v="4"/>
    <s v="C:\Users\cbarrier\Desktop\BPA\BPA\20201116_Cefas_Test6-Run1/20201116_Cefas_Test6-Run1/Plate 1/@2/E2_01- exclu.tif"/>
    <m/>
    <m/>
    <x v="1"/>
    <m/>
    <m/>
    <m/>
    <m/>
  </r>
  <r>
    <x v="6"/>
    <x v="4"/>
    <s v="C:\Users\cbarrier\Desktop\BPA\BPA\20201116_Cefas_Test6-Run1/20201116_Cefas_Test6-Run1/Plate 1/@2/E2_02- exclu.tif"/>
    <m/>
    <m/>
    <x v="1"/>
    <m/>
    <m/>
    <m/>
    <m/>
  </r>
  <r>
    <x v="6"/>
    <x v="4"/>
    <s v="C:\Users\cbarrier\Desktop\BPA\BPA\20201116_Cefas_Test6-Run1/20201116_Cefas_Test6-Run1/Plate 1/@2/E2_03- exclu.tif"/>
    <m/>
    <m/>
    <x v="1"/>
    <m/>
    <m/>
    <m/>
    <m/>
  </r>
  <r>
    <x v="6"/>
    <x v="5"/>
    <s v="C:\Users\cbarrier\Desktop\BPA\BPA\20201116_Cefas_Test6-Run1/20201116_Cefas_Test6-Run1/Plate 1/@2/F2_01.tif "/>
    <s v=" 15335.5953 "/>
    <s v=" 38.0409 "/>
    <x v="0"/>
    <n v="583380"/>
    <m/>
    <m/>
    <m/>
  </r>
  <r>
    <x v="6"/>
    <x v="5"/>
    <s v="C:\Users\cbarrier\Desktop\BPA\BPA\20201116_Cefas_Test6-Run1/20201116_Cefas_Test6-Run1/Plate 1/@2/F2_02.tif "/>
    <s v=" 11182.6555 "/>
    <s v=" 38.8414 "/>
    <x v="0"/>
    <n v="434350"/>
    <m/>
    <m/>
    <m/>
  </r>
  <r>
    <x v="6"/>
    <x v="5"/>
    <s v="C:\Users\cbarrier\Desktop\BPA\BPA\20201116_Cefas_Test6-Run1/20201116_Cefas_Test6-Run1/Plate 1/@2/F2_03.tif "/>
    <s v=" 16633.389 "/>
    <s v=" 37.6931 "/>
    <x v="0"/>
    <n v="626964"/>
    <m/>
    <m/>
    <m/>
  </r>
  <r>
    <x v="6"/>
    <x v="6"/>
    <s v="C:\Users\cbarrier\Desktop\BPA\BPA\20201116_Cefas_Test6-Run1/20201116_Cefas_Test6-Run1/Plate 1/@2/G2_01.tif "/>
    <s v=" 7029.7158 "/>
    <s v=" 36.3231 "/>
    <x v="0"/>
    <n v="255341"/>
    <m/>
    <m/>
    <m/>
  </r>
  <r>
    <x v="6"/>
    <x v="6"/>
    <s v="C:\Users\cbarrier\Desktop\BPA\BPA\20201116_Cefas_Test6-Run1/20201116_Cefas_Test6-Run1/Plate 1/@2/G2_02.tif "/>
    <s v=" 4736.9469 "/>
    <s v=" 38.6712 "/>
    <x v="0"/>
    <n v="183184"/>
    <m/>
    <m/>
    <m/>
  </r>
  <r>
    <x v="6"/>
    <x v="6"/>
    <s v="C:\Users\cbarrier\Desktop\BPA\BPA\20201116_Cefas_Test6-Run1/20201116_Cefas_Test6-Run1/Plate 1/@2/G2_03.tif "/>
    <s v=" 3093.0749 "/>
    <s v=" 37.5105 "/>
    <x v="0"/>
    <n v="116023"/>
    <m/>
    <m/>
    <m/>
  </r>
  <r>
    <x v="6"/>
    <x v="7"/>
    <s v="C:\Users\cbarrier\Desktop\BPA\BPA\20201116_Cefas_Test6-Run1/20201116_Cefas_Test6-Run1/Plate 1/@2/H2_01.tif "/>
    <s v=" 3287.744 "/>
    <s v=" 34.4474 "/>
    <x v="0"/>
    <n v="113254"/>
    <m/>
    <m/>
    <m/>
  </r>
  <r>
    <x v="6"/>
    <x v="7"/>
    <s v="C:\Users\cbarrier\Desktop\BPA\BPA\20201116_Cefas_Test6-Run1/20201116_Cefas_Test6-Run1/Plate 1/@2/H2_02.tif "/>
    <n v="0"/>
    <n v="0"/>
    <x v="0"/>
    <n v="0"/>
    <m/>
    <m/>
    <m/>
  </r>
  <r>
    <x v="6"/>
    <x v="7"/>
    <s v="C:\Users\cbarrier\Desktop\BPA\BPA\20201116_Cefas_Test6-Run1/20201116_Cefas_Test6-Run1/Plate 1/@2/H2_03.tif "/>
    <s v=" 2768.6265 "/>
    <s v=" 32.0391 "/>
    <x v="0"/>
    <n v="88704"/>
    <m/>
    <m/>
    <m/>
  </r>
  <r>
    <x v="1"/>
    <x v="8"/>
    <s v=" "/>
    <m/>
    <m/>
    <x v="1"/>
    <m/>
    <m/>
    <m/>
    <m/>
  </r>
  <r>
    <x v="1"/>
    <x v="8"/>
    <s v="group "/>
    <s v=" "/>
    <s v=" mean of mean fluo "/>
    <x v="2"/>
    <s v=" mean of total fluo "/>
    <s v=" SD total fluo "/>
    <s v=" n fluorescent "/>
    <m/>
  </r>
  <r>
    <x v="6"/>
    <x v="9"/>
    <s v="C:\Users\cbarrier\Desktop\BPA\BPA\20201116_Cefas_Test6-Run1/20201116_Cefas_Test6-Run1/Plate 1/@2/ "/>
    <s v=" "/>
    <s v=" 33.4716 "/>
    <x v="8"/>
    <s v=" 208391.458 "/>
    <s v=" 174745.777 "/>
    <n v="22"/>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cbarrier\Desktop\BPA\BPA\20201116_Cefas_Test6-Run1/20201116_Cefas_Test6-Run1/Plate 1/@3/A3_01.tif "/>
    <s v=" 8651.9579 "/>
    <s v=" 34.8525 "/>
    <x v="0"/>
    <n v="301542"/>
    <m/>
    <m/>
    <m/>
  </r>
  <r>
    <x v="7"/>
    <x v="0"/>
    <s v="C:\Users\cbarrier\Desktop\BPA\BPA\20201116_Cefas_Test6-Run1/20201116_Cefas_Test6-Run1/Plate 1/@3/A3_02.tif "/>
    <s v=" 3677.0821 "/>
    <s v=" 32.8706 "/>
    <x v="0"/>
    <n v="120868"/>
    <m/>
    <m/>
    <m/>
  </r>
  <r>
    <x v="7"/>
    <x v="0"/>
    <s v="C:\Users\cbarrier\Desktop\BPA\BPA\20201116_Cefas_Test6-Run1/20201116_Cefas_Test6-Run1/Plate 1/@3/A3_03.tif "/>
    <s v=" 1038.2349 "/>
    <s v=" 31.1875 "/>
    <x v="0"/>
    <n v="32380"/>
    <m/>
    <m/>
    <m/>
  </r>
  <r>
    <x v="7"/>
    <x v="1"/>
    <s v="C:\Users\cbarrier\Desktop\BPA\BPA\20201116_Cefas_Test6-Run1/20201116_Cefas_Test6-Run1/Plate 1/@3/B3_01.tif "/>
    <s v=" 3266.1141 "/>
    <s v=" 33.5033 "/>
    <x v="0"/>
    <n v="109426"/>
    <m/>
    <m/>
    <m/>
  </r>
  <r>
    <x v="7"/>
    <x v="1"/>
    <s v="C:\Users\cbarrier\Desktop\BPA\BPA\20201116_Cefas_Test6-Run1/20201116_Cefas_Test6-Run1/Plate 1/@3/B3_02- exclu.tif"/>
    <m/>
    <m/>
    <x v="1"/>
    <m/>
    <m/>
    <m/>
    <m/>
  </r>
  <r>
    <x v="7"/>
    <x v="1"/>
    <s v="C:\Users\cbarrier\Desktop\BPA\BPA\20201116_Cefas_Test6-Run1/20201116_Cefas_Test6-Run1/Plate 1/@3/B3_03.tif "/>
    <s v=" 2595.5874 "/>
    <s v=" 33.4083 "/>
    <x v="0"/>
    <n v="86714"/>
    <m/>
    <m/>
    <m/>
  </r>
  <r>
    <x v="7"/>
    <x v="2"/>
    <s v="C:\Users\cbarrier\Desktop\BPA\BPA\20201116_Cefas_Test6-Run1/20201116_Cefas_Test6-Run1/Plate 1/@3/C3_01.tif "/>
    <s v=" 8630.328 "/>
    <s v=" 37.3333 "/>
    <x v="0"/>
    <n v="322199"/>
    <m/>
    <m/>
    <m/>
  </r>
  <r>
    <x v="7"/>
    <x v="2"/>
    <s v="C:\Users\cbarrier\Desktop\BPA\BPA\20201116_Cefas_Test6-Run1/20201116_Cefas_Test6-Run1/Plate 1/@3/C3_02.tif "/>
    <s v=" 4607.1676 "/>
    <s v=" 37.4742 "/>
    <x v="0"/>
    <n v="172650"/>
    <m/>
    <m/>
    <m/>
  </r>
  <r>
    <x v="7"/>
    <x v="2"/>
    <s v="C:\Users\cbarrier\Desktop\BPA\BPA\20201116_Cefas_Test6-Run1/20201116_Cefas_Test6-Run1/Plate 1/@3/C3_03.tif "/>
    <s v=" 3093.0749 "/>
    <s v=" 34.9371 "/>
    <x v="0"/>
    <n v="108063"/>
    <m/>
    <m/>
    <m/>
  </r>
  <r>
    <x v="7"/>
    <x v="3"/>
    <s v="C:\Users\cbarrier\Desktop\BPA\BPA\20201116_Cefas_Test6-Run1/20201116_Cefas_Test6-Run1/Plate 1/@3/D3_01.tif "/>
    <s v=" 6229.4097 "/>
    <s v=" 35.1181 "/>
    <x v="0"/>
    <n v="218765"/>
    <m/>
    <m/>
    <m/>
  </r>
  <r>
    <x v="7"/>
    <x v="3"/>
    <s v="C:\Users\cbarrier\Desktop\BPA\BPA\20201116_Cefas_Test6-Run1/20201116_Cefas_Test6-Run1/Plate 1/@3/D3_02.tif "/>
    <s v=" 1557.3524 "/>
    <s v=" 31.5833 "/>
    <x v="0"/>
    <n v="49186"/>
    <m/>
    <m/>
    <m/>
  </r>
  <r>
    <x v="7"/>
    <x v="3"/>
    <s v="C:\Users\cbarrier\Desktop\BPA\BPA\20201116_Cefas_Test6-Run1/20201116_Cefas_Test6-Run1/Plate 1/@3/D3_03.tif "/>
    <s v=" 9452.264 "/>
    <s v=" 34.0114 "/>
    <x v="0"/>
    <n v="321485"/>
    <m/>
    <m/>
    <m/>
  </r>
  <r>
    <x v="7"/>
    <x v="4"/>
    <s v="C:\Users\cbarrier\Desktop\BPA\BPA\20201116_Cefas_Test6-Run1/20201116_Cefas_Test6-Run1/Plate 1/@3/E3_01.tif "/>
    <s v=" 4109.68 "/>
    <s v=" 32.7632 "/>
    <x v="0"/>
    <n v="134646"/>
    <m/>
    <m/>
    <m/>
  </r>
  <r>
    <x v="7"/>
    <x v="4"/>
    <s v="C:\Users\cbarrier\Desktop\BPA\BPA\20201116_Cefas_Test6-Run1/20201116_Cefas_Test6-Run1/Plate 1/@3/E3_02.tif "/>
    <s v=" 3309.3739 "/>
    <s v=" 33.3072 "/>
    <x v="0"/>
    <n v="110226"/>
    <m/>
    <m/>
    <m/>
  </r>
  <r>
    <x v="7"/>
    <x v="4"/>
    <s v="C:\Users\cbarrier\Desktop\BPA\BPA\20201116_Cefas_Test6-Run1/20201116_Cefas_Test6-Run1/Plate 1/@3/E3_03.tif "/>
    <s v=" 3525.6728 "/>
    <n v="35"/>
    <x v="0"/>
    <n v="123399"/>
    <m/>
    <m/>
    <m/>
  </r>
  <r>
    <x v="7"/>
    <x v="5"/>
    <s v="C:\Users\cbarrier\Desktop\BPA\BPA\20201116_Cefas_Test6-Run1/20201116_Cefas_Test6-Run1/Plate 1/@3/F3_01.tif "/>
    <s v=" 4520.648 "/>
    <s v=" 37.0335 "/>
    <x v="0"/>
    <n v="167415"/>
    <m/>
    <m/>
    <m/>
  </r>
  <r>
    <x v="7"/>
    <x v="5"/>
    <s v="C:\Users\cbarrier\Desktop\BPA\BPA\20201116_Cefas_Test6-Run1/20201116_Cefas_Test6-Run1/Plate 1/@3/F3_02.tif "/>
    <s v=" 2984.9255 "/>
    <s v=" 31.587 "/>
    <x v="0"/>
    <n v="94285"/>
    <m/>
    <m/>
    <m/>
  </r>
  <r>
    <x v="7"/>
    <x v="5"/>
    <s v="C:\Users\cbarrier\Desktop\BPA\BPA\20201116_Cefas_Test6-Run1/20201116_Cefas_Test6-Run1/Plate 1/@3/F3_03.tif "/>
    <s v=" 3287.744 "/>
    <s v=" 37.4079 "/>
    <x v="0"/>
    <n v="122988"/>
    <m/>
    <m/>
    <m/>
  </r>
  <r>
    <x v="7"/>
    <x v="6"/>
    <s v="C:\Users\cbarrier\Desktop\BPA\BPA\20201116_Cefas_Test6-Run1/20201116_Cefas_Test6-Run1/Plate 1/@3/G3_01.tif "/>
    <s v=" 22559.9801 "/>
    <s v=" 33.0786 "/>
    <x v="0"/>
    <n v="746253"/>
    <m/>
    <m/>
    <m/>
  </r>
  <r>
    <x v="7"/>
    <x v="6"/>
    <s v="C:\Users\cbarrier\Desktop\BPA\BPA\20201116_Cefas_Test6-Run1/20201116_Cefas_Test6-Run1/Plate 1/@3/G3_02.tif "/>
    <s v=" 34889.02 "/>
    <s v=" 34.7328 "/>
    <x v="0"/>
    <n v="1211793"/>
    <m/>
    <m/>
    <m/>
  </r>
  <r>
    <x v="7"/>
    <x v="6"/>
    <s v="C:\Users\cbarrier\Desktop\BPA\BPA\20201116_Cefas_Test6-Run1/20201116_Cefas_Test6-Run1/Plate 1/@3/G3_03.tif "/>
    <s v=" 1341.0535 "/>
    <s v=" 30.9355 "/>
    <x v="0"/>
    <n v="41486"/>
    <m/>
    <m/>
    <m/>
  </r>
  <r>
    <x v="7"/>
    <x v="7"/>
    <s v="C:\Users\cbarrier\Desktop\BPA\BPA\20201116_Cefas_Test6-Run1/20201116_Cefas_Test6-Run1/Plate 1/@3/H3_01.tif "/>
    <s v=" 3460.7831 "/>
    <s v=" 31.6438 "/>
    <x v="0"/>
    <n v="109512"/>
    <m/>
    <m/>
    <m/>
  </r>
  <r>
    <x v="7"/>
    <x v="7"/>
    <s v="C:\Users\cbarrier\Desktop\BPA\BPA\20201116_Cefas_Test6-Run1/20201116_Cefas_Test6-Run1/Plate 1/@3/H3_02.tif "/>
    <s v=" 3720.3419 "/>
    <s v=" 31.7791 "/>
    <x v="0"/>
    <n v="118229"/>
    <m/>
    <m/>
    <m/>
  </r>
  <r>
    <x v="7"/>
    <x v="7"/>
    <s v="C:\Users\cbarrier\Desktop\BPA\BPA\20201116_Cefas_Test6-Run1/20201116_Cefas_Test6-Run1/Plate 1/@3/H3_03.tif "/>
    <s v=" 7224.3848 "/>
    <s v=" 32.6347 "/>
    <x v="0"/>
    <n v="235766"/>
    <m/>
    <m/>
    <m/>
  </r>
  <r>
    <x v="1"/>
    <x v="8"/>
    <s v=" "/>
    <m/>
    <m/>
    <x v="1"/>
    <m/>
    <m/>
    <m/>
    <m/>
  </r>
  <r>
    <x v="1"/>
    <x v="8"/>
    <s v="group "/>
    <s v=" "/>
    <s v=" mean of mean fluo "/>
    <x v="2"/>
    <s v=" mean of total fluo "/>
    <s v=" SD total fluo "/>
    <s v=" n fluorescent "/>
    <m/>
  </r>
  <r>
    <x v="7"/>
    <x v="9"/>
    <s v="C:\Users\cbarrier\Desktop\BPA\BPA\20201116_Cefas_Test6-Run1/20201116_Cefas_Test6-Run1/Plate 1/@3/ "/>
    <s v=" "/>
    <s v=" 32.4243 "/>
    <x v="9"/>
    <s v=" 210803.167 "/>
    <s v=" 260822.988 "/>
    <n v="23"/>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cbarrier\Desktop\BPA\BPA\20201116_Cefas_Test6-Run1/20201116_Cefas_Test6-Run1/Plate 1/@4/A4_01.tif "/>
    <s v=" 20245.5814 "/>
    <s v=" 34.969 "/>
    <x v="0"/>
    <n v="707968"/>
    <m/>
    <m/>
    <m/>
  </r>
  <r>
    <x v="8"/>
    <x v="0"/>
    <s v="C:\Users\cbarrier\Desktop\BPA\BPA\20201116_Cefas_Test6-Run1/20201116_Cefas_Test6-Run1/Plate 1/@4/A4_02.tif "/>
    <s v=" 9452.264 "/>
    <s v=" 40.5149 "/>
    <x v="0"/>
    <n v="382957"/>
    <m/>
    <m/>
    <m/>
  </r>
  <r>
    <x v="8"/>
    <x v="0"/>
    <s v="C:\Users\cbarrier\Desktop\BPA\BPA\20201116_Cefas_Test6-Run1/20201116_Cefas_Test6-Run1/Plate 1/@4/A4_03.tif "/>
    <s v=" 18125.8517 "/>
    <s v=" 35.0823 "/>
    <x v="0"/>
    <n v="635897"/>
    <m/>
    <m/>
    <m/>
  </r>
  <r>
    <x v="8"/>
    <x v="1"/>
    <s v="C:\Users\cbarrier\Desktop\BPA\BPA\20201116_Cefas_Test6-Run1/20201116_Cefas_Test6-Run1/Plate 1/@4/B4_01.tif "/>
    <s v=" 54442.4448 "/>
    <s v=" 39.4358 "/>
    <x v="0"/>
    <n v="2146983"/>
    <m/>
    <m/>
    <m/>
  </r>
  <r>
    <x v="8"/>
    <x v="1"/>
    <s v="C:\Users\cbarrier\Desktop\BPA\BPA\20201116_Cefas_Test6-Run1/20201116_Cefas_Test6-Run1/Plate 1/@4/B4_02.tif "/>
    <s v=" 37527.8672 "/>
    <s v=" 40.717 "/>
    <x v="0"/>
    <n v="1528022"/>
    <m/>
    <m/>
    <m/>
  </r>
  <r>
    <x v="8"/>
    <x v="1"/>
    <s v="C:\Users\cbarrier\Desktop\BPA\BPA\20201116_Cefas_Test6-Run1/20201116_Cefas_Test6-Run1/Plate 1/@4/B4_03- exclu.tif"/>
    <m/>
    <m/>
    <x v="1"/>
    <m/>
    <m/>
    <m/>
    <m/>
  </r>
  <r>
    <x v="8"/>
    <x v="2"/>
    <s v="C:\Users\cbarrier\Desktop\BPA\BPA\20201116_Cefas_Test6-Run1/20201116_Cefas_Test6-Run1/Plate 1/@4/C4_01.tif "/>
    <s v=" 10490.4989 "/>
    <s v=" 33.1773 "/>
    <x v="0"/>
    <n v="348047"/>
    <m/>
    <m/>
    <m/>
  </r>
  <r>
    <x v="8"/>
    <x v="2"/>
    <s v="C:\Users\cbarrier\Desktop\BPA\BPA\20201116_Cefas_Test6-Run1/20201116_Cefas_Test6-Run1/Plate 1/@4/C4_02.tif "/>
    <s v=" 2595.5874 "/>
    <s v=" 31.6833 "/>
    <x v="0"/>
    <n v="82237"/>
    <m/>
    <m/>
    <m/>
  </r>
  <r>
    <x v="8"/>
    <x v="2"/>
    <s v="C:\Users\cbarrier\Desktop\BPA\BPA\20201116_Cefas_Test6-Run1/20201116_Cefas_Test6-Run1/Plate 1/@4/C4_03.tif "/>
    <s v=" 12653.4884 "/>
    <s v=" 33.1658 "/>
    <x v="0"/>
    <n v="419663"/>
    <m/>
    <m/>
    <m/>
  </r>
  <r>
    <x v="8"/>
    <x v="3"/>
    <s v="C:\Users\cbarrier\Desktop\BPA\BPA\20201116_Cefas_Test6-Run1/20201116_Cefas_Test6-Run1/Plate 1/@4/D4_01.tif "/>
    <s v=" 65235.7622 "/>
    <s v=" 40.4015 "/>
    <x v="0"/>
    <n v="2635624"/>
    <m/>
    <m/>
    <m/>
  </r>
  <r>
    <x v="8"/>
    <x v="3"/>
    <s v="C:\Users\cbarrier\Desktop\BPA\BPA\20201116_Cefas_Test6-Run1/20201116_Cefas_Test6-Run1/Plate 1/@4/D4_02.tif "/>
    <s v=" 66922.894 "/>
    <s v=" 39.914 "/>
    <x v="0"/>
    <n v="2671162"/>
    <m/>
    <m/>
    <m/>
  </r>
  <r>
    <x v="8"/>
    <x v="3"/>
    <s v="C:\Users\cbarrier\Desktop\BPA\BPA\20201116_Cefas_Test6-Run1/20201116_Cefas_Test6-Run1/Plate 1/@4/D4_03.tif "/>
    <s v=" 66641.7054 "/>
    <s v=" 41.5748 "/>
    <x v="0"/>
    <n v="2770616"/>
    <m/>
    <m/>
    <m/>
  </r>
  <r>
    <x v="8"/>
    <x v="4"/>
    <s v="C:\Users\cbarrier\Desktop\BPA\BPA\20201116_Cefas_Test6-Run1/20201116_Cefas_Test6-Run1/Plate 1/@4/E4_01.tif "/>
    <s v=" 8543.8084 "/>
    <s v=" 31.9215 "/>
    <x v="0"/>
    <n v="272731"/>
    <m/>
    <m/>
    <m/>
  </r>
  <r>
    <x v="8"/>
    <x v="4"/>
    <s v="C:\Users\cbarrier\Desktop\BPA\BPA\20201116_Cefas_Test6-Run1/20201116_Cefas_Test6-Run1/Plate 1/@4/E4_02.tif "/>
    <s v=" 4131.3099 "/>
    <s v=" 31.911 "/>
    <x v="0"/>
    <n v="131834"/>
    <m/>
    <m/>
    <m/>
  </r>
  <r>
    <x v="8"/>
    <x v="4"/>
    <s v="C:\Users\cbarrier\Desktop\BPA\BPA\20201116_Cefas_Test6-Run1/20201116_Cefas_Test6-Run1/Plate 1/@4/E4_03.tif "/>
    <s v=" 6359.189 "/>
    <s v=" 38.8027 "/>
    <x v="0"/>
    <n v="246754"/>
    <m/>
    <m/>
    <m/>
  </r>
  <r>
    <x v="8"/>
    <x v="5"/>
    <s v="C:\Users\cbarrier\Desktop\BPA\BPA\20201116_Cefas_Test6-Run1/20201116_Cefas_Test6-Run1/Plate 1/@4/F4_01.tif "/>
    <s v=" 64.8897 "/>
    <n v="33"/>
    <x v="0"/>
    <n v="2141"/>
    <m/>
    <m/>
    <m/>
  </r>
  <r>
    <x v="8"/>
    <x v="5"/>
    <s v="C:\Users\cbarrier\Desktop\BPA\BPA\20201116_Cefas_Test6-Run1/20201116_Cefas_Test6-Run1/Plate 1/@4/F4_02.tif "/>
    <s v=" 3374.2636 "/>
    <s v=" 35.4487 "/>
    <x v="0"/>
    <n v="119613"/>
    <m/>
    <m/>
    <m/>
  </r>
  <r>
    <x v="8"/>
    <x v="5"/>
    <s v="C:\Users\cbarrier\Desktop\BPA\BPA\20201116_Cefas_Test6-Run1/20201116_Cefas_Test6-Run1/Plate 1/@4/F4_03.tif "/>
    <s v=" 6770.157 "/>
    <s v=" 39.2875 "/>
    <x v="0"/>
    <n v="265983"/>
    <m/>
    <m/>
    <m/>
  </r>
  <r>
    <x v="8"/>
    <x v="6"/>
    <s v="C:\Users\cbarrier\Desktop\BPA\BPA\20201116_Cefas_Test6-Run1/20201116_Cefas_Test6-Run1/Plate 1/@4/G4_01.tif "/>
    <s v=" 38479.5825 "/>
    <s v=" 34.5346 "/>
    <x v="0"/>
    <n v="1328876"/>
    <m/>
    <m/>
    <m/>
  </r>
  <r>
    <x v="8"/>
    <x v="6"/>
    <s v="C:\Users\cbarrier\Desktop\BPA\BPA\20201116_Cefas_Test6-Run1/20201116_Cefas_Test6-Run1/Plate 1/@4/G4_02.tif "/>
    <s v=" 32769.2904 "/>
    <s v=" 34.3465 "/>
    <x v="0"/>
    <n v="1125512"/>
    <m/>
    <m/>
    <m/>
  </r>
  <r>
    <x v="8"/>
    <x v="6"/>
    <s v="C:\Users\cbarrier\Desktop\BPA\BPA\20201116_Cefas_Test6-Run1/20201116_Cefas_Test6-Run1/Plate 1/@4/G4_03.tif "/>
    <s v=" 37052.0095 "/>
    <s v=" 33.7782 "/>
    <x v="0"/>
    <n v="1251549"/>
    <m/>
    <m/>
    <m/>
  </r>
  <r>
    <x v="8"/>
    <x v="7"/>
    <s v="C:\Users\cbarrier\Desktop\BPA\BPA\20201116_Cefas_Test6-Run1/20201116_Cefas_Test6-Run1/Plate 1/@4/H4_01.tif "/>
    <s v=" 65127.6127 "/>
    <s v=" 38.4756 "/>
    <x v="0"/>
    <n v="2505823"/>
    <m/>
    <m/>
    <m/>
  </r>
  <r>
    <x v="8"/>
    <x v="7"/>
    <s v="C:\Users\cbarrier\Desktop\BPA\BPA\20201116_Cefas_Test6-Run1/20201116_Cefas_Test6-Run1/Plate 1/@4/H4_02.tif "/>
    <s v=" 62185.9471 "/>
    <s v=" 38.408 "/>
    <x v="0"/>
    <n v="2388438"/>
    <m/>
    <m/>
    <m/>
  </r>
  <r>
    <x v="8"/>
    <x v="7"/>
    <s v="C:\Users\cbarrier\Desktop\BPA\BPA\20201116_Cefas_Test6-Run1/20201116_Cefas_Test6-Run1/Plate 1/@4/H4_03.tif "/>
    <s v=" 53360.95 "/>
    <s v=" 35.7921 "/>
    <x v="0"/>
    <n v="1909898"/>
    <m/>
    <m/>
    <m/>
  </r>
  <r>
    <x v="1"/>
    <x v="8"/>
    <s v=" "/>
    <m/>
    <m/>
    <x v="1"/>
    <m/>
    <m/>
    <m/>
    <m/>
  </r>
  <r>
    <x v="1"/>
    <x v="8"/>
    <s v="group "/>
    <s v=" "/>
    <s v=" mean of mean fluo "/>
    <x v="2"/>
    <s v=" mean of total fluo "/>
    <s v=" SD total fluo "/>
    <s v=" n fluorescent "/>
    <m/>
  </r>
  <r>
    <x v="8"/>
    <x v="9"/>
    <s v="C:\Users\cbarrier\Desktop\BPA\BPA\20201116_Cefas_Test6-Run1/20201116_Cefas_Test6-Run1/Plate 1/@4/ "/>
    <s v=" "/>
    <s v=" 36.5336 "/>
    <x v="10"/>
    <s v=" 1156559.38 "/>
    <s v=" 977012.752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cbarrier\Desktop\BPA\BPA\20201116_Cefas_Test6-Run1/20201116_Cefas_Test6-Run1/Plate 1/@5/A5_01.tif "/>
    <s v=" 76937.5352 "/>
    <s v=" 41.0869 "/>
    <x v="0"/>
    <n v="3161123"/>
    <m/>
    <m/>
    <m/>
  </r>
  <r>
    <x v="9"/>
    <x v="0"/>
    <s v="C:\Users\cbarrier\Desktop\BPA\BPA\20201116_Cefas_Test6-Run1/20201116_Cefas_Test6-Run1/Plate 1/@5/A5_02.tif "/>
    <s v=" 68436.9866 "/>
    <s v=" 34.3056 "/>
    <x v="0"/>
    <n v="2347774"/>
    <m/>
    <m/>
    <m/>
  </r>
  <r>
    <x v="9"/>
    <x v="0"/>
    <s v="C:\Users\cbarrier\Desktop\BPA\BPA\20201116_Cefas_Test6-Run1/20201116_Cefas_Test6-Run1/Plate 1/@5/A5_03.tif "/>
    <s v=" 73952.6097 "/>
    <s v=" 40.7672 "/>
    <x v="0"/>
    <n v="3014840"/>
    <m/>
    <m/>
    <m/>
  </r>
  <r>
    <x v="9"/>
    <x v="1"/>
    <s v="C:\Users\cbarrier\Desktop\BPA\BPA\20201116_Cefas_Test6-Run1/20201116_Cefas_Test6-Run1/Plate 1/@5/B5_01.tif "/>
    <s v=" 37376.4579 "/>
    <s v=" 38.4977 "/>
    <x v="0"/>
    <n v="1438907"/>
    <m/>
    <m/>
    <m/>
  </r>
  <r>
    <x v="9"/>
    <x v="1"/>
    <s v="C:\Users\cbarrier\Desktop\BPA\BPA\20201116_Cefas_Test6-Run1/20201116_Cefas_Test6-Run1/Plate 1/@5/B5_02.tif "/>
    <s v=" 39214.999 "/>
    <s v=" 38.6674 "/>
    <x v="0"/>
    <n v="1516342"/>
    <m/>
    <m/>
    <m/>
  </r>
  <r>
    <x v="9"/>
    <x v="1"/>
    <s v="C:\Users\cbarrier\Desktop\BPA\BPA\20201116_Cefas_Test6-Run1/20201116_Cefas_Test6-Run1/Plate 1/@5/B5_03.tif "/>
    <s v=" 44081.7253 "/>
    <s v=" 43.5751 "/>
    <x v="0"/>
    <n v="1920864"/>
    <m/>
    <m/>
    <m/>
  </r>
  <r>
    <x v="9"/>
    <x v="2"/>
    <s v="C:\Users\cbarrier\Desktop\BPA\BPA\20201116_Cefas_Test6-Run1/20201116_Cefas_Test6-Run1/Plate 1/@5/C5_01.tif "/>
    <s v=" 70491.8266 "/>
    <s v=" 40.7389 "/>
    <x v="0"/>
    <n v="2871758"/>
    <m/>
    <m/>
    <m/>
  </r>
  <r>
    <x v="9"/>
    <x v="2"/>
    <s v="C:\Users\cbarrier\Desktop\BPA\BPA\20201116_Cefas_Test6-Run1/20201116_Cefas_Test6-Run1/Plate 1/@5/C5_02.tif "/>
    <s v=" 70729.7554 "/>
    <s v=" 41.4128 "/>
    <x v="0"/>
    <n v="2929120"/>
    <m/>
    <m/>
    <m/>
  </r>
  <r>
    <x v="9"/>
    <x v="2"/>
    <s v="C:\Users\cbarrier\Desktop\BPA\BPA\20201116_Cefas_Test6-Run1/20201116_Cefas_Test6-Run1/Plate 1/@5/C5_03.tif "/>
    <s v=" 69453.5917 "/>
    <s v=" 41.0972 "/>
    <x v="0"/>
    <n v="2854346"/>
    <m/>
    <m/>
    <m/>
  </r>
  <r>
    <x v="9"/>
    <x v="3"/>
    <s v="C:\Users\cbarrier\Desktop\BPA\BPA\20201116_Cefas_Test6-Run1/20201116_Cefas_Test6-Run1/Plate 1/@5/D5_01.tif "/>
    <s v=" 56713.5837 "/>
    <s v=" 39.7616 "/>
    <x v="0"/>
    <n v="2255025"/>
    <m/>
    <m/>
    <m/>
  </r>
  <r>
    <x v="9"/>
    <x v="3"/>
    <s v="C:\Users\cbarrier\Desktop\BPA\BPA\20201116_Cefas_Test6-Run1/20201116_Cefas_Test6-Run1/Plate 1/@5/D5_02.tif "/>
    <s v=" 54572.2241 "/>
    <s v=" 38.4308 "/>
    <x v="0"/>
    <n v="2097256"/>
    <m/>
    <m/>
    <m/>
  </r>
  <r>
    <x v="9"/>
    <x v="3"/>
    <s v="C:\Users\cbarrier\Desktop\BPA\BPA\20201116_Cefas_Test6-Run1/20201116_Cefas_Test6-Run1/Plate 1/@5/D5_03.tif "/>
    <s v=" 58790.0536 "/>
    <s v=" 39.94 "/>
    <x v="0"/>
    <n v="2348076"/>
    <m/>
    <m/>
    <m/>
  </r>
  <r>
    <x v="9"/>
    <x v="4"/>
    <s v="C:\Users\cbarrier\Desktop\BPA\BPA\20201116_Cefas_Test6-Run1/20201116_Cefas_Test6-Run1/Plate 1/@5/E5_01.tif "/>
    <s v=" 58400.7155 "/>
    <s v=" 47.9378 "/>
    <x v="0"/>
    <n v="2799601"/>
    <m/>
    <m/>
    <m/>
  </r>
  <r>
    <x v="9"/>
    <x v="4"/>
    <s v="C:\Users\cbarrier\Desktop\BPA\BPA\20201116_Cefas_Test6-Run1/20201116_Cefas_Test6-Run1/Plate 1/@5/E5_02.tif "/>
    <s v=" 68047.6485 "/>
    <s v=" 47.5842 "/>
    <x v="0"/>
    <n v="3237995"/>
    <m/>
    <m/>
    <m/>
  </r>
  <r>
    <x v="9"/>
    <x v="4"/>
    <s v="C:\Users\cbarrier\Desktop\BPA\BPA\20201116_Cefas_Test6-Run1/20201116_Cefas_Test6-Run1/Plate 1/@5/E5_03.tif "/>
    <s v=" 64543.6056 "/>
    <s v=" 46.7983 "/>
    <x v="0"/>
    <n v="3020528"/>
    <m/>
    <m/>
    <m/>
  </r>
  <r>
    <x v="9"/>
    <x v="5"/>
    <s v="C:\Users\cbarrier\Desktop\BPA\BPA\20201116_Cefas_Test6-Run1/20201116_Cefas_Test6-Run1/Plate 1/@5/F5_01.tif "/>
    <s v=" 38933.8103 "/>
    <s v=" 37.5089 "/>
    <x v="0"/>
    <n v="1460364"/>
    <m/>
    <m/>
    <m/>
  </r>
  <r>
    <x v="9"/>
    <x v="5"/>
    <s v="C:\Users\cbarrier\Desktop\BPA\BPA\20201116_Cefas_Test6-Run1/20201116_Cefas_Test6-Run1/Plate 1/@5/F5_02.tif "/>
    <s v=" 39452.9278 "/>
    <s v=" 41.0099 "/>
    <x v="0"/>
    <n v="1617959"/>
    <m/>
    <m/>
    <m/>
  </r>
  <r>
    <x v="9"/>
    <x v="5"/>
    <s v="C:\Users\cbarrier\Desktop\BPA\BPA\20201116_Cefas_Test6-Run1/20201116_Cefas_Test6-Run1/Plate 1/@5/F5_03.tif "/>
    <s v=" 34002.1944 "/>
    <s v=" 39.1972 "/>
    <x v="0"/>
    <n v="1332791"/>
    <m/>
    <m/>
    <m/>
  </r>
  <r>
    <x v="9"/>
    <x v="6"/>
    <s v="C:\Users\cbarrier\Desktop\BPA\BPA\20201116_Cefas_Test6-Run1/20201116_Cefas_Test6-Run1/Plate 1/@5/G5_01.tif "/>
    <s v=" 67701.5702 "/>
    <s v=" 41.3486 "/>
    <x v="0"/>
    <n v="2799363"/>
    <m/>
    <m/>
    <m/>
  </r>
  <r>
    <x v="9"/>
    <x v="6"/>
    <s v="C:\Users\cbarrier\Desktop\BPA\BPA\20201116_Cefas_Test6-Run1/20201116_Cefas_Test6-Run1/Plate 1/@5/G5_02.tif "/>
    <s v=" 68242.3176 "/>
    <s v=" 41.6406 "/>
    <x v="0"/>
    <n v="2841649"/>
    <m/>
    <m/>
    <m/>
  </r>
  <r>
    <x v="9"/>
    <x v="6"/>
    <s v="C:\Users\cbarrier\Desktop\BPA\BPA\20201116_Cefas_Test6-Run1/20201116_Cefas_Test6-Run1/Plate 1/@5/G5_03.tif "/>
    <s v=" 61234.2317 "/>
    <s v=" 41.3539 "/>
    <x v="0"/>
    <n v="2532277"/>
    <m/>
    <m/>
    <m/>
  </r>
  <r>
    <x v="9"/>
    <x v="7"/>
    <s v="C:\Users\cbarrier\Desktop\BPA\BPA\20201116_Cefas_Test6-Run1/20201116_Cefas_Test6-Run1/Plate 1/@5/H5_01.tif "/>
    <s v=" 71075.8338 "/>
    <s v=" 41.8561 "/>
    <x v="0"/>
    <n v="2974954"/>
    <m/>
    <m/>
    <m/>
  </r>
  <r>
    <x v="9"/>
    <x v="7"/>
    <s v="C:\Users\cbarrier\Desktop\BPA\BPA\20201116_Cefas_Test6-Run1/20201116_Cefas_Test6-Run1/Plate 1/@5/H5_02.tif "/>
    <s v=" 65019.4633 "/>
    <s v=" 42.345 "/>
    <x v="0"/>
    <n v="2753248"/>
    <m/>
    <m/>
    <m/>
  </r>
  <r>
    <x v="9"/>
    <x v="7"/>
    <s v="C:\Users\cbarrier\Desktop\BPA\BPA\20201116_Cefas_Test6-Run1/20201116_Cefas_Test6-Run1/Plate 1/@5/H5_03.tif "/>
    <s v=" 59482.2102 "/>
    <s v=" 37.6633 "/>
    <x v="0"/>
    <n v="2240295"/>
    <m/>
    <m/>
    <m/>
  </r>
  <r>
    <x v="1"/>
    <x v="8"/>
    <s v=" "/>
    <m/>
    <m/>
    <x v="1"/>
    <m/>
    <m/>
    <m/>
    <m/>
  </r>
  <r>
    <x v="1"/>
    <x v="8"/>
    <s v="group "/>
    <s v=" "/>
    <s v=" mean of mean fluo "/>
    <x v="2"/>
    <s v=" mean of total fluo "/>
    <s v=" SD total fluo "/>
    <s v=" n fluorescent "/>
    <m/>
  </r>
  <r>
    <x v="9"/>
    <x v="9"/>
    <s v="C:\Users\cbarrier\Desktop\BPA\BPA\20201116_Cefas_Test6-Run1/20201116_Cefas_Test6-Run1/Plate 1/@5/ "/>
    <s v=" "/>
    <s v=" 41.0219 "/>
    <x v="11"/>
    <s v=" 2431935.62 "/>
    <s v=" 605315.057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cbarrier\Desktop\BPA\BPA\20201116_Cefas_Test6-Run1/20201116_Cefas_Test6-Run1/Plate 1/@6/A6_01.tif "/>
    <s v=" 65279.022 "/>
    <s v=" 47.0971 "/>
    <x v="0"/>
    <n v="3074452"/>
    <m/>
    <m/>
    <m/>
  </r>
  <r>
    <x v="10"/>
    <x v="0"/>
    <s v="C:\Users\cbarrier\Desktop\BPA\BPA\20201116_Cefas_Test6-Run1/20201116_Cefas_Test6-Run1/Plate 1/@6/A6_02.tif "/>
    <s v=" 67593.4207 "/>
    <s v=" 48.3126 "/>
    <x v="0"/>
    <n v="3265617"/>
    <m/>
    <m/>
    <m/>
  </r>
  <r>
    <x v="10"/>
    <x v="0"/>
    <s v="C:\Users\cbarrier\Desktop\BPA\BPA\20201116_Cefas_Test6-Run1/20201116_Cefas_Test6-Run1/Plate 1/@6/A6_03.tif "/>
    <s v=" 59633.6195 "/>
    <s v=" 47.4868 "/>
    <x v="0"/>
    <n v="2831807"/>
    <m/>
    <m/>
    <m/>
  </r>
  <r>
    <x v="10"/>
    <x v="1"/>
    <s v="C:\Users\cbarrier\Desktop\BPA\BPA\20201116_Cefas_Test6-Run1/20201116_Cefas_Test6-Run1/Plate 1/@6/B6_01.tif "/>
    <s v=" 8651.9579 "/>
    <s v=" 33.135 "/>
    <x v="0"/>
    <n v="286683"/>
    <m/>
    <m/>
    <m/>
  </r>
  <r>
    <x v="10"/>
    <x v="1"/>
    <s v="C:\Users\cbarrier\Desktop\BPA\BPA\20201116_Cefas_Test6-Run1/20201116_Cefas_Test6-Run1/Plate 1/@6/B6_02.tif "/>
    <s v=" 14189.2109 "/>
    <s v=" 38.8613 "/>
    <x v="0"/>
    <n v="551411"/>
    <m/>
    <m/>
    <m/>
  </r>
  <r>
    <x v="10"/>
    <x v="1"/>
    <s v="C:\Users\cbarrier\Desktop\BPA\BPA\20201116_Cefas_Test6-Run1/20201116_Cefas_Test6-Run1/Plate 1/@6/B6_03.tif "/>
    <s v=" 13972.9119 "/>
    <s v=" 38.356 "/>
    <x v="0"/>
    <n v="535946"/>
    <m/>
    <m/>
    <m/>
  </r>
  <r>
    <x v="10"/>
    <x v="2"/>
    <s v="C:\Users\cbarrier\Desktop\BPA\BPA\20201116_Cefas_Test6-Run1/20201116_Cefas_Test6-Run1/Plate 1/@6/C6_01.tif "/>
    <s v=" 60628.5946 "/>
    <s v=" 52.7039 "/>
    <x v="0"/>
    <n v="3195363"/>
    <m/>
    <m/>
    <m/>
  </r>
  <r>
    <x v="10"/>
    <x v="2"/>
    <s v="C:\Users\cbarrier\Desktop\BPA\BPA\20201116_Cefas_Test6-Run1/20201116_Cefas_Test6-Run1/Plate 1/@6/C6_02- exclu.tif"/>
    <m/>
    <m/>
    <x v="1"/>
    <m/>
    <m/>
    <m/>
    <m/>
  </r>
  <r>
    <x v="10"/>
    <x v="2"/>
    <s v="C:\Users\cbarrier\Desktop\BPA\BPA\20201116_Cefas_Test6-Run1/20201116_Cefas_Test6-Run1/Plate 1/@6/C6_03.tif "/>
    <s v=" 63202.5521 "/>
    <s v=" 49.9493 "/>
    <x v="0"/>
    <n v="3156926"/>
    <m/>
    <m/>
    <m/>
  </r>
  <r>
    <x v="10"/>
    <x v="3"/>
    <s v="C:\Users\cbarrier\Desktop\BPA\BPA\20201116_Cefas_Test6-Run1/20201116_Cefas_Test6-Run1/Plate 1/@6/D6_01.tif "/>
    <s v=" 81176.9945 "/>
    <s v=" 48.016 "/>
    <x v="0"/>
    <n v="3897794"/>
    <m/>
    <m/>
    <m/>
  </r>
  <r>
    <x v="10"/>
    <x v="3"/>
    <s v="C:\Users\cbarrier\Desktop\BPA\BPA\20201116_Cefas_Test6-Run1/20201116_Cefas_Test6-Run1/Plate 1/@6/D6_02.tif "/>
    <s v=" 82885.7562 "/>
    <s v=" 51.3578 "/>
    <x v="0"/>
    <n v="4256828"/>
    <m/>
    <m/>
    <m/>
  </r>
  <r>
    <x v="10"/>
    <x v="3"/>
    <s v="C:\Users\cbarrier\Desktop\BPA\BPA\20201116_Cefas_Test6-Run1/20201116_Cefas_Test6-Run1/Plate 1/@6/D6_03.tif "/>
    <s v=" 75380.1828 "/>
    <s v=" 47.6494 "/>
    <x v="0"/>
    <n v="3591817"/>
    <m/>
    <m/>
    <m/>
  </r>
  <r>
    <x v="10"/>
    <x v="4"/>
    <s v="C:\Users\cbarrier\Desktop\BPA\BPA\20201116_Cefas_Test6-Run1/20201116_Cefas_Test6-Run1/Plate 1/@6/E6_01.tif "/>
    <s v=" 92640.8387 "/>
    <s v=" 50.4982 "/>
    <x v="0"/>
    <n v="4678200"/>
    <m/>
    <m/>
    <m/>
  </r>
  <r>
    <x v="10"/>
    <x v="4"/>
    <s v="C:\Users\cbarrier\Desktop\BPA\BPA\20201116_Cefas_Test6-Run1/20201116_Cefas_Test6-Run1/Plate 1/@6/E6_02.tif "/>
    <s v=" 99865.2235 "/>
    <s v=" 50.3405 "/>
    <x v="0"/>
    <n v="5027263"/>
    <m/>
    <m/>
    <m/>
  </r>
  <r>
    <x v="10"/>
    <x v="4"/>
    <s v="C:\Users\cbarrier\Desktop\BPA\BPA\20201116_Cefas_Test6-Run1/20201116_Cefas_Test6-Run1/Plate 1/@6/E6_03.tif "/>
    <s v=" 88574.4185 "/>
    <s v=" 48.6369 "/>
    <x v="0"/>
    <n v="4307983"/>
    <m/>
    <m/>
    <m/>
  </r>
  <r>
    <x v="10"/>
    <x v="5"/>
    <s v="C:\Users\cbarrier\Desktop\BPA\BPA\20201116_Cefas_Test6-Run1/20201116_Cefas_Test6-Run1/Plate 1/@6/F6_01.tif "/>
    <s v=" 73433.4923 "/>
    <s v=" 44.8872 "/>
    <x v="0"/>
    <n v="3296223"/>
    <m/>
    <m/>
    <m/>
  </r>
  <r>
    <x v="10"/>
    <x v="5"/>
    <s v="C:\Users\cbarrier\Desktop\BPA\BPA\20201116_Cefas_Test6-Run1/20201116_Cefas_Test6-Run1/Plate 1/@6/F6_02.tif "/>
    <s v=" 69150.7731 "/>
    <s v=" 41.9697 "/>
    <x v="0"/>
    <n v="2902234"/>
    <m/>
    <m/>
    <m/>
  </r>
  <r>
    <x v="10"/>
    <x v="5"/>
    <s v="C:\Users\cbarrier\Desktop\BPA\BPA\20201116_Cefas_Test6-Run1/20201116_Cefas_Test6-Run1/Plate 1/@6/F6_03.tif "/>
    <s v=" 69020.9938 "/>
    <s v=" 41.4698 "/>
    <x v="0"/>
    <n v="2862284"/>
    <m/>
    <m/>
    <m/>
  </r>
  <r>
    <x v="10"/>
    <x v="6"/>
    <s v="C:\Users\cbarrier\Desktop\BPA\BPA\20201116_Cefas_Test6-Run1/20201116_Cefas_Test6-Run1/Plate 1/@6/G6_01- exclu.tif"/>
    <m/>
    <m/>
    <x v="1"/>
    <m/>
    <m/>
    <m/>
    <m/>
  </r>
  <r>
    <x v="10"/>
    <x v="6"/>
    <s v="C:\Users\cbarrier\Desktop\BPA\BPA\20201116_Cefas_Test6-Run1/20201116_Cefas_Test6-Run1/Plate 1/@6/G6_02- exclu.tif"/>
    <m/>
    <m/>
    <x v="1"/>
    <m/>
    <m/>
    <m/>
    <m/>
  </r>
  <r>
    <x v="10"/>
    <x v="6"/>
    <s v="C:\Users\cbarrier\Desktop\BPA\BPA\20201116_Cefas_Test6-Run1/20201116_Cefas_Test6-Run1/Plate 1/@6/G6_03- exclu.tif"/>
    <m/>
    <m/>
    <x v="1"/>
    <m/>
    <m/>
    <m/>
    <m/>
  </r>
  <r>
    <x v="10"/>
    <x v="7"/>
    <s v="C:\Users\cbarrier\Desktop\BPA\BPA\20201116_Cefas_Test6-Run1/20201116_Cefas_Test6-Run1/Plate 1/@6/H6_01.tif "/>
    <s v=" 39323.1484 "/>
    <s v=" 38.2525 "/>
    <x v="0"/>
    <n v="1504208"/>
    <m/>
    <m/>
    <m/>
  </r>
  <r>
    <x v="10"/>
    <x v="7"/>
    <s v="C:\Users\cbarrier\Desktop\BPA\BPA\20201116_Cefas_Test6-Run1/20201116_Cefas_Test6-Run1/Plate 1/@6/H6_02.tif "/>
    <s v=" 48083.2558 "/>
    <s v=" 37.9613 "/>
    <x v="0"/>
    <n v="1825304"/>
    <m/>
    <m/>
    <m/>
  </r>
  <r>
    <x v="10"/>
    <x v="7"/>
    <s v="C:\Users\cbarrier\Desktop\BPA\BPA\20201116_Cefas_Test6-Run1/20201116_Cefas_Test6-Run1/Plate 1/@6/H6_03.tif "/>
    <s v=" 24960.8984 "/>
    <s v=" 42.1464 "/>
    <x v="0"/>
    <n v="1052013"/>
    <m/>
    <m/>
    <m/>
  </r>
  <r>
    <x v="1"/>
    <x v="8"/>
    <s v=" "/>
    <m/>
    <m/>
    <x v="1"/>
    <m/>
    <m/>
    <m/>
    <m/>
  </r>
  <r>
    <x v="1"/>
    <x v="8"/>
    <s v="group "/>
    <s v=" "/>
    <s v=" mean of mean fluo "/>
    <x v="2"/>
    <s v=" mean of total fluo "/>
    <s v=" SD total fluo "/>
    <s v=" n fluorescent "/>
    <m/>
  </r>
  <r>
    <x v="10"/>
    <x v="9"/>
    <s v="C:\Users\cbarrier\Desktop\BPA\BPA\20201116_Cefas_Test6-Run1/20201116_Cefas_Test6-Run1/Plate 1/@6/ "/>
    <s v=" "/>
    <s v=" 43.5561 "/>
    <x v="12"/>
    <s v=" 2409464.88 "/>
    <s v=" 1595160.51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cbarrier\Desktop\BPA\BPA\20201116_Cefas_Test6-Run1/20201116_Cefas_Test6-Run1/Plate 1/@7/A7_01.tif "/>
    <s v=" 76872.6455 "/>
    <s v=" 58.3655 "/>
    <x v="0"/>
    <n v="4486711"/>
    <m/>
    <m/>
    <m/>
  </r>
  <r>
    <x v="11"/>
    <x v="0"/>
    <s v="C:\Users\cbarrier\Desktop\BPA\BPA\20201116_Cefas_Test6-Run1/20201116_Cefas_Test6-Run1/Plate 1/@7/A7_02.tif "/>
    <s v=" 73563.2716 "/>
    <s v=" 51.4699 "/>
    <x v="0"/>
    <n v="3786291"/>
    <m/>
    <m/>
    <m/>
  </r>
  <r>
    <x v="11"/>
    <x v="0"/>
    <s v="C:\Users\cbarrier\Desktop\BPA\BPA\20201116_Cefas_Test6-Run1/20201116_Cefas_Test6-Run1/Plate 1/@7/A7_03.tif "/>
    <s v=" 79662.9019 "/>
    <s v=" 52.3649 "/>
    <x v="0"/>
    <n v="4171541"/>
    <m/>
    <m/>
    <m/>
  </r>
  <r>
    <x v="11"/>
    <x v="1"/>
    <s v="C:\Users\cbarrier\Desktop\BPA\BPA\20201116_Cefas_Test6-Run1/20201116_Cefas_Test6-Run1/Plate 1/@7/B7_01.tif "/>
    <s v=" 64911.3138 "/>
    <s v=" 53.7048 "/>
    <x v="0"/>
    <n v="3486047"/>
    <m/>
    <m/>
    <m/>
  </r>
  <r>
    <x v="11"/>
    <x v="1"/>
    <s v="C:\Users\cbarrier\Desktop\BPA\BPA\20201116_Cefas_Test6-Run1/20201116_Cefas_Test6-Run1/Plate 1/@7/B7_02.tif "/>
    <s v=" 67831.3496 "/>
    <s v=" 53.6489 "/>
    <x v="0"/>
    <n v="3639078"/>
    <m/>
    <m/>
    <m/>
  </r>
  <r>
    <x v="11"/>
    <x v="1"/>
    <s v="C:\Users\cbarrier\Desktop\BPA\BPA\20201116_Cefas_Test6-Run1/20201116_Cefas_Test6-Run1/Plate 1/@7/B7_03.tif "/>
    <s v=" 72438.5171 "/>
    <s v=" 57.0911 "/>
    <x v="0"/>
    <n v="4135593"/>
    <m/>
    <m/>
    <m/>
  </r>
  <r>
    <x v="11"/>
    <x v="2"/>
    <s v="C:\Users\cbarrier\Desktop\BPA\BPA\20201116_Cefas_Test6-Run1/20201116_Cefas_Test6-Run1/Plate 1/@7/C7_01.tif "/>
    <s v=" 84551.2581 "/>
    <s v=" 62.3154 "/>
    <x v="0"/>
    <n v="5268848"/>
    <m/>
    <m/>
    <m/>
  </r>
  <r>
    <x v="11"/>
    <x v="2"/>
    <s v="C:\Users\cbarrier\Desktop\BPA\BPA\20201116_Cefas_Test6-Run1/20201116_Cefas_Test6-Run1/Plate 1/@7/C7_02.tif "/>
    <s v=" 90110.141 "/>
    <s v=" 59.2712 "/>
    <x v="0"/>
    <n v="5340940"/>
    <m/>
    <m/>
    <m/>
  </r>
  <r>
    <x v="11"/>
    <x v="2"/>
    <s v="C:\Users\cbarrier\Desktop\BPA\BPA\20201116_Cefas_Test6-Run1/20201116_Cefas_Test6-Run1/Plate 1/@7/C7_03.tif "/>
    <s v=" 85438.0838 "/>
    <s v=" 58.2729 "/>
    <x v="0"/>
    <n v="4978726"/>
    <m/>
    <m/>
    <m/>
  </r>
  <r>
    <x v="11"/>
    <x v="3"/>
    <s v="C:\Users\cbarrier\Desktop\BPA\BPA\20201116_Cefas_Test6-Run1/20201116_Cefas_Test6-Run1/Plate 1/@7/D7_01.tif "/>
    <s v=" 73130.6737 "/>
    <s v=" 55.0834 "/>
    <x v="0"/>
    <n v="4028287"/>
    <m/>
    <m/>
    <m/>
  </r>
  <r>
    <x v="11"/>
    <x v="3"/>
    <s v="C:\Users\cbarrier\Desktop\BPA\BPA\20201116_Cefas_Test6-Run1/20201116_Cefas_Test6-Run1/Plate 1/@7/D7_02.tif "/>
    <s v=" 72481.7769 "/>
    <s v=" 61.5936 "/>
    <x v="0"/>
    <n v="4464410"/>
    <m/>
    <m/>
    <m/>
  </r>
  <r>
    <x v="11"/>
    <x v="3"/>
    <s v="C:\Users\cbarrier\Desktop\BPA\BPA\20201116_Cefas_Test6-Run1/20201116_Cefas_Test6-Run1/Plate 1/@7/D7_03.tif "/>
    <s v=" 70318.7874 "/>
    <s v=" 61.2931 "/>
    <x v="0"/>
    <n v="4310059"/>
    <m/>
    <m/>
    <m/>
  </r>
  <r>
    <x v="11"/>
    <x v="4"/>
    <s v="C:\Users\cbarrier\Desktop\BPA\BPA\20201116_Cefas_Test6-Run1/20201116_Cefas_Test6-Run1/Plate 1/@7/E7_01- exclu.tif"/>
    <m/>
    <m/>
    <x v="1"/>
    <m/>
    <m/>
    <m/>
    <m/>
  </r>
  <r>
    <x v="11"/>
    <x v="4"/>
    <s v="C:\Users\cbarrier\Desktop\BPA\BPA\20201116_Cefas_Test6-Run1/20201116_Cefas_Test6-Run1/Plate 1/@7/E7_02.tif "/>
    <s v=" 76267.0085 "/>
    <s v=" 58.6653 "/>
    <x v="0"/>
    <n v="4474230"/>
    <m/>
    <m/>
    <m/>
  </r>
  <r>
    <x v="11"/>
    <x v="4"/>
    <s v="C:\Users\cbarrier\Desktop\BPA\BPA\20201116_Cefas_Test6-Run1/20201116_Cefas_Test6-Run1/Plate 1/@7/E7_03.tif "/>
    <s v=" 64240.787 "/>
    <s v=" 61.8593 "/>
    <x v="0"/>
    <n v="3973888"/>
    <m/>
    <m/>
    <m/>
  </r>
  <r>
    <x v="11"/>
    <x v="5"/>
    <s v="C:\Users\cbarrier\Desktop\BPA\BPA\20201116_Cefas_Test6-Run1/20201116_Cefas_Test6-Run1/Plate 1/@7/F7_01.tif "/>
    <s v=" 79208.6741 "/>
    <s v=" 52.3815 "/>
    <x v="0"/>
    <n v="4149068"/>
    <m/>
    <m/>
    <m/>
  </r>
  <r>
    <x v="11"/>
    <x v="5"/>
    <s v="C:\Users\cbarrier\Desktop\BPA\BPA\20201116_Cefas_Test6-Run1/20201116_Cefas_Test6-Run1/Plate 1/@7/F7_02.tif "/>
    <s v=" 69669.8906 "/>
    <s v=" 53.9618 "/>
    <x v="0"/>
    <n v="3759514"/>
    <m/>
    <m/>
    <m/>
  </r>
  <r>
    <x v="11"/>
    <x v="5"/>
    <s v="C:\Users\cbarrier\Desktop\BPA\BPA\20201116_Cefas_Test6-Run1/20201116_Cefas_Test6-Run1/Plate 1/@7/F7_03.tif "/>
    <s v=" 77175.464 "/>
    <s v=" 53.9986 "/>
    <x v="0"/>
    <n v="4167367"/>
    <m/>
    <m/>
    <m/>
  </r>
  <r>
    <x v="11"/>
    <x v="6"/>
    <s v="C:\Users\cbarrier\Desktop\BPA\BPA\20201116_Cefas_Test6-Run1/20201116_Cefas_Test6-Run1/Plate 1/@7/G7_01.tif "/>
    <s v=" 88833.9772 "/>
    <s v=" 54.5103 "/>
    <x v="0"/>
    <n v="4842371"/>
    <m/>
    <m/>
    <m/>
  </r>
  <r>
    <x v="11"/>
    <x v="6"/>
    <s v="C:\Users\cbarrier\Desktop\BPA\BPA\20201116_Cefas_Test6-Run1/20201116_Cefas_Test6-Run1/Plate 1/@7/G7_02.tif "/>
    <s v=" 92727.3583 "/>
    <s v=" 58.4616 "/>
    <x v="0"/>
    <n v="5420992"/>
    <m/>
    <m/>
    <m/>
  </r>
  <r>
    <x v="11"/>
    <x v="6"/>
    <s v="C:\Users\cbarrier\Desktop\BPA\BPA\20201116_Cefas_Test6-Run1/20201116_Cefas_Test6-Run1/Plate 1/@7/G7_03.tif "/>
    <s v=" 92316.3903 "/>
    <s v=" 58.6354 "/>
    <x v="0"/>
    <n v="5413011"/>
    <m/>
    <m/>
    <m/>
  </r>
  <r>
    <x v="11"/>
    <x v="7"/>
    <s v="C:\Users\cbarrier\Desktop\BPA\BPA\20201116_Cefas_Test6-Run1/20201116_Cefas_Test6-Run1/Plate 1/@7/H7_01.tif "/>
    <s v=" 81068.8451 "/>
    <s v=" 51.5229 "/>
    <x v="0"/>
    <n v="4176906"/>
    <m/>
    <m/>
    <m/>
  </r>
  <r>
    <x v="11"/>
    <x v="7"/>
    <s v="C:\Users\cbarrier\Desktop\BPA\BPA\20201116_Cefas_Test6-Run1/20201116_Cefas_Test6-Run1/Plate 1/@7/H7_02.tif "/>
    <s v=" 79944.0905 "/>
    <s v=" 49.0087 "/>
    <x v="0"/>
    <n v="3917953"/>
    <m/>
    <m/>
    <m/>
  </r>
  <r>
    <x v="11"/>
    <x v="7"/>
    <s v="C:\Users\cbarrier\Desktop\BPA\BPA\20201116_Cefas_Test6-Run1/20201116_Cefas_Test6-Run1/Plate 1/@7/H7_03.tif "/>
    <s v=" 68934.4742 "/>
    <s v=" 52.8337 "/>
    <x v="0"/>
    <n v="3642063"/>
    <m/>
    <m/>
    <m/>
  </r>
  <r>
    <x v="1"/>
    <x v="8"/>
    <s v=" "/>
    <m/>
    <m/>
    <x v="1"/>
    <m/>
    <m/>
    <m/>
    <m/>
  </r>
  <r>
    <x v="1"/>
    <x v="8"/>
    <s v="group "/>
    <s v=" "/>
    <s v=" mean of mean fluo "/>
    <x v="2"/>
    <s v=" mean of total fluo "/>
    <s v=" SD total fluo "/>
    <s v=" n fluorescent "/>
    <m/>
  </r>
  <r>
    <x v="11"/>
    <x v="9"/>
    <s v="C:\Users\cbarrier\Desktop\BPA\BPA\20201116_Cefas_Test6-Run1/20201116_Cefas_Test6-Run1/Plate 1/@7/ "/>
    <s v=" "/>
    <s v=" 56.2702 "/>
    <x v="13"/>
    <s v=" 4269810.62 "/>
    <s v=" 701246.659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cbarrier\Desktop\BPA\BPA\20201116_Cefas_Test6-Run1/20201116_Cefas_Test6-Run1/Plate 3/@10/A4_01.tif "/>
    <s v=" 3893.381 "/>
    <s v=" 34.5111 "/>
    <x v="0"/>
    <n v="134365"/>
    <m/>
    <m/>
    <m/>
  </r>
  <r>
    <x v="12"/>
    <x v="0"/>
    <s v="C:\Users\cbarrier\Desktop\BPA\BPA\20201116_Cefas_Test6-Run1/20201116_Cefas_Test6-Run1/Plate 3/@10/A4_02.tif "/>
    <s v=" 4931.616 "/>
    <s v=" 35.9035 "/>
    <x v="0"/>
    <n v="177062"/>
    <m/>
    <m/>
    <m/>
  </r>
  <r>
    <x v="12"/>
    <x v="0"/>
    <s v="C:\Users\cbarrier\Desktop\BPA\BPA\20201116_Cefas_Test6-Run1/20201116_Cefas_Test6-Run1/Plate 3/@10/A4_03.tif "/>
    <s v=" 4866.7263 "/>
    <s v=" 36.6978 "/>
    <x v="0"/>
    <n v="178598"/>
    <m/>
    <m/>
    <m/>
  </r>
  <r>
    <x v="12"/>
    <x v="1"/>
    <s v="C:\Users\cbarrier\Desktop\BPA\BPA\20201116_Cefas_Test6-Run1/20201116_Cefas_Test6-Run1/Plate 3/@10/B4_01.tif "/>
    <s v=" 5580.5128 "/>
    <s v=" 40.5698 "/>
    <x v="0"/>
    <n v="226400"/>
    <m/>
    <m/>
    <m/>
  </r>
  <r>
    <x v="12"/>
    <x v="1"/>
    <s v="C:\Users\cbarrier\Desktop\BPA\BPA\20201116_Cefas_Test6-Run1/20201116_Cefas_Test6-Run1/Plate 3/@10/B4_02.tif "/>
    <s v=" 5753.552 "/>
    <s v=" 37.6203 "/>
    <x v="0"/>
    <n v="216450"/>
    <m/>
    <m/>
    <m/>
  </r>
  <r>
    <x v="12"/>
    <x v="1"/>
    <s v="C:\Users\cbarrier\Desktop\BPA\BPA\20201116_Cefas_Test6-Run1/20201116_Cefas_Test6-Run1/Plate 3/@10/B4_03.tif "/>
    <s v=" 43.2598 "/>
    <n v="31"/>
    <x v="0"/>
    <n v="1341"/>
    <m/>
    <m/>
    <m/>
  </r>
  <r>
    <x v="12"/>
    <x v="2"/>
    <s v="C:\Users\cbarrier\Desktop\BPA\BPA\20201116_Cefas_Test6-Run1/20201116_Cefas_Test6-Run1/Plate 3/@10/C4_01.tif "/>
    <s v=" 5991.4808 "/>
    <s v=" 35.8736 "/>
    <x v="0"/>
    <n v="214936"/>
    <m/>
    <m/>
    <m/>
  </r>
  <r>
    <x v="12"/>
    <x v="2"/>
    <s v="C:\Users\cbarrier\Desktop\BPA\BPA\20201116_Cefas_Test6-Run1/20201116_Cefas_Test6-Run1/Plate 3/@10/C4_02.tif "/>
    <s v=" 8067.9507 "/>
    <s v=" 34.8177 "/>
    <x v="0"/>
    <n v="280907"/>
    <m/>
    <m/>
    <m/>
  </r>
  <r>
    <x v="12"/>
    <x v="2"/>
    <s v="C:\Users\cbarrier\Desktop\BPA\BPA\20201116_Cefas_Test6-Run1/20201116_Cefas_Test6-Run1/Plate 3/@10/C4_03.tif "/>
    <s v=" 4996.5057 "/>
    <s v=" 33.9567 "/>
    <x v="0"/>
    <n v="169665"/>
    <m/>
    <m/>
    <m/>
  </r>
  <r>
    <x v="12"/>
    <x v="3"/>
    <s v="C:\Users\cbarrier\Desktop\BPA\BPA\20201116_Cefas_Test6-Run1/20201116_Cefas_Test6-Run1/Plate 3/@10/D4_01.tif "/>
    <s v=" 8781.7372 "/>
    <s v=" 33.9926 "/>
    <x v="0"/>
    <n v="298514"/>
    <m/>
    <m/>
    <m/>
  </r>
  <r>
    <x v="12"/>
    <x v="3"/>
    <s v="C:\Users\cbarrier\Desktop\BPA\BPA\20201116_Cefas_Test6-Run1/20201116_Cefas_Test6-Run1/Plate 3/@10/D4_02.tif "/>
    <s v=" 5883.3313 "/>
    <s v=" 32.6287 "/>
    <x v="0"/>
    <n v="191965"/>
    <m/>
    <m/>
    <m/>
  </r>
  <r>
    <x v="12"/>
    <x v="3"/>
    <s v="C:\Users\cbarrier\Desktop\BPA\BPA\20201116_Cefas_Test6-Run1/20201116_Cefas_Test6-Run1/Plate 3/@10/D4_03.tif "/>
    <s v=" 8349.1393 "/>
    <s v=" 31.2124 "/>
    <x v="0"/>
    <n v="260597"/>
    <m/>
    <m/>
    <m/>
  </r>
  <r>
    <x v="12"/>
    <x v="4"/>
    <s v="C:\Users\cbarrier\Desktop\BPA\BPA\20201116_Cefas_Test6-Run1/20201116_Cefas_Test6-Run1/Plate 3/@10/E4_01- exclu.tif"/>
    <m/>
    <m/>
    <x v="1"/>
    <m/>
    <m/>
    <m/>
    <m/>
  </r>
  <r>
    <x v="12"/>
    <x v="4"/>
    <s v="C:\Users\cbarrier\Desktop\BPA\BPA\20201116_Cefas_Test6-Run1/20201116_Cefas_Test6-Run1/Plate 3/@10/E4_02.tif "/>
    <s v=" 6337.5591 "/>
    <s v=" 31.2799 "/>
    <x v="0"/>
    <n v="198238"/>
    <m/>
    <m/>
    <m/>
  </r>
  <r>
    <x v="12"/>
    <x v="4"/>
    <s v="C:\Users\cbarrier\Desktop\BPA\BPA\20201116_Cefas_Test6-Run1/20201116_Cefas_Test6-Run1/Plate 3/@10/E4_03.tif "/>
    <s v=" 8414.029 "/>
    <s v=" 36.7275 "/>
    <x v="0"/>
    <n v="309026"/>
    <m/>
    <m/>
    <m/>
  </r>
  <r>
    <x v="12"/>
    <x v="5"/>
    <s v="C:\Users\cbarrier\Desktop\BPA\BPA\20201116_Cefas_Test6-Run1/20201116_Cefas_Test6-Run1/Plate 3/@10/F4_01.tif "/>
    <s v=" 3893.381 "/>
    <s v=" 36.8944 "/>
    <x v="0"/>
    <n v="143644"/>
    <m/>
    <m/>
    <m/>
  </r>
  <r>
    <x v="12"/>
    <x v="5"/>
    <s v="C:\Users\cbarrier\Desktop\BPA\BPA\20201116_Cefas_Test6-Run1/20201116_Cefas_Test6-Run1/Plate 3/@10/F4_02.tif "/>
    <s v=" 3741.9718 "/>
    <s v=" 37.5491 "/>
    <x v="0"/>
    <n v="140508"/>
    <m/>
    <m/>
    <m/>
  </r>
  <r>
    <x v="12"/>
    <x v="5"/>
    <s v="C:\Users\cbarrier\Desktop\BPA\BPA\20201116_Cefas_Test6-Run1/20201116_Cefas_Test6-Run1/Plate 3/@10/F4_03- exclu.tif"/>
    <m/>
    <m/>
    <x v="1"/>
    <m/>
    <m/>
    <m/>
    <m/>
  </r>
  <r>
    <x v="12"/>
    <x v="6"/>
    <s v="C:\Users\cbarrier\Desktop\BPA\BPA\20201116_Cefas_Test6-Run1/20201116_Cefas_Test6-Run1/Plate 3/@10/G4_01.tif "/>
    <s v=" 6207.7798 "/>
    <s v=" 34.324 "/>
    <x v="0"/>
    <n v="213076"/>
    <m/>
    <m/>
    <m/>
  </r>
  <r>
    <x v="12"/>
    <x v="6"/>
    <s v="C:\Users\cbarrier\Desktop\BPA\BPA\20201116_Cefas_Test6-Run1/20201116_Cefas_Test6-Run1/Plate 3/@10/G4_02.tif "/>
    <s v=" 1687.1318 "/>
    <s v=" 33.8205 "/>
    <x v="0"/>
    <n v="57060"/>
    <m/>
    <m/>
    <m/>
  </r>
  <r>
    <x v="12"/>
    <x v="6"/>
    <s v="C:\Users\cbarrier\Desktop\BPA\BPA\20201116_Cefas_Test6-Run1/20201116_Cefas_Test6-Run1/Plate 3/@10/G4_03.tif "/>
    <s v=" 4585.5377 "/>
    <s v=" 35.4953 "/>
    <x v="0"/>
    <n v="162765"/>
    <m/>
    <m/>
    <m/>
  </r>
  <r>
    <x v="12"/>
    <x v="7"/>
    <s v="C:\Users\cbarrier\Desktop\BPA\BPA\20201116_Cefas_Test6-Run1/20201116_Cefas_Test6-Run1/Plate 3/@10/H4_01.tif "/>
    <s v=" 7116.2353 "/>
    <s v=" 39.8967 "/>
    <x v="0"/>
    <n v="283914"/>
    <m/>
    <m/>
    <m/>
  </r>
  <r>
    <x v="12"/>
    <x v="7"/>
    <s v="C:\Users\cbarrier\Desktop\BPA\BPA\20201116_Cefas_Test6-Run1/20201116_Cefas_Test6-Run1/Plate 3/@10/H4_02.tif "/>
    <s v=" 4780.2067 "/>
    <s v=" 40.2805 "/>
    <x v="0"/>
    <n v="192549"/>
    <m/>
    <m/>
    <m/>
  </r>
  <r>
    <x v="12"/>
    <x v="7"/>
    <s v="C:\Users\cbarrier\Desktop\BPA\BPA\20201116_Cefas_Test6-Run1/20201116_Cefas_Test6-Run1/Plate 3/@10/H4_03.tif "/>
    <s v=" 6121.2602 "/>
    <s v=" 40.9717 "/>
    <x v="0"/>
    <n v="250799"/>
    <m/>
    <m/>
    <m/>
  </r>
  <r>
    <x v="1"/>
    <x v="8"/>
    <s v=" "/>
    <m/>
    <m/>
    <x v="1"/>
    <m/>
    <m/>
    <m/>
    <m/>
  </r>
  <r>
    <x v="1"/>
    <x v="8"/>
    <s v="group "/>
    <s v=" "/>
    <s v=" mean of mean fluo "/>
    <x v="2"/>
    <s v=" mean of total fluo "/>
    <s v=" SD total fluo "/>
    <s v=" n fluorescent "/>
    <m/>
  </r>
  <r>
    <x v="12"/>
    <x v="9"/>
    <s v="C:\Users\cbarrier\Desktop\BPA\BPA\20201116_Cefas_Test6-Run1/20201116_Cefas_Test6-Run1/Plate 3/@10/ "/>
    <s v=" "/>
    <s v=" 35.3436 "/>
    <x v="14"/>
    <s v=" 184690.417 "/>
    <s v=" 82324.0116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cbarrier\Desktop\BPA\BPA\20201116_Cefas_Test6-Run1/20201116_Cefas_Test6-Run1/Plate 3/@11/A5_01.tif "/>
    <s v=" 4239.4593 "/>
    <s v=" 33.2806 "/>
    <x v="0"/>
    <n v="141092"/>
    <m/>
    <m/>
    <m/>
  </r>
  <r>
    <x v="13"/>
    <x v="0"/>
    <s v="C:\Users\cbarrier\Desktop\BPA\BPA\20201116_Cefas_Test6-Run1/20201116_Cefas_Test6-Run1/Plate 3/@11/A5_02.tif "/>
    <s v=" 3331.0038 "/>
    <s v=" 32.2013 "/>
    <x v="0"/>
    <n v="107263"/>
    <m/>
    <m/>
    <m/>
  </r>
  <r>
    <x v="13"/>
    <x v="0"/>
    <s v="C:\Users\cbarrier\Desktop\BPA\BPA\20201116_Cefas_Test6-Run1/20201116_Cefas_Test6-Run1/Plate 3/@11/A5_03.tif "/>
    <s v=" 14297.3603 "/>
    <s v=" 32.8381 "/>
    <x v="0"/>
    <n v="469498"/>
    <m/>
    <m/>
    <m/>
  </r>
  <r>
    <x v="13"/>
    <x v="1"/>
    <s v="C:\Users\cbarrier\Desktop\BPA\BPA\20201116_Cefas_Test6-Run1/20201116_Cefas_Test6-Run1/Plate 3/@11/B5_01.tif "/>
    <s v=" 41486.1379 "/>
    <s v=" 35.2961 "/>
    <x v="0"/>
    <n v="1464301"/>
    <m/>
    <m/>
    <m/>
  </r>
  <r>
    <x v="13"/>
    <x v="1"/>
    <s v="C:\Users\cbarrier\Desktop\BPA\BPA\20201116_Cefas_Test6-Run1/20201116_Cefas_Test6-Run1/Plate 3/@11/B5_02- exclu.tif"/>
    <m/>
    <m/>
    <x v="1"/>
    <m/>
    <m/>
    <m/>
    <m/>
  </r>
  <r>
    <x v="13"/>
    <x v="1"/>
    <s v="C:\Users\cbarrier\Desktop\BPA\BPA\20201116_Cefas_Test6-Run1/20201116_Cefas_Test6-Run1/Plate 3/@11/B5_03- exclu.tif"/>
    <m/>
    <m/>
    <x v="1"/>
    <m/>
    <m/>
    <m/>
    <m/>
  </r>
  <r>
    <x v="13"/>
    <x v="2"/>
    <s v="C:\Users\cbarrier\Desktop\BPA\BPA\20201116_Cefas_Test6-Run1/20201116_Cefas_Test6-Run1/Plate 3/@11/C5_01.tif "/>
    <s v=" 39431.2979 "/>
    <s v=" 35.35 "/>
    <x v="0"/>
    <n v="1393895"/>
    <m/>
    <m/>
    <m/>
  </r>
  <r>
    <x v="13"/>
    <x v="2"/>
    <s v="C:\Users\cbarrier\Desktop\BPA\BPA\20201116_Cefas_Test6-Run1/20201116_Cefas_Test6-Run1/Plate 3/@11/C5_02.tif "/>
    <s v=" 37549.4971 "/>
    <s v=" 35.0184 "/>
    <x v="0"/>
    <n v="1314925"/>
    <m/>
    <m/>
    <m/>
  </r>
  <r>
    <x v="13"/>
    <x v="2"/>
    <s v="C:\Users\cbarrier\Desktop\BPA\BPA\20201116_Cefas_Test6-Run1/20201116_Cefas_Test6-Run1/Plate 3/@11/C5_03.tif "/>
    <s v=" 43130.0099 "/>
    <s v=" 37.3992 "/>
    <x v="0"/>
    <n v="1613028"/>
    <m/>
    <m/>
    <m/>
  </r>
  <r>
    <x v="13"/>
    <x v="3"/>
    <s v="C:\Users\cbarrier\Desktop\BPA\BPA\20201116_Cefas_Test6-Run1/20201116_Cefas_Test6-Run1/Plate 3/@11/D5_01.tif "/>
    <s v=" 35299.988 "/>
    <s v=" 33.9412 "/>
    <x v="0"/>
    <n v="1198123"/>
    <m/>
    <m/>
    <m/>
  </r>
  <r>
    <x v="13"/>
    <x v="3"/>
    <s v="C:\Users\cbarrier\Desktop\BPA\BPA\20201116_Cefas_Test6-Run1/20201116_Cefas_Test6-Run1/Plate 3/@11/D5_02.tif "/>
    <s v=" 30736.0803 "/>
    <s v=" 33.1288 "/>
    <x v="0"/>
    <n v="1018249"/>
    <m/>
    <m/>
    <m/>
  </r>
  <r>
    <x v="13"/>
    <x v="3"/>
    <s v="C:\Users\cbarrier\Desktop\BPA\BPA\20201116_Cefas_Test6-Run1/20201116_Cefas_Test6-Run1/Plate 3/@11/D5_03.tif "/>
    <s v=" 32488.1017 "/>
    <s v=" 33.1145 "/>
    <x v="0"/>
    <n v="1075828"/>
    <m/>
    <m/>
    <m/>
  </r>
  <r>
    <x v="13"/>
    <x v="4"/>
    <s v="C:\Users\cbarrier\Desktop\BPA\BPA\20201116_Cefas_Test6-Run1/20201116_Cefas_Test6-Run1/Plate 3/@11/E5_01.tif "/>
    <s v=" 50462.5442 "/>
    <s v=" 35.0716 "/>
    <x v="0"/>
    <n v="1769801"/>
    <m/>
    <m/>
    <m/>
  </r>
  <r>
    <x v="13"/>
    <x v="4"/>
    <s v="C:\Users\cbarrier\Desktop\BPA\BPA\20201116_Cefas_Test6-Run1/20201116_Cefas_Test6-Run1/Plate 3/@11/E5_02.tif "/>
    <s v=" 50981.6616 "/>
    <s v=" 35.2838 "/>
    <x v="0"/>
    <n v="1798829"/>
    <m/>
    <m/>
    <m/>
  </r>
  <r>
    <x v="13"/>
    <x v="4"/>
    <s v="C:\Users\cbarrier\Desktop\BPA\BPA\20201116_Cefas_Test6-Run1/20201116_Cefas_Test6-Run1/Plate 3/@11/E5_03.tif "/>
    <s v=" 54528.9644 "/>
    <s v=" 36.5077 "/>
    <x v="0"/>
    <n v="1990729"/>
    <m/>
    <m/>
    <m/>
  </r>
  <r>
    <x v="13"/>
    <x v="5"/>
    <s v="C:\Users\cbarrier\Desktop\BPA\BPA\20201116_Cefas_Test6-Run1/20201116_Cefas_Test6-Run1/Plate 3/@11/F5_01.tif "/>
    <s v=" 27275.2971 "/>
    <s v=" 34.5971 "/>
    <x v="0"/>
    <n v="943647"/>
    <m/>
    <m/>
    <m/>
  </r>
  <r>
    <x v="13"/>
    <x v="5"/>
    <s v="C:\Users\cbarrier\Desktop\BPA\BPA\20201116_Cefas_Test6-Run1/20201116_Cefas_Test6-Run1/Plate 3/@11/F5_02.tif "/>
    <s v=" 31082.1586 "/>
    <s v=" 34.112 "/>
    <x v="0"/>
    <n v="1060276"/>
    <m/>
    <m/>
    <m/>
  </r>
  <r>
    <x v="13"/>
    <x v="5"/>
    <s v="C:\Users\cbarrier\Desktop\BPA\BPA\20201116_Cefas_Test6-Run1/20201116_Cefas_Test6-Run1/Plate 3/@11/F5_03.tif "/>
    <s v=" 36035.4045 "/>
    <s v=" 36.027 "/>
    <x v="0"/>
    <n v="1298248"/>
    <m/>
    <m/>
    <m/>
  </r>
  <r>
    <x v="13"/>
    <x v="6"/>
    <s v="C:\Users\cbarrier\Desktop\BPA\BPA\20201116_Cefas_Test6-Run1/20201116_Cefas_Test6-Run1/Plate 3/@11/G5_01.tif "/>
    <s v=" 24636.45 "/>
    <s v=" 38.5522 "/>
    <x v="0"/>
    <n v="949790"/>
    <m/>
    <m/>
    <m/>
  </r>
  <r>
    <x v="13"/>
    <x v="6"/>
    <s v="C:\Users\cbarrier\Desktop\BPA\BPA\20201116_Cefas_Test6-Run1/20201116_Cefas_Test6-Run1/Plate 3/@11/G5_02.tif "/>
    <s v=" 28075.6032 "/>
    <s v=" 38.5339 "/>
    <x v="0"/>
    <n v="1081862"/>
    <m/>
    <m/>
    <m/>
  </r>
  <r>
    <x v="13"/>
    <x v="6"/>
    <s v="C:\Users\cbarrier\Desktop\BPA\BPA\20201116_Cefas_Test6-Run1/20201116_Cefas_Test6-Run1/Plate 3/@11/G5_03.tif "/>
    <s v=" 32271.8028 "/>
    <s v=" 39.2259 "/>
    <x v="0"/>
    <n v="1265890"/>
    <m/>
    <m/>
    <m/>
  </r>
  <r>
    <x v="13"/>
    <x v="7"/>
    <s v="C:\Users\cbarrier\Desktop\BPA\BPA\20201116_Cefas_Test6-Run1/20201116_Cefas_Test6-Run1/Plate 3/@11/H5_01.tif "/>
    <s v=" 24355.2614 "/>
    <s v=" 34.5169 "/>
    <x v="0"/>
    <n v="840667"/>
    <m/>
    <m/>
    <m/>
  </r>
  <r>
    <x v="13"/>
    <x v="7"/>
    <s v="C:\Users\cbarrier\Desktop\BPA\BPA\20201116_Cefas_Test6-Run1/20201116_Cefas_Test6-Run1/Plate 3/@11/H5_02.tif "/>
    <s v=" 19964.3927 "/>
    <s v=" 33.9393 "/>
    <x v="0"/>
    <n v="677578"/>
    <m/>
    <m/>
    <m/>
  </r>
  <r>
    <x v="13"/>
    <x v="7"/>
    <s v="C:\Users\cbarrier\Desktop\BPA\BPA\20201116_Cefas_Test6-Run1/20201116_Cefas_Test6-Run1/Plate 3/@11/H5_03.tif "/>
    <s v=" 28270.2723 "/>
    <s v=" 35.0972 "/>
    <x v="0"/>
    <n v="992207"/>
    <m/>
    <m/>
    <m/>
  </r>
  <r>
    <x v="1"/>
    <x v="8"/>
    <s v=" "/>
    <m/>
    <m/>
    <x v="1"/>
    <m/>
    <m/>
    <m/>
    <m/>
  </r>
  <r>
    <x v="1"/>
    <x v="8"/>
    <s v="group "/>
    <s v=" "/>
    <s v=" mean of mean fluo "/>
    <x v="2"/>
    <s v=" mean of total fluo "/>
    <s v=" SD total fluo "/>
    <s v=" n fluorescent "/>
    <m/>
  </r>
  <r>
    <x v="13"/>
    <x v="9"/>
    <s v="C:\Users\cbarrier\Desktop\BPA\BPA\20201116_Cefas_Test6-Run1/20201116_Cefas_Test6-Run1/Plate 3/@11/ "/>
    <s v=" "/>
    <s v=" 35.4248 "/>
    <x v="15"/>
    <s v=" 1104346.75 "/>
    <s v=" 465158.685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cbarrier\Desktop\BPA\BPA\20201116_Cefas_Test6-Run1/20201116_Cefas_Test6-Run1/Plate 3/@12/A6_01.tif "/>
    <s v=" 63916.3386 "/>
    <s v=" 38.6196 "/>
    <x v="0"/>
    <n v="2468425"/>
    <m/>
    <m/>
    <m/>
  </r>
  <r>
    <x v="14"/>
    <x v="0"/>
    <s v="C:\Users\cbarrier\Desktop\BPA\BPA\20201116_Cefas_Test6-Run1/20201116_Cefas_Test6-Run1/Plate 3/@12/A6_02.tif "/>
    <s v=" 67204.0826 "/>
    <s v=" 42.2227 "/>
    <x v="0"/>
    <n v="2837539"/>
    <m/>
    <m/>
    <m/>
  </r>
  <r>
    <x v="14"/>
    <x v="0"/>
    <s v="C:\Users\cbarrier\Desktop\BPA\BPA\20201116_Cefas_Test6-Run1/20201116_Cefas_Test6-Run1/Plate 3/@12/A6_03.tif "/>
    <s v=" 72049.179 "/>
    <s v=" 40.8748 "/>
    <x v="0"/>
    <n v="2944997"/>
    <m/>
    <m/>
    <m/>
  </r>
  <r>
    <x v="14"/>
    <x v="1"/>
    <s v="C:\Users\cbarrier\Desktop\BPA\BPA\20201116_Cefas_Test6-Run1/20201116_Cefas_Test6-Run1/Plate 3/@12/B6_01.tif "/>
    <s v=" 59547.0999 "/>
    <s v=" 39.2485 "/>
    <x v="0"/>
    <n v="2337132"/>
    <m/>
    <m/>
    <m/>
  </r>
  <r>
    <x v="14"/>
    <x v="1"/>
    <s v="C:\Users\cbarrier\Desktop\BPA\BPA\20201116_Cefas_Test6-Run1/20201116_Cefas_Test6-Run1/Plate 3/@12/B6_02.tif "/>
    <s v=" 50029.9463 "/>
    <s v=" 38.5153 "/>
    <x v="0"/>
    <n v="1926921"/>
    <m/>
    <m/>
    <m/>
  </r>
  <r>
    <x v="14"/>
    <x v="1"/>
    <s v="C:\Users\cbarrier\Desktop\BPA\BPA\20201116_Cefas_Test6-Run1/20201116_Cefas_Test6-Run1/Plate 3/@12/B6_03.tif "/>
    <s v=" 55502.3096 "/>
    <s v=" 38.6754 "/>
    <x v="0"/>
    <n v="2146572"/>
    <m/>
    <m/>
    <m/>
  </r>
  <r>
    <x v="14"/>
    <x v="2"/>
    <s v="C:\Users\cbarrier\Desktop\BPA\BPA\20201116_Cefas_Test6-Run1/20201116_Cefas_Test6-Run1/Plate 3/@12/C6_01.tif "/>
    <s v=" 46482.6436 "/>
    <s v=" 38.3606 "/>
    <x v="0"/>
    <n v="1783104"/>
    <m/>
    <m/>
    <m/>
  </r>
  <r>
    <x v="14"/>
    <x v="2"/>
    <s v="C:\Users\cbarrier\Desktop\BPA\BPA\20201116_Cefas_Test6-Run1/20201116_Cefas_Test6-Run1/Plate 3/@12/C6_02.tif "/>
    <s v=" 41961.9956 "/>
    <s v=" 39.0634 "/>
    <x v="0"/>
    <n v="1639178"/>
    <m/>
    <m/>
    <m/>
  </r>
  <r>
    <x v="14"/>
    <x v="2"/>
    <s v="C:\Users\cbarrier\Desktop\BPA\BPA\20201116_Cefas_Test6-Run1/20201116_Cefas_Test6-Run1/Plate 3/@12/C6_03.tif "/>
    <s v=" 57146.1816 "/>
    <s v=" 42.0102 "/>
    <x v="0"/>
    <n v="2400724"/>
    <m/>
    <m/>
    <m/>
  </r>
  <r>
    <x v="14"/>
    <x v="3"/>
    <s v="C:\Users\cbarrier\Desktop\BPA\BPA\20201116_Cefas_Test6-Run1/20201116_Cefas_Test6-Run1/Plate 3/@12/D6_01.tif "/>
    <s v=" 63937.9685 "/>
    <s v=" 42.4915 "/>
    <x v="0"/>
    <n v="2716823"/>
    <m/>
    <m/>
    <m/>
  </r>
  <r>
    <x v="14"/>
    <x v="3"/>
    <s v="C:\Users\cbarrier\Desktop\BPA\BPA\20201116_Cefas_Test6-Run1/20201116_Cefas_Test6-Run1/Plate 3/@12/D6_02.tif "/>
    <s v=" 65495.3209 "/>
    <s v=" 45.8316 "/>
    <x v="0"/>
    <n v="3001754"/>
    <m/>
    <m/>
    <m/>
  </r>
  <r>
    <x v="14"/>
    <x v="3"/>
    <s v="C:\Users\cbarrier\Desktop\BPA\BPA\20201116_Cefas_Test6-Run1/20201116_Cefas_Test6-Run1/Plate 3/@12/D6_03.tif "/>
    <s v=" 63245.8119 "/>
    <s v=" 45.3728 "/>
    <x v="0"/>
    <n v="2869638"/>
    <m/>
    <m/>
    <m/>
  </r>
  <r>
    <x v="14"/>
    <x v="4"/>
    <s v="C:\Users\cbarrier\Desktop\BPA\BPA\20201116_Cefas_Test6-Run1/20201116_Cefas_Test6-Run1/Plate 3/@12/E6_01.tif "/>
    <s v=" 81328.4038 "/>
    <s v=" 48.0098 "/>
    <x v="0"/>
    <n v="3904564"/>
    <m/>
    <m/>
    <m/>
  </r>
  <r>
    <x v="14"/>
    <x v="4"/>
    <s v="C:\Users\cbarrier\Desktop\BPA\BPA\20201116_Cefas_Test6-Run1/20201116_Cefas_Test6-Run1/Plate 3/@12/E6_02.tif "/>
    <s v=" 83556.283 "/>
    <s v=" 48.2886 "/>
    <x v="0"/>
    <n v="4034819"/>
    <m/>
    <m/>
    <m/>
  </r>
  <r>
    <x v="14"/>
    <x v="4"/>
    <s v="C:\Users\cbarrier\Desktop\BPA\BPA\20201116_Cefas_Test6-Run1/20201116_Cefas_Test6-Run1/Plate 3/@12/E6_03.tif "/>
    <s v=" 83621.1726 "/>
    <s v=" 49.7977 "/>
    <x v="0"/>
    <n v="4164144"/>
    <m/>
    <m/>
    <m/>
  </r>
  <r>
    <x v="14"/>
    <x v="5"/>
    <s v="C:\Users\cbarrier\Desktop\BPA\BPA\20201116_Cefas_Test6-Run1/20201116_Cefas_Test6-Run1/Plate 3/@12/F6_01.tif "/>
    <s v=" 2725.3667 "/>
    <s v=" 33.3413 "/>
    <x v="0"/>
    <n v="90867"/>
    <m/>
    <m/>
    <m/>
  </r>
  <r>
    <x v="14"/>
    <x v="5"/>
    <s v="C:\Users\cbarrier\Desktop\BPA\BPA\20201116_Cefas_Test6-Run1/20201116_Cefas_Test6-Run1/Plate 3/@12/F6_02.tif "/>
    <s v=" 3028.1852 "/>
    <s v=" 34.3143 "/>
    <x v="0"/>
    <n v="103910"/>
    <m/>
    <m/>
    <m/>
  </r>
  <r>
    <x v="14"/>
    <x v="5"/>
    <s v="C:\Users\cbarrier\Desktop\BPA\BPA\20201116_Cefas_Test6-Run1/20201116_Cefas_Test6-Run1/Plate 3/@12/F6_03- exclu.tif"/>
    <m/>
    <m/>
    <x v="1"/>
    <m/>
    <m/>
    <m/>
    <m/>
  </r>
  <r>
    <x v="14"/>
    <x v="6"/>
    <s v="C:\Users\cbarrier\Desktop\BPA\BPA\20201116_Cefas_Test6-Run1/20201116_Cefas_Test6-Run1/Plate 3/@12/G6_01- exclu.tif"/>
    <m/>
    <m/>
    <x v="1"/>
    <m/>
    <m/>
    <m/>
    <m/>
  </r>
  <r>
    <x v="14"/>
    <x v="6"/>
    <s v="C:\Users\cbarrier\Desktop\BPA\BPA\20201116_Cefas_Test6-Run1/20201116_Cefas_Test6-Run1/Plate 3/@12/G6_02- exclu.tif"/>
    <m/>
    <m/>
    <x v="1"/>
    <m/>
    <m/>
    <m/>
    <m/>
  </r>
  <r>
    <x v="14"/>
    <x v="6"/>
    <s v="C:\Users\cbarrier\Desktop\BPA\BPA\20201116_Cefas_Test6-Run1/20201116_Cefas_Test6-Run1/Plate 3/@12/G6_03- exclu.tif"/>
    <m/>
    <m/>
    <x v="1"/>
    <m/>
    <m/>
    <m/>
    <m/>
  </r>
  <r>
    <x v="14"/>
    <x v="7"/>
    <s v="C:\Users\cbarrier\Desktop\BPA\BPA\20201116_Cefas_Test6-Run1/20201116_Cefas_Test6-Run1/Plate 3/@12/H6_01.tif "/>
    <s v=" 51392.6296 "/>
    <s v=" 35.4769 "/>
    <x v="0"/>
    <n v="1823249"/>
    <m/>
    <m/>
    <m/>
  </r>
  <r>
    <x v="14"/>
    <x v="7"/>
    <s v="C:\Users\cbarrier\Desktop\BPA\BPA\20201116_Cefas_Test6-Run1/20201116_Cefas_Test6-Run1/Plate 3/@12/H6_02.tif "/>
    <s v=" 49770.3875 "/>
    <s v=" 35.8683 "/>
    <x v="0"/>
    <n v="1785180"/>
    <m/>
    <m/>
    <m/>
  </r>
  <r>
    <x v="14"/>
    <x v="7"/>
    <s v="C:\Users\cbarrier\Desktop\BPA\BPA\20201116_Cefas_Test6-Run1/20201116_Cefas_Test6-Run1/Plate 3/@12/H6_03.tif "/>
    <s v=" 54507.3345 "/>
    <s v=" 37.3988 "/>
    <x v="0"/>
    <n v="2038509"/>
    <m/>
    <m/>
    <m/>
  </r>
  <r>
    <x v="1"/>
    <x v="8"/>
    <s v=" "/>
    <m/>
    <m/>
    <x v="1"/>
    <m/>
    <m/>
    <m/>
    <m/>
  </r>
  <r>
    <x v="1"/>
    <x v="8"/>
    <s v="group "/>
    <s v=" "/>
    <s v=" mean of mean fluo "/>
    <x v="2"/>
    <s v=" mean of total fluo "/>
    <s v=" SD total fluo "/>
    <s v=" n fluorescent "/>
    <m/>
  </r>
  <r>
    <x v="14"/>
    <x v="9"/>
    <s v="C:\Users\cbarrier\Desktop\BPA\BPA\20201116_Cefas_Test6-Run1/20201116_Cefas_Test6-Run1/Plate 3/@12/ "/>
    <s v=" "/>
    <s v=" 40.2318 "/>
    <x v="16"/>
    <s v=" 2119685.54 "/>
    <s v=" 1173331.09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cbarrier\Desktop\BPA\BPA\20201116_Cefas_Test6-Run1/20201116_Cefas_Test6-Run1/Plate 3/@17/A8_01.tif "/>
    <s v=" 28789.3898 "/>
    <s v=" 34.9091 "/>
    <x v="0"/>
    <n v="1005011"/>
    <m/>
    <m/>
    <m/>
  </r>
  <r>
    <x v="15"/>
    <x v="0"/>
    <s v="C:\Users\cbarrier\Desktop\BPA\BPA\20201116_Cefas_Test6-Run1/20201116_Cefas_Test6-Run1/Plate 3/@17/A8_02.tif "/>
    <s v=" 173.0392 "/>
    <s v=" 30.375 "/>
    <x v="0"/>
    <n v="5256"/>
    <m/>
    <m/>
    <m/>
  </r>
  <r>
    <x v="15"/>
    <x v="0"/>
    <s v="C:\Users\cbarrier\Desktop\BPA\BPA\20201116_Cefas_Test6-Run1/20201116_Cefas_Test6-Run1/Plate 3/@17/A8_03.tif "/>
    <s v=" 13453.7945 "/>
    <s v=" 32.4743 "/>
    <x v="0"/>
    <n v="436902"/>
    <m/>
    <m/>
    <m/>
  </r>
  <r>
    <x v="15"/>
    <x v="1"/>
    <s v="C:\Users\cbarrier\Desktop\BPA\BPA\20201116_Cefas_Test6-Run1/20201116_Cefas_Test6-Run1/Plate 3/@17/B8_01.tif "/>
    <s v=" 61645.1997 "/>
    <s v=" 41.2818 "/>
    <x v="0"/>
    <n v="2544822"/>
    <m/>
    <m/>
    <m/>
  </r>
  <r>
    <x v="15"/>
    <x v="1"/>
    <s v="C:\Users\cbarrier\Desktop\BPA\BPA\20201116_Cefas_Test6-Run1/20201116_Cefas_Test6-Run1/Plate 3/@17/B8_02.tif "/>
    <s v=" 63743.2995 "/>
    <s v=" 42.1958 "/>
    <x v="0"/>
    <n v="2689699"/>
    <m/>
    <m/>
    <m/>
  </r>
  <r>
    <x v="15"/>
    <x v="1"/>
    <s v="C:\Users\cbarrier\Desktop\BPA\BPA\20201116_Cefas_Test6-Run1/20201116_Cefas_Test6-Run1/Plate 3/@17/B8_03.tif "/>
    <s v=" 52019.8966 "/>
    <s v=" 38.4894 "/>
    <x v="0"/>
    <n v="2002214"/>
    <m/>
    <m/>
    <m/>
  </r>
  <r>
    <x v="15"/>
    <x v="2"/>
    <s v="C:\Users\cbarrier\Desktop\BPA\BPA\20201116_Cefas_Test6-Run1/20201116_Cefas_Test6-Run1/Plate 3/@17/C8_01.tif "/>
    <s v=" 9928.1216 "/>
    <s v=" 33.7669 "/>
    <x v="0"/>
    <n v="335242"/>
    <m/>
    <m/>
    <m/>
  </r>
  <r>
    <x v="15"/>
    <x v="2"/>
    <s v="C:\Users\cbarrier\Desktop\BPA\BPA\20201116_Cefas_Test6-Run1/20201116_Cefas_Test6-Run1/Plate 3/@17/C8_02.tif "/>
    <s v=" 6078.0004 "/>
    <s v=" 34.3915 "/>
    <x v="0"/>
    <n v="209031"/>
    <m/>
    <m/>
    <m/>
  </r>
  <r>
    <x v="15"/>
    <x v="2"/>
    <s v="C:\Users\cbarrier\Desktop\BPA\BPA\20201116_Cefas_Test6-Run1/20201116_Cefas_Test6-Run1/Plate 3/@17/C8_03.tif "/>
    <s v=" 7765.1322 "/>
    <s v=" 34.0084 "/>
    <x v="0"/>
    <n v="264079"/>
    <m/>
    <m/>
    <m/>
  </r>
  <r>
    <x v="15"/>
    <x v="3"/>
    <s v="C:\Users\cbarrier\Desktop\BPA\BPA\20201116_Cefas_Test6-Run1/20201116_Cefas_Test6-Run1/Plate 3/@17/D8_01.tif "/>
    <s v=" 5580.5128 "/>
    <s v=" 36.4612 "/>
    <x v="0"/>
    <n v="203472"/>
    <m/>
    <m/>
    <m/>
  </r>
  <r>
    <x v="15"/>
    <x v="3"/>
    <s v="C:\Users\cbarrier\Desktop\BPA\BPA\20201116_Cefas_Test6-Run1/20201116_Cefas_Test6-Run1/Plate 3/@17/D8_02.tif "/>
    <s v=" 10339.0896 "/>
    <s v=" 36.0669 "/>
    <x v="0"/>
    <n v="372899"/>
    <m/>
    <m/>
    <m/>
  </r>
  <r>
    <x v="15"/>
    <x v="3"/>
    <s v="C:\Users\cbarrier\Desktop\BPA\BPA\20201116_Cefas_Test6-Run1/20201116_Cefas_Test6-Run1/Plate 3/@17/D8_03.tif "/>
    <s v=" 15703.3035 "/>
    <s v=" 38.4311 "/>
    <x v="0"/>
    <n v="603496"/>
    <m/>
    <m/>
    <m/>
  </r>
  <r>
    <x v="15"/>
    <x v="4"/>
    <s v="C:\Users\cbarrier\Desktop\BPA\BPA\20201116_Cefas_Test6-Run1/20201116_Cefas_Test6-Run1/Plate 3/@17/E8_01.tif "/>
    <s v=" 73476.7521 "/>
    <s v=" 41.4398 "/>
    <x v="0"/>
    <n v="3044862"/>
    <m/>
    <m/>
    <m/>
  </r>
  <r>
    <x v="15"/>
    <x v="4"/>
    <s v="C:\Users\cbarrier\Desktop\BPA\BPA\20201116_Cefas_Test6-Run1/20201116_Cefas_Test6-Run1/Plate 3/@17/E8_02.tif "/>
    <s v=" 79187.0442 "/>
    <s v=" 42.8976 "/>
    <x v="0"/>
    <n v="3396932"/>
    <m/>
    <m/>
    <m/>
  </r>
  <r>
    <x v="15"/>
    <x v="4"/>
    <s v="C:\Users\cbarrier\Desktop\BPA\BPA\20201116_Cefas_Test6-Run1/20201116_Cefas_Test6-Run1/Plate 3/@17/E8_03.tif "/>
    <s v=" 74709.656 "/>
    <s v=" 41.2927 "/>
    <x v="0"/>
    <n v="3084964"/>
    <m/>
    <m/>
    <m/>
  </r>
  <r>
    <x v="15"/>
    <x v="5"/>
    <s v="C:\Users\cbarrier\Desktop\BPA\BPA\20201116_Cefas_Test6-Run1/20201116_Cefas_Test6-Run1/Plate 3/@17/F8_01.tif "/>
    <s v=" 6056.3705 "/>
    <s v=" 32.55 "/>
    <x v="0"/>
    <n v="197135"/>
    <m/>
    <m/>
    <m/>
  </r>
  <r>
    <x v="15"/>
    <x v="5"/>
    <s v="C:\Users\cbarrier\Desktop\BPA\BPA\20201116_Cefas_Test6-Run1/20201116_Cefas_Test6-Run1/Plate 3/@17/F8_02.tif "/>
    <s v=" 4261.0892 "/>
    <s v=" 33.3046 "/>
    <x v="0"/>
    <n v="141914"/>
    <m/>
    <m/>
    <m/>
  </r>
  <r>
    <x v="15"/>
    <x v="5"/>
    <s v="C:\Users\cbarrier\Desktop\BPA\BPA\20201116_Cefas_Test6-Run1/20201116_Cefas_Test6-Run1/Plate 3/@17/F8_03.tif "/>
    <s v=" 6597.1179 "/>
    <s v=" 33.0852 "/>
    <x v="0"/>
    <n v="218267"/>
    <m/>
    <m/>
    <m/>
  </r>
  <r>
    <x v="15"/>
    <x v="6"/>
    <s v="C:\Users\cbarrier\Desktop\BPA\BPA\20201116_Cefas_Test6-Run1/20201116_Cefas_Test6-Run1/Plate 3/@17/G8_01.tif "/>
    <s v=" 53858.4376 "/>
    <s v=" 37.9843 "/>
    <x v="0"/>
    <n v="2045777"/>
    <m/>
    <m/>
    <m/>
  </r>
  <r>
    <x v="15"/>
    <x v="6"/>
    <s v="C:\Users\cbarrier\Desktop\BPA\BPA\20201116_Cefas_Test6-Run1/20201116_Cefas_Test6-Run1/Plate 3/@17/G8_02.tif "/>
    <s v=" 60715.1142 "/>
    <s v=" 41.8807 "/>
    <x v="0"/>
    <n v="2542789"/>
    <m/>
    <m/>
    <m/>
  </r>
  <r>
    <x v="15"/>
    <x v="6"/>
    <s v="C:\Users\cbarrier\Desktop\BPA\BPA\20201116_Cefas_Test6-Run1/20201116_Cefas_Test6-Run1/Plate 3/@17/G8_03.tif "/>
    <s v=" 57167.8115 "/>
    <s v=" 41.0829 "/>
    <x v="0"/>
    <n v="2348617"/>
    <m/>
    <m/>
    <m/>
  </r>
  <r>
    <x v="15"/>
    <x v="7"/>
    <s v="C:\Users\cbarrier\Desktop\BPA\BPA\20201116_Cefas_Test6-Run1/20201116_Cefas_Test6-Run1/Plate 3/@17/H8_01.tif "/>
    <s v=" 20310.4711 "/>
    <s v=" 34.0192 "/>
    <x v="0"/>
    <n v="690945"/>
    <m/>
    <m/>
    <m/>
  </r>
  <r>
    <x v="15"/>
    <x v="7"/>
    <s v="C:\Users\cbarrier\Desktop\BPA\BPA\20201116_Cefas_Test6-Run1/20201116_Cefas_Test6-Run1/Plate 3/@17/H8_02.tif "/>
    <s v=" 17779.7734 "/>
    <s v=" 33.4197 "/>
    <x v="0"/>
    <n v="594195"/>
    <m/>
    <m/>
    <m/>
  </r>
  <r>
    <x v="15"/>
    <x v="7"/>
    <s v="C:\Users\cbarrier\Desktop\BPA\BPA\20201116_Cefas_Test6-Run1/20201116_Cefas_Test6-Run1/Plate 3/@17/H8_03.tif "/>
    <s v=" 10468.869 "/>
    <s v=" 33.1777 "/>
    <x v="0"/>
    <n v="347333"/>
    <m/>
    <m/>
    <m/>
  </r>
  <r>
    <x v="1"/>
    <x v="8"/>
    <s v=" "/>
    <m/>
    <m/>
    <x v="1"/>
    <m/>
    <m/>
    <m/>
    <m/>
  </r>
  <r>
    <x v="1"/>
    <x v="8"/>
    <s v="group "/>
    <s v=" "/>
    <s v=" mean of mean fluo "/>
    <x v="2"/>
    <s v=" mean of total fluo "/>
    <s v=" SD total fluo "/>
    <s v=" n fluorescent "/>
    <m/>
  </r>
  <r>
    <x v="15"/>
    <x v="9"/>
    <s v="C:\Users\cbarrier\Desktop\BPA\BPA\20201116_Cefas_Test6-Run1/20201116_Cefas_Test6-Run1/Plate 3/@17/ "/>
    <s v=" "/>
    <s v=" 36.6244 "/>
    <x v="17"/>
    <s v=" 1221910.54 "/>
    <s v=" 1168600.08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cbarrier\Desktop\BPA\BPA\20201116_Cefas_Test6-Run1/20201116_Cefas_Test6-Run1/Plate 3/@18/A9_01.tif "/>
    <s v=" 73736.3108 "/>
    <s v=" 43.6861 "/>
    <x v="0"/>
    <n v="3221254"/>
    <m/>
    <m/>
    <m/>
  </r>
  <r>
    <x v="16"/>
    <x v="0"/>
    <s v="C:\Users\cbarrier\Desktop\BPA\BPA\20201116_Cefas_Test6-Run1/20201116_Cefas_Test6-Run1/Plate 3/@18/A9_02.tif "/>
    <s v=" 86887.2867 "/>
    <s v=" 47.5863 "/>
    <x v="0"/>
    <n v="4134641"/>
    <m/>
    <m/>
    <m/>
  </r>
  <r>
    <x v="16"/>
    <x v="0"/>
    <s v="C:\Users\cbarrier\Desktop\BPA\BPA\20201116_Cefas_Test6-Run1/20201116_Cefas_Test6-Run1/Plate 3/@18/A9_03.tif "/>
    <s v=" 85784.1621 "/>
    <s v=" 44.5396 "/>
    <x v="0"/>
    <n v="3820791"/>
    <m/>
    <m/>
    <m/>
  </r>
  <r>
    <x v="16"/>
    <x v="1"/>
    <s v="C:\Users\cbarrier\Desktop\BPA\BPA\20201116_Cefas_Test6-Run1/20201116_Cefas_Test6-Run1/Plate 3/@18/B9_01.tif "/>
    <s v=" 61450.5306 "/>
    <s v=" 40.4836 "/>
    <x v="0"/>
    <n v="2487741"/>
    <m/>
    <m/>
    <m/>
  </r>
  <r>
    <x v="16"/>
    <x v="1"/>
    <s v="C:\Users\cbarrier\Desktop\BPA\BPA\20201116_Cefas_Test6-Run1/20201116_Cefas_Test6-Run1/Plate 3/@18/B9_02.tif "/>
    <s v=" 58162.7867 "/>
    <s v=" 40.9725 "/>
    <x v="0"/>
    <n v="2383074"/>
    <m/>
    <m/>
    <m/>
  </r>
  <r>
    <x v="16"/>
    <x v="1"/>
    <s v="C:\Users\cbarrier\Desktop\BPA\BPA\20201116_Cefas_Test6-Run1/20201116_Cefas_Test6-Run1/Plate 3/@18/B9_03.tif "/>
    <s v=" 67052.6733 "/>
    <s v=" 43.3481 "/>
    <x v="0"/>
    <n v="2906604"/>
    <m/>
    <m/>
    <m/>
  </r>
  <r>
    <x v="16"/>
    <x v="2"/>
    <s v="C:\Users\cbarrier\Desktop\BPA\BPA\20201116_Cefas_Test6-Run1/20201116_Cefas_Test6-Run1/Plate 3/@18/C9_01.tif "/>
    <s v=" 19445.2753 "/>
    <s v=" 33.4561 "/>
    <x v="0"/>
    <n v="650562"/>
    <m/>
    <m/>
    <m/>
  </r>
  <r>
    <x v="16"/>
    <x v="2"/>
    <s v="C:\Users\cbarrier\Desktop\BPA\BPA\20201116_Cefas_Test6-Run1/20201116_Cefas_Test6-Run1/Plate 3/@18/C9_02.tif "/>
    <s v=" 19964.3927 "/>
    <s v=" 37.0618 "/>
    <x v="0"/>
    <n v="739915"/>
    <m/>
    <m/>
    <m/>
  </r>
  <r>
    <x v="16"/>
    <x v="2"/>
    <s v="C:\Users\cbarrier\Desktop\BPA\BPA\20201116_Cefas_Test6-Run1/20201116_Cefas_Test6-Run1/Plate 3/@18/C9_03.tif "/>
    <s v=" 24160.5923 "/>
    <s v=" 37.5112 "/>
    <x v="0"/>
    <n v="906293"/>
    <m/>
    <m/>
    <m/>
  </r>
  <r>
    <x v="16"/>
    <x v="3"/>
    <s v="C:\Users\cbarrier\Desktop\BPA\BPA\20201116_Cefas_Test6-Run1/20201116_Cefas_Test6-Run1/Plate 3/@18/D9_01.tif "/>
    <s v=" 59309.1711 "/>
    <s v=" 42.2221 "/>
    <x v="0"/>
    <n v="2504158"/>
    <m/>
    <m/>
    <m/>
  </r>
  <r>
    <x v="16"/>
    <x v="3"/>
    <s v="C:\Users\cbarrier\Desktop\BPA\BPA\20201116_Cefas_Test6-Run1/20201116_Cefas_Test6-Run1/Plate 3/@18/D9_02- exclu.tif"/>
    <m/>
    <m/>
    <x v="1"/>
    <m/>
    <m/>
    <m/>
    <m/>
  </r>
  <r>
    <x v="16"/>
    <x v="3"/>
    <s v="C:\Users\cbarrier\Desktop\BPA\BPA\20201116_Cefas_Test6-Run1/20201116_Cefas_Test6-Run1/Plate 3/@18/D9_03.tif "/>
    <s v=" 58227.6763 "/>
    <s v=" 42.1244 "/>
    <x v="0"/>
    <n v="2452808"/>
    <m/>
    <m/>
    <m/>
  </r>
  <r>
    <x v="16"/>
    <x v="4"/>
    <s v="C:\Users\cbarrier\Desktop\BPA\BPA\20201116_Cefas_Test6-Run1/20201116_Cefas_Test6-Run1/Plate 3/@18/E9_01.tif "/>
    <s v=" 69626.6308 "/>
    <s v=" 46.4834 "/>
    <x v="0"/>
    <n v="3236481"/>
    <m/>
    <m/>
    <m/>
  </r>
  <r>
    <x v="16"/>
    <x v="4"/>
    <s v="C:\Users\cbarrier\Desktop\BPA\BPA\20201116_Cefas_Test6-Run1/20201116_Cefas_Test6-Run1/Plate 3/@18/E9_02.tif "/>
    <s v=" 67550.1609 "/>
    <s v=" 45.7723 "/>
    <x v="0"/>
    <n v="3091929"/>
    <m/>
    <m/>
    <m/>
  </r>
  <r>
    <x v="16"/>
    <x v="4"/>
    <s v="C:\Users\cbarrier\Desktop\BPA\BPA\20201116_Cefas_Test6-Run1/20201116_Cefas_Test6-Run1/Plate 3/@18/E9_03.tif "/>
    <s v=" 74104.019 "/>
    <s v=" 47.9942 "/>
    <x v="0"/>
    <n v="3556560"/>
    <m/>
    <m/>
    <m/>
  </r>
  <r>
    <x v="16"/>
    <x v="5"/>
    <s v="C:\Users\cbarrier\Desktop\BPA\BPA\20201116_Cefas_Test6-Run1/20201116_Cefas_Test6-Run1/Plate 3/@18/F9_01.tif "/>
    <s v=" 43021.8604 "/>
    <s v=" 35.279 "/>
    <x v="0"/>
    <n v="1517770"/>
    <m/>
    <m/>
    <m/>
  </r>
  <r>
    <x v="16"/>
    <x v="5"/>
    <s v="C:\Users\cbarrier\Desktop\BPA\BPA\20201116_Cefas_Test6-Run1/20201116_Cefas_Test6-Run1/Plate 3/@18/F9_02.tif "/>
    <s v=" 60477.1854 "/>
    <s v=" 38.9356 "/>
    <x v="0"/>
    <n v="2354717"/>
    <m/>
    <m/>
    <m/>
  </r>
  <r>
    <x v="16"/>
    <x v="5"/>
    <s v="C:\Users\cbarrier\Desktop\BPA\BPA\20201116_Cefas_Test6-Run1/20201116_Cefas_Test6-Run1/Plate 3/@18/F9_03.tif "/>
    <s v=" 58335.8258 "/>
    <s v=" 38.1483 "/>
    <x v="0"/>
    <n v="2225413"/>
    <m/>
    <m/>
    <m/>
  </r>
  <r>
    <x v="16"/>
    <x v="6"/>
    <s v="C:\Users\cbarrier\Desktop\BPA\BPA\20201116_Cefas_Test6-Run1/20201116_Cefas_Test6-Run1/Plate 3/@18/G9_01.tif "/>
    <s v=" 29935.7742 "/>
    <s v=" 32.7623 "/>
    <x v="0"/>
    <n v="980764"/>
    <m/>
    <m/>
    <m/>
  </r>
  <r>
    <x v="16"/>
    <x v="6"/>
    <s v="C:\Users\cbarrier\Desktop\BPA\BPA\20201116_Cefas_Test6-Run1/20201116_Cefas_Test6-Run1/Plate 3/@18/G9_02.tif "/>
    <s v=" 57016.4022 "/>
    <s v=" 38.0607 "/>
    <x v="0"/>
    <n v="2170084"/>
    <m/>
    <m/>
    <m/>
  </r>
  <r>
    <x v="16"/>
    <x v="6"/>
    <s v="C:\Users\cbarrier\Desktop\BPA\BPA\20201116_Cefas_Test6-Run1/20201116_Cefas_Test6-Run1/Plate 3/@18/G9_03.tif "/>
    <s v=" 44492.6933 "/>
    <s v=" 35.4511 "/>
    <x v="0"/>
    <n v="1577317"/>
    <m/>
    <m/>
    <m/>
  </r>
  <r>
    <x v="16"/>
    <x v="7"/>
    <s v="C:\Users\cbarrier\Desktop\BPA\BPA\20201116_Cefas_Test6-Run1/20201116_Cefas_Test6-Run1/Plate 3/@18/H9_01.tif "/>
    <s v=" 60325.7761 "/>
    <s v=" 40.7634 "/>
    <x v="0"/>
    <n v="2459081"/>
    <m/>
    <m/>
    <m/>
  </r>
  <r>
    <x v="16"/>
    <x v="7"/>
    <s v="C:\Users\cbarrier\Desktop\BPA\BPA\20201116_Cefas_Test6-Run1/20201116_Cefas_Test6-Run1/Plate 3/@18/H9_02.tif "/>
    <s v=" 47499.2486 "/>
    <s v=" 40.7231 "/>
    <x v="0"/>
    <n v="1934318"/>
    <m/>
    <m/>
    <m/>
  </r>
  <r>
    <x v="16"/>
    <x v="7"/>
    <s v="C:\Users\cbarrier\Desktop\BPA\BPA\20201116_Cefas_Test6-Run1/20201116_Cefas_Test6-Run1/Plate 3/@18/H9_03.tif "/>
    <s v=" 55978.1673 "/>
    <s v=" 42.8022 "/>
    <x v="0"/>
    <n v="2395987"/>
    <m/>
    <m/>
    <m/>
  </r>
  <r>
    <x v="1"/>
    <x v="8"/>
    <s v=" "/>
    <m/>
    <m/>
    <x v="1"/>
    <m/>
    <m/>
    <m/>
    <m/>
  </r>
  <r>
    <x v="1"/>
    <x v="8"/>
    <s v="group "/>
    <s v=" "/>
    <s v=" mean of mean fluo "/>
    <x v="2"/>
    <s v=" mean of total fluo "/>
    <s v=" SD total fluo "/>
    <s v=" n fluorescent "/>
    <m/>
  </r>
  <r>
    <x v="16"/>
    <x v="9"/>
    <s v="C:\Users\cbarrier\Desktop\BPA\BPA\20201116_Cefas_Test6-Run1/20201116_Cefas_Test6-Run1/Plate 3/@18/ "/>
    <s v=" "/>
    <s v=" 40.3067 "/>
    <x v="18"/>
    <n v="2272170"/>
    <s v=" 987119.931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cbarrier\Desktop\BPA\BPA\20201116_Cefas_Test6-Run1/20201116_Cefas_Test6-Run1/Plate 3/@19/A10_01.tif "/>
    <s v=" 89353.0947 "/>
    <s v=" 49.0155 "/>
    <x v="0"/>
    <n v="4379686"/>
    <m/>
    <m/>
    <m/>
  </r>
  <r>
    <x v="17"/>
    <x v="0"/>
    <s v="C:\Users\cbarrier\Desktop\BPA\BPA\20201116_Cefas_Test6-Run1/20201116_Cefas_Test6-Run1/Plate 3/@19/A10_02.tif "/>
    <s v=" 85827.4219 "/>
    <s v=" 47.7704 "/>
    <x v="0"/>
    <n v="4100011"/>
    <m/>
    <m/>
    <m/>
  </r>
  <r>
    <x v="17"/>
    <x v="0"/>
    <s v="C:\Users\cbarrier\Desktop\BPA\BPA\20201116_Cefas_Test6-Run1/20201116_Cefas_Test6-Run1/Plate 3/@19/A10_03.tif "/>
    <s v=" 87860.632 "/>
    <s v=" 50.6056 "/>
    <x v="0"/>
    <n v="4446241"/>
    <m/>
    <m/>
    <m/>
  </r>
  <r>
    <x v="17"/>
    <x v="1"/>
    <s v="C:\Users\cbarrier\Desktop\BPA\BPA\20201116_Cefas_Test6-Run1/20201116_Cefas_Test6-Run1/Plate 3/@19/B10_01.tif "/>
    <s v=" 71378.6523 "/>
    <s v=" 44.3958 "/>
    <x v="0"/>
    <n v="3168909"/>
    <m/>
    <m/>
    <m/>
  </r>
  <r>
    <x v="17"/>
    <x v="1"/>
    <s v="C:\Users\cbarrier\Desktop\BPA\BPA\20201116_Cefas_Test6-Run1/20201116_Cefas_Test6-Run1/Plate 3/@19/B10_02.tif "/>
    <s v=" 58054.6372 "/>
    <s v=" 46.3882 "/>
    <x v="0"/>
    <n v="2693052"/>
    <m/>
    <m/>
    <m/>
  </r>
  <r>
    <x v="17"/>
    <x v="1"/>
    <s v="C:\Users\cbarrier\Desktop\BPA\BPA\20201116_Cefas_Test6-Run1/20201116_Cefas_Test6-Run1/Plate 3/@19/B10_03- exclu.tif"/>
    <m/>
    <m/>
    <x v="1"/>
    <m/>
    <m/>
    <m/>
    <m/>
  </r>
  <r>
    <x v="17"/>
    <x v="2"/>
    <s v="C:\Users\cbarrier\Desktop\BPA\BPA\20201116_Cefas_Test6-Run1/20201116_Cefas_Test6-Run1/Plate 3/@19/C10_01.tif "/>
    <s v=" 36554.5219 "/>
    <s v=" 41.7692 "/>
    <x v="0"/>
    <n v="1526854"/>
    <m/>
    <m/>
    <m/>
  </r>
  <r>
    <x v="17"/>
    <x v="2"/>
    <s v="C:\Users\cbarrier\Desktop\BPA\BPA\20201116_Cefas_Test6-Run1/20201116_Cefas_Test6-Run1/Plate 3/@19/C10_02.tif "/>
    <s v=" 42935.3408 "/>
    <s v=" 45.2766 "/>
    <x v="0"/>
    <n v="1943965"/>
    <m/>
    <m/>
    <m/>
  </r>
  <r>
    <x v="17"/>
    <x v="2"/>
    <s v="C:\Users\cbarrier\Desktop\BPA\BPA\20201116_Cefas_Test6-Run1/20201116_Cefas_Test6-Run1/Plate 3/@19/C10_03.tif "/>
    <s v=" 42394.5935 "/>
    <s v=" 43.7464 "/>
    <x v="0"/>
    <n v="1854612"/>
    <m/>
    <m/>
    <m/>
  </r>
  <r>
    <x v="17"/>
    <x v="3"/>
    <s v="C:\Users\cbarrier\Desktop\BPA\BPA\20201116_Cefas_Test6-Run1/20201116_Cefas_Test6-Run1/Plate 3/@19/D10_01.tif "/>
    <s v=" 66706.595 "/>
    <s v=" 45.4805 "/>
    <x v="0"/>
    <n v="3033852"/>
    <m/>
    <m/>
    <m/>
  </r>
  <r>
    <x v="17"/>
    <x v="3"/>
    <s v="C:\Users\cbarrier\Desktop\BPA\BPA\20201116_Cefas_Test6-Run1/20201116_Cefas_Test6-Run1/Plate 3/@19/D10_02.tif "/>
    <s v=" 67160.8228 "/>
    <s v=" 41.8799 "/>
    <x v="0"/>
    <n v="2812687"/>
    <m/>
    <m/>
    <m/>
  </r>
  <r>
    <x v="17"/>
    <x v="3"/>
    <s v="C:\Users\cbarrier\Desktop\BPA\BPA\20201116_Cefas_Test6-Run1/20201116_Cefas_Test6-Run1/Plate 3/@19/D10_03.tif "/>
    <s v=" 65949.5487 "/>
    <s v=" 42.1735 "/>
    <x v="0"/>
    <n v="2781323"/>
    <m/>
    <m/>
    <m/>
  </r>
  <r>
    <x v="17"/>
    <x v="4"/>
    <s v="C:\Users\cbarrier\Desktop\BPA\BPA\20201116_Cefas_Test6-Run1/20201116_Cefas_Test6-Run1/Plate 3/@19/E10_01.tif "/>
    <s v=" 83166.9448 "/>
    <s v=" 45.4882 "/>
    <x v="0"/>
    <n v="3783112"/>
    <m/>
    <m/>
    <m/>
  </r>
  <r>
    <x v="17"/>
    <x v="4"/>
    <s v="C:\Users\cbarrier\Desktop\BPA\BPA\20201116_Cefas_Test6-Run1/20201116_Cefas_Test6-Run1/Plate 3/@19/E10_02.tif "/>
    <s v=" 72070.8089 "/>
    <s v=" 44.1846 "/>
    <x v="0"/>
    <n v="3184418"/>
    <m/>
    <m/>
    <m/>
  </r>
  <r>
    <x v="17"/>
    <x v="4"/>
    <s v="C:\Users\cbarrier\Desktop\BPA\BPA\20201116_Cefas_Test6-Run1/20201116_Cefas_Test6-Run1/Plate 3/@19/E10_03.tif "/>
    <s v=" 81523.0729 "/>
    <s v=" 45.6561 "/>
    <x v="0"/>
    <n v="3722029"/>
    <m/>
    <m/>
    <m/>
  </r>
  <r>
    <x v="17"/>
    <x v="5"/>
    <s v="C:\Users\cbarrier\Desktop\BPA\BPA\20201116_Cefas_Test6-Run1/20201116_Cefas_Test6-Run1/Plate 3/@19/F10_01- exclu.tif"/>
    <m/>
    <m/>
    <x v="1"/>
    <m/>
    <m/>
    <m/>
    <m/>
  </r>
  <r>
    <x v="17"/>
    <x v="5"/>
    <s v="C:\Users\cbarrier\Desktop\BPA\BPA\20201116_Cefas_Test6-Run1/20201116_Cefas_Test6-Run1/Plate 3/@19/F10_02.tif "/>
    <s v=" 46720.5724 "/>
    <s v=" 43.5972 "/>
    <x v="0"/>
    <n v="2036887"/>
    <m/>
    <m/>
    <m/>
  </r>
  <r>
    <x v="17"/>
    <x v="5"/>
    <s v="C:\Users\cbarrier\Desktop\BPA\BPA\20201116_Cefas_Test6-Run1/20201116_Cefas_Test6-Run1/Plate 3/@19/F10_03.tif "/>
    <s v=" 51630.5585 "/>
    <s v=" 44.0251 "/>
    <x v="0"/>
    <n v="2273042"/>
    <m/>
    <m/>
    <m/>
  </r>
  <r>
    <x v="17"/>
    <x v="6"/>
    <s v="C:\Users\cbarrier\Desktop\BPA\BPA\20201116_Cefas_Test6-Run1/20201116_Cefas_Test6-Run1/Plate 3/@19/G10_01.tif "/>
    <s v=" 51695.4482 "/>
    <s v=" 39.5577 "/>
    <x v="0"/>
    <n v="2044955"/>
    <m/>
    <m/>
    <m/>
  </r>
  <r>
    <x v="17"/>
    <x v="6"/>
    <s v="C:\Users\cbarrier\Desktop\BPA\BPA\20201116_Cefas_Test6-Run1/20201116_Cefas_Test6-Run1/Plate 3/@19/G10_02.tif "/>
    <s v=" 48061.6259 "/>
    <s v=" 41.5063 "/>
    <x v="0"/>
    <n v="1994860"/>
    <m/>
    <m/>
    <m/>
  </r>
  <r>
    <x v="17"/>
    <x v="6"/>
    <s v="C:\Users\cbarrier\Desktop\BPA\BPA\20201116_Cefas_Test6-Run1/20201116_Cefas_Test6-Run1/Plate 3/@19/G10_03.tif "/>
    <s v=" 52820.2027 "/>
    <s v=" 40.4533 "/>
    <x v="0"/>
    <n v="2136752"/>
    <m/>
    <m/>
    <m/>
  </r>
  <r>
    <x v="17"/>
    <x v="7"/>
    <s v="C:\Users\cbarrier\Desktop\BPA\BPA\20201116_Cefas_Test6-Run1/20201116_Cefas_Test6-Run1/Plate 3/@19/H10_01.tif "/>
    <s v=" 49013.3412 "/>
    <s v=" 36.9704 "/>
    <x v="0"/>
    <n v="1812044"/>
    <m/>
    <m/>
    <m/>
  </r>
  <r>
    <x v="17"/>
    <x v="7"/>
    <s v="C:\Users\cbarrier\Desktop\BPA\BPA\20201116_Cefas_Test6-Run1/20201116_Cefas_Test6-Run1/Plate 3/@19/H10_02.tif "/>
    <s v=" 43973.5758 "/>
    <s v=" 35.9666 "/>
    <x v="0"/>
    <n v="1581578"/>
    <m/>
    <m/>
    <m/>
  </r>
  <r>
    <x v="17"/>
    <x v="7"/>
    <s v="C:\Users\cbarrier\Desktop\BPA\BPA\20201116_Cefas_Test6-Run1/20201116_Cefas_Test6-Run1/Plate 3/@19/H10_03.tif "/>
    <s v=" 53360.95 "/>
    <s v=" 37.6478 "/>
    <x v="0"/>
    <n v="2008920"/>
    <m/>
    <m/>
    <m/>
  </r>
  <r>
    <x v="1"/>
    <x v="8"/>
    <s v=" "/>
    <m/>
    <m/>
    <x v="1"/>
    <m/>
    <m/>
    <m/>
    <m/>
  </r>
  <r>
    <x v="1"/>
    <x v="8"/>
    <s v="group "/>
    <s v=" "/>
    <s v=" mean of mean fluo "/>
    <x v="2"/>
    <s v=" mean of total fluo "/>
    <s v=" SD total fluo "/>
    <s v=" n fluorescent "/>
    <m/>
  </r>
  <r>
    <x v="17"/>
    <x v="9"/>
    <s v="C:\Users\cbarrier\Desktop\BPA\BPA\20201116_Cefas_Test6-Run1/20201116_Cefas_Test6-Run1/Plate 3/@19/ "/>
    <s v=" "/>
    <s v=" 43.7795 "/>
    <x v="19"/>
    <s v=" 2638082.75 "/>
    <s v=" 912495.613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cbarrier\Desktop\BPA\BPA\20201116_Cefas_Test6-Run1/20201116_Cefas_Test6-Run1/Plate 3/@20/A11_01.tif "/>
    <s v=" 68393.7268 "/>
    <s v=" 51.4434 "/>
    <x v="0"/>
    <n v="3518405"/>
    <m/>
    <m/>
    <m/>
  </r>
  <r>
    <x v="18"/>
    <x v="0"/>
    <s v="C:\Users\cbarrier\Desktop\BPA\BPA\20201116_Cefas_Test6-Run1/20201116_Cefas_Test6-Run1/Plate 3/@20/A11_02.tif "/>
    <s v=" 62834.8439 "/>
    <s v=" 55.3205 "/>
    <x v="0"/>
    <n v="3476054"/>
    <m/>
    <m/>
    <m/>
  </r>
  <r>
    <x v="18"/>
    <x v="0"/>
    <s v="C:\Users\cbarrier\Desktop\BPA\BPA\20201116_Cefas_Test6-Run1/20201116_Cefas_Test6-Run1/Plate 3/@20/A11_03.tif "/>
    <s v=" 63548.6304 "/>
    <s v=" 52.3125 "/>
    <x v="0"/>
    <n v="3324385"/>
    <m/>
    <m/>
    <m/>
  </r>
  <r>
    <x v="18"/>
    <x v="1"/>
    <s v="C:\Users\cbarrier\Desktop\BPA\BPA\20201116_Cefas_Test6-Run1/20201116_Cefas_Test6-Run1/Plate 3/@20/B11_01.tif "/>
    <s v=" 51825.2275 "/>
    <s v=" 45.8777 "/>
    <x v="0"/>
    <n v="2377623"/>
    <m/>
    <m/>
    <m/>
  </r>
  <r>
    <x v="18"/>
    <x v="1"/>
    <s v="C:\Users\cbarrier\Desktop\BPA\BPA\20201116_Cefas_Test6-Run1/20201116_Cefas_Test6-Run1/Plate 3/@20/B11_02.tif "/>
    <s v=" 46482.6436 "/>
    <s v=" 45.1564 "/>
    <x v="0"/>
    <n v="2098987"/>
    <m/>
    <m/>
    <m/>
  </r>
  <r>
    <x v="18"/>
    <x v="1"/>
    <s v="C:\Users\cbarrier\Desktop\BPA\BPA\20201116_Cefas_Test6-Run1/20201116_Cefas_Test6-Run1/Plate 3/@20/B11_03.tif "/>
    <s v=" 48710.5227 "/>
    <s v=" 45.8797 "/>
    <x v="0"/>
    <n v="2234822"/>
    <m/>
    <m/>
    <m/>
  </r>
  <r>
    <x v="18"/>
    <x v="2"/>
    <s v="C:\Users\cbarrier\Desktop\BPA\BPA\20201116_Cefas_Test6-Run1/20201116_Cefas_Test6-Run1/Plate 3/@20/C11_01.tif "/>
    <s v=" 76613.0868 "/>
    <s v=" 47.7815 "/>
    <x v="0"/>
    <n v="3660687"/>
    <m/>
    <m/>
    <m/>
  </r>
  <r>
    <x v="18"/>
    <x v="2"/>
    <s v="C:\Users\cbarrier\Desktop\BPA\BPA\20201116_Cefas_Test6-Run1/20201116_Cefas_Test6-Run1/Plate 3/@20/C11_02.tif "/>
    <s v=" 71616.5811 "/>
    <s v=" 46.1462 "/>
    <x v="0"/>
    <n v="3304832"/>
    <m/>
    <m/>
    <m/>
  </r>
  <r>
    <x v="18"/>
    <x v="2"/>
    <s v="C:\Users\cbarrier\Desktop\BPA\BPA\20201116_Cefas_Test6-Run1/20201116_Cefas_Test6-Run1/Plate 3/@20/C11_03.tif "/>
    <s v=" 66014.4384 "/>
    <s v=" 43.9502 "/>
    <x v="0"/>
    <n v="2901348"/>
    <m/>
    <m/>
    <m/>
  </r>
  <r>
    <x v="18"/>
    <x v="3"/>
    <s v="C:\Users\cbarrier\Desktop\BPA\BPA\20201116_Cefas_Test6-Run1/20201116_Cefas_Test6-Run1/Plate 3/@20/D11_01- exclu.tif"/>
    <m/>
    <m/>
    <x v="1"/>
    <m/>
    <m/>
    <m/>
    <m/>
  </r>
  <r>
    <x v="18"/>
    <x v="3"/>
    <s v="C:\Users\cbarrier\Desktop\BPA\BPA\20201116_Cefas_Test6-Run1/20201116_Cefas_Test6-Run1/Plate 3/@20/D11_02.tif "/>
    <s v=" 51911.7471 "/>
    <s v=" 48.7546 "/>
    <x v="0"/>
    <n v="2530936"/>
    <m/>
    <m/>
    <m/>
  </r>
  <r>
    <x v="18"/>
    <x v="3"/>
    <s v="C:\Users\cbarrier\Desktop\BPA\BPA\20201116_Cefas_Test6-Run1/20201116_Cefas_Test6-Run1/Plate 3/@20/D11_03.tif "/>
    <s v=" 55783.4982 "/>
    <s v=" 49.9674 "/>
    <x v="0"/>
    <n v="2787358"/>
    <m/>
    <m/>
    <m/>
  </r>
  <r>
    <x v="18"/>
    <x v="4"/>
    <s v="C:\Users\cbarrier\Desktop\BPA\BPA\20201116_Cefas_Test6-Run1/20201116_Cefas_Test6-Run1/Plate 3/@20/E11_01.tif "/>
    <s v=" 39366.4082 "/>
    <s v=" 38.2099 "/>
    <x v="0"/>
    <n v="1504186"/>
    <m/>
    <m/>
    <m/>
  </r>
  <r>
    <x v="18"/>
    <x v="4"/>
    <s v="C:\Users\cbarrier\Desktop\BPA\BPA\20201116_Cefas_Test6-Run1/20201116_Cefas_Test6-Run1/Plate 3/@20/E11_02.tif "/>
    <s v=" 40188.3442 "/>
    <s v=" 39.507 "/>
    <x v="0"/>
    <n v="1587721"/>
    <m/>
    <m/>
    <m/>
  </r>
  <r>
    <x v="18"/>
    <x v="4"/>
    <s v="C:\Users\cbarrier\Desktop\BPA\BPA\20201116_Cefas_Test6-Run1/20201116_Cefas_Test6-Run1/Plate 3/@20/E11_03.tif "/>
    <s v=" 41161.6895 "/>
    <s v=" 40.0583 "/>
    <x v="0"/>
    <n v="1648868"/>
    <m/>
    <m/>
    <m/>
  </r>
  <r>
    <x v="18"/>
    <x v="5"/>
    <s v="C:\Users\cbarrier\Desktop\BPA\BPA\20201116_Cefas_Test6-Run1/20201116_Cefas_Test6-Run1/Plate 3/@20/F11_01.tif "/>
    <s v=" 64262.4169 "/>
    <s v=" 40.9394 "/>
    <x v="0"/>
    <n v="2630866"/>
    <m/>
    <m/>
    <m/>
  </r>
  <r>
    <x v="18"/>
    <x v="5"/>
    <s v="C:\Users\cbarrier\Desktop\BPA\BPA\20201116_Cefas_Test6-Run1/20201116_Cefas_Test6-Run1/Plate 3/@20/F11_02.tif "/>
    <s v=" 67052.6733 "/>
    <s v=" 43.4016 "/>
    <x v="0"/>
    <n v="2910194"/>
    <m/>
    <m/>
    <m/>
  </r>
  <r>
    <x v="18"/>
    <x v="5"/>
    <s v="C:\Users\cbarrier\Desktop\BPA\BPA\20201116_Cefas_Test6-Run1/20201116_Cefas_Test6-Run1/Plate 3/@20/F11_03.tif "/>
    <s v=" 64716.6447 "/>
    <s v=" 44.3419 "/>
    <x v="0"/>
    <n v="2869660"/>
    <m/>
    <m/>
    <m/>
  </r>
  <r>
    <x v="18"/>
    <x v="6"/>
    <s v="C:\Users\cbarrier\Desktop\BPA\BPA\20201116_Cefas_Test6-Run1/20201116_Cefas_Test6-Run1/Plate 3/@20/G11_01.tif "/>
    <s v=" 58660.2742 "/>
    <s v=" 43.6869 "/>
    <x v="0"/>
    <n v="2562688"/>
    <m/>
    <m/>
    <m/>
  </r>
  <r>
    <x v="18"/>
    <x v="6"/>
    <s v="C:\Users\cbarrier\Desktop\BPA\BPA\20201116_Cefas_Test6-Run1/20201116_Cefas_Test6-Run1/Plate 3/@20/G11_02.tif "/>
    <s v=" 53707.0284 "/>
    <s v=" 43.0222 "/>
    <x v="0"/>
    <n v="2310592"/>
    <m/>
    <m/>
    <m/>
  </r>
  <r>
    <x v="18"/>
    <x v="6"/>
    <s v="C:\Users\cbarrier\Desktop\BPA\BPA\20201116_Cefas_Test6-Run1/20201116_Cefas_Test6-Run1/Plate 3/@20/G11_03.tif "/>
    <s v=" 56605.4342 "/>
    <s v=" 44.4922 "/>
    <x v="0"/>
    <n v="2518498"/>
    <m/>
    <m/>
    <m/>
  </r>
  <r>
    <x v="18"/>
    <x v="7"/>
    <s v="C:\Users\cbarrier\Desktop\BPA\BPA\20201116_Cefas_Test6-Run1/20201116_Cefas_Test6-Run1/Plate 3/@20/H11_01.tif "/>
    <s v=" 97918.533 "/>
    <s v=" 55.5646 "/>
    <x v="0"/>
    <n v="5440805"/>
    <m/>
    <m/>
    <m/>
  </r>
  <r>
    <x v="18"/>
    <x v="7"/>
    <s v="C:\Users\cbarrier\Desktop\BPA\BPA\20201116_Cefas_Test6-Run1/20201116_Cefas_Test6-Run1/Plate 3/@20/H11_02.tif "/>
    <s v=" 96317.9208 "/>
    <s v=" 56.159 "/>
    <x v="0"/>
    <n v="5409118"/>
    <m/>
    <m/>
    <m/>
  </r>
  <r>
    <x v="18"/>
    <x v="7"/>
    <s v="C:\Users\cbarrier\Desktop\BPA\BPA\20201116_Cefas_Test6-Run1/20201116_Cefas_Test6-Run1/Plate 3/@20/H11_03.tif "/>
    <s v=" 99692.1843 "/>
    <s v=" 55.9642 "/>
    <x v="0"/>
    <n v="5579193"/>
    <m/>
    <m/>
    <m/>
  </r>
  <r>
    <x v="1"/>
    <x v="8"/>
    <s v=" "/>
    <m/>
    <m/>
    <x v="1"/>
    <m/>
    <m/>
    <m/>
    <m/>
  </r>
  <r>
    <x v="1"/>
    <x v="8"/>
    <s v="group "/>
    <s v=" "/>
    <s v=" mean of mean fluo "/>
    <x v="2"/>
    <s v=" mean of total fluo "/>
    <s v=" SD total fluo "/>
    <s v=" n fluorescent "/>
    <m/>
  </r>
  <r>
    <x v="18"/>
    <x v="9"/>
    <s v="C:\Users\cbarrier\Desktop\BPA\BPA\20201116_Cefas_Test6-Run1/20201116_Cefas_Test6-Run1/Plate 3/@20/ "/>
    <s v=" "/>
    <s v=" 46.8863 "/>
    <x v="20"/>
    <s v=" 2982054.12 "/>
    <s v=" 1124729.24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cbarrier\Desktop\BPA\BPA\20201116_Cefas_Test6-Run1/20201116_Cefas_Test6-Run1/Plate 3/@21/A12_01.tif "/>
    <s v=" 65754.8797 "/>
    <s v=" 50.6714 "/>
    <x v="0"/>
    <n v="3331891"/>
    <m/>
    <m/>
    <m/>
  </r>
  <r>
    <x v="19"/>
    <x v="0"/>
    <s v="C:\Users\cbarrier\Desktop\BPA\BPA\20201116_Cefas_Test6-Run1/20201116_Cefas_Test6-Run1/Plate 3/@21/A12_02.tif "/>
    <s v=" 75120.624 "/>
    <s v=" 47.3242 "/>
    <x v="0"/>
    <n v="3555025"/>
    <m/>
    <m/>
    <m/>
  </r>
  <r>
    <x v="19"/>
    <x v="0"/>
    <s v="C:\Users\cbarrier\Desktop\BPA\BPA\20201116_Cefas_Test6-Run1/20201116_Cefas_Test6-Run1/Plate 3/@21/A12_03.tif "/>
    <s v=" 68912.8443 "/>
    <s v=" 51.3299 "/>
    <x v="0"/>
    <n v="3537288"/>
    <m/>
    <m/>
    <m/>
  </r>
  <r>
    <x v="19"/>
    <x v="1"/>
    <s v="C:\Users\cbarrier\Desktop\BPA\BPA\20201116_Cefas_Test6-Run1/20201116_Cefas_Test6-Run1/Plate 3/@21/B12_01.tif "/>
    <s v=" 66295.627 "/>
    <s v=" 50.89 "/>
    <x v="0"/>
    <n v="3373788"/>
    <m/>
    <m/>
    <m/>
  </r>
  <r>
    <x v="19"/>
    <x v="1"/>
    <s v="C:\Users\cbarrier\Desktop\BPA\BPA\20201116_Cefas_Test6-Run1/20201116_Cefas_Test6-Run1/Plate 3/@21/B12_02.tif "/>
    <s v=" 58335.8258 "/>
    <s v=" 46.4683 "/>
    <x v="0"/>
    <n v="2710767"/>
    <m/>
    <m/>
    <m/>
  </r>
  <r>
    <x v="19"/>
    <x v="1"/>
    <s v="C:\Users\cbarrier\Desktop\BPA\BPA\20201116_Cefas_Test6-Run1/20201116_Cefas_Test6-Run1/Plate 3/@21/B12_03.tif "/>
    <s v=" 61883.1285 "/>
    <s v=" 46.519 "/>
    <x v="0"/>
    <n v="2878744"/>
    <m/>
    <m/>
    <m/>
  </r>
  <r>
    <x v="19"/>
    <x v="2"/>
    <s v="C:\Users\cbarrier\Desktop\BPA\BPA\20201116_Cefas_Test6-Run1/20201116_Cefas_Test6-Run1/Plate 3/@21/C12_01.tif "/>
    <s v=" 82150.3398 "/>
    <s v=" 54.2886 "/>
    <x v="0"/>
    <n v="4459825"/>
    <m/>
    <m/>
    <m/>
  </r>
  <r>
    <x v="19"/>
    <x v="2"/>
    <s v="C:\Users\cbarrier\Desktop\BPA\BPA\20201116_Cefas_Test6-Run1/20201116_Cefas_Test6-Run1/Plate 3/@21/C12_02.tif "/>
    <s v=" 77867.6207 "/>
    <s v=" 50.2742 "/>
    <x v="0"/>
    <n v="3914730"/>
    <m/>
    <m/>
    <m/>
  </r>
  <r>
    <x v="19"/>
    <x v="2"/>
    <s v="C:\Users\cbarrier\Desktop\BPA\BPA\20201116_Cefas_Test6-Run1/20201116_Cefas_Test6-Run1/Plate 3/@21/C12_03.tif "/>
    <s v=" 80355.0585 "/>
    <s v=" 51.0013 "/>
    <x v="0"/>
    <n v="4098216"/>
    <m/>
    <m/>
    <m/>
  </r>
  <r>
    <x v="19"/>
    <x v="3"/>
    <s v="C:\Users\cbarrier\Desktop\BPA\BPA\20201116_Cefas_Test6-Run1/20201116_Cefas_Test6-Run1/Plate 3/@21/D12_01.tif "/>
    <s v=" 67463.6413 "/>
    <s v=" 47.546 "/>
    <x v="0"/>
    <n v="3207627"/>
    <m/>
    <m/>
    <m/>
  </r>
  <r>
    <x v="19"/>
    <x v="3"/>
    <s v="C:\Users\cbarrier\Desktop\BPA\BPA\20201116_Cefas_Test6-Run1/20201116_Cefas_Test6-Run1/Plate 3/@21/D12_02.tif "/>
    <s v=" 64478.7159 "/>
    <s v=" 43.3626 "/>
    <x v="0"/>
    <n v="2795967"/>
    <m/>
    <m/>
    <m/>
  </r>
  <r>
    <x v="19"/>
    <x v="3"/>
    <s v="C:\Users\cbarrier\Desktop\BPA\BPA\20201116_Cefas_Test6-Run1/20201116_Cefas_Test6-Run1/Plate 3/@21/D12_03.tif "/>
    <s v=" 70491.8266 "/>
    <s v=" 44.324 "/>
    <x v="0"/>
    <n v="3124482"/>
    <m/>
    <m/>
    <m/>
  </r>
  <r>
    <x v="19"/>
    <x v="4"/>
    <s v="C:\Users\cbarrier\Desktop\BPA\BPA\20201116_Cefas_Test6-Run1/20201116_Cefas_Test6-Run1/Plate 3/@21/E12_01.tif "/>
    <s v=" 99519.1452 "/>
    <s v=" 55.8666 "/>
    <x v="0"/>
    <n v="5559791"/>
    <m/>
    <m/>
    <m/>
  </r>
  <r>
    <x v="19"/>
    <x v="4"/>
    <s v="C:\Users\cbarrier\Desktop\BPA\BPA\20201116_Cefas_Test6-Run1/20201116_Cefas_Test6-Run1/Plate 3/@21/E12_02.tif "/>
    <s v=" 115633.417 "/>
    <s v=" 55.3214 "/>
    <x v="0"/>
    <n v="6396998"/>
    <m/>
    <m/>
    <m/>
  </r>
  <r>
    <x v="19"/>
    <x v="4"/>
    <s v="C:\Users\cbarrier\Desktop\BPA\BPA\20201116_Cefas_Test6-Run1/20201116_Cefas_Test6-Run1/Plate 3/@21/E12_03.tif "/>
    <s v=" 120565.033 "/>
    <s v=" 48.6288 "/>
    <x v="0"/>
    <n v="5862934"/>
    <m/>
    <m/>
    <m/>
  </r>
  <r>
    <x v="19"/>
    <x v="5"/>
    <s v="C:\Users\cbarrier\Desktop\BPA\BPA\20201116_Cefas_Test6-Run1/20201116_Cefas_Test6-Run1/Plate 3/@21/F12_01.tif "/>
    <s v=" 80311.7988 "/>
    <s v=" 47.4449 "/>
    <x v="0"/>
    <n v="3810387"/>
    <m/>
    <m/>
    <m/>
  </r>
  <r>
    <x v="19"/>
    <x v="5"/>
    <s v="C:\Users\cbarrier\Desktop\BPA\BPA\20201116_Cefas_Test6-Run1/20201116_Cefas_Test6-Run1/Plate 3/@21/F12_02- exclu.tif"/>
    <m/>
    <m/>
    <x v="1"/>
    <m/>
    <m/>
    <m/>
    <m/>
  </r>
  <r>
    <x v="19"/>
    <x v="5"/>
    <s v="C:\Users\cbarrier\Desktop\BPA\BPA\20201116_Cefas_Test6-Run1/20201116_Cefas_Test6-Run1/Plate 3/@21/F12_03.tif "/>
    <s v=" 83404.8737 "/>
    <s v=" 48.2137 "/>
    <x v="0"/>
    <n v="4021257"/>
    <m/>
    <m/>
    <m/>
  </r>
  <r>
    <x v="19"/>
    <x v="6"/>
    <s v="C:\Users\cbarrier\Desktop\BPA\BPA\20201116_Cefas_Test6-Run1/20201116_Cefas_Test6-Run1/Plate 3/@21/G12_01.tif "/>
    <s v=" 85329.9343 "/>
    <s v=" 46.4499 "/>
    <x v="0"/>
    <n v="3963570"/>
    <m/>
    <m/>
    <m/>
  </r>
  <r>
    <x v="19"/>
    <x v="6"/>
    <s v="C:\Users\cbarrier\Desktop\BPA\BPA\20201116_Cefas_Test6-Run1/20201116_Cefas_Test6-Run1/Plate 3/@21/G12_02.tif "/>
    <s v=" 78040.6598 "/>
    <s v=" 52.8018 "/>
    <x v="0"/>
    <n v="4120690"/>
    <m/>
    <m/>
    <m/>
  </r>
  <r>
    <x v="19"/>
    <x v="6"/>
    <s v="C:\Users\cbarrier\Desktop\BPA\BPA\20201116_Cefas_Test6-Run1/20201116_Cefas_Test6-Run1/Plate 3/@21/G12_03.tif "/>
    <s v=" 82345.0089 "/>
    <s v=" 53.6023 "/>
    <x v="0"/>
    <n v="4413883"/>
    <m/>
    <m/>
    <m/>
  </r>
  <r>
    <x v="19"/>
    <x v="7"/>
    <s v="C:\Users\cbarrier\Desktop\BPA\BPA\20201116_Cefas_Test6-Run1/20201116_Cefas_Test6-Run1/Plate 3/@21/H12_01.tif "/>
    <s v=" 71638.211 "/>
    <s v=" 55.1721 "/>
    <x v="0"/>
    <n v="3952431"/>
    <m/>
    <m/>
    <m/>
  </r>
  <r>
    <x v="19"/>
    <x v="7"/>
    <s v="C:\Users\cbarrier\Desktop\BPA\BPA\20201116_Cefas_Test6-Run1/20201116_Cefas_Test6-Run1/Plate 3/@21/H12_02.tif "/>
    <s v=" 66295.627 "/>
    <s v=" 52.5207 "/>
    <x v="0"/>
    <n v="3481894"/>
    <m/>
    <m/>
    <m/>
  </r>
  <r>
    <x v="19"/>
    <x v="7"/>
    <s v="C:\Users\cbarrier\Desktop\BPA\BPA\20201116_Cefas_Test6-Run1/20201116_Cefas_Test6-Run1/Plate 3/@21/H12_03.tif "/>
    <s v=" 65733.2498 "/>
    <s v=" 51.7743 "/>
    <x v="0"/>
    <n v="3403291"/>
    <m/>
    <m/>
    <m/>
  </r>
  <r>
    <x v="1"/>
    <x v="8"/>
    <s v=" "/>
    <m/>
    <m/>
    <x v="1"/>
    <m/>
    <m/>
    <m/>
    <m/>
  </r>
  <r>
    <x v="1"/>
    <x v="8"/>
    <s v="group "/>
    <s v=" "/>
    <s v=" mean of mean fluo "/>
    <x v="2"/>
    <s v=" mean of total fluo "/>
    <s v=" SD total fluo "/>
    <s v=" n fluorescent "/>
    <m/>
  </r>
  <r>
    <x v="19"/>
    <x v="9"/>
    <s v="C:\Users\cbarrier\Desktop\BPA\BPA\20201116_Cefas_Test6-Run1/20201116_Cefas_Test6-Run1/Plate 3/@21/ "/>
    <s v=" "/>
    <s v=" 49.6727 "/>
    <x v="21"/>
    <s v=" 3874067.46 "/>
    <s v=" 940788.756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cbarrier\Desktop\BPA\BPA\20201116_Cefas_Test6-Run1/20201116_Cefas_Test6-Run1/Plate 3/@8/A2_01.tif "/>
    <s v=" 6315.9292 "/>
    <s v=" 36.1884 "/>
    <x v="0"/>
    <n v="228563"/>
    <m/>
    <m/>
    <m/>
  </r>
  <r>
    <x v="20"/>
    <x v="0"/>
    <s v="C:\Users\cbarrier\Desktop\BPA\BPA\20201116_Cefas_Test6-Run1/20201116_Cefas_Test6-Run1/Plate 3/@8/A2_02.tif "/>
    <s v=" 6359.189 "/>
    <s v=" 36.8027 "/>
    <x v="0"/>
    <n v="234035"/>
    <m/>
    <m/>
    <m/>
  </r>
  <r>
    <x v="20"/>
    <x v="0"/>
    <s v="C:\Users\cbarrier\Desktop\BPA\BPA\20201116_Cefas_Test6-Run1/20201116_Cefas_Test6-Run1/Plate 3/@8/A2_03.tif "/>
    <s v=" 8435.6589 "/>
    <s v=" 37.5333 "/>
    <x v="0"/>
    <n v="316618"/>
    <m/>
    <m/>
    <m/>
  </r>
  <r>
    <x v="20"/>
    <x v="1"/>
    <s v="C:\Users\cbarrier\Desktop\BPA\BPA\20201116_Cefas_Test6-Run1/20201116_Cefas_Test6-Run1/Plate 3/@8/B2_01.tif "/>
    <s v=" 540.7474 "/>
    <s v=" 32.08 "/>
    <x v="0"/>
    <n v="17347"/>
    <m/>
    <m/>
    <m/>
  </r>
  <r>
    <x v="20"/>
    <x v="1"/>
    <s v="C:\Users\cbarrier\Desktop\BPA\BPA\20201116_Cefas_Test6-Run1/20201116_Cefas_Test6-Run1/Plate 3/@8/B2_02- exclu.tif"/>
    <m/>
    <m/>
    <x v="1"/>
    <m/>
    <m/>
    <m/>
    <m/>
  </r>
  <r>
    <x v="20"/>
    <x v="1"/>
    <s v="C:\Users\cbarrier\Desktop\BPA\BPA\20201116_Cefas_Test6-Run1/20201116_Cefas_Test6-Run1/Plate 3/@8/B2_03.tif "/>
    <s v=" 108.1495 "/>
    <s v=" 32.8 "/>
    <x v="0"/>
    <n v="3547"/>
    <m/>
    <m/>
    <m/>
  </r>
  <r>
    <x v="20"/>
    <x v="2"/>
    <s v="C:\Users\cbarrier\Desktop\BPA\BPA\20201116_Cefas_Test6-Run1/20201116_Cefas_Test6-Run1/Plate 3/@8/C2_01- exclu.tif"/>
    <m/>
    <m/>
    <x v="1"/>
    <m/>
    <m/>
    <m/>
    <m/>
  </r>
  <r>
    <x v="20"/>
    <x v="2"/>
    <s v="C:\Users\cbarrier\Desktop\BPA\BPA\20201116_Cefas_Test6-Run1/20201116_Cefas_Test6-Run1/Plate 3/@8/C2_02- exclu.tif"/>
    <m/>
    <m/>
    <x v="1"/>
    <m/>
    <m/>
    <m/>
    <m/>
  </r>
  <r>
    <x v="20"/>
    <x v="2"/>
    <s v="C:\Users\cbarrier\Desktop\BPA\BPA\20201116_Cefas_Test6-Run1/20201116_Cefas_Test6-Run1/Plate 3/@8/C2_03- exclu.tif"/>
    <m/>
    <m/>
    <x v="1"/>
    <m/>
    <m/>
    <m/>
    <m/>
  </r>
  <r>
    <x v="20"/>
    <x v="3"/>
    <s v="C:\Users\cbarrier\Desktop\BPA\BPA\20201116_Cefas_Test6-Run1/20201116_Cefas_Test6-Run1/Plate 3/@8/D2_01.tif "/>
    <s v=" 13670.0934 "/>
    <s v=" 33.7089 "/>
    <x v="0"/>
    <n v="460803"/>
    <m/>
    <m/>
    <m/>
  </r>
  <r>
    <x v="20"/>
    <x v="3"/>
    <s v="C:\Users\cbarrier\Desktop\BPA\BPA\20201116_Cefas_Test6-Run1/20201116_Cefas_Test6-Run1/Plate 3/@8/D2_02.tif "/>
    <s v=" 5191.1747 "/>
    <s v=" 39.0458 "/>
    <x v="0"/>
    <n v="202694"/>
    <m/>
    <m/>
    <m/>
  </r>
  <r>
    <x v="20"/>
    <x v="3"/>
    <s v="C:\Users\cbarrier\Desktop\BPA\BPA\20201116_Cefas_Test6-Run1/20201116_Cefas_Test6-Run1/Plate 3/@8/D2_03.tif "/>
    <s v=" 11442.2143 "/>
    <s v=" 39.2628 "/>
    <x v="0"/>
    <n v="449253"/>
    <m/>
    <m/>
    <m/>
  </r>
  <r>
    <x v="20"/>
    <x v="4"/>
    <s v="C:\Users\cbarrier\Desktop\BPA\BPA\20201116_Cefas_Test6-Run1/20201116_Cefas_Test6-Run1/Plate 3/@8/E2_01.tif "/>
    <s v=" 12523.709 "/>
    <s v=" 42.3109 "/>
    <x v="0"/>
    <n v="529889"/>
    <m/>
    <m/>
    <m/>
  </r>
  <r>
    <x v="20"/>
    <x v="4"/>
    <s v="C:\Users\cbarrier\Desktop\BPA\BPA\20201116_Cefas_Test6-Run1/20201116_Cefas_Test6-Run1/Plate 3/@8/E2_02.tif "/>
    <s v=" 8760.1073 "/>
    <s v=" 45.1506 "/>
    <x v="0"/>
    <n v="395524"/>
    <m/>
    <m/>
    <m/>
  </r>
  <r>
    <x v="20"/>
    <x v="4"/>
    <s v="C:\Users\cbarrier\Desktop\BPA\BPA\20201116_Cefas_Test6-Run1/20201116_Cefas_Test6-Run1/Plate 3/@8/E2_03- exclu.tif"/>
    <m/>
    <m/>
    <x v="1"/>
    <m/>
    <m/>
    <m/>
    <m/>
  </r>
  <r>
    <x v="20"/>
    <x v="5"/>
    <s v="C:\Users\cbarrier\Desktop\BPA\BPA\20201116_Cefas_Test6-Run1/20201116_Cefas_Test6-Run1/Plate 3/@8/F2_01.tif "/>
    <s v=" 6597.1179 "/>
    <s v=" 36.882 "/>
    <x v="0"/>
    <n v="243315"/>
    <m/>
    <m/>
    <m/>
  </r>
  <r>
    <x v="20"/>
    <x v="5"/>
    <s v="C:\Users\cbarrier\Desktop\BPA\BPA\20201116_Cefas_Test6-Run1/20201116_Cefas_Test6-Run1/Plate 3/@8/F2_02.tif "/>
    <s v=" 8197.7301 "/>
    <s v=" 36.6227 "/>
    <x v="0"/>
    <n v="300223"/>
    <m/>
    <m/>
    <m/>
  </r>
  <r>
    <x v="20"/>
    <x v="5"/>
    <s v="C:\Users\cbarrier\Desktop\BPA\BPA\20201116_Cefas_Test6-Run1/20201116_Cefas_Test6-Run1/Plate 3/@8/F2_03.tif "/>
    <s v=" 9819.9722 "/>
    <s v=" 39.7445 "/>
    <x v="0"/>
    <n v="390290"/>
    <m/>
    <m/>
    <m/>
  </r>
  <r>
    <x v="20"/>
    <x v="6"/>
    <s v="C:\Users\cbarrier\Desktop\BPA\BPA\20201116_Cefas_Test6-Run1/20201116_Cefas_Test6-Run1/Plate 3/@8/G2_01.tif "/>
    <s v=" 10555.3886 "/>
    <s v=" 39.3217 "/>
    <x v="0"/>
    <n v="415056"/>
    <m/>
    <m/>
    <m/>
  </r>
  <r>
    <x v="20"/>
    <x v="6"/>
    <s v="C:\Users\cbarrier\Desktop\BPA\BPA\20201116_Cefas_Test6-Run1/20201116_Cefas_Test6-Run1/Plate 3/@8/G2_02.tif "/>
    <s v=" 14254.1006 "/>
    <s v=" 43.6586 "/>
    <x v="0"/>
    <n v="622314"/>
    <m/>
    <m/>
    <m/>
  </r>
  <r>
    <x v="20"/>
    <x v="6"/>
    <s v="C:\Users\cbarrier\Desktop\BPA\BPA\20201116_Cefas_Test6-Run1/20201116_Cefas_Test6-Run1/Plate 3/@8/G2_03.tif "/>
    <s v=" 6099.6303 "/>
    <s v=" 41.805 "/>
    <x v="0"/>
    <n v="254995"/>
    <m/>
    <m/>
    <m/>
  </r>
  <r>
    <x v="20"/>
    <x v="7"/>
    <s v="C:\Users\cbarrier\Desktop\BPA\BPA\20201116_Cefas_Test6-Run1/20201116_Cefas_Test6-Run1/Plate 3/@8/H2_01.tif "/>
    <s v=" 6164.52 "/>
    <s v=" 36.8912 "/>
    <x v="0"/>
    <n v="227417"/>
    <m/>
    <m/>
    <m/>
  </r>
  <r>
    <x v="20"/>
    <x v="7"/>
    <s v="C:\Users\cbarrier\Desktop\BPA\BPA\20201116_Cefas_Test6-Run1/20201116_Cefas_Test6-Run1/Plate 3/@8/H2_02.tif "/>
    <s v=" 4823.4665 "/>
    <s v=" 37.3229 "/>
    <x v="0"/>
    <n v="180026"/>
    <m/>
    <m/>
    <m/>
  </r>
  <r>
    <x v="20"/>
    <x v="7"/>
    <s v="C:\Users\cbarrier\Desktop\BPA\BPA\20201116_Cefas_Test6-Run1/20201116_Cefas_Test6-Run1/Plate 3/@8/H2_03.tif "/>
    <s v=" 5191.1747 "/>
    <s v=" 36.3375 "/>
    <x v="0"/>
    <n v="188634"/>
    <m/>
    <m/>
    <m/>
  </r>
  <r>
    <x v="1"/>
    <x v="8"/>
    <s v=" "/>
    <m/>
    <m/>
    <x v="1"/>
    <m/>
    <m/>
    <m/>
    <m/>
  </r>
  <r>
    <x v="1"/>
    <x v="8"/>
    <s v="group "/>
    <s v=" "/>
    <s v=" mean of mean fluo "/>
    <x v="2"/>
    <s v=" mean of total fluo "/>
    <s v=" SD total fluo "/>
    <s v=" n fluorescent "/>
    <m/>
  </r>
  <r>
    <x v="20"/>
    <x v="9"/>
    <s v="C:\Users\cbarrier\Desktop\BPA\BPA\20201116_Cefas_Test6-Run1/20201116_Cefas_Test6-Run1/Plate 3/@8/ "/>
    <s v=" "/>
    <s v=" 38.2631 "/>
    <x v="22"/>
    <s v=" 290605.708 "/>
    <s v=" 160079.626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cbarrier\Desktop\BPA\BPA\20201116_Cefas_Test6-Run1/20201116_Cefas_Test6-Run1/Plate 3/@9/A3_01.tif "/>
    <s v=" 1881.8008 "/>
    <s v=" 34.069 "/>
    <x v="0"/>
    <n v="64111"/>
    <m/>
    <m/>
    <m/>
  </r>
  <r>
    <x v="21"/>
    <x v="0"/>
    <s v="C:\Users\cbarrier\Desktop\BPA\BPA\20201116_Cefas_Test6-Run1/20201116_Cefas_Test6-Run1/Plate 3/@9/A3_02.tif "/>
    <s v=" 1881.8008 "/>
    <s v=" 33.092 "/>
    <x v="0"/>
    <n v="62272"/>
    <m/>
    <m/>
    <m/>
  </r>
  <r>
    <x v="21"/>
    <x v="0"/>
    <s v="C:\Users\cbarrier\Desktop\BPA\BPA\20201116_Cefas_Test6-Run1/20201116_Cefas_Test6-Run1/Plate 3/@9/A3_03.tif "/>
    <s v=" 3979.9006 "/>
    <s v=" 33.6902 "/>
    <x v="0"/>
    <n v="134084"/>
    <m/>
    <m/>
    <m/>
  </r>
  <r>
    <x v="21"/>
    <x v="1"/>
    <s v="C:\Users\cbarrier\Desktop\BPA\BPA\20201116_Cefas_Test6-Run1/20201116_Cefas_Test6-Run1/Plate 3/@9/B3_01.tif "/>
    <s v=" 4282.7191 "/>
    <s v=" 35.7677 "/>
    <x v="0"/>
    <n v="153183"/>
    <m/>
    <m/>
    <m/>
  </r>
  <r>
    <x v="21"/>
    <x v="1"/>
    <s v="C:\Users\cbarrier\Desktop\BPA\BPA\20201116_Cefas_Test6-Run1/20201116_Cefas_Test6-Run1/Plate 3/@9/B3_02.tif "/>
    <s v=" 7635.3528 "/>
    <s v=" 41.051 "/>
    <x v="0"/>
    <n v="313439"/>
    <m/>
    <m/>
    <m/>
  </r>
  <r>
    <x v="21"/>
    <x v="1"/>
    <s v="C:\Users\cbarrier\Desktop\BPA\BPA\20201116_Cefas_Test6-Run1/20201116_Cefas_Test6-Run1/Plate 3/@9/B3_03.tif "/>
    <s v=" 4996.5057 "/>
    <s v=" 35.4978 "/>
    <x v="0"/>
    <n v="177365"/>
    <m/>
    <m/>
    <m/>
  </r>
  <r>
    <x v="21"/>
    <x v="2"/>
    <s v="C:\Users\cbarrier\Desktop\BPA\BPA\20201116_Cefas_Test6-Run1/20201116_Cefas_Test6-Run1/Plate 3/@9/C3_01.tif "/>
    <s v=" 4909.9861 "/>
    <s v=" 35.2511 "/>
    <x v="0"/>
    <n v="173082"/>
    <m/>
    <m/>
    <m/>
  </r>
  <r>
    <x v="21"/>
    <x v="2"/>
    <s v="C:\Users\cbarrier\Desktop\BPA\BPA\20201116_Cefas_Test6-Run1/20201116_Cefas_Test6-Run1/Plate 3/@9/C3_02.tif "/>
    <s v=" 5775.1819 "/>
    <s v=" 35.9326 "/>
    <x v="0"/>
    <n v="207517"/>
    <m/>
    <m/>
    <m/>
  </r>
  <r>
    <x v="21"/>
    <x v="2"/>
    <s v="C:\Users\cbarrier\Desktop\BPA\BPA\20201116_Cefas_Test6-Run1/20201116_Cefas_Test6-Run1/Plate 3/@9/C3_03.tif "/>
    <s v=" 3979.9006 "/>
    <s v=" 34.1739 "/>
    <x v="0"/>
    <n v="136009"/>
    <m/>
    <m/>
    <m/>
  </r>
  <r>
    <x v="21"/>
    <x v="3"/>
    <s v="C:\Users\cbarrier\Desktop\BPA\BPA\20201116_Cefas_Test6-Run1/20201116_Cefas_Test6-Run1/Plate 3/@9/D3_01.tif "/>
    <s v=" 800.3061 "/>
    <s v=" 32.5676 "/>
    <x v="0"/>
    <n v="26064"/>
    <m/>
    <m/>
    <m/>
  </r>
  <r>
    <x v="21"/>
    <x v="3"/>
    <s v="C:\Users\cbarrier\Desktop\BPA\BPA\20201116_Cefas_Test6-Run1/20201116_Cefas_Test6-Run1/Plate 3/@9/D3_02.tif "/>
    <s v=" 3049.8151 "/>
    <s v=" 33.2624 "/>
    <x v="0"/>
    <n v="101444"/>
    <m/>
    <m/>
    <m/>
  </r>
  <r>
    <x v="21"/>
    <x v="3"/>
    <s v="C:\Users\cbarrier\Desktop\BPA\BPA\20201116_Cefas_Test6-Run1/20201116_Cefas_Test6-Run1/Plate 3/@9/D3_03.tif "/>
    <s v=" 5537.253 "/>
    <s v=" 38.8281 "/>
    <x v="0"/>
    <n v="215001"/>
    <m/>
    <m/>
    <m/>
  </r>
  <r>
    <x v="21"/>
    <x v="4"/>
    <s v="C:\Users\cbarrier\Desktop\BPA\BPA\20201116_Cefas_Test6-Run1/20201116_Cefas_Test6-Run1/Plate 3/@9/E3_01.tif "/>
    <s v=" 216.2989 "/>
    <s v=" 32.6 "/>
    <x v="0"/>
    <n v="7051"/>
    <m/>
    <m/>
    <m/>
  </r>
  <r>
    <x v="21"/>
    <x v="4"/>
    <s v="C:\Users\cbarrier\Desktop\BPA\BPA\20201116_Cefas_Test6-Run1/20201116_Cefas_Test6-Run1/Plate 3/@9/E3_02.tif "/>
    <s v=" 2768.6265 "/>
    <s v=" 32.5469 "/>
    <x v="0"/>
    <n v="90110"/>
    <m/>
    <m/>
    <m/>
  </r>
  <r>
    <x v="21"/>
    <x v="4"/>
    <s v="C:\Users\cbarrier\Desktop\BPA\BPA\20201116_Cefas_Test6-Run1/20201116_Cefas_Test6-Run1/Plate 3/@9/E3_03- exclu.tif"/>
    <m/>
    <m/>
    <x v="1"/>
    <m/>
    <m/>
    <m/>
    <m/>
  </r>
  <r>
    <x v="21"/>
    <x v="5"/>
    <s v="C:\Users\cbarrier\Desktop\BPA\BPA\20201116_Cefas_Test6-Run1/20201116_Cefas_Test6-Run1/Plate 3/@9/F3_01.tif "/>
    <s v=" 1514.0926 "/>
    <s v=" 32.2571 "/>
    <x v="0"/>
    <n v="48840"/>
    <m/>
    <m/>
    <m/>
  </r>
  <r>
    <x v="21"/>
    <x v="5"/>
    <s v="C:\Users\cbarrier\Desktop\BPA\BPA\20201116_Cefas_Test6-Run1/20201116_Cefas_Test6-Run1/Plate 3/@9/F3_02.tif "/>
    <s v=" 7267.6446 "/>
    <s v=" 42.3125 "/>
    <x v="0"/>
    <n v="307512"/>
    <m/>
    <m/>
    <m/>
  </r>
  <r>
    <x v="21"/>
    <x v="5"/>
    <s v="C:\Users\cbarrier\Desktop\BPA\BPA\20201116_Cefas_Test6-Run1/20201116_Cefas_Test6-Run1/Plate 3/@9/F3_03- exclu.tif"/>
    <m/>
    <m/>
    <x v="1"/>
    <m/>
    <m/>
    <m/>
    <m/>
  </r>
  <r>
    <x v="21"/>
    <x v="6"/>
    <s v="C:\Users\cbarrier\Desktop\BPA\BPA\20201116_Cefas_Test6-Run1/20201116_Cefas_Test6-Run1/Plate 3/@9/G3_01.tif "/>
    <s v=" 1838.541 "/>
    <s v=" 33.0941 "/>
    <x v="0"/>
    <n v="60845"/>
    <m/>
    <m/>
    <m/>
  </r>
  <r>
    <x v="21"/>
    <x v="6"/>
    <s v="C:\Users\cbarrier\Desktop\BPA\BPA\20201116_Cefas_Test6-Run1/20201116_Cefas_Test6-Run1/Plate 3/@9/G3_02.tif "/>
    <s v=" 12653.4884 "/>
    <s v=" 34.9419 "/>
    <x v="0"/>
    <n v="442137"/>
    <m/>
    <m/>
    <m/>
  </r>
  <r>
    <x v="21"/>
    <x v="6"/>
    <s v="C:\Users\cbarrier\Desktop\BPA\BPA\20201116_Cefas_Test6-Run1/20201116_Cefas_Test6-Run1/Plate 3/@9/G3_03.tif "/>
    <s v=" 2703.7368 "/>
    <s v=" 33.792 "/>
    <x v="0"/>
    <n v="91365"/>
    <m/>
    <m/>
    <m/>
  </r>
  <r>
    <x v="21"/>
    <x v="7"/>
    <s v="C:\Users\cbarrier\Desktop\BPA\BPA\20201116_Cefas_Test6-Run1/20201116_Cefas_Test6-Run1/Plate 3/@9/H3_01.tif "/>
    <s v=" 7224.3848 "/>
    <s v=" 34.2425 "/>
    <x v="0"/>
    <n v="247381"/>
    <m/>
    <m/>
    <m/>
  </r>
  <r>
    <x v="21"/>
    <x v="7"/>
    <s v="C:\Users\cbarrier\Desktop\BPA\BPA\20201116_Cefas_Test6-Run1/20201116_Cefas_Test6-Run1/Plate 3/@9/H3_02.tif "/>
    <s v=" 43.2598 "/>
    <s v=" 30.5 "/>
    <x v="0"/>
    <n v="1319"/>
    <m/>
    <m/>
    <m/>
  </r>
  <r>
    <x v="21"/>
    <x v="7"/>
    <s v="C:\Users\cbarrier\Desktop\BPA\BPA\20201116_Cefas_Test6-Run1/20201116_Cefas_Test6-Run1/Plate 3/@9/H3_03.tif "/>
    <s v=" 6164.52 "/>
    <s v=" 35.386 "/>
    <x v="0"/>
    <n v="218137"/>
    <m/>
    <m/>
    <m/>
  </r>
  <r>
    <x v="1"/>
    <x v="8"/>
    <s v=" "/>
    <m/>
    <m/>
    <x v="1"/>
    <m/>
    <m/>
    <m/>
    <m/>
  </r>
  <r>
    <x v="1"/>
    <x v="8"/>
    <s v="group "/>
    <s v=" "/>
    <s v=" mean of mean fluo "/>
    <x v="2"/>
    <s v=" mean of total fluo "/>
    <s v=" SD total fluo "/>
    <s v=" n fluorescent "/>
    <m/>
  </r>
  <r>
    <x v="21"/>
    <x v="9"/>
    <s v="C:\Users\cbarrier\Desktop\BPA\BPA\20201116_Cefas_Test6-Run1/20201116_Cefas_Test6-Run1/Plate 3/@9/ "/>
    <s v=" "/>
    <s v=" 33.64 "/>
    <x v="23"/>
    <s v=" 153870.458 "/>
    <s v=" 123881.125 "/>
    <n v="23"/>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55"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m="1" x="22"/>
        <item x="1"/>
        <item x="17"/>
        <item x="0"/>
        <item x="2"/>
        <item x="3"/>
        <item x="4"/>
        <item x="5"/>
        <item x="6"/>
        <item x="7"/>
        <item x="8"/>
        <item x="9"/>
        <item x="10"/>
        <item x="11"/>
        <item x="12"/>
        <item x="13"/>
        <item x="14"/>
        <item x="15"/>
        <item x="16"/>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19"/>
        <item x="3"/>
        <item x="4"/>
        <item x="5"/>
        <item x="6"/>
        <item x="7"/>
        <item x="8"/>
        <item x="9"/>
        <item x="10"/>
        <item x="11"/>
        <item x="12"/>
        <item x="13"/>
        <item x="14"/>
        <item x="15"/>
        <item x="16"/>
        <item x="17"/>
        <item x="18"/>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54"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x="1"/>
        <item x="0"/>
        <item x="2"/>
        <item x="3"/>
        <item x="4"/>
        <item x="5"/>
        <item x="6"/>
        <item x="7"/>
        <item x="8"/>
        <item x="9"/>
        <item x="10"/>
        <item x="11"/>
        <item x="12"/>
        <item x="13"/>
        <item x="14"/>
        <item x="15"/>
        <item x="16"/>
        <item x="17"/>
        <item x="18"/>
        <item x="19"/>
        <item x="20"/>
        <item x="21"/>
        <item x="22"/>
        <item t="default"/>
      </items>
    </pivotField>
    <pivotField axis="axisRow" subtotalTop="0" showAll="0">
      <items count="12">
        <item h="1" x="8"/>
        <item x="0"/>
        <item x="1"/>
        <item x="2"/>
        <item x="3"/>
        <item x="4"/>
        <item x="5"/>
        <item x="6"/>
        <item x="7"/>
        <item h="1" x="9"/>
        <item h="1" x="10"/>
        <item t="default"/>
      </items>
    </pivotField>
    <pivotField subtotalTop="0" showAll="0"/>
    <pivotField subtotalTop="0" showAll="0"/>
    <pivotField subtotalTop="0" showAll="0"/>
    <pivotField axis="axisPage" subtotalTop="0" showAll="0">
      <items count="26">
        <item x="1"/>
        <item x="0"/>
        <item x="2"/>
        <item x="3"/>
        <item x="4"/>
        <item x="5"/>
        <item x="6"/>
        <item x="7"/>
        <item x="8"/>
        <item x="9"/>
        <item x="10"/>
        <item x="11"/>
        <item x="12"/>
        <item x="13"/>
        <item x="14"/>
        <item x="15"/>
        <item x="16"/>
        <item x="17"/>
        <item x="18"/>
        <item x="19"/>
        <item x="20"/>
        <item x="21"/>
        <item x="22"/>
        <item x="23"/>
        <item m="1" x="24"/>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5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20"/>
        <item x="21"/>
        <item x="0"/>
        <item x="2"/>
        <item x="3"/>
        <item x="4"/>
        <item x="5"/>
        <item x="6"/>
        <item x="7"/>
        <item x="8"/>
        <item x="9"/>
        <item x="10"/>
        <item x="11"/>
        <item x="12"/>
        <item x="13"/>
        <item x="14"/>
        <item x="15"/>
        <item x="16"/>
        <item x="17"/>
        <item x="18"/>
        <item x="19"/>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7">
        <item x="1"/>
        <item x="0"/>
        <item x="2"/>
        <item m="1" x="24"/>
        <item m="1" x="25"/>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5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8">
        <item x="22"/>
        <item x="13"/>
        <item x="1"/>
        <item x="2"/>
        <item x="3"/>
        <item x="4"/>
        <item x="5"/>
        <item x="6"/>
        <item x="7"/>
        <item x="15"/>
        <item x="16"/>
        <item x="14"/>
        <item x="0"/>
        <item x="8"/>
        <item x="9"/>
        <item x="10"/>
        <item x="11"/>
        <item x="12"/>
        <item m="1" x="23"/>
        <item m="1" x="24"/>
        <item m="1" x="25"/>
        <item m="1" x="26"/>
        <item m="1" x="27"/>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23"/>
    </i>
    <i>
      <x v="24"/>
    </i>
    <i>
      <x v="25"/>
    </i>
    <i>
      <x v="26"/>
    </i>
    <i>
      <x v="27"/>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5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8">
        <item x="22"/>
        <item x="13"/>
        <item x="1"/>
        <item x="2"/>
        <item x="3"/>
        <item x="4"/>
        <item x="5"/>
        <item x="6"/>
        <item x="7"/>
        <item x="15"/>
        <item x="16"/>
        <item x="14"/>
        <item x="0"/>
        <item x="8"/>
        <item x="9"/>
        <item x="10"/>
        <item x="11"/>
        <item x="12"/>
        <item m="1" x="23"/>
        <item m="1" x="24"/>
        <item m="1" x="25"/>
        <item m="1" x="26"/>
        <item m="1" x="27"/>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B28F7C93-8384-4446-B271-8AA0A3CFFB4D}"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D721B952-966E-4FC0-A91F-31065095DD64}"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23B907E6-FBB4-48F8-88ED-769D523517DA}"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25" zoomScale="55" zoomScaleNormal="55" workbookViewId="0">
      <selection activeCell="C28" sqref="C28"/>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0"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207" t="s">
        <v>36</v>
      </c>
      <c r="B1" s="208"/>
      <c r="C1" s="208"/>
      <c r="D1" s="208"/>
      <c r="E1" s="208"/>
      <c r="F1" s="208"/>
      <c r="G1" s="208"/>
      <c r="H1" s="208"/>
      <c r="I1" s="209"/>
    </row>
    <row r="2" spans="1:9" ht="21" x14ac:dyDescent="0.5">
      <c r="A2" s="189" t="s">
        <v>17</v>
      </c>
      <c r="B2" s="42" t="s">
        <v>115</v>
      </c>
      <c r="C2" s="210"/>
      <c r="D2" s="211"/>
      <c r="E2" s="42" t="s">
        <v>21</v>
      </c>
      <c r="F2" s="222"/>
      <c r="G2" s="223"/>
      <c r="H2" s="223"/>
      <c r="I2" s="224"/>
    </row>
    <row r="3" spans="1:9" ht="21" x14ac:dyDescent="0.5">
      <c r="A3" s="190" t="s">
        <v>18</v>
      </c>
      <c r="B3" s="43" t="s">
        <v>115</v>
      </c>
      <c r="C3" s="212"/>
      <c r="D3" s="213"/>
      <c r="E3" s="43" t="s">
        <v>21</v>
      </c>
      <c r="F3" s="219"/>
      <c r="G3" s="220"/>
      <c r="H3" s="220"/>
      <c r="I3" s="221"/>
    </row>
    <row r="4" spans="1:9" ht="21.5" thickBot="1" x14ac:dyDescent="0.55000000000000004">
      <c r="A4" s="191" t="s">
        <v>22</v>
      </c>
      <c r="B4" s="179" t="s">
        <v>115</v>
      </c>
      <c r="C4" s="214"/>
      <c r="D4" s="215"/>
      <c r="E4" s="179" t="s">
        <v>21</v>
      </c>
      <c r="F4" s="216"/>
      <c r="G4" s="217"/>
      <c r="H4" s="217"/>
      <c r="I4" s="218"/>
    </row>
    <row r="5" spans="1:9" s="1" customFormat="1" ht="65.25" customHeight="1" thickBot="1" x14ac:dyDescent="0.4">
      <c r="A5" s="207" t="s">
        <v>37</v>
      </c>
      <c r="B5" s="208"/>
      <c r="C5" s="208"/>
      <c r="D5" s="208"/>
      <c r="E5" s="208"/>
      <c r="F5" s="208"/>
      <c r="G5" s="208"/>
      <c r="H5" s="208"/>
      <c r="I5" s="209"/>
    </row>
    <row r="6" spans="1:9" s="110" customFormat="1" ht="39" customHeight="1" x14ac:dyDescent="0.5">
      <c r="A6" s="76" t="s">
        <v>35</v>
      </c>
      <c r="B6" s="101" t="s">
        <v>7</v>
      </c>
      <c r="C6" s="64" t="s">
        <v>19</v>
      </c>
      <c r="D6" s="64" t="s">
        <v>75</v>
      </c>
      <c r="E6" s="157" t="s">
        <v>51</v>
      </c>
      <c r="F6" s="109" t="s">
        <v>78</v>
      </c>
    </row>
    <row r="7" spans="1:9" s="166" customFormat="1" ht="39" customHeight="1" x14ac:dyDescent="0.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1"/>
    </row>
    <row r="8" spans="1:9" s="166" customFormat="1" ht="39" customHeight="1" x14ac:dyDescent="0.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1"/>
    </row>
    <row r="9" spans="1:9" s="166" customFormat="1" ht="39" customHeight="1" x14ac:dyDescent="0.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1"/>
    </row>
    <row r="10" spans="1:9" s="166" customFormat="1" ht="39" customHeight="1" x14ac:dyDescent="0.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1"/>
    </row>
    <row r="11" spans="1:9" s="166" customFormat="1" ht="39" customHeight="1" x14ac:dyDescent="0.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1"/>
    </row>
    <row r="12" spans="1:9" s="166" customFormat="1" ht="39" customHeight="1" x14ac:dyDescent="0.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1"/>
    </row>
    <row r="13" spans="1:9" s="166" customFormat="1" ht="39" customHeight="1" x14ac:dyDescent="0.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1"/>
    </row>
    <row r="14" spans="1:9" s="166" customFormat="1" ht="39" customHeight="1" x14ac:dyDescent="0.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1"/>
    </row>
    <row r="15" spans="1:9" s="166" customFormat="1" ht="39" customHeight="1" x14ac:dyDescent="0.5">
      <c r="A15" s="161" t="s">
        <v>1208</v>
      </c>
      <c r="B15" s="162"/>
      <c r="C15" s="163">
        <v>1</v>
      </c>
      <c r="D15" s="164" t="s">
        <v>129</v>
      </c>
      <c r="E15" s="204" t="s">
        <v>1926</v>
      </c>
      <c r="F15" s="111"/>
    </row>
    <row r="16" spans="1:9" s="112" customFormat="1" ht="39" customHeight="1" x14ac:dyDescent="0.35">
      <c r="A16" s="65" t="s">
        <v>1209</v>
      </c>
      <c r="B16" s="204"/>
      <c r="C16" s="106">
        <v>2</v>
      </c>
      <c r="D16" s="205" t="s">
        <v>129</v>
      </c>
      <c r="E16" s="204" t="s">
        <v>1926</v>
      </c>
      <c r="F16" s="111"/>
    </row>
    <row r="17" spans="1:6" s="112" customFormat="1" ht="39" customHeight="1" x14ac:dyDescent="0.35">
      <c r="A17" s="201" t="s">
        <v>1210</v>
      </c>
      <c r="B17" s="204"/>
      <c r="C17" s="106">
        <v>3</v>
      </c>
      <c r="D17" s="205" t="s">
        <v>129</v>
      </c>
      <c r="E17" s="204" t="s">
        <v>1926</v>
      </c>
      <c r="F17" s="111"/>
    </row>
    <row r="18" spans="1:6" s="112" customFormat="1" ht="39" customHeight="1" x14ac:dyDescent="0.35">
      <c r="A18" s="201" t="s">
        <v>1211</v>
      </c>
      <c r="B18" s="204"/>
      <c r="C18" s="106">
        <v>4</v>
      </c>
      <c r="D18" s="205" t="s">
        <v>129</v>
      </c>
      <c r="E18" s="204" t="s">
        <v>1926</v>
      </c>
      <c r="F18" s="111"/>
    </row>
    <row r="19" spans="1:6" s="112" customFormat="1" ht="39" customHeight="1" x14ac:dyDescent="0.35">
      <c r="A19" s="201" t="s">
        <v>1212</v>
      </c>
      <c r="B19" s="204"/>
      <c r="C19" s="106">
        <v>5</v>
      </c>
      <c r="D19" s="205" t="s">
        <v>129</v>
      </c>
      <c r="E19" s="204" t="s">
        <v>1926</v>
      </c>
      <c r="F19" s="111"/>
    </row>
    <row r="20" spans="1:6" s="112"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6"/>
      <c r="D20" s="106"/>
      <c r="E20" s="40"/>
      <c r="F20" s="111"/>
    </row>
    <row r="21" spans="1:6" s="112"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2"/>
      <c r="C21" s="106"/>
      <c r="D21" s="106"/>
      <c r="E21" s="102"/>
      <c r="F21" s="111"/>
    </row>
    <row r="22" spans="1:6" s="112"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6"/>
      <c r="D22" s="106"/>
      <c r="E22" s="40"/>
      <c r="F22" s="111"/>
    </row>
    <row r="23" spans="1:6" s="112"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2"/>
      <c r="C23" s="106"/>
      <c r="D23" s="106"/>
      <c r="E23" s="102"/>
      <c r="F23" s="111"/>
    </row>
    <row r="24" spans="1:6" s="112"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6"/>
      <c r="D24" s="106"/>
      <c r="E24" s="40"/>
      <c r="F24" s="111"/>
    </row>
    <row r="25" spans="1:6" s="112"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2"/>
      <c r="C25" s="106"/>
      <c r="D25" s="106"/>
      <c r="E25" s="102"/>
      <c r="F25" s="111"/>
    </row>
    <row r="26" spans="1:6" s="112"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6"/>
      <c r="D26" s="106"/>
      <c r="E26" s="40"/>
      <c r="F26" s="111"/>
    </row>
    <row r="27" spans="1:6" s="112"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2"/>
      <c r="C27" s="106"/>
      <c r="D27" s="106"/>
      <c r="E27" s="102"/>
      <c r="F27" s="111"/>
    </row>
    <row r="28" spans="1:6" s="112"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6"/>
      <c r="D28" s="106"/>
      <c r="E28" s="40"/>
      <c r="F28" s="111"/>
    </row>
    <row r="29" spans="1:6" s="112"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2"/>
      <c r="C29" s="106"/>
      <c r="D29" s="106"/>
      <c r="E29" s="102"/>
      <c r="F29" s="111"/>
    </row>
    <row r="30" spans="1:6" s="112"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6"/>
      <c r="D30" s="115"/>
      <c r="E30" s="40"/>
      <c r="F30" s="111"/>
    </row>
    <row r="31" spans="1:6" s="112"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2"/>
      <c r="C31" s="106"/>
      <c r="D31" s="115"/>
      <c r="E31" s="102"/>
      <c r="F31" s="111"/>
    </row>
    <row r="32" spans="1:6" s="112"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6"/>
      <c r="D32" s="115"/>
      <c r="E32" s="40"/>
      <c r="F32" s="111"/>
    </row>
    <row r="33" spans="1:6" s="112"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2"/>
      <c r="C33" s="106"/>
      <c r="D33" s="115"/>
      <c r="E33" s="102"/>
      <c r="F33" s="111"/>
    </row>
    <row r="34" spans="1:6" s="112"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6"/>
      <c r="D34" s="115"/>
      <c r="E34" s="40"/>
      <c r="F34" s="111"/>
    </row>
    <row r="35" spans="1:6" s="112" customFormat="1" ht="39" customHeight="1" thickBot="1" x14ac:dyDescent="0.4">
      <c r="A3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6"/>
      <c r="E35" s="167"/>
      <c r="F35" s="111"/>
    </row>
    <row r="36" spans="1:6" s="112" customFormat="1" ht="39" customHeight="1" x14ac:dyDescent="0.35">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3" t="s">
        <v>123</v>
      </c>
      <c r="C36" s="107">
        <v>30</v>
      </c>
      <c r="D36" s="117" t="s">
        <v>127</v>
      </c>
      <c r="E36" s="158" t="s">
        <v>20</v>
      </c>
      <c r="F36" s="170"/>
    </row>
    <row r="37" spans="1:6" s="112" customFormat="1" ht="39" customHeight="1" x14ac:dyDescent="0.35">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4" t="s">
        <v>123</v>
      </c>
      <c r="C37" s="108">
        <v>64</v>
      </c>
      <c r="D37" s="118" t="s">
        <v>124</v>
      </c>
      <c r="E37" s="159" t="s">
        <v>128</v>
      </c>
      <c r="F37" s="172"/>
    </row>
    <row r="38" spans="1:6" s="112" customFormat="1" ht="39" customHeight="1" thickBot="1" x14ac:dyDescent="0.4">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4" t="s">
        <v>123</v>
      </c>
      <c r="C38" s="175">
        <v>10</v>
      </c>
      <c r="D38" s="176" t="s">
        <v>129</v>
      </c>
      <c r="E38" s="177" t="s">
        <v>130</v>
      </c>
      <c r="F38" s="178"/>
    </row>
    <row r="39" spans="1:6" s="112"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BPA-1mg/L + Testostérone</v>
      </c>
      <c r="B39" s="192">
        <f>B15</f>
        <v>0</v>
      </c>
      <c r="C39" s="192">
        <f t="shared" ref="C39:E39" si="0">C15</f>
        <v>1</v>
      </c>
      <c r="D39" s="192" t="str">
        <f t="shared" si="0"/>
        <v>mg/L</v>
      </c>
      <c r="E39" s="192" t="str">
        <f t="shared" si="0"/>
        <v>BPA</v>
      </c>
      <c r="F39" s="113" t="s">
        <v>50</v>
      </c>
    </row>
    <row r="40" spans="1:6" s="112" customFormat="1" ht="39" customHeight="1" x14ac:dyDescent="0.3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BPA-2mg/L + Testostérone</v>
      </c>
      <c r="B40" s="194">
        <f t="shared" ref="B40:E40" si="1">B16</f>
        <v>0</v>
      </c>
      <c r="C40" s="194">
        <f t="shared" si="1"/>
        <v>2</v>
      </c>
      <c r="D40" s="194" t="str">
        <f t="shared" si="1"/>
        <v>mg/L</v>
      </c>
      <c r="E40" s="194" t="str">
        <f t="shared" si="1"/>
        <v>BPA</v>
      </c>
      <c r="F40" s="114" t="s">
        <v>50</v>
      </c>
    </row>
    <row r="41" spans="1:6" s="112" customFormat="1" ht="39" customHeight="1" x14ac:dyDescent="0.3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BPA-3mg/L + Testostérone</v>
      </c>
      <c r="B41" s="194">
        <f t="shared" ref="B41:E41" si="2">B17</f>
        <v>0</v>
      </c>
      <c r="C41" s="194">
        <f t="shared" si="2"/>
        <v>3</v>
      </c>
      <c r="D41" s="194" t="str">
        <f t="shared" si="2"/>
        <v>mg/L</v>
      </c>
      <c r="E41" s="194" t="str">
        <f t="shared" si="2"/>
        <v>BPA</v>
      </c>
      <c r="F41" s="114" t="s">
        <v>50</v>
      </c>
    </row>
    <row r="42" spans="1:6" s="112" customFormat="1" ht="39" customHeight="1" x14ac:dyDescent="0.3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BPA-4mg/L + Testostérone</v>
      </c>
      <c r="B42" s="194">
        <f t="shared" ref="B42:E42" si="3">B18</f>
        <v>0</v>
      </c>
      <c r="C42" s="194">
        <f t="shared" si="3"/>
        <v>4</v>
      </c>
      <c r="D42" s="194" t="str">
        <f t="shared" si="3"/>
        <v>mg/L</v>
      </c>
      <c r="E42" s="194" t="str">
        <f t="shared" si="3"/>
        <v>BPA</v>
      </c>
      <c r="F42" s="114" t="s">
        <v>50</v>
      </c>
    </row>
    <row r="43" spans="1:6" s="112" customFormat="1" ht="39" customHeight="1" x14ac:dyDescent="0.35">
      <c r="A4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BPA-5mg/L + Testostérone</v>
      </c>
      <c r="B43" s="194">
        <f t="shared" ref="B43:E43" si="4">B19</f>
        <v>0</v>
      </c>
      <c r="C43" s="194">
        <f t="shared" si="4"/>
        <v>5</v>
      </c>
      <c r="D43" s="194" t="str">
        <f t="shared" si="4"/>
        <v>mg/L</v>
      </c>
      <c r="E43" s="194" t="str">
        <f t="shared" si="4"/>
        <v>BPA</v>
      </c>
      <c r="F43" s="114" t="s">
        <v>50</v>
      </c>
    </row>
    <row r="44" spans="1:6" s="112" customFormat="1" ht="39" customHeight="1" x14ac:dyDescent="0.35">
      <c r="A4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4">
        <f t="shared" ref="B44:E44" si="5">B20</f>
        <v>0</v>
      </c>
      <c r="C44" s="194">
        <f t="shared" si="5"/>
        <v>0</v>
      </c>
      <c r="D44" s="194">
        <f t="shared" si="5"/>
        <v>0</v>
      </c>
      <c r="E44" s="194">
        <f t="shared" si="5"/>
        <v>0</v>
      </c>
      <c r="F44" s="114" t="s">
        <v>50</v>
      </c>
    </row>
    <row r="45" spans="1:6" s="112" customFormat="1" ht="39" customHeight="1" x14ac:dyDescent="0.35">
      <c r="A4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4">
        <f t="shared" ref="B45:E45" si="6">B21</f>
        <v>0</v>
      </c>
      <c r="C45" s="194">
        <f t="shared" si="6"/>
        <v>0</v>
      </c>
      <c r="D45" s="194">
        <f t="shared" si="6"/>
        <v>0</v>
      </c>
      <c r="E45" s="194">
        <f t="shared" si="6"/>
        <v>0</v>
      </c>
      <c r="F45" s="114" t="s">
        <v>50</v>
      </c>
    </row>
    <row r="46" spans="1:6" s="112" customFormat="1" ht="39" customHeight="1" x14ac:dyDescent="0.35">
      <c r="A4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4">
        <f t="shared" ref="B46:E46" si="7">B22</f>
        <v>0</v>
      </c>
      <c r="C46" s="194">
        <f t="shared" si="7"/>
        <v>0</v>
      </c>
      <c r="D46" s="194">
        <f t="shared" si="7"/>
        <v>0</v>
      </c>
      <c r="E46" s="194">
        <f t="shared" si="7"/>
        <v>0</v>
      </c>
      <c r="F46" s="114" t="s">
        <v>50</v>
      </c>
    </row>
    <row r="47" spans="1:6" s="112" customFormat="1" ht="39" customHeight="1" x14ac:dyDescent="0.35">
      <c r="A4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4">
        <f t="shared" ref="B47:E47" si="8">B23</f>
        <v>0</v>
      </c>
      <c r="C47" s="194">
        <f t="shared" si="8"/>
        <v>0</v>
      </c>
      <c r="D47" s="194">
        <f t="shared" si="8"/>
        <v>0</v>
      </c>
      <c r="E47" s="194">
        <f t="shared" si="8"/>
        <v>0</v>
      </c>
      <c r="F47" s="114" t="s">
        <v>50</v>
      </c>
    </row>
    <row r="48" spans="1:6" s="112" customFormat="1" ht="39" customHeight="1" x14ac:dyDescent="0.35">
      <c r="A48"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4">
        <f t="shared" ref="B48:E48" si="9">B24</f>
        <v>0</v>
      </c>
      <c r="C48" s="194">
        <f t="shared" si="9"/>
        <v>0</v>
      </c>
      <c r="D48" s="194">
        <f t="shared" si="9"/>
        <v>0</v>
      </c>
      <c r="E48" s="194">
        <f t="shared" si="9"/>
        <v>0</v>
      </c>
      <c r="F48" s="114" t="s">
        <v>50</v>
      </c>
    </row>
    <row r="49" spans="1:6" s="112" customFormat="1" ht="39" customHeight="1" x14ac:dyDescent="0.35">
      <c r="A4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4">
        <f t="shared" ref="B49:E49" si="10">B25</f>
        <v>0</v>
      </c>
      <c r="C49" s="194">
        <f t="shared" si="10"/>
        <v>0</v>
      </c>
      <c r="D49" s="194">
        <f t="shared" si="10"/>
        <v>0</v>
      </c>
      <c r="E49" s="194">
        <f t="shared" si="10"/>
        <v>0</v>
      </c>
      <c r="F49" s="114" t="s">
        <v>50</v>
      </c>
    </row>
    <row r="50" spans="1:6" s="112" customFormat="1" ht="39" customHeight="1" x14ac:dyDescent="0.35">
      <c r="A5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4">
        <f t="shared" ref="B50:E50" si="11">B26</f>
        <v>0</v>
      </c>
      <c r="C50" s="194">
        <f t="shared" si="11"/>
        <v>0</v>
      </c>
      <c r="D50" s="194">
        <f t="shared" si="11"/>
        <v>0</v>
      </c>
      <c r="E50" s="194">
        <f t="shared" si="11"/>
        <v>0</v>
      </c>
      <c r="F50" s="114" t="s">
        <v>50</v>
      </c>
    </row>
    <row r="51" spans="1:6" s="112" customFormat="1" ht="39" customHeight="1" x14ac:dyDescent="0.35">
      <c r="A5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4">
        <f t="shared" ref="B51:E51" si="12">B27</f>
        <v>0</v>
      </c>
      <c r="C51" s="194">
        <f t="shared" si="12"/>
        <v>0</v>
      </c>
      <c r="D51" s="194">
        <f t="shared" si="12"/>
        <v>0</v>
      </c>
      <c r="E51" s="194">
        <f t="shared" si="12"/>
        <v>0</v>
      </c>
      <c r="F51" s="114" t="s">
        <v>50</v>
      </c>
    </row>
    <row r="52" spans="1:6" s="112" customFormat="1" ht="39" customHeight="1" x14ac:dyDescent="0.35">
      <c r="A5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4">
        <f t="shared" ref="B52:E52" si="13">B28</f>
        <v>0</v>
      </c>
      <c r="C52" s="194">
        <f t="shared" si="13"/>
        <v>0</v>
      </c>
      <c r="D52" s="194">
        <f t="shared" si="13"/>
        <v>0</v>
      </c>
      <c r="E52" s="194">
        <f t="shared" si="13"/>
        <v>0</v>
      </c>
      <c r="F52" s="114" t="s">
        <v>50</v>
      </c>
    </row>
    <row r="53" spans="1:6" s="112" customFormat="1" ht="39" customHeight="1" x14ac:dyDescent="0.35">
      <c r="A5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4">
        <f t="shared" ref="B53:E53" si="14">B29</f>
        <v>0</v>
      </c>
      <c r="C53" s="194">
        <f t="shared" si="14"/>
        <v>0</v>
      </c>
      <c r="D53" s="194">
        <f t="shared" si="14"/>
        <v>0</v>
      </c>
      <c r="E53" s="194">
        <f t="shared" si="14"/>
        <v>0</v>
      </c>
      <c r="F53" s="114" t="s">
        <v>50</v>
      </c>
    </row>
    <row r="54" spans="1:6" s="112" customFormat="1" ht="39" customHeight="1" x14ac:dyDescent="0.35">
      <c r="A5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4">
        <f t="shared" ref="B54:E54" si="15">B30</f>
        <v>0</v>
      </c>
      <c r="C54" s="194">
        <f t="shared" si="15"/>
        <v>0</v>
      </c>
      <c r="D54" s="194">
        <f t="shared" si="15"/>
        <v>0</v>
      </c>
      <c r="E54" s="194">
        <f t="shared" si="15"/>
        <v>0</v>
      </c>
      <c r="F54" s="114" t="s">
        <v>50</v>
      </c>
    </row>
    <row r="55" spans="1:6" s="112" customFormat="1" ht="39" customHeight="1" x14ac:dyDescent="0.35">
      <c r="A5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4">
        <f t="shared" ref="B55:E55" si="16">B31</f>
        <v>0</v>
      </c>
      <c r="C55" s="194">
        <f t="shared" si="16"/>
        <v>0</v>
      </c>
      <c r="D55" s="194">
        <f t="shared" si="16"/>
        <v>0</v>
      </c>
      <c r="E55" s="194">
        <f t="shared" si="16"/>
        <v>0</v>
      </c>
      <c r="F55" s="114" t="s">
        <v>50</v>
      </c>
    </row>
    <row r="56" spans="1:6" s="112" customFormat="1" ht="39" customHeight="1" x14ac:dyDescent="0.35">
      <c r="A5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4">
        <f t="shared" ref="B56:E56" si="17">B32</f>
        <v>0</v>
      </c>
      <c r="C56" s="194">
        <f t="shared" si="17"/>
        <v>0</v>
      </c>
      <c r="D56" s="194">
        <f t="shared" si="17"/>
        <v>0</v>
      </c>
      <c r="E56" s="194">
        <f t="shared" si="17"/>
        <v>0</v>
      </c>
      <c r="F56" s="114" t="s">
        <v>50</v>
      </c>
    </row>
    <row r="57" spans="1:6" s="112" customFormat="1" ht="39" customHeight="1" x14ac:dyDescent="0.35">
      <c r="A5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4">
        <f t="shared" ref="B57:E57" si="18">B33</f>
        <v>0</v>
      </c>
      <c r="C57" s="194">
        <f t="shared" si="18"/>
        <v>0</v>
      </c>
      <c r="D57" s="194">
        <f t="shared" si="18"/>
        <v>0</v>
      </c>
      <c r="E57" s="194">
        <f t="shared" si="18"/>
        <v>0</v>
      </c>
      <c r="F57" s="114" t="s">
        <v>50</v>
      </c>
    </row>
    <row r="58" spans="1:6" s="112" customFormat="1" ht="39" customHeight="1" x14ac:dyDescent="0.35">
      <c r="A58" s="10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3">
        <f t="shared" ref="B58:E58" si="19">B34</f>
        <v>0</v>
      </c>
      <c r="C58" s="193">
        <f t="shared" si="19"/>
        <v>0</v>
      </c>
      <c r="D58" s="193">
        <f t="shared" si="19"/>
        <v>0</v>
      </c>
      <c r="E58" s="193">
        <f t="shared" si="19"/>
        <v>0</v>
      </c>
      <c r="F58" s="114" t="s">
        <v>50</v>
      </c>
    </row>
  </sheetData>
  <protectedRanges>
    <protectedRange sqref="C20:D38 A16:A52 C16:C19" name="Plage1_1"/>
  </protectedRanges>
  <mergeCells count="8">
    <mergeCell ref="A5:I5"/>
    <mergeCell ref="A1:I1"/>
    <mergeCell ref="C2:D2"/>
    <mergeCell ref="C3:D3"/>
    <mergeCell ref="C4:D4"/>
    <mergeCell ref="F4:I4"/>
    <mergeCell ref="F3:I3"/>
    <mergeCell ref="F2:I2"/>
  </mergeCells>
  <phoneticPr fontId="19" type="noConversion"/>
  <dataValidations count="1">
    <dataValidation type="custom" allowBlank="1" showInputMessage="1" showErrorMessage="1" sqref="E7:E14 E20: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H1" zoomScale="70" zoomScaleNormal="70" workbookViewId="0">
      <selection activeCell="C2" sqref="C2:I688"/>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J1" s="1" t="s">
        <v>1179</v>
      </c>
      <c r="K1" s="202" t="s">
        <v>112</v>
      </c>
      <c r="L1" s="198"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1</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98" t="s">
        <v>1927</v>
      </c>
      <c r="D2" s="198" t="s">
        <v>1928</v>
      </c>
      <c r="E2" s="198" t="s">
        <v>1929</v>
      </c>
      <c r="F2" s="198" t="s">
        <v>112</v>
      </c>
      <c r="G2" s="198">
        <v>368660</v>
      </c>
      <c r="H2" s="198"/>
      <c r="I2" s="198"/>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98" t="s">
        <v>1930</v>
      </c>
      <c r="D3" s="198" t="s">
        <v>1931</v>
      </c>
      <c r="E3" s="198" t="s">
        <v>1932</v>
      </c>
      <c r="F3" s="198" t="s">
        <v>112</v>
      </c>
      <c r="G3" s="198">
        <v>106808</v>
      </c>
      <c r="H3" s="198"/>
      <c r="I3" s="198"/>
      <c r="K3" s="202" t="s">
        <v>154</v>
      </c>
      <c r="L3" s="20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98" t="s">
        <v>1933</v>
      </c>
      <c r="D4" s="198" t="s">
        <v>1934</v>
      </c>
      <c r="E4" s="198" t="s">
        <v>1935</v>
      </c>
      <c r="F4" s="198" t="s">
        <v>112</v>
      </c>
      <c r="G4" s="198">
        <v>154026</v>
      </c>
      <c r="H4" s="198"/>
      <c r="I4" s="198"/>
      <c r="K4" s="202" t="s">
        <v>100</v>
      </c>
      <c r="L4" s="198" t="s">
        <v>1198</v>
      </c>
      <c r="M4" s="198" t="s">
        <v>1182</v>
      </c>
      <c r="N4" s="198" t="s">
        <v>1183</v>
      </c>
      <c r="O4" s="198" t="s">
        <v>1184</v>
      </c>
      <c r="P4" s="198" t="s">
        <v>1185</v>
      </c>
      <c r="Q4" s="198" t="s">
        <v>1186</v>
      </c>
      <c r="R4" s="198" t="s">
        <v>1187</v>
      </c>
      <c r="S4" s="198" t="s">
        <v>1188</v>
      </c>
      <c r="T4" s="198" t="s">
        <v>1189</v>
      </c>
      <c r="U4" s="198" t="s">
        <v>1190</v>
      </c>
      <c r="V4" s="198" t="s">
        <v>1191</v>
      </c>
      <c r="W4" s="198" t="s">
        <v>1192</v>
      </c>
      <c r="X4" s="198" t="s">
        <v>1193</v>
      </c>
      <c r="Y4" s="198" t="s">
        <v>1194</v>
      </c>
      <c r="Z4" s="198" t="s">
        <v>1195</v>
      </c>
      <c r="AA4" s="198" t="s">
        <v>1196</v>
      </c>
      <c r="AB4" s="198" t="s">
        <v>1197</v>
      </c>
      <c r="AC4" s="198" t="s">
        <v>1199</v>
      </c>
      <c r="AD4" s="198" t="s">
        <v>1200</v>
      </c>
      <c r="AE4" s="198" t="s">
        <v>1180</v>
      </c>
      <c r="AF4" s="198" t="s">
        <v>1181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98" t="s">
        <v>1936</v>
      </c>
      <c r="D5" s="198" t="s">
        <v>1528</v>
      </c>
      <c r="E5" s="198" t="s">
        <v>1937</v>
      </c>
      <c r="F5" s="198" t="s">
        <v>112</v>
      </c>
      <c r="G5" s="198">
        <v>147646</v>
      </c>
      <c r="H5" s="198"/>
      <c r="I5" s="198"/>
      <c r="K5" s="203" t="s">
        <v>164</v>
      </c>
      <c r="L5" s="200">
        <v>4308646</v>
      </c>
      <c r="M5" s="200">
        <v>209831.33333333334</v>
      </c>
      <c r="N5" s="200">
        <v>1690989</v>
      </c>
      <c r="O5" s="200">
        <v>69677</v>
      </c>
      <c r="P5" s="200">
        <v>5102852.333333333</v>
      </c>
      <c r="Q5" s="200">
        <v>50181.333333333336</v>
      </c>
      <c r="R5" s="200">
        <v>249277.33333333334</v>
      </c>
      <c r="S5" s="200">
        <v>151596.66666666666</v>
      </c>
      <c r="T5" s="200">
        <v>575607.33333333337</v>
      </c>
      <c r="U5" s="200">
        <v>2841245.6666666665</v>
      </c>
      <c r="V5" s="200">
        <v>3057292</v>
      </c>
      <c r="W5" s="200">
        <v>4148181</v>
      </c>
      <c r="X5" s="200">
        <v>163341.66666666666</v>
      </c>
      <c r="Y5" s="200">
        <v>239284.33333333334</v>
      </c>
      <c r="Z5" s="200">
        <v>2750320.3333333335</v>
      </c>
      <c r="AA5" s="200">
        <v>482389.66666666669</v>
      </c>
      <c r="AB5" s="200">
        <v>3725562</v>
      </c>
      <c r="AC5" s="200">
        <v>3439614.6666666665</v>
      </c>
      <c r="AD5" s="200">
        <v>3474734.6666666665</v>
      </c>
      <c r="AE5" s="200">
        <v>259738.66666666666</v>
      </c>
      <c r="AF5" s="200">
        <v>86822.333333333328</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98" t="s">
        <v>1938</v>
      </c>
      <c r="D6" s="198" t="s">
        <v>1939</v>
      </c>
      <c r="E6" s="198" t="s">
        <v>1940</v>
      </c>
      <c r="F6" s="198" t="s">
        <v>112</v>
      </c>
      <c r="G6" s="198">
        <v>231159</v>
      </c>
      <c r="H6" s="198"/>
      <c r="I6" s="198"/>
      <c r="K6" s="203" t="s">
        <v>1201</v>
      </c>
      <c r="L6" s="200">
        <v>2930980.5</v>
      </c>
      <c r="M6" s="200">
        <v>216753.33333333334</v>
      </c>
      <c r="N6" s="200">
        <v>72424</v>
      </c>
      <c r="O6" s="200">
        <v>67434.666666666672</v>
      </c>
      <c r="P6" s="200">
        <v>4121381.3333333335</v>
      </c>
      <c r="Q6" s="200">
        <v>133059.66666666666</v>
      </c>
      <c r="R6" s="200">
        <v>39035</v>
      </c>
      <c r="S6" s="200">
        <v>98070</v>
      </c>
      <c r="T6" s="200">
        <v>1837502.5</v>
      </c>
      <c r="U6" s="200">
        <v>1625371</v>
      </c>
      <c r="V6" s="200">
        <v>458013.33333333331</v>
      </c>
      <c r="W6" s="200">
        <v>3753572.6666666665</v>
      </c>
      <c r="X6" s="200">
        <v>148063.66666666666</v>
      </c>
      <c r="Y6" s="200">
        <v>1464301</v>
      </c>
      <c r="Z6" s="200">
        <v>2136875</v>
      </c>
      <c r="AA6" s="200">
        <v>2412245</v>
      </c>
      <c r="AB6" s="200">
        <v>2592473</v>
      </c>
      <c r="AC6" s="200">
        <v>2237144</v>
      </c>
      <c r="AD6" s="200">
        <v>2987766.3333333335</v>
      </c>
      <c r="AE6" s="200">
        <v>10447</v>
      </c>
      <c r="AF6" s="200">
        <v>214662.33333333334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98" t="s">
        <v>1941</v>
      </c>
      <c r="D7" s="198" t="s">
        <v>1942</v>
      </c>
      <c r="E7" s="198" t="s">
        <v>1943</v>
      </c>
      <c r="F7" s="198" t="s">
        <v>112</v>
      </c>
      <c r="G7" s="198">
        <v>271455</v>
      </c>
      <c r="H7" s="198"/>
      <c r="I7" s="198"/>
      <c r="K7" s="203" t="s">
        <v>1202</v>
      </c>
      <c r="L7" s="200">
        <v>1775143.6666666667</v>
      </c>
      <c r="M7" s="200">
        <v>419093.66666666669</v>
      </c>
      <c r="N7" s="200">
        <v>1480696</v>
      </c>
      <c r="O7" s="200">
        <v>1772274.3333333333</v>
      </c>
      <c r="P7" s="200">
        <v>3965228.6666666665</v>
      </c>
      <c r="Q7" s="200">
        <v>87741.5</v>
      </c>
      <c r="R7" s="200">
        <v>158482.33333333334</v>
      </c>
      <c r="S7" s="200">
        <v>200970.66666666666</v>
      </c>
      <c r="T7" s="200">
        <v>283315.66666666669</v>
      </c>
      <c r="U7" s="200">
        <v>2885074.6666666665</v>
      </c>
      <c r="V7" s="200">
        <v>3176144.5</v>
      </c>
      <c r="W7" s="200">
        <v>5196171.333333333</v>
      </c>
      <c r="X7" s="200">
        <v>221836</v>
      </c>
      <c r="Y7" s="200">
        <v>1440616</v>
      </c>
      <c r="Z7" s="200">
        <v>1941002</v>
      </c>
      <c r="AA7" s="200">
        <v>269450.66666666669</v>
      </c>
      <c r="AB7" s="200">
        <v>765590</v>
      </c>
      <c r="AC7" s="200">
        <v>3288955.6666666665</v>
      </c>
      <c r="AD7" s="200">
        <v>4157590.3333333335</v>
      </c>
      <c r="AE7" s="200"/>
      <c r="AF7" s="200">
        <v>172202.66666666666</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98" t="s">
        <v>1944</v>
      </c>
      <c r="D8" s="198" t="s">
        <v>1945</v>
      </c>
      <c r="E8" s="198" t="s">
        <v>1946</v>
      </c>
      <c r="F8" s="198" t="s">
        <v>112</v>
      </c>
      <c r="G8" s="198">
        <v>623741</v>
      </c>
      <c r="H8" s="198"/>
      <c r="I8" s="198"/>
      <c r="K8" s="203" t="s">
        <v>1203</v>
      </c>
      <c r="L8" s="200">
        <v>2875954</v>
      </c>
      <c r="M8" s="200">
        <v>213660.33333333334</v>
      </c>
      <c r="N8" s="200">
        <v>1059713.5</v>
      </c>
      <c r="O8" s="200"/>
      <c r="P8" s="200">
        <v>3489421.3333333335</v>
      </c>
      <c r="Q8" s="200">
        <v>55019.333333333336</v>
      </c>
      <c r="R8" s="200">
        <v>170876</v>
      </c>
      <c r="S8" s="200">
        <v>196478.66666666666</v>
      </c>
      <c r="T8" s="200">
        <v>2692467.3333333335</v>
      </c>
      <c r="U8" s="200">
        <v>2233452.3333333335</v>
      </c>
      <c r="V8" s="200">
        <v>3915479.6666666665</v>
      </c>
      <c r="W8" s="200">
        <v>4267585.333333333</v>
      </c>
      <c r="X8" s="200">
        <v>250358.66666666666</v>
      </c>
      <c r="Y8" s="200">
        <v>1097400</v>
      </c>
      <c r="Z8" s="200">
        <v>2862738.3333333335</v>
      </c>
      <c r="AA8" s="200">
        <v>393289</v>
      </c>
      <c r="AB8" s="200">
        <v>2478483</v>
      </c>
      <c r="AC8" s="200">
        <v>2659147</v>
      </c>
      <c r="AD8" s="200">
        <v>3042692</v>
      </c>
      <c r="AE8" s="200">
        <v>370916.66666666669</v>
      </c>
      <c r="AF8" s="200">
        <v>114169.66666666667</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98" t="s">
        <v>1947</v>
      </c>
      <c r="D9" s="198" t="s">
        <v>1948</v>
      </c>
      <c r="E9" s="198" t="s">
        <v>1949</v>
      </c>
      <c r="F9" s="198" t="s">
        <v>112</v>
      </c>
      <c r="G9" s="198">
        <v>488533</v>
      </c>
      <c r="H9" s="198"/>
      <c r="I9" s="198"/>
      <c r="K9" s="203" t="s">
        <v>1204</v>
      </c>
      <c r="L9" s="200">
        <v>3563186.3333333335</v>
      </c>
      <c r="M9" s="200">
        <v>297079.33333333331</v>
      </c>
      <c r="N9" s="200">
        <v>337325.33333333331</v>
      </c>
      <c r="O9" s="200">
        <v>378660.33333333331</v>
      </c>
      <c r="P9" s="200">
        <v>1875780.6666666667</v>
      </c>
      <c r="Q9" s="200">
        <v>277677</v>
      </c>
      <c r="R9" s="200"/>
      <c r="S9" s="200">
        <v>122757</v>
      </c>
      <c r="T9" s="200">
        <v>217106.33333333334</v>
      </c>
      <c r="U9" s="200">
        <v>3019374.6666666665</v>
      </c>
      <c r="V9" s="200">
        <v>4671148.666666667</v>
      </c>
      <c r="W9" s="200">
        <v>4224059</v>
      </c>
      <c r="X9" s="200">
        <v>253632</v>
      </c>
      <c r="Y9" s="200">
        <v>1853119.6666666667</v>
      </c>
      <c r="Z9" s="200">
        <v>4034509</v>
      </c>
      <c r="AA9" s="200">
        <v>3175586</v>
      </c>
      <c r="AB9" s="200">
        <v>3294990</v>
      </c>
      <c r="AC9" s="200">
        <v>1580258.3333333333</v>
      </c>
      <c r="AD9" s="200">
        <v>5939907.666666667</v>
      </c>
      <c r="AE9" s="200">
        <v>462706.5</v>
      </c>
      <c r="AF9" s="200">
        <v>48580.5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98" t="s">
        <v>1950</v>
      </c>
      <c r="D10" s="198" t="s">
        <v>254</v>
      </c>
      <c r="E10" s="198" t="s">
        <v>1951</v>
      </c>
      <c r="F10" s="198" t="s">
        <v>112</v>
      </c>
      <c r="G10" s="198">
        <v>145007</v>
      </c>
      <c r="H10" s="198"/>
      <c r="I10" s="198"/>
      <c r="K10" s="203" t="s">
        <v>1205</v>
      </c>
      <c r="L10" s="200">
        <v>2154964.5</v>
      </c>
      <c r="M10" s="200">
        <v>125057</v>
      </c>
      <c r="N10" s="200">
        <v>2049014</v>
      </c>
      <c r="O10" s="200">
        <v>530365</v>
      </c>
      <c r="P10" s="200">
        <v>2992027.3333333335</v>
      </c>
      <c r="Q10" s="200">
        <v>32127.666666666668</v>
      </c>
      <c r="R10" s="200">
        <v>548231.33333333337</v>
      </c>
      <c r="S10" s="200">
        <v>128229.33333333333</v>
      </c>
      <c r="T10" s="200">
        <v>129245.66666666667</v>
      </c>
      <c r="U10" s="200">
        <v>1470371.3333333333</v>
      </c>
      <c r="V10" s="200">
        <v>3020247</v>
      </c>
      <c r="W10" s="200">
        <v>4025316.3333333335</v>
      </c>
      <c r="X10" s="200">
        <v>142076</v>
      </c>
      <c r="Y10" s="200">
        <v>1100723.6666666667</v>
      </c>
      <c r="Z10" s="200">
        <v>97388.5</v>
      </c>
      <c r="AA10" s="200">
        <v>185772</v>
      </c>
      <c r="AB10" s="200">
        <v>2032633.3333333333</v>
      </c>
      <c r="AC10" s="200">
        <v>2803573.3333333335</v>
      </c>
      <c r="AD10" s="200">
        <v>3915822</v>
      </c>
      <c r="AE10" s="200">
        <v>311276</v>
      </c>
      <c r="AF10" s="200">
        <v>178176</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98" t="s">
        <v>1952</v>
      </c>
      <c r="D11" s="198" t="s">
        <v>1953</v>
      </c>
      <c r="E11" s="198" t="s">
        <v>1954</v>
      </c>
      <c r="F11" s="198" t="s">
        <v>112</v>
      </c>
      <c r="G11" s="198">
        <v>421675</v>
      </c>
      <c r="H11" s="198"/>
      <c r="I11" s="198"/>
      <c r="K11" s="203" t="s">
        <v>1206</v>
      </c>
      <c r="L11" s="200">
        <v>2058855.6666666667</v>
      </c>
      <c r="M11" s="200">
        <v>104083.33333333333</v>
      </c>
      <c r="N11" s="200">
        <v>24824</v>
      </c>
      <c r="O11" s="200">
        <v>185483.66666666666</v>
      </c>
      <c r="P11" s="200">
        <v>3668877</v>
      </c>
      <c r="Q11" s="200">
        <v>85200</v>
      </c>
      <c r="R11" s="200">
        <v>184849.33333333334</v>
      </c>
      <c r="S11" s="200">
        <v>666510.66666666663</v>
      </c>
      <c r="T11" s="200">
        <v>1235312.3333333333</v>
      </c>
      <c r="U11" s="200">
        <v>2724429.6666666665</v>
      </c>
      <c r="V11" s="200"/>
      <c r="W11" s="200">
        <v>5225458</v>
      </c>
      <c r="X11" s="200">
        <v>144300.33333333334</v>
      </c>
      <c r="Y11" s="200">
        <v>1099180.6666666667</v>
      </c>
      <c r="Z11" s="200"/>
      <c r="AA11" s="200">
        <v>2312394.3333333335</v>
      </c>
      <c r="AB11" s="200">
        <v>1576055</v>
      </c>
      <c r="AC11" s="200">
        <v>2463926</v>
      </c>
      <c r="AD11" s="200">
        <v>4166047.6666666665</v>
      </c>
      <c r="AE11" s="200">
        <v>430788.33333333331</v>
      </c>
      <c r="AF11" s="200">
        <v>198115.66666666666</v>
      </c>
    </row>
    <row r="12" spans="1:144" x14ac:dyDescent="0.3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98" t="s">
        <v>1955</v>
      </c>
      <c r="D12" s="198" t="s">
        <v>1956</v>
      </c>
      <c r="E12" s="198" t="s">
        <v>1957</v>
      </c>
      <c r="F12" s="198" t="s">
        <v>112</v>
      </c>
      <c r="G12" s="198">
        <v>203732</v>
      </c>
      <c r="H12" s="198"/>
      <c r="I12" s="198"/>
      <c r="K12" s="203" t="s">
        <v>1207</v>
      </c>
      <c r="L12" s="200">
        <v>1800847.3333333333</v>
      </c>
      <c r="M12" s="200">
        <v>83080.333333333328</v>
      </c>
      <c r="N12" s="200">
        <v>484726</v>
      </c>
      <c r="O12" s="200">
        <v>693533.33333333337</v>
      </c>
      <c r="P12" s="200">
        <v>3375410</v>
      </c>
      <c r="Q12" s="200">
        <v>197726</v>
      </c>
      <c r="R12" s="200">
        <v>67319.333333333328</v>
      </c>
      <c r="S12" s="200">
        <v>154502.33333333334</v>
      </c>
      <c r="T12" s="200">
        <v>2268053</v>
      </c>
      <c r="U12" s="200">
        <v>2656165.6666666665</v>
      </c>
      <c r="V12" s="200">
        <v>1460508.3333333333</v>
      </c>
      <c r="W12" s="200">
        <v>3912307.3333333335</v>
      </c>
      <c r="X12" s="200">
        <v>242420.66666666666</v>
      </c>
      <c r="Y12" s="200">
        <v>836817.33333333337</v>
      </c>
      <c r="Z12" s="200">
        <v>1882312.6666666667</v>
      </c>
      <c r="AA12" s="200">
        <v>544157.66666666663</v>
      </c>
      <c r="AB12" s="200">
        <v>2263128.6666666665</v>
      </c>
      <c r="AC12" s="200">
        <v>5476372</v>
      </c>
      <c r="AD12" s="200">
        <v>3612538.6666666665</v>
      </c>
      <c r="AE12" s="200">
        <v>198692.33333333334</v>
      </c>
      <c r="AF12" s="200">
        <v>155612.33333333334</v>
      </c>
    </row>
    <row r="13" spans="1:144" x14ac:dyDescent="0.3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98" t="s">
        <v>1958</v>
      </c>
      <c r="D13" s="198" t="s">
        <v>1959</v>
      </c>
      <c r="E13" s="198" t="s">
        <v>1960</v>
      </c>
      <c r="F13" s="198" t="s">
        <v>112</v>
      </c>
      <c r="G13" s="198">
        <v>15574</v>
      </c>
      <c r="H13" s="198"/>
      <c r="I13" s="198"/>
      <c r="K13"/>
      <c r="L13"/>
      <c r="M13"/>
    </row>
    <row r="14" spans="1:144" x14ac:dyDescent="0.3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98" t="s">
        <v>1961</v>
      </c>
      <c r="D14" s="198" t="s">
        <v>1962</v>
      </c>
      <c r="E14" s="198" t="s">
        <v>1963</v>
      </c>
      <c r="F14" s="198" t="s">
        <v>112</v>
      </c>
      <c r="G14" s="198">
        <v>277641</v>
      </c>
      <c r="H14" s="198"/>
      <c r="I14" s="198"/>
      <c r="K14"/>
      <c r="L14"/>
      <c r="M14"/>
    </row>
    <row r="15" spans="1:144" x14ac:dyDescent="0.3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98" t="s">
        <v>1964</v>
      </c>
      <c r="D15" s="198" t="s">
        <v>531</v>
      </c>
      <c r="E15" s="198" t="s">
        <v>1965</v>
      </c>
      <c r="F15" s="198" t="s">
        <v>112</v>
      </c>
      <c r="G15" s="198">
        <v>245456</v>
      </c>
      <c r="H15" s="198"/>
      <c r="I15" s="198"/>
    </row>
    <row r="16" spans="1:144" x14ac:dyDescent="0.3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98" t="s">
        <v>1966</v>
      </c>
      <c r="D16" s="198" t="s">
        <v>1102</v>
      </c>
      <c r="E16" s="198" t="s">
        <v>1967</v>
      </c>
      <c r="F16" s="198" t="s">
        <v>112</v>
      </c>
      <c r="G16" s="198">
        <v>368141</v>
      </c>
      <c r="H16" s="198"/>
      <c r="I16" s="198"/>
      <c r="M16"/>
      <c r="N16"/>
      <c r="O16"/>
      <c r="P16"/>
      <c r="Q16"/>
      <c r="R16"/>
      <c r="S16"/>
      <c r="T16"/>
      <c r="U16"/>
      <c r="V16"/>
      <c r="W16"/>
      <c r="X16"/>
      <c r="Y16"/>
      <c r="Z16"/>
      <c r="AA16"/>
      <c r="AB16"/>
      <c r="AC16"/>
      <c r="AD16"/>
      <c r="AE16"/>
      <c r="AF16"/>
      <c r="AG16"/>
      <c r="AH16"/>
    </row>
    <row r="17" spans="1:34" x14ac:dyDescent="0.3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98" t="s">
        <v>1968</v>
      </c>
      <c r="D17" s="198" t="s">
        <v>1969</v>
      </c>
      <c r="E17" s="198" t="s">
        <v>1970</v>
      </c>
      <c r="F17" s="198" t="s">
        <v>112</v>
      </c>
      <c r="G17" s="198">
        <v>182232</v>
      </c>
      <c r="H17" s="198"/>
      <c r="I17" s="198"/>
      <c r="M17"/>
      <c r="N17"/>
      <c r="O17"/>
      <c r="P17"/>
      <c r="Q17"/>
      <c r="R17"/>
      <c r="S17"/>
      <c r="T17"/>
      <c r="U17"/>
      <c r="V17"/>
      <c r="W17"/>
      <c r="X17"/>
      <c r="Y17"/>
      <c r="Z17"/>
      <c r="AA17"/>
      <c r="AB17"/>
      <c r="AC17"/>
      <c r="AD17"/>
      <c r="AE17"/>
      <c r="AF17"/>
      <c r="AG17"/>
      <c r="AH17"/>
    </row>
    <row r="18" spans="1:34" x14ac:dyDescent="0.3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98" t="s">
        <v>1971</v>
      </c>
      <c r="D18" s="198" t="s">
        <v>1972</v>
      </c>
      <c r="E18" s="198" t="s">
        <v>1973</v>
      </c>
      <c r="F18" s="198" t="s">
        <v>112</v>
      </c>
      <c r="G18" s="198">
        <v>103586</v>
      </c>
      <c r="H18" s="198"/>
      <c r="I18" s="198"/>
      <c r="M18"/>
      <c r="N18"/>
      <c r="O18"/>
      <c r="P18"/>
      <c r="Q18"/>
      <c r="R18"/>
      <c r="S18"/>
      <c r="T18"/>
      <c r="U18"/>
      <c r="V18"/>
      <c r="W18"/>
      <c r="X18"/>
      <c r="Y18"/>
      <c r="Z18"/>
      <c r="AA18"/>
      <c r="AB18"/>
      <c r="AC18"/>
      <c r="AD18"/>
      <c r="AE18"/>
      <c r="AF18"/>
      <c r="AG18"/>
      <c r="AH18"/>
    </row>
    <row r="19" spans="1:34" x14ac:dyDescent="0.3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98" t="s">
        <v>1974</v>
      </c>
      <c r="D19" s="198" t="s">
        <v>1975</v>
      </c>
      <c r="E19" s="198" t="s">
        <v>1976</v>
      </c>
      <c r="F19" s="198" t="s">
        <v>112</v>
      </c>
      <c r="G19" s="198">
        <v>89353</v>
      </c>
      <c r="H19" s="198"/>
      <c r="I19" s="198"/>
      <c r="K19"/>
      <c r="L19"/>
      <c r="M19"/>
      <c r="N19"/>
      <c r="O19"/>
      <c r="P19"/>
      <c r="Q19"/>
      <c r="R19"/>
      <c r="S19"/>
      <c r="T19"/>
      <c r="U19"/>
      <c r="V19"/>
      <c r="W19"/>
      <c r="X19"/>
      <c r="Y19"/>
      <c r="Z19"/>
      <c r="AA19"/>
      <c r="AB19"/>
      <c r="AC19"/>
      <c r="AD19"/>
      <c r="AE19"/>
      <c r="AF19"/>
      <c r="AG19"/>
      <c r="AH19"/>
    </row>
    <row r="20" spans="1:34" x14ac:dyDescent="0.3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98" t="s">
        <v>1977</v>
      </c>
      <c r="D20" s="198" t="s">
        <v>1978</v>
      </c>
      <c r="E20" s="198" t="s">
        <v>1979</v>
      </c>
      <c r="F20" s="198" t="s">
        <v>112</v>
      </c>
      <c r="G20" s="198">
        <v>163414</v>
      </c>
      <c r="H20" s="198"/>
      <c r="I20" s="198"/>
      <c r="K20"/>
      <c r="L20"/>
      <c r="M20"/>
      <c r="N20"/>
      <c r="O20"/>
      <c r="P20"/>
      <c r="Q20"/>
      <c r="R20"/>
      <c r="S20"/>
      <c r="T20"/>
      <c r="U20"/>
      <c r="V20"/>
      <c r="W20"/>
      <c r="X20"/>
      <c r="Y20"/>
      <c r="Z20"/>
      <c r="AA20"/>
      <c r="AB20"/>
      <c r="AC20"/>
      <c r="AD20"/>
      <c r="AE20"/>
      <c r="AF20"/>
      <c r="AG20"/>
      <c r="AH20"/>
    </row>
    <row r="21" spans="1:34" x14ac:dyDescent="0.3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98" t="s">
        <v>1980</v>
      </c>
      <c r="D21" s="198" t="s">
        <v>1228</v>
      </c>
      <c r="E21" s="198" t="s">
        <v>1981</v>
      </c>
      <c r="F21" s="198" t="s">
        <v>112</v>
      </c>
      <c r="G21" s="198">
        <v>147538</v>
      </c>
      <c r="H21" s="198"/>
      <c r="I21" s="198"/>
      <c r="K21"/>
      <c r="L21"/>
      <c r="M21"/>
      <c r="N21"/>
      <c r="O21"/>
      <c r="P21"/>
      <c r="Q21"/>
      <c r="R21"/>
      <c r="S21"/>
      <c r="T21"/>
      <c r="U21"/>
      <c r="V21"/>
      <c r="W21"/>
      <c r="X21"/>
      <c r="Y21"/>
      <c r="Z21"/>
      <c r="AA21"/>
      <c r="AB21"/>
      <c r="AC21"/>
      <c r="AD21"/>
      <c r="AE21"/>
      <c r="AF21"/>
      <c r="AG21"/>
      <c r="AH21"/>
    </row>
    <row r="22" spans="1:34" x14ac:dyDescent="0.3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98" t="s">
        <v>1982</v>
      </c>
      <c r="D22" s="198" t="s">
        <v>538</v>
      </c>
      <c r="E22" s="198">
        <v>30</v>
      </c>
      <c r="F22" s="198" t="s">
        <v>112</v>
      </c>
      <c r="G22" s="198">
        <v>1298</v>
      </c>
      <c r="H22" s="198"/>
      <c r="I22" s="198"/>
      <c r="K22"/>
      <c r="L22"/>
      <c r="M22"/>
      <c r="N22"/>
      <c r="O22"/>
      <c r="P22"/>
      <c r="Q22"/>
      <c r="R22"/>
      <c r="S22"/>
      <c r="T22"/>
      <c r="U22"/>
      <c r="V22"/>
      <c r="W22"/>
      <c r="X22"/>
      <c r="Y22"/>
      <c r="Z22"/>
      <c r="AA22"/>
      <c r="AB22"/>
      <c r="AC22"/>
      <c r="AD22"/>
      <c r="AE22"/>
      <c r="AF22"/>
      <c r="AG22"/>
      <c r="AH22"/>
    </row>
    <row r="23" spans="1:34" x14ac:dyDescent="0.3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98" t="s">
        <v>1983</v>
      </c>
      <c r="D23" s="198" t="s">
        <v>1155</v>
      </c>
      <c r="E23" s="198" t="s">
        <v>1984</v>
      </c>
      <c r="F23" s="198" t="s">
        <v>112</v>
      </c>
      <c r="G23" s="198">
        <v>36922</v>
      </c>
      <c r="H23" s="198"/>
      <c r="I23" s="198"/>
      <c r="K23"/>
      <c r="L23"/>
      <c r="M23"/>
      <c r="N23"/>
      <c r="O23"/>
      <c r="P23"/>
      <c r="Q23"/>
      <c r="R23"/>
      <c r="S23"/>
      <c r="T23"/>
      <c r="U23"/>
      <c r="V23"/>
      <c r="W23"/>
      <c r="X23"/>
      <c r="Y23"/>
      <c r="Z23"/>
      <c r="AA23"/>
      <c r="AB23"/>
      <c r="AC23"/>
      <c r="AD23"/>
      <c r="AE23"/>
      <c r="AF23"/>
      <c r="AG23"/>
      <c r="AH23"/>
    </row>
    <row r="24" spans="1:34" x14ac:dyDescent="0.3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98" t="s">
        <v>1985</v>
      </c>
      <c r="D24" s="198" t="s">
        <v>1411</v>
      </c>
      <c r="E24" s="198" t="s">
        <v>1986</v>
      </c>
      <c r="F24" s="198" t="s">
        <v>112</v>
      </c>
      <c r="G24" s="198">
        <v>111221</v>
      </c>
      <c r="H24" s="198"/>
      <c r="I24" s="198"/>
      <c r="K24"/>
      <c r="L24"/>
      <c r="M24"/>
      <c r="N24"/>
      <c r="O24"/>
      <c r="P24"/>
      <c r="Q24"/>
      <c r="R24"/>
      <c r="S24"/>
      <c r="T24"/>
      <c r="U24"/>
      <c r="V24"/>
      <c r="W24"/>
      <c r="X24"/>
      <c r="Y24"/>
      <c r="Z24"/>
      <c r="AA24"/>
      <c r="AB24"/>
      <c r="AC24"/>
      <c r="AD24"/>
      <c r="AE24"/>
      <c r="AF24"/>
      <c r="AG24"/>
      <c r="AH24"/>
    </row>
    <row r="25" spans="1:34" x14ac:dyDescent="0.3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98" t="s">
        <v>1987</v>
      </c>
      <c r="D25" s="198" t="s">
        <v>1988</v>
      </c>
      <c r="E25" s="198" t="s">
        <v>1989</v>
      </c>
      <c r="F25" s="198" t="s">
        <v>112</v>
      </c>
      <c r="G25" s="198">
        <v>101098</v>
      </c>
      <c r="H25" s="198"/>
      <c r="I25" s="198"/>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98" t="s">
        <v>112</v>
      </c>
      <c r="D26" s="198"/>
      <c r="E26" s="198"/>
      <c r="F26" s="198"/>
      <c r="G26" s="198"/>
      <c r="H26" s="198"/>
      <c r="I26" s="198"/>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98" t="s">
        <v>195</v>
      </c>
      <c r="D27" s="198" t="s">
        <v>112</v>
      </c>
      <c r="E27" s="198" t="s">
        <v>196</v>
      </c>
      <c r="F27" s="198" t="s">
        <v>197</v>
      </c>
      <c r="G27" s="198" t="s">
        <v>198</v>
      </c>
      <c r="H27" s="198" t="s">
        <v>199</v>
      </c>
      <c r="I27" s="198" t="s">
        <v>200</v>
      </c>
      <c r="J27" s="1" t="s">
        <v>201</v>
      </c>
      <c r="K27"/>
      <c r="L27"/>
      <c r="M27"/>
      <c r="N27"/>
      <c r="O27"/>
      <c r="P27"/>
      <c r="Q27"/>
      <c r="R27"/>
      <c r="S27"/>
      <c r="T27"/>
      <c r="U27"/>
      <c r="V27"/>
      <c r="W27"/>
      <c r="X27"/>
      <c r="Y27"/>
      <c r="Z27"/>
      <c r="AA27"/>
      <c r="AB27"/>
      <c r="AC27"/>
      <c r="AD27"/>
      <c r="AE27"/>
      <c r="AF27"/>
      <c r="AG27"/>
      <c r="AH27"/>
    </row>
    <row r="28" spans="1:34" x14ac:dyDescent="0.35">
      <c r="A28" s="1" t="str">
        <f t="shared" si="0"/>
        <v>1</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98" t="s">
        <v>1990</v>
      </c>
      <c r="D28" s="198" t="s">
        <v>112</v>
      </c>
      <c r="E28" s="198" t="s">
        <v>1991</v>
      </c>
      <c r="F28" s="198" t="s">
        <v>1992</v>
      </c>
      <c r="G28" s="198" t="s">
        <v>1993</v>
      </c>
      <c r="H28" s="198" t="s">
        <v>1994</v>
      </c>
      <c r="I28" s="198">
        <v>24</v>
      </c>
      <c r="J28" s="1">
        <v>24</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98" t="s">
        <v>112</v>
      </c>
      <c r="D29" s="198"/>
      <c r="E29" s="198"/>
      <c r="F29" s="198"/>
      <c r="G29" s="198"/>
      <c r="H29" s="198"/>
      <c r="I29" s="198"/>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98" t="s">
        <v>112</v>
      </c>
      <c r="D30" s="198"/>
      <c r="E30" s="198"/>
      <c r="F30" s="198"/>
      <c r="G30" s="198"/>
      <c r="H30" s="198"/>
      <c r="I30" s="198"/>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98" t="s">
        <v>112</v>
      </c>
      <c r="D31" s="198"/>
      <c r="E31" s="198"/>
      <c r="F31" s="198"/>
      <c r="G31" s="198"/>
      <c r="H31" s="198"/>
      <c r="I31" s="198"/>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98" t="s">
        <v>112</v>
      </c>
      <c r="D32" s="198"/>
      <c r="E32" s="198"/>
      <c r="F32" s="198"/>
      <c r="G32" s="198"/>
      <c r="H32" s="198"/>
      <c r="I32" s="198"/>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98" t="s">
        <v>112</v>
      </c>
      <c r="D33" s="198"/>
      <c r="E33" s="198"/>
      <c r="F33" s="198"/>
      <c r="G33" s="198"/>
      <c r="H33" s="198"/>
      <c r="I33" s="198"/>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98" t="s">
        <v>206</v>
      </c>
      <c r="D34" s="198" t="s">
        <v>110</v>
      </c>
      <c r="E34" s="198" t="s">
        <v>111</v>
      </c>
      <c r="F34" s="198" t="s">
        <v>112</v>
      </c>
      <c r="G34" s="198" t="s">
        <v>113</v>
      </c>
      <c r="H34" s="198"/>
      <c r="I34" s="198"/>
      <c r="K34"/>
      <c r="L34"/>
      <c r="M34"/>
      <c r="N34"/>
      <c r="O34"/>
      <c r="P34"/>
      <c r="Q34"/>
      <c r="R34"/>
      <c r="S34"/>
      <c r="T34"/>
      <c r="U34"/>
      <c r="V34"/>
      <c r="W34"/>
      <c r="X34"/>
      <c r="Y34"/>
      <c r="Z34"/>
      <c r="AA34"/>
      <c r="AB34"/>
      <c r="AC34"/>
      <c r="AD34"/>
      <c r="AE34"/>
      <c r="AF34"/>
      <c r="AG34"/>
      <c r="AH34"/>
    </row>
    <row r="35" spans="1:34" x14ac:dyDescent="0.35">
      <c r="A35" s="1" t="str">
        <f t="shared" si="0"/>
        <v>13</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98" t="s">
        <v>1995</v>
      </c>
      <c r="D35" s="198" t="s">
        <v>1996</v>
      </c>
      <c r="E35" s="198" t="s">
        <v>1997</v>
      </c>
      <c r="F35" s="198" t="s">
        <v>112</v>
      </c>
      <c r="G35" s="198">
        <v>2020059</v>
      </c>
      <c r="H35" s="198"/>
      <c r="I35" s="198"/>
      <c r="K35"/>
      <c r="L35"/>
      <c r="M35"/>
      <c r="N35"/>
      <c r="O35"/>
      <c r="P35"/>
      <c r="Q35"/>
      <c r="R35"/>
      <c r="S35"/>
      <c r="T35"/>
      <c r="U35"/>
      <c r="V35"/>
      <c r="W35"/>
      <c r="X35"/>
      <c r="Y35"/>
      <c r="Z35"/>
      <c r="AA35"/>
      <c r="AB35"/>
      <c r="AC35"/>
      <c r="AD35"/>
      <c r="AE35"/>
      <c r="AF35"/>
      <c r="AG35"/>
      <c r="AH35"/>
    </row>
    <row r="36" spans="1:34" x14ac:dyDescent="0.35">
      <c r="A36" s="1" t="str">
        <f t="shared" si="0"/>
        <v>13</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98" t="s">
        <v>1998</v>
      </c>
      <c r="D36" s="198" t="s">
        <v>282</v>
      </c>
      <c r="E36" s="198" t="s">
        <v>1999</v>
      </c>
      <c r="F36" s="198" t="s">
        <v>112</v>
      </c>
      <c r="G36" s="198">
        <v>1357103</v>
      </c>
      <c r="H36" s="198"/>
      <c r="I36" s="198"/>
      <c r="K36"/>
      <c r="L36"/>
      <c r="M36"/>
      <c r="N36"/>
      <c r="O36"/>
      <c r="P36"/>
      <c r="Q36"/>
      <c r="R36"/>
      <c r="S36"/>
      <c r="T36"/>
      <c r="U36"/>
      <c r="V36"/>
      <c r="W36"/>
      <c r="X36"/>
      <c r="Y36"/>
      <c r="Z36"/>
      <c r="AA36"/>
      <c r="AB36"/>
      <c r="AC36"/>
      <c r="AD36"/>
      <c r="AE36"/>
      <c r="AF36"/>
      <c r="AG36"/>
      <c r="AH36"/>
    </row>
    <row r="37" spans="1:34" x14ac:dyDescent="0.35">
      <c r="A37" s="1" t="str">
        <f t="shared" si="0"/>
        <v>13</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98" t="s">
        <v>2000</v>
      </c>
      <c r="D37" s="198" t="s">
        <v>2001</v>
      </c>
      <c r="E37" s="198" t="s">
        <v>2002</v>
      </c>
      <c r="F37" s="198" t="s">
        <v>112</v>
      </c>
      <c r="G37" s="198">
        <v>1695805</v>
      </c>
      <c r="H37" s="198"/>
      <c r="I37" s="198"/>
      <c r="K37"/>
      <c r="L37"/>
      <c r="M37"/>
      <c r="N37"/>
      <c r="O37"/>
      <c r="P37"/>
      <c r="Q37"/>
      <c r="R37"/>
      <c r="S37"/>
      <c r="T37"/>
      <c r="U37"/>
      <c r="V37"/>
      <c r="W37"/>
      <c r="X37"/>
      <c r="Y37"/>
      <c r="Z37"/>
      <c r="AA37"/>
      <c r="AB37"/>
      <c r="AC37"/>
      <c r="AD37"/>
      <c r="AE37"/>
      <c r="AF37"/>
      <c r="AG37"/>
      <c r="AH37"/>
    </row>
    <row r="38" spans="1:34" x14ac:dyDescent="0.35">
      <c r="A38" s="1" t="str">
        <f t="shared" si="0"/>
        <v>13</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98" t="s">
        <v>2003</v>
      </c>
      <c r="D38" s="198" t="s">
        <v>466</v>
      </c>
      <c r="E38" s="198" t="s">
        <v>2004</v>
      </c>
      <c r="F38" s="198" t="s">
        <v>112</v>
      </c>
      <c r="G38" s="198">
        <v>31536</v>
      </c>
      <c r="H38" s="198"/>
      <c r="I38" s="198"/>
      <c r="K38"/>
      <c r="L38"/>
      <c r="M38"/>
      <c r="N38"/>
      <c r="O38"/>
      <c r="P38"/>
      <c r="Q38"/>
      <c r="R38"/>
      <c r="S38"/>
      <c r="T38"/>
      <c r="U38"/>
      <c r="V38"/>
      <c r="W38"/>
      <c r="X38"/>
      <c r="Y38"/>
      <c r="Z38"/>
      <c r="AA38"/>
      <c r="AB38"/>
      <c r="AC38"/>
      <c r="AD38"/>
      <c r="AE38"/>
      <c r="AF38"/>
      <c r="AG38"/>
      <c r="AH38"/>
    </row>
    <row r="39" spans="1:34" x14ac:dyDescent="0.35">
      <c r="A39" s="1" t="str">
        <f t="shared" si="0"/>
        <v>13</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98" t="s">
        <v>2005</v>
      </c>
      <c r="D39" s="198" t="s">
        <v>1389</v>
      </c>
      <c r="E39" s="198" t="s">
        <v>2006</v>
      </c>
      <c r="F39" s="198" t="s">
        <v>112</v>
      </c>
      <c r="G39" s="198">
        <v>44406</v>
      </c>
      <c r="H39" s="198"/>
      <c r="I39" s="198"/>
    </row>
    <row r="40" spans="1:34" x14ac:dyDescent="0.35">
      <c r="A40" s="1" t="str">
        <f t="shared" si="0"/>
        <v>13</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98" t="s">
        <v>2007</v>
      </c>
      <c r="D40" s="198" t="s">
        <v>2008</v>
      </c>
      <c r="E40" s="198" t="s">
        <v>2009</v>
      </c>
      <c r="F40" s="198" t="s">
        <v>112</v>
      </c>
      <c r="G40" s="198">
        <v>141330</v>
      </c>
      <c r="H40" s="198"/>
      <c r="I40" s="198"/>
    </row>
    <row r="41" spans="1:34" x14ac:dyDescent="0.35">
      <c r="A41" s="1" t="str">
        <f t="shared" si="0"/>
        <v>13</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98" t="s">
        <v>2010</v>
      </c>
      <c r="D41" s="198" t="s">
        <v>2011</v>
      </c>
      <c r="E41" s="198" t="s">
        <v>2012</v>
      </c>
      <c r="F41" s="198" t="s">
        <v>112</v>
      </c>
      <c r="G41" s="198">
        <v>1743521</v>
      </c>
      <c r="H41" s="198"/>
      <c r="I41" s="198"/>
    </row>
    <row r="42" spans="1:34" x14ac:dyDescent="0.35">
      <c r="A42" s="1" t="str">
        <f t="shared" si="0"/>
        <v>13</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98" t="s">
        <v>2013</v>
      </c>
      <c r="D42" s="198" t="s">
        <v>2014</v>
      </c>
      <c r="E42" s="198" t="s">
        <v>2015</v>
      </c>
      <c r="F42" s="198" t="s">
        <v>112</v>
      </c>
      <c r="G42" s="198">
        <v>1179673</v>
      </c>
      <c r="H42" s="198"/>
      <c r="I42" s="198"/>
    </row>
    <row r="43" spans="1:34" x14ac:dyDescent="0.35">
      <c r="A43" s="1" t="str">
        <f t="shared" si="0"/>
        <v>13</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98" t="s">
        <v>2016</v>
      </c>
      <c r="D43" s="198" t="s">
        <v>2017</v>
      </c>
      <c r="E43" s="198" t="s">
        <v>2018</v>
      </c>
      <c r="F43" s="198" t="s">
        <v>112</v>
      </c>
      <c r="G43" s="198">
        <v>1518894</v>
      </c>
      <c r="H43" s="198"/>
      <c r="I43" s="198"/>
    </row>
    <row r="44" spans="1:34" x14ac:dyDescent="0.3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98" t="s">
        <v>2019</v>
      </c>
      <c r="D44" s="198" t="s">
        <v>2020</v>
      </c>
      <c r="E44" s="198" t="s">
        <v>2021</v>
      </c>
      <c r="F44" s="198" t="s">
        <v>112</v>
      </c>
      <c r="G44" s="198">
        <v>810580</v>
      </c>
      <c r="H44" s="198"/>
      <c r="I44" s="198"/>
    </row>
    <row r="45" spans="1:34" x14ac:dyDescent="0.3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98" t="s">
        <v>2022</v>
      </c>
      <c r="D45" s="198"/>
      <c r="E45" s="198"/>
      <c r="F45" s="198"/>
      <c r="G45" s="198"/>
      <c r="H45" s="198"/>
      <c r="I45" s="198"/>
    </row>
    <row r="46" spans="1:34" x14ac:dyDescent="0.3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98" t="s">
        <v>2023</v>
      </c>
      <c r="D46" s="198" t="s">
        <v>2024</v>
      </c>
      <c r="E46" s="198" t="s">
        <v>2025</v>
      </c>
      <c r="F46" s="198" t="s">
        <v>112</v>
      </c>
      <c r="G46" s="198">
        <v>1308847</v>
      </c>
      <c r="H46" s="198"/>
      <c r="I46" s="198"/>
    </row>
    <row r="47" spans="1:34" x14ac:dyDescent="0.3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98" t="s">
        <v>2026</v>
      </c>
      <c r="D47" s="198" t="s">
        <v>2027</v>
      </c>
      <c r="E47" s="198" t="s">
        <v>2028</v>
      </c>
      <c r="F47" s="198" t="s">
        <v>112</v>
      </c>
      <c r="G47" s="198">
        <v>488057</v>
      </c>
      <c r="H47" s="198"/>
      <c r="I47" s="198"/>
    </row>
    <row r="48" spans="1:34" x14ac:dyDescent="0.3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98" t="s">
        <v>2029</v>
      </c>
      <c r="D48" s="198" t="s">
        <v>2030</v>
      </c>
      <c r="E48" s="198" t="s">
        <v>2031</v>
      </c>
      <c r="F48" s="198" t="s">
        <v>112</v>
      </c>
      <c r="G48" s="198">
        <v>305219</v>
      </c>
      <c r="H48" s="198"/>
      <c r="I48" s="198"/>
    </row>
    <row r="49" spans="1:9" x14ac:dyDescent="0.3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98" t="s">
        <v>2032</v>
      </c>
      <c r="D49" s="198" t="s">
        <v>1138</v>
      </c>
      <c r="E49" s="198" t="s">
        <v>2033</v>
      </c>
      <c r="F49" s="198" t="s">
        <v>112</v>
      </c>
      <c r="G49" s="198">
        <v>218700</v>
      </c>
      <c r="H49" s="198"/>
      <c r="I49" s="198"/>
    </row>
    <row r="50" spans="1:9" x14ac:dyDescent="0.3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98" t="s">
        <v>2034</v>
      </c>
      <c r="D50" s="198" t="s">
        <v>2035</v>
      </c>
      <c r="E50" s="198" t="s">
        <v>2036</v>
      </c>
      <c r="F50" s="198" t="s">
        <v>112</v>
      </c>
      <c r="G50" s="198">
        <v>2287188</v>
      </c>
      <c r="H50" s="198"/>
      <c r="I50" s="198"/>
    </row>
    <row r="51" spans="1:9" x14ac:dyDescent="0.3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98" t="s">
        <v>2037</v>
      </c>
      <c r="D51" s="198" t="s">
        <v>2038</v>
      </c>
      <c r="E51" s="198" t="s">
        <v>2039</v>
      </c>
      <c r="F51" s="198" t="s">
        <v>112</v>
      </c>
      <c r="G51" s="198">
        <v>1609372</v>
      </c>
      <c r="H51" s="198"/>
      <c r="I51" s="198"/>
    </row>
    <row r="52" spans="1:9" x14ac:dyDescent="0.3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98" t="s">
        <v>2040</v>
      </c>
      <c r="D52" s="198" t="s">
        <v>2041</v>
      </c>
      <c r="E52" s="198" t="s">
        <v>2042</v>
      </c>
      <c r="F52" s="198" t="s">
        <v>112</v>
      </c>
      <c r="G52" s="198">
        <v>2250482</v>
      </c>
      <c r="H52" s="198"/>
      <c r="I52" s="198"/>
    </row>
    <row r="53" spans="1:9" x14ac:dyDescent="0.3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98" t="s">
        <v>2043</v>
      </c>
      <c r="D53" s="198" t="s">
        <v>1379</v>
      </c>
      <c r="E53" s="198" t="s">
        <v>1675</v>
      </c>
      <c r="F53" s="198" t="s">
        <v>112</v>
      </c>
      <c r="G53" s="198">
        <v>4066</v>
      </c>
      <c r="H53" s="198"/>
      <c r="I53" s="198"/>
    </row>
    <row r="54" spans="1:9" x14ac:dyDescent="0.3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98" t="s">
        <v>2044</v>
      </c>
      <c r="D54" s="198" t="s">
        <v>2045</v>
      </c>
      <c r="E54" s="198" t="s">
        <v>2046</v>
      </c>
      <c r="F54" s="198" t="s">
        <v>112</v>
      </c>
      <c r="G54" s="198">
        <v>63614</v>
      </c>
      <c r="H54" s="198"/>
      <c r="I54" s="198"/>
    </row>
    <row r="55" spans="1:9" x14ac:dyDescent="0.3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98" t="s">
        <v>2047</v>
      </c>
      <c r="D55" s="198" t="s">
        <v>1437</v>
      </c>
      <c r="E55" s="198" t="s">
        <v>2048</v>
      </c>
      <c r="F55" s="198" t="s">
        <v>112</v>
      </c>
      <c r="G55" s="198">
        <v>6792</v>
      </c>
      <c r="H55" s="198"/>
      <c r="I55" s="198"/>
    </row>
    <row r="56" spans="1:9" x14ac:dyDescent="0.3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98" t="s">
        <v>2049</v>
      </c>
      <c r="D56" s="198" t="s">
        <v>2050</v>
      </c>
      <c r="E56" s="198" t="s">
        <v>2051</v>
      </c>
      <c r="F56" s="198" t="s">
        <v>112</v>
      </c>
      <c r="G56" s="198">
        <v>484726</v>
      </c>
      <c r="H56" s="198"/>
      <c r="I56" s="198"/>
    </row>
    <row r="57" spans="1:9" x14ac:dyDescent="0.3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98" t="s">
        <v>2052</v>
      </c>
      <c r="D57" s="198"/>
      <c r="E57" s="198"/>
      <c r="F57" s="198"/>
      <c r="G57" s="198"/>
      <c r="H57" s="198"/>
      <c r="I57" s="198"/>
    </row>
    <row r="58" spans="1:9" x14ac:dyDescent="0.3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98" t="s">
        <v>2053</v>
      </c>
      <c r="D58" s="198"/>
      <c r="E58" s="198"/>
      <c r="F58" s="198"/>
      <c r="G58" s="198"/>
      <c r="H58" s="198"/>
      <c r="I58" s="198"/>
    </row>
    <row r="59" spans="1:9"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98" t="s">
        <v>112</v>
      </c>
      <c r="D59" s="198"/>
      <c r="E59" s="198"/>
      <c r="F59" s="198"/>
      <c r="G59" s="198"/>
      <c r="H59" s="198"/>
      <c r="I59" s="198"/>
    </row>
    <row r="60" spans="1:9"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98" t="s">
        <v>195</v>
      </c>
      <c r="D60" s="198" t="s">
        <v>112</v>
      </c>
      <c r="E60" s="198" t="s">
        <v>196</v>
      </c>
      <c r="F60" s="198" t="s">
        <v>197</v>
      </c>
      <c r="G60" s="198" t="s">
        <v>198</v>
      </c>
      <c r="H60" s="198" t="s">
        <v>199</v>
      </c>
      <c r="I60" s="198" t="s">
        <v>200</v>
      </c>
    </row>
    <row r="61" spans="1:9" x14ac:dyDescent="0.35">
      <c r="A61" s="1" t="str">
        <f t="shared" si="0"/>
        <v>13</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98" t="s">
        <v>2054</v>
      </c>
      <c r="D61" s="198" t="s">
        <v>112</v>
      </c>
      <c r="E61" s="198" t="s">
        <v>2055</v>
      </c>
      <c r="F61" s="198" t="s">
        <v>2056</v>
      </c>
      <c r="G61" s="198" t="s">
        <v>2057</v>
      </c>
      <c r="H61" s="198" t="s">
        <v>2058</v>
      </c>
      <c r="I61" s="198">
        <v>24</v>
      </c>
    </row>
    <row r="62" spans="1:9"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98" t="s">
        <v>112</v>
      </c>
      <c r="D62" s="198"/>
      <c r="E62" s="198"/>
      <c r="F62" s="198"/>
      <c r="G62" s="198"/>
      <c r="H62" s="198"/>
      <c r="I62" s="198"/>
    </row>
    <row r="63" spans="1:9"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98" t="s">
        <v>112</v>
      </c>
      <c r="D63" s="198"/>
      <c r="E63" s="198"/>
      <c r="F63" s="198"/>
      <c r="G63" s="198"/>
      <c r="H63" s="198"/>
      <c r="I63" s="198"/>
    </row>
    <row r="64" spans="1:9"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98" t="s">
        <v>112</v>
      </c>
      <c r="D64" s="198"/>
      <c r="E64" s="198"/>
      <c r="F64" s="198"/>
      <c r="G64" s="198"/>
      <c r="H64" s="198"/>
      <c r="I64" s="198"/>
    </row>
    <row r="65" spans="1:9"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98" t="s">
        <v>112</v>
      </c>
      <c r="D65" s="198"/>
      <c r="E65" s="198"/>
      <c r="F65" s="198"/>
      <c r="G65" s="198"/>
      <c r="H65" s="198"/>
      <c r="I65" s="198"/>
    </row>
    <row r="66" spans="1:9"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98" t="s">
        <v>112</v>
      </c>
      <c r="D66" s="198"/>
      <c r="E66" s="198"/>
      <c r="F66" s="198"/>
      <c r="G66" s="198"/>
      <c r="H66" s="198"/>
      <c r="I66" s="198"/>
    </row>
    <row r="67" spans="1:9"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98" t="s">
        <v>206</v>
      </c>
      <c r="D67" s="198" t="s">
        <v>110</v>
      </c>
      <c r="E67" s="198" t="s">
        <v>111</v>
      </c>
      <c r="F67" s="198" t="s">
        <v>112</v>
      </c>
      <c r="G67" s="198" t="s">
        <v>113</v>
      </c>
      <c r="H67" s="198"/>
      <c r="I67" s="198"/>
    </row>
    <row r="68" spans="1:9" x14ac:dyDescent="0.35">
      <c r="A68" s="1" t="str">
        <f t="shared" si="1"/>
        <v>14</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98" t="s">
        <v>2059</v>
      </c>
      <c r="D68" s="198" t="s">
        <v>1092</v>
      </c>
      <c r="E68" s="198" t="s">
        <v>2060</v>
      </c>
      <c r="F68" s="198" t="s">
        <v>112</v>
      </c>
      <c r="G68" s="198">
        <v>83621</v>
      </c>
      <c r="H68" s="198"/>
      <c r="I68" s="198"/>
    </row>
    <row r="69" spans="1:9" x14ac:dyDescent="0.35">
      <c r="A69" s="1" t="str">
        <f t="shared" si="1"/>
        <v>14</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98" t="s">
        <v>2061</v>
      </c>
      <c r="D69" s="198" t="s">
        <v>510</v>
      </c>
      <c r="E69" s="198" t="s">
        <v>2062</v>
      </c>
      <c r="F69" s="198" t="s">
        <v>112</v>
      </c>
      <c r="G69" s="198">
        <v>120738</v>
      </c>
      <c r="H69" s="198"/>
      <c r="I69" s="198"/>
    </row>
    <row r="70" spans="1:9" x14ac:dyDescent="0.35">
      <c r="A70" s="1" t="str">
        <f t="shared" si="1"/>
        <v>14</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98" t="s">
        <v>2063</v>
      </c>
      <c r="D70" s="198" t="s">
        <v>2064</v>
      </c>
      <c r="E70" s="198" t="s">
        <v>2065</v>
      </c>
      <c r="F70" s="198" t="s">
        <v>112</v>
      </c>
      <c r="G70" s="198">
        <v>4672</v>
      </c>
      <c r="H70" s="198"/>
      <c r="I70" s="198"/>
    </row>
    <row r="71" spans="1:9" x14ac:dyDescent="0.35">
      <c r="A71" s="1" t="str">
        <f t="shared" si="1"/>
        <v>14</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98" t="s">
        <v>2066</v>
      </c>
      <c r="D71" s="198" t="s">
        <v>510</v>
      </c>
      <c r="E71" s="198" t="s">
        <v>2067</v>
      </c>
      <c r="F71" s="198" t="s">
        <v>112</v>
      </c>
      <c r="G71" s="198">
        <v>102958</v>
      </c>
      <c r="H71" s="198"/>
      <c r="I71" s="198"/>
    </row>
    <row r="72" spans="1:9" x14ac:dyDescent="0.35">
      <c r="A72" s="1" t="str">
        <f t="shared" si="1"/>
        <v>14</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98" t="s">
        <v>2068</v>
      </c>
      <c r="D72" s="198" t="s">
        <v>2069</v>
      </c>
      <c r="E72" s="198" t="s">
        <v>2070</v>
      </c>
      <c r="F72" s="198" t="s">
        <v>112</v>
      </c>
      <c r="G72" s="198">
        <v>43541</v>
      </c>
      <c r="H72" s="198"/>
      <c r="I72" s="198"/>
    </row>
    <row r="73" spans="1:9" x14ac:dyDescent="0.35">
      <c r="A73" s="1" t="str">
        <f t="shared" si="1"/>
        <v>14</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98" t="s">
        <v>2071</v>
      </c>
      <c r="D73" s="198" t="s">
        <v>2072</v>
      </c>
      <c r="E73" s="198" t="s">
        <v>2073</v>
      </c>
      <c r="F73" s="198" t="s">
        <v>112</v>
      </c>
      <c r="G73" s="198">
        <v>55805</v>
      </c>
      <c r="H73" s="198"/>
      <c r="I73" s="198"/>
    </row>
    <row r="74" spans="1:9" x14ac:dyDescent="0.35">
      <c r="A74" s="1" t="str">
        <f t="shared" si="1"/>
        <v>14</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98" t="s">
        <v>2074</v>
      </c>
      <c r="D74" s="198" t="s">
        <v>2075</v>
      </c>
      <c r="E74" s="198" t="s">
        <v>2076</v>
      </c>
      <c r="F74" s="198" t="s">
        <v>112</v>
      </c>
      <c r="G74" s="198">
        <v>1682287</v>
      </c>
      <c r="H74" s="198"/>
      <c r="I74" s="198"/>
    </row>
    <row r="75" spans="1:9" x14ac:dyDescent="0.35">
      <c r="A75" s="1" t="str">
        <f t="shared" si="1"/>
        <v>14</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98" t="s">
        <v>2077</v>
      </c>
      <c r="D75" s="198" t="s">
        <v>2078</v>
      </c>
      <c r="E75" s="198" t="s">
        <v>2079</v>
      </c>
      <c r="F75" s="198" t="s">
        <v>112</v>
      </c>
      <c r="G75" s="198">
        <v>1771164</v>
      </c>
      <c r="H75" s="198"/>
      <c r="I75" s="198"/>
    </row>
    <row r="76" spans="1:9" x14ac:dyDescent="0.35">
      <c r="A76" s="1" t="str">
        <f t="shared" si="1"/>
        <v>14</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98" t="s">
        <v>2080</v>
      </c>
      <c r="D76" s="198" t="s">
        <v>2081</v>
      </c>
      <c r="E76" s="198" t="s">
        <v>2082</v>
      </c>
      <c r="F76" s="198" t="s">
        <v>112</v>
      </c>
      <c r="G76" s="198">
        <v>1863372</v>
      </c>
      <c r="H76" s="198"/>
      <c r="I76" s="198"/>
    </row>
    <row r="77" spans="1:9" x14ac:dyDescent="0.35">
      <c r="A77" s="1" t="str">
        <f t="shared" si="1"/>
        <v>14</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98" t="s">
        <v>2083</v>
      </c>
      <c r="D77" s="198"/>
      <c r="E77" s="198"/>
      <c r="F77" s="198"/>
      <c r="G77" s="198"/>
      <c r="H77" s="198"/>
      <c r="I77" s="198"/>
    </row>
    <row r="78" spans="1:9" x14ac:dyDescent="0.35">
      <c r="A78" s="1" t="str">
        <f t="shared" si="1"/>
        <v>14</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98" t="s">
        <v>2084</v>
      </c>
      <c r="D78" s="198"/>
      <c r="E78" s="198"/>
      <c r="F78" s="198"/>
      <c r="G78" s="198"/>
      <c r="H78" s="198"/>
      <c r="I78" s="198"/>
    </row>
    <row r="79" spans="1:9" x14ac:dyDescent="0.35">
      <c r="A79" s="1" t="str">
        <f t="shared" si="1"/>
        <v>14</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98" t="s">
        <v>2085</v>
      </c>
      <c r="D79" s="198"/>
      <c r="E79" s="198"/>
      <c r="F79" s="198"/>
      <c r="G79" s="198"/>
      <c r="H79" s="198"/>
      <c r="I79" s="198"/>
    </row>
    <row r="80" spans="1:9" x14ac:dyDescent="0.35">
      <c r="A80" s="1" t="str">
        <f t="shared" si="1"/>
        <v>14</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98" t="s">
        <v>2086</v>
      </c>
      <c r="D80" s="198" t="s">
        <v>2087</v>
      </c>
      <c r="E80" s="198" t="s">
        <v>2088</v>
      </c>
      <c r="F80" s="198" t="s">
        <v>112</v>
      </c>
      <c r="G80" s="198">
        <v>524893</v>
      </c>
      <c r="H80" s="198"/>
      <c r="I80" s="198"/>
    </row>
    <row r="81" spans="1:9" x14ac:dyDescent="0.35">
      <c r="A81" s="1" t="str">
        <f t="shared" si="1"/>
        <v>14</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98" t="s">
        <v>2089</v>
      </c>
      <c r="D81" s="198" t="s">
        <v>2090</v>
      </c>
      <c r="E81" s="198" t="s">
        <v>2091</v>
      </c>
      <c r="F81" s="198" t="s">
        <v>112</v>
      </c>
      <c r="G81" s="198">
        <v>277425</v>
      </c>
      <c r="H81" s="198"/>
      <c r="I81" s="198"/>
    </row>
    <row r="82" spans="1:9" x14ac:dyDescent="0.35">
      <c r="A82" s="1" t="str">
        <f t="shared" si="1"/>
        <v>14</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98" t="s">
        <v>2092</v>
      </c>
      <c r="D82" s="198" t="s">
        <v>2093</v>
      </c>
      <c r="E82" s="198" t="s">
        <v>2094</v>
      </c>
      <c r="F82" s="198" t="s">
        <v>112</v>
      </c>
      <c r="G82" s="198">
        <v>333663</v>
      </c>
      <c r="H82" s="198"/>
      <c r="I82" s="198"/>
    </row>
    <row r="83" spans="1:9" x14ac:dyDescent="0.35">
      <c r="A83" s="1" t="str">
        <f t="shared" si="1"/>
        <v>14</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98" t="s">
        <v>2095</v>
      </c>
      <c r="D83" s="198" t="s">
        <v>2096</v>
      </c>
      <c r="E83" s="198" t="s">
        <v>2097</v>
      </c>
      <c r="F83" s="198" t="s">
        <v>112</v>
      </c>
      <c r="G83" s="198">
        <v>442959</v>
      </c>
      <c r="H83" s="198"/>
      <c r="I83" s="198"/>
    </row>
    <row r="84" spans="1:9" x14ac:dyDescent="0.35">
      <c r="A84" s="1" t="str">
        <f t="shared" si="1"/>
        <v>14</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98" t="s">
        <v>2098</v>
      </c>
      <c r="D84" s="198" t="s">
        <v>2099</v>
      </c>
      <c r="E84" s="198" t="s">
        <v>2100</v>
      </c>
      <c r="F84" s="198" t="s">
        <v>112</v>
      </c>
      <c r="G84" s="198">
        <v>509946</v>
      </c>
      <c r="H84" s="198"/>
      <c r="I84" s="198"/>
    </row>
    <row r="85" spans="1:9" x14ac:dyDescent="0.3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98" t="s">
        <v>2101</v>
      </c>
      <c r="D85" s="198" t="s">
        <v>2102</v>
      </c>
      <c r="E85" s="198" t="s">
        <v>2103</v>
      </c>
      <c r="F85" s="198" t="s">
        <v>112</v>
      </c>
      <c r="G85" s="198">
        <v>638190</v>
      </c>
      <c r="H85" s="198"/>
      <c r="I85" s="198"/>
    </row>
    <row r="86" spans="1:9" x14ac:dyDescent="0.3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98" t="s">
        <v>2104</v>
      </c>
      <c r="D86" s="198" t="s">
        <v>2105</v>
      </c>
      <c r="E86" s="198" t="s">
        <v>2106</v>
      </c>
      <c r="F86" s="198" t="s">
        <v>112</v>
      </c>
      <c r="G86" s="198">
        <v>237669</v>
      </c>
      <c r="H86" s="198"/>
      <c r="I86" s="198"/>
    </row>
    <row r="87" spans="1:9" x14ac:dyDescent="0.3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98" t="s">
        <v>2107</v>
      </c>
      <c r="D87" s="198" t="s">
        <v>516</v>
      </c>
      <c r="E87" s="198" t="s">
        <v>2108</v>
      </c>
      <c r="F87" s="198" t="s">
        <v>112</v>
      </c>
      <c r="G87" s="198">
        <v>143796</v>
      </c>
      <c r="H87" s="198"/>
      <c r="I87" s="198"/>
    </row>
    <row r="88" spans="1:9" x14ac:dyDescent="0.3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98" t="s">
        <v>2109</v>
      </c>
      <c r="D88" s="198" t="s">
        <v>233</v>
      </c>
      <c r="E88" s="198" t="s">
        <v>2110</v>
      </c>
      <c r="F88" s="198" t="s">
        <v>112</v>
      </c>
      <c r="G88" s="198">
        <v>174986</v>
      </c>
      <c r="H88" s="198"/>
      <c r="I88" s="198"/>
    </row>
    <row r="89" spans="1:9" x14ac:dyDescent="0.3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98" t="s">
        <v>2111</v>
      </c>
      <c r="D89" s="198" t="s">
        <v>2112</v>
      </c>
      <c r="E89" s="198" t="s">
        <v>2113</v>
      </c>
      <c r="F89" s="198" t="s">
        <v>112</v>
      </c>
      <c r="G89" s="198">
        <v>620756</v>
      </c>
      <c r="H89" s="198"/>
      <c r="I89" s="198"/>
    </row>
    <row r="90" spans="1:9" x14ac:dyDescent="0.3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98" t="s">
        <v>2114</v>
      </c>
      <c r="D90" s="198" t="s">
        <v>2115</v>
      </c>
      <c r="E90" s="198" t="s">
        <v>2116</v>
      </c>
      <c r="F90" s="198" t="s">
        <v>112</v>
      </c>
      <c r="G90" s="198">
        <v>889702</v>
      </c>
      <c r="H90" s="198"/>
      <c r="I90" s="198"/>
    </row>
    <row r="91" spans="1:9" x14ac:dyDescent="0.3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98" t="s">
        <v>2117</v>
      </c>
      <c r="D91" s="198" t="s">
        <v>2118</v>
      </c>
      <c r="E91" s="198" t="s">
        <v>2119</v>
      </c>
      <c r="F91" s="198" t="s">
        <v>112</v>
      </c>
      <c r="G91" s="198">
        <v>570142</v>
      </c>
      <c r="H91" s="198"/>
      <c r="I91" s="198"/>
    </row>
    <row r="92" spans="1:9"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98" t="s">
        <v>112</v>
      </c>
      <c r="D92" s="198"/>
      <c r="E92" s="198"/>
      <c r="F92" s="198"/>
      <c r="G92" s="198"/>
      <c r="H92" s="198"/>
      <c r="I92" s="198"/>
    </row>
    <row r="93" spans="1:9"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98" t="s">
        <v>195</v>
      </c>
      <c r="D93" s="198" t="s">
        <v>112</v>
      </c>
      <c r="E93" s="198" t="s">
        <v>196</v>
      </c>
      <c r="F93" s="198" t="s">
        <v>197</v>
      </c>
      <c r="G93" s="198" t="s">
        <v>198</v>
      </c>
      <c r="H93" s="198" t="s">
        <v>199</v>
      </c>
      <c r="I93" s="198" t="s">
        <v>200</v>
      </c>
    </row>
    <row r="94" spans="1:9" x14ac:dyDescent="0.35">
      <c r="A94" s="1" t="str">
        <f t="shared" si="1"/>
        <v>14</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98" t="s">
        <v>2120</v>
      </c>
      <c r="D94" s="198" t="s">
        <v>112</v>
      </c>
      <c r="E94" s="198" t="s">
        <v>2121</v>
      </c>
      <c r="F94" s="198" t="s">
        <v>2122</v>
      </c>
      <c r="G94" s="198" t="s">
        <v>2123</v>
      </c>
      <c r="H94" s="198" t="s">
        <v>2124</v>
      </c>
      <c r="I94" s="198">
        <v>24</v>
      </c>
    </row>
    <row r="95" spans="1:9"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98" t="s">
        <v>112</v>
      </c>
      <c r="D95" s="198"/>
      <c r="E95" s="198"/>
      <c r="F95" s="198"/>
      <c r="G95" s="198"/>
      <c r="H95" s="198"/>
      <c r="I95" s="198"/>
    </row>
    <row r="96" spans="1:9"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98" t="s">
        <v>112</v>
      </c>
      <c r="D96" s="198"/>
      <c r="E96" s="198"/>
      <c r="F96" s="198"/>
      <c r="G96" s="198"/>
      <c r="H96" s="198"/>
      <c r="I96" s="198"/>
    </row>
    <row r="97" spans="1:9"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98" t="s">
        <v>112</v>
      </c>
      <c r="D97" s="198"/>
      <c r="E97" s="198"/>
      <c r="F97" s="198"/>
      <c r="G97" s="198"/>
      <c r="H97" s="198"/>
      <c r="I97" s="198"/>
    </row>
    <row r="98" spans="1:9"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98" t="s">
        <v>112</v>
      </c>
      <c r="D98" s="198"/>
      <c r="E98" s="198"/>
      <c r="F98" s="198"/>
      <c r="G98" s="198"/>
      <c r="H98" s="198"/>
      <c r="I98" s="198"/>
    </row>
    <row r="99" spans="1:9"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98" t="s">
        <v>112</v>
      </c>
      <c r="D99" s="198"/>
      <c r="E99" s="198"/>
      <c r="F99" s="198"/>
      <c r="G99" s="198"/>
      <c r="H99" s="198"/>
      <c r="I99" s="198"/>
    </row>
    <row r="100" spans="1:9"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98" t="s">
        <v>206</v>
      </c>
      <c r="D100" s="198" t="s">
        <v>110</v>
      </c>
      <c r="E100" s="198" t="s">
        <v>111</v>
      </c>
      <c r="F100" s="198" t="s">
        <v>112</v>
      </c>
      <c r="G100" s="198" t="s">
        <v>113</v>
      </c>
      <c r="H100" s="198"/>
      <c r="I100" s="198"/>
    </row>
    <row r="101" spans="1:9" x14ac:dyDescent="0.35">
      <c r="A101" s="1" t="str">
        <f t="shared" si="1"/>
        <v>15</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98" t="s">
        <v>2125</v>
      </c>
      <c r="D101" s="198" t="s">
        <v>2126</v>
      </c>
      <c r="E101" s="198" t="s">
        <v>2127</v>
      </c>
      <c r="F101" s="198" t="s">
        <v>112</v>
      </c>
      <c r="G101" s="198">
        <v>5108332</v>
      </c>
      <c r="H101" s="198"/>
      <c r="I101" s="198"/>
    </row>
    <row r="102" spans="1:9" x14ac:dyDescent="0.35">
      <c r="A102" s="1" t="str">
        <f t="shared" si="1"/>
        <v>15</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98" t="s">
        <v>2128</v>
      </c>
      <c r="D102" s="198" t="s">
        <v>2129</v>
      </c>
      <c r="E102" s="198" t="s">
        <v>2130</v>
      </c>
      <c r="F102" s="198" t="s">
        <v>112</v>
      </c>
      <c r="G102" s="198">
        <v>5036910</v>
      </c>
      <c r="H102" s="198"/>
      <c r="I102" s="198"/>
    </row>
    <row r="103" spans="1:9" x14ac:dyDescent="0.35">
      <c r="A103" s="1" t="str">
        <f t="shared" si="1"/>
        <v>15</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98" t="s">
        <v>2131</v>
      </c>
      <c r="D103" s="198" t="s">
        <v>2132</v>
      </c>
      <c r="E103" s="198" t="s">
        <v>2133</v>
      </c>
      <c r="F103" s="198" t="s">
        <v>112</v>
      </c>
      <c r="G103" s="198">
        <v>5163315</v>
      </c>
      <c r="H103" s="198"/>
      <c r="I103" s="198"/>
    </row>
    <row r="104" spans="1:9" x14ac:dyDescent="0.35">
      <c r="A104" s="1" t="str">
        <f t="shared" si="1"/>
        <v>15</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98" t="s">
        <v>2134</v>
      </c>
      <c r="D104" s="198" t="s">
        <v>2135</v>
      </c>
      <c r="E104" s="198" t="s">
        <v>2136</v>
      </c>
      <c r="F104" s="198" t="s">
        <v>112</v>
      </c>
      <c r="G104" s="198">
        <v>4331970</v>
      </c>
      <c r="H104" s="198"/>
      <c r="I104" s="198"/>
    </row>
    <row r="105" spans="1:9" x14ac:dyDescent="0.35">
      <c r="A105" s="1" t="str">
        <f t="shared" si="1"/>
        <v>15</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98" t="s">
        <v>2137</v>
      </c>
      <c r="D105" s="198" t="s">
        <v>915</v>
      </c>
      <c r="E105" s="198" t="s">
        <v>2138</v>
      </c>
      <c r="F105" s="198" t="s">
        <v>112</v>
      </c>
      <c r="G105" s="198">
        <v>3959633</v>
      </c>
      <c r="H105" s="198"/>
      <c r="I105" s="198"/>
    </row>
    <row r="106" spans="1:9" x14ac:dyDescent="0.35">
      <c r="A106" s="1" t="str">
        <f t="shared" si="1"/>
        <v>15</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98" t="s">
        <v>2139</v>
      </c>
      <c r="D106" s="198" t="s">
        <v>2140</v>
      </c>
      <c r="E106" s="198" t="s">
        <v>2141</v>
      </c>
      <c r="F106" s="198" t="s">
        <v>112</v>
      </c>
      <c r="G106" s="198">
        <v>4072541</v>
      </c>
      <c r="H106" s="198"/>
      <c r="I106" s="198"/>
    </row>
    <row r="107" spans="1:9" x14ac:dyDescent="0.35">
      <c r="A107" s="1" t="str">
        <f t="shared" si="1"/>
        <v>15</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98" t="s">
        <v>2142</v>
      </c>
      <c r="D107" s="198" t="s">
        <v>2143</v>
      </c>
      <c r="E107" s="198" t="s">
        <v>2144</v>
      </c>
      <c r="F107" s="198" t="s">
        <v>112</v>
      </c>
      <c r="G107" s="198">
        <v>3780949</v>
      </c>
      <c r="H107" s="198"/>
      <c r="I107" s="198"/>
    </row>
    <row r="108" spans="1:9" x14ac:dyDescent="0.35">
      <c r="A108" s="1" t="str">
        <f t="shared" si="1"/>
        <v>15</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98" t="s">
        <v>2145</v>
      </c>
      <c r="D108" s="198" t="s">
        <v>2146</v>
      </c>
      <c r="E108" s="198" t="s">
        <v>2147</v>
      </c>
      <c r="F108" s="198" t="s">
        <v>112</v>
      </c>
      <c r="G108" s="198">
        <v>3981480</v>
      </c>
      <c r="H108" s="198"/>
      <c r="I108" s="198"/>
    </row>
    <row r="109" spans="1:9" x14ac:dyDescent="0.35">
      <c r="A109" s="1" t="str">
        <f t="shared" si="1"/>
        <v>15</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98" t="s">
        <v>2148</v>
      </c>
      <c r="D109" s="198" t="s">
        <v>2149</v>
      </c>
      <c r="E109" s="198" t="s">
        <v>2150</v>
      </c>
      <c r="F109" s="198" t="s">
        <v>112</v>
      </c>
      <c r="G109" s="198">
        <v>4133257</v>
      </c>
      <c r="H109" s="198"/>
      <c r="I109" s="198"/>
    </row>
    <row r="110" spans="1:9" x14ac:dyDescent="0.35">
      <c r="A110" s="1" t="str">
        <f t="shared" si="1"/>
        <v>15</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98" t="s">
        <v>2151</v>
      </c>
      <c r="D110" s="198" t="s">
        <v>376</v>
      </c>
      <c r="E110" s="198" t="s">
        <v>2152</v>
      </c>
      <c r="F110" s="198" t="s">
        <v>112</v>
      </c>
      <c r="G110" s="198">
        <v>3381315</v>
      </c>
      <c r="H110" s="198"/>
      <c r="I110" s="198"/>
    </row>
    <row r="111" spans="1:9" x14ac:dyDescent="0.35">
      <c r="A111" s="1" t="str">
        <f t="shared" si="1"/>
        <v>15</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98" t="s">
        <v>2153</v>
      </c>
      <c r="D111" s="198" t="s">
        <v>2154</v>
      </c>
      <c r="E111" s="198" t="s">
        <v>2155</v>
      </c>
      <c r="F111" s="198" t="s">
        <v>112</v>
      </c>
      <c r="G111" s="198">
        <v>3259712</v>
      </c>
      <c r="H111" s="198"/>
      <c r="I111" s="198"/>
    </row>
    <row r="112" spans="1:9" x14ac:dyDescent="0.35">
      <c r="A112" s="1" t="str">
        <f t="shared" si="1"/>
        <v>15</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98" t="s">
        <v>2156</v>
      </c>
      <c r="D112" s="198" t="s">
        <v>2157</v>
      </c>
      <c r="E112" s="198" t="s">
        <v>2158</v>
      </c>
      <c r="F112" s="198" t="s">
        <v>112</v>
      </c>
      <c r="G112" s="198">
        <v>3827237</v>
      </c>
      <c r="H112" s="198"/>
      <c r="I112" s="198"/>
    </row>
    <row r="113" spans="1:9" x14ac:dyDescent="0.35">
      <c r="A113" s="1" t="str">
        <f t="shared" si="1"/>
        <v>15</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98" t="s">
        <v>2159</v>
      </c>
      <c r="D113" s="198" t="s">
        <v>2160</v>
      </c>
      <c r="E113" s="198" t="s">
        <v>2161</v>
      </c>
      <c r="F113" s="198" t="s">
        <v>112</v>
      </c>
      <c r="G113" s="198">
        <v>2035287</v>
      </c>
      <c r="H113" s="198"/>
      <c r="I113" s="198"/>
    </row>
    <row r="114" spans="1:9" x14ac:dyDescent="0.35">
      <c r="A114" s="1" t="str">
        <f t="shared" si="1"/>
        <v>15</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98" t="s">
        <v>2162</v>
      </c>
      <c r="D114" s="198" t="s">
        <v>2163</v>
      </c>
      <c r="E114" s="198" t="s">
        <v>2164</v>
      </c>
      <c r="F114" s="198" t="s">
        <v>112</v>
      </c>
      <c r="G114" s="198">
        <v>1706469</v>
      </c>
      <c r="H114" s="198"/>
      <c r="I114" s="198"/>
    </row>
    <row r="115" spans="1:9" x14ac:dyDescent="0.35">
      <c r="A115" s="1" t="str">
        <f t="shared" si="1"/>
        <v>15</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98" t="s">
        <v>2165</v>
      </c>
      <c r="D115" s="198" t="s">
        <v>2166</v>
      </c>
      <c r="E115" s="198" t="s">
        <v>2167</v>
      </c>
      <c r="F115" s="198" t="s">
        <v>112</v>
      </c>
      <c r="G115" s="198">
        <v>1885586</v>
      </c>
      <c r="H115" s="198"/>
      <c r="I115" s="198"/>
    </row>
    <row r="116" spans="1:9" x14ac:dyDescent="0.35">
      <c r="A116" s="1" t="str">
        <f t="shared" si="1"/>
        <v>15</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98" t="s">
        <v>2168</v>
      </c>
      <c r="D116" s="198" t="s">
        <v>2169</v>
      </c>
      <c r="E116" s="198" t="s">
        <v>2170</v>
      </c>
      <c r="F116" s="198" t="s">
        <v>112</v>
      </c>
      <c r="G116" s="198">
        <v>2957282</v>
      </c>
      <c r="H116" s="198"/>
      <c r="I116" s="198"/>
    </row>
    <row r="117" spans="1:9" x14ac:dyDescent="0.35">
      <c r="A117" s="1" t="str">
        <f t="shared" si="1"/>
        <v>15</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98" t="s">
        <v>2171</v>
      </c>
      <c r="D117" s="198" t="s">
        <v>2172</v>
      </c>
      <c r="E117" s="198" t="s">
        <v>2173</v>
      </c>
      <c r="F117" s="198" t="s">
        <v>112</v>
      </c>
      <c r="G117" s="198">
        <v>3105707</v>
      </c>
      <c r="H117" s="198"/>
      <c r="I117" s="198"/>
    </row>
    <row r="118" spans="1:9" x14ac:dyDescent="0.35">
      <c r="A118" s="1" t="str">
        <f t="shared" si="1"/>
        <v>15</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98" t="s">
        <v>2174</v>
      </c>
      <c r="D118" s="198" t="s">
        <v>2175</v>
      </c>
      <c r="E118" s="198" t="s">
        <v>2176</v>
      </c>
      <c r="F118" s="198" t="s">
        <v>112</v>
      </c>
      <c r="G118" s="198">
        <v>2913093</v>
      </c>
      <c r="H118" s="198"/>
      <c r="I118" s="198"/>
    </row>
    <row r="119" spans="1:9" x14ac:dyDescent="0.35">
      <c r="A119" s="1" t="str">
        <f t="shared" si="1"/>
        <v>15</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98" t="s">
        <v>2177</v>
      </c>
      <c r="D119" s="198" t="s">
        <v>903</v>
      </c>
      <c r="E119" s="198" t="s">
        <v>2178</v>
      </c>
      <c r="F119" s="198" t="s">
        <v>112</v>
      </c>
      <c r="G119" s="198">
        <v>3378633</v>
      </c>
      <c r="H119" s="198"/>
      <c r="I119" s="198"/>
    </row>
    <row r="120" spans="1:9" x14ac:dyDescent="0.35">
      <c r="A120" s="1" t="str">
        <f t="shared" si="1"/>
        <v>15</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98" t="s">
        <v>2179</v>
      </c>
      <c r="D120" s="198" t="s">
        <v>2180</v>
      </c>
      <c r="E120" s="198" t="s">
        <v>2181</v>
      </c>
      <c r="F120" s="198" t="s">
        <v>112</v>
      </c>
      <c r="G120" s="198">
        <v>3757134</v>
      </c>
      <c r="H120" s="198"/>
      <c r="I120" s="198"/>
    </row>
    <row r="121" spans="1:9" x14ac:dyDescent="0.35">
      <c r="A121" s="1" t="str">
        <f t="shared" si="1"/>
        <v>15</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98" t="s">
        <v>2182</v>
      </c>
      <c r="D121" s="198" t="s">
        <v>2183</v>
      </c>
      <c r="E121" s="198" t="s">
        <v>2184</v>
      </c>
      <c r="F121" s="198" t="s">
        <v>112</v>
      </c>
      <c r="G121" s="198">
        <v>3870864</v>
      </c>
      <c r="H121" s="198"/>
      <c r="I121" s="198"/>
    </row>
    <row r="122" spans="1:9" x14ac:dyDescent="0.35">
      <c r="A122" s="1" t="str">
        <f t="shared" si="1"/>
        <v>15</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98" t="s">
        <v>2185</v>
      </c>
      <c r="D122" s="198" t="s">
        <v>2186</v>
      </c>
      <c r="E122" s="198" t="s">
        <v>2187</v>
      </c>
      <c r="F122" s="198" t="s">
        <v>112</v>
      </c>
      <c r="G122" s="198">
        <v>3403723</v>
      </c>
      <c r="H122" s="198"/>
      <c r="I122" s="198"/>
    </row>
    <row r="123" spans="1:9" x14ac:dyDescent="0.35">
      <c r="A123" s="1" t="str">
        <f t="shared" si="1"/>
        <v>15</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98" t="s">
        <v>2188</v>
      </c>
      <c r="D123" s="198" t="s">
        <v>2189</v>
      </c>
      <c r="E123" s="198" t="s">
        <v>2190</v>
      </c>
      <c r="F123" s="198" t="s">
        <v>112</v>
      </c>
      <c r="G123" s="198">
        <v>3745065</v>
      </c>
      <c r="H123" s="198"/>
      <c r="I123" s="198"/>
    </row>
    <row r="124" spans="1:9" x14ac:dyDescent="0.35">
      <c r="A124" s="1" t="str">
        <f t="shared" si="1"/>
        <v>15</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98" t="s">
        <v>2191</v>
      </c>
      <c r="D124" s="198" t="s">
        <v>1766</v>
      </c>
      <c r="E124" s="198" t="s">
        <v>2192</v>
      </c>
      <c r="F124" s="198" t="s">
        <v>112</v>
      </c>
      <c r="G124" s="198">
        <v>2977442</v>
      </c>
      <c r="H124" s="198"/>
      <c r="I124" s="198"/>
    </row>
    <row r="125" spans="1:9"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98" t="s">
        <v>112</v>
      </c>
      <c r="D125" s="198"/>
      <c r="E125" s="198"/>
      <c r="F125" s="198"/>
      <c r="G125" s="198"/>
      <c r="H125" s="198"/>
      <c r="I125" s="198"/>
    </row>
    <row r="126" spans="1:9"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98" t="s">
        <v>195</v>
      </c>
      <c r="D126" s="198" t="s">
        <v>112</v>
      </c>
      <c r="E126" s="198" t="s">
        <v>196</v>
      </c>
      <c r="F126" s="198" t="s">
        <v>197</v>
      </c>
      <c r="G126" s="198" t="s">
        <v>198</v>
      </c>
      <c r="H126" s="198" t="s">
        <v>199</v>
      </c>
      <c r="I126" s="198" t="s">
        <v>200</v>
      </c>
    </row>
    <row r="127" spans="1:9" x14ac:dyDescent="0.35">
      <c r="A127" s="1" t="str">
        <f t="shared" si="1"/>
        <v>15</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98" t="s">
        <v>2193</v>
      </c>
      <c r="D127" s="198" t="s">
        <v>112</v>
      </c>
      <c r="E127" s="198" t="s">
        <v>2194</v>
      </c>
      <c r="F127" s="198" t="s">
        <v>2195</v>
      </c>
      <c r="G127" s="198" t="s">
        <v>2196</v>
      </c>
      <c r="H127" s="198" t="s">
        <v>2197</v>
      </c>
      <c r="I127" s="198">
        <v>24</v>
      </c>
    </row>
    <row r="128" spans="1:9"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98" t="s">
        <v>112</v>
      </c>
      <c r="D128" s="198"/>
      <c r="E128" s="198"/>
      <c r="F128" s="198"/>
      <c r="G128" s="198"/>
      <c r="H128" s="198"/>
      <c r="I128" s="198"/>
    </row>
    <row r="129" spans="1:9"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98" t="s">
        <v>112</v>
      </c>
      <c r="D129" s="198"/>
      <c r="E129" s="198"/>
      <c r="F129" s="198"/>
      <c r="G129" s="198"/>
      <c r="H129" s="198"/>
      <c r="I129" s="198"/>
    </row>
    <row r="130" spans="1:9"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98" t="s">
        <v>112</v>
      </c>
      <c r="D130" s="198"/>
      <c r="E130" s="198"/>
      <c r="F130" s="198"/>
      <c r="G130" s="198"/>
      <c r="H130" s="198"/>
      <c r="I130" s="198"/>
    </row>
    <row r="131" spans="1:9"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98" t="s">
        <v>112</v>
      </c>
      <c r="D131" s="198"/>
      <c r="E131" s="198"/>
      <c r="F131" s="198"/>
      <c r="G131" s="198"/>
      <c r="H131" s="198"/>
      <c r="I131" s="198"/>
    </row>
    <row r="132" spans="1:9"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98" t="s">
        <v>112</v>
      </c>
      <c r="D132" s="198"/>
      <c r="E132" s="198"/>
      <c r="F132" s="198"/>
      <c r="G132" s="198"/>
      <c r="H132" s="198"/>
      <c r="I132" s="198"/>
    </row>
    <row r="133" spans="1:9"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98" t="s">
        <v>206</v>
      </c>
      <c r="D133" s="198" t="s">
        <v>110</v>
      </c>
      <c r="E133" s="198" t="s">
        <v>111</v>
      </c>
      <c r="F133" s="198" t="s">
        <v>112</v>
      </c>
      <c r="G133" s="198" t="s">
        <v>113</v>
      </c>
      <c r="H133" s="198"/>
      <c r="I133" s="198"/>
    </row>
    <row r="134" spans="1:9" x14ac:dyDescent="0.35">
      <c r="A134" s="1" t="str">
        <f t="shared" si="2"/>
        <v>16</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98" t="s">
        <v>2198</v>
      </c>
      <c r="D134" s="198" t="s">
        <v>1476</v>
      </c>
      <c r="E134" s="198" t="s">
        <v>2199</v>
      </c>
      <c r="F134" s="198" t="s">
        <v>112</v>
      </c>
      <c r="G134" s="198">
        <v>38847</v>
      </c>
      <c r="H134" s="198"/>
      <c r="I134" s="198"/>
    </row>
    <row r="135" spans="1:9" x14ac:dyDescent="0.35">
      <c r="A135" s="1" t="str">
        <f t="shared" si="2"/>
        <v>16</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98" t="s">
        <v>2200</v>
      </c>
      <c r="D135" s="198" t="s">
        <v>2201</v>
      </c>
      <c r="E135" s="198" t="s">
        <v>2202</v>
      </c>
      <c r="F135" s="198" t="s">
        <v>112</v>
      </c>
      <c r="G135" s="198">
        <v>72763</v>
      </c>
      <c r="H135" s="198"/>
      <c r="I135" s="198"/>
    </row>
    <row r="136" spans="1:9" x14ac:dyDescent="0.35">
      <c r="A136" s="1" t="str">
        <f t="shared" si="2"/>
        <v>16</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98" t="s">
        <v>2203</v>
      </c>
      <c r="D136" s="198" t="s">
        <v>2204</v>
      </c>
      <c r="E136" s="198" t="s">
        <v>2205</v>
      </c>
      <c r="F136" s="198" t="s">
        <v>112</v>
      </c>
      <c r="G136" s="198">
        <v>38934</v>
      </c>
      <c r="H136" s="198"/>
      <c r="I136" s="198"/>
    </row>
    <row r="137" spans="1:9" x14ac:dyDescent="0.35">
      <c r="A137" s="1" t="str">
        <f t="shared" si="2"/>
        <v>16</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98" t="s">
        <v>2206</v>
      </c>
      <c r="D137" s="198" t="s">
        <v>1972</v>
      </c>
      <c r="E137" s="198" t="s">
        <v>2207</v>
      </c>
      <c r="F137" s="198" t="s">
        <v>112</v>
      </c>
      <c r="G137" s="198">
        <v>106484</v>
      </c>
      <c r="H137" s="198"/>
      <c r="I137" s="198"/>
    </row>
    <row r="138" spans="1:9" x14ac:dyDescent="0.35">
      <c r="A138" s="1" t="str">
        <f t="shared" si="2"/>
        <v>16</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98" t="s">
        <v>2208</v>
      </c>
      <c r="D138" s="198" t="s">
        <v>2209</v>
      </c>
      <c r="E138" s="198" t="s">
        <v>2210</v>
      </c>
      <c r="F138" s="198" t="s">
        <v>112</v>
      </c>
      <c r="G138" s="198">
        <v>71335</v>
      </c>
      <c r="H138" s="198"/>
      <c r="I138" s="198"/>
    </row>
    <row r="139" spans="1:9" x14ac:dyDescent="0.35">
      <c r="A139" s="1" t="str">
        <f t="shared" si="2"/>
        <v>16</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98" t="s">
        <v>2211</v>
      </c>
      <c r="D139" s="198" t="s">
        <v>1432</v>
      </c>
      <c r="E139" s="198" t="s">
        <v>2212</v>
      </c>
      <c r="F139" s="198" t="s">
        <v>112</v>
      </c>
      <c r="G139" s="198">
        <v>221360</v>
      </c>
      <c r="H139" s="198"/>
      <c r="I139" s="198"/>
    </row>
    <row r="140" spans="1:9" x14ac:dyDescent="0.35">
      <c r="A140" s="1" t="str">
        <f t="shared" si="2"/>
        <v>16</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98" t="s">
        <v>2213</v>
      </c>
      <c r="D140" s="198" t="s">
        <v>1633</v>
      </c>
      <c r="E140" s="198" t="s">
        <v>2214</v>
      </c>
      <c r="F140" s="198" t="s">
        <v>112</v>
      </c>
      <c r="G140" s="198">
        <v>44190</v>
      </c>
      <c r="H140" s="198"/>
      <c r="I140" s="198"/>
    </row>
    <row r="141" spans="1:9" x14ac:dyDescent="0.35">
      <c r="A141" s="1" t="str">
        <f t="shared" si="2"/>
        <v>16</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98" t="s">
        <v>2215</v>
      </c>
      <c r="D141" s="198"/>
      <c r="E141" s="198"/>
      <c r="F141" s="198"/>
      <c r="G141" s="198"/>
      <c r="H141" s="198"/>
      <c r="I141" s="198"/>
    </row>
    <row r="142" spans="1:9" x14ac:dyDescent="0.35">
      <c r="A142" s="1" t="str">
        <f t="shared" si="2"/>
        <v>16</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98" t="s">
        <v>2216</v>
      </c>
      <c r="D142" s="198" t="s">
        <v>2217</v>
      </c>
      <c r="E142" s="198" t="s">
        <v>2218</v>
      </c>
      <c r="F142" s="198" t="s">
        <v>112</v>
      </c>
      <c r="G142" s="198">
        <v>131293</v>
      </c>
      <c r="H142" s="198"/>
      <c r="I142" s="198"/>
    </row>
    <row r="143" spans="1:9" x14ac:dyDescent="0.35">
      <c r="A143" s="1" t="str">
        <f t="shared" si="2"/>
        <v>16</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98" t="s">
        <v>2219</v>
      </c>
      <c r="D143" s="198" t="s">
        <v>1141</v>
      </c>
      <c r="E143" s="198" t="s">
        <v>2220</v>
      </c>
      <c r="F143" s="198" t="s">
        <v>112</v>
      </c>
      <c r="G143" s="198">
        <v>105251</v>
      </c>
      <c r="H143" s="198"/>
      <c r="I143" s="198"/>
    </row>
    <row r="144" spans="1:9" x14ac:dyDescent="0.35">
      <c r="A144" s="1" t="str">
        <f t="shared" si="2"/>
        <v>16</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98" t="s">
        <v>2221</v>
      </c>
      <c r="D144" s="198" t="s">
        <v>447</v>
      </c>
      <c r="E144" s="198" t="s">
        <v>2222</v>
      </c>
      <c r="F144" s="198" t="s">
        <v>112</v>
      </c>
      <c r="G144" s="198">
        <v>52366</v>
      </c>
      <c r="H144" s="198"/>
      <c r="I144" s="198"/>
    </row>
    <row r="145" spans="1:9" x14ac:dyDescent="0.35">
      <c r="A145" s="1" t="str">
        <f t="shared" si="2"/>
        <v>16</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98" t="s">
        <v>2223</v>
      </c>
      <c r="D145" s="198" t="s">
        <v>182</v>
      </c>
      <c r="E145" s="198" t="s">
        <v>2224</v>
      </c>
      <c r="F145" s="198" t="s">
        <v>112</v>
      </c>
      <c r="G145" s="198">
        <v>7441</v>
      </c>
      <c r="H145" s="198"/>
      <c r="I145" s="198"/>
    </row>
    <row r="146" spans="1:9" x14ac:dyDescent="0.35">
      <c r="A146" s="1" t="str">
        <f t="shared" si="2"/>
        <v>16</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98" t="s">
        <v>2225</v>
      </c>
      <c r="D146" s="198" t="s">
        <v>1534</v>
      </c>
      <c r="E146" s="198" t="s">
        <v>2226</v>
      </c>
      <c r="F146" s="198" t="s">
        <v>112</v>
      </c>
      <c r="G146" s="198">
        <v>75834</v>
      </c>
      <c r="H146" s="198"/>
      <c r="I146" s="198"/>
    </row>
    <row r="147" spans="1:9" x14ac:dyDescent="0.35">
      <c r="A147" s="1" t="str">
        <f t="shared" si="2"/>
        <v>16</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98" t="s">
        <v>2227</v>
      </c>
      <c r="D147" s="198" t="s">
        <v>2228</v>
      </c>
      <c r="E147" s="198" t="s">
        <v>2229</v>
      </c>
      <c r="F147" s="198" t="s">
        <v>112</v>
      </c>
      <c r="G147" s="198">
        <v>354081</v>
      </c>
      <c r="H147" s="198"/>
      <c r="I147" s="198"/>
    </row>
    <row r="148" spans="1:9" x14ac:dyDescent="0.35">
      <c r="A148" s="1" t="str">
        <f t="shared" si="2"/>
        <v>16</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98" t="s">
        <v>2230</v>
      </c>
      <c r="D148" s="198" t="s">
        <v>2231</v>
      </c>
      <c r="E148" s="198" t="s">
        <v>2232</v>
      </c>
      <c r="F148" s="198" t="s">
        <v>112</v>
      </c>
      <c r="G148" s="198">
        <v>403116</v>
      </c>
      <c r="H148" s="198"/>
      <c r="I148" s="198"/>
    </row>
    <row r="149" spans="1:9" x14ac:dyDescent="0.35">
      <c r="A149" s="1" t="str">
        <f t="shared" si="2"/>
        <v>16</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98" t="s">
        <v>2233</v>
      </c>
      <c r="D149" s="198" t="s">
        <v>2234</v>
      </c>
      <c r="E149" s="198" t="s">
        <v>2235</v>
      </c>
      <c r="F149" s="198" t="s">
        <v>112</v>
      </c>
      <c r="G149" s="198">
        <v>46310</v>
      </c>
      <c r="H149" s="198"/>
      <c r="I149" s="198"/>
    </row>
    <row r="150" spans="1:9" x14ac:dyDescent="0.35">
      <c r="A150" s="1" t="str">
        <f t="shared" si="2"/>
        <v>16</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98" t="s">
        <v>2236</v>
      </c>
      <c r="D150" s="198" t="s">
        <v>2237</v>
      </c>
      <c r="E150" s="198" t="s">
        <v>2238</v>
      </c>
      <c r="F150" s="198" t="s">
        <v>112</v>
      </c>
      <c r="G150" s="198">
        <v>50073</v>
      </c>
      <c r="H150" s="198"/>
      <c r="I150" s="198"/>
    </row>
    <row r="151" spans="1:9" x14ac:dyDescent="0.35">
      <c r="A151" s="1" t="str">
        <f t="shared" si="2"/>
        <v>16</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98" t="s">
        <v>2239</v>
      </c>
      <c r="D151" s="198">
        <v>0</v>
      </c>
      <c r="E151" s="198">
        <v>0</v>
      </c>
      <c r="F151" s="198" t="s">
        <v>112</v>
      </c>
      <c r="G151" s="198">
        <v>0</v>
      </c>
      <c r="H151" s="198"/>
      <c r="I151" s="198"/>
    </row>
    <row r="152" spans="1:9" x14ac:dyDescent="0.35">
      <c r="A152" s="1" t="str">
        <f t="shared" si="2"/>
        <v>16</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98" t="s">
        <v>2240</v>
      </c>
      <c r="D152" s="198" t="s">
        <v>1978</v>
      </c>
      <c r="E152" s="198" t="s">
        <v>2241</v>
      </c>
      <c r="F152" s="198" t="s">
        <v>112</v>
      </c>
      <c r="G152" s="198">
        <v>182967</v>
      </c>
      <c r="H152" s="198"/>
      <c r="I152" s="198"/>
    </row>
    <row r="153" spans="1:9" x14ac:dyDescent="0.35">
      <c r="A153" s="1" t="str">
        <f t="shared" si="2"/>
        <v>16</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98" t="s">
        <v>2242</v>
      </c>
      <c r="D153" s="198" t="s">
        <v>1456</v>
      </c>
      <c r="E153" s="198" t="s">
        <v>2243</v>
      </c>
      <c r="F153" s="198" t="s">
        <v>112</v>
      </c>
      <c r="G153" s="198">
        <v>18602</v>
      </c>
      <c r="H153" s="198"/>
      <c r="I153" s="198"/>
    </row>
    <row r="154" spans="1:9" x14ac:dyDescent="0.35">
      <c r="A154" s="1" t="str">
        <f t="shared" si="2"/>
        <v>16</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98" t="s">
        <v>2244</v>
      </c>
      <c r="D154" s="198" t="s">
        <v>2245</v>
      </c>
      <c r="E154" s="198" t="s">
        <v>2246</v>
      </c>
      <c r="F154" s="198" t="s">
        <v>112</v>
      </c>
      <c r="G154" s="198">
        <v>54031</v>
      </c>
      <c r="H154" s="198"/>
      <c r="I154" s="198"/>
    </row>
    <row r="155" spans="1:9" x14ac:dyDescent="0.35">
      <c r="A155" s="1" t="str">
        <f t="shared" si="2"/>
        <v>16</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98" t="s">
        <v>2247</v>
      </c>
      <c r="D155" s="198" t="s">
        <v>2248</v>
      </c>
      <c r="E155" s="198" t="s">
        <v>2249</v>
      </c>
      <c r="F155" s="198" t="s">
        <v>112</v>
      </c>
      <c r="G155" s="198">
        <v>279696</v>
      </c>
      <c r="H155" s="198"/>
      <c r="I155" s="198"/>
    </row>
    <row r="156" spans="1:9" x14ac:dyDescent="0.35">
      <c r="A156" s="1" t="str">
        <f t="shared" si="2"/>
        <v>16</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98" t="s">
        <v>2250</v>
      </c>
      <c r="D156" s="198" t="s">
        <v>1108</v>
      </c>
      <c r="E156" s="198" t="s">
        <v>2251</v>
      </c>
      <c r="F156" s="198" t="s">
        <v>112</v>
      </c>
      <c r="G156" s="198">
        <v>214763</v>
      </c>
      <c r="H156" s="198"/>
      <c r="I156" s="198"/>
    </row>
    <row r="157" spans="1:9" x14ac:dyDescent="0.35">
      <c r="A157" s="1" t="str">
        <f t="shared" si="2"/>
        <v>16</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98" t="s">
        <v>2252</v>
      </c>
      <c r="D157" s="198" t="s">
        <v>2253</v>
      </c>
      <c r="E157" s="198" t="s">
        <v>2254</v>
      </c>
      <c r="F157" s="198" t="s">
        <v>112</v>
      </c>
      <c r="G157" s="198">
        <v>98719</v>
      </c>
      <c r="H157" s="198"/>
      <c r="I157" s="198"/>
    </row>
    <row r="158" spans="1:9"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98" t="s">
        <v>112</v>
      </c>
      <c r="D158" s="198"/>
      <c r="E158" s="198"/>
      <c r="F158" s="198"/>
      <c r="G158" s="198"/>
      <c r="H158" s="198"/>
      <c r="I158" s="198"/>
    </row>
    <row r="159" spans="1:9"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98" t="s">
        <v>195</v>
      </c>
      <c r="D159" s="198" t="s">
        <v>112</v>
      </c>
      <c r="E159" s="198" t="s">
        <v>196</v>
      </c>
      <c r="F159" s="198" t="s">
        <v>197</v>
      </c>
      <c r="G159" s="198" t="s">
        <v>198</v>
      </c>
      <c r="H159" s="198" t="s">
        <v>199</v>
      </c>
      <c r="I159" s="198" t="s">
        <v>200</v>
      </c>
    </row>
    <row r="160" spans="1:9" x14ac:dyDescent="0.35">
      <c r="A160" s="1" t="str">
        <f t="shared" si="2"/>
        <v>16</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98" t="s">
        <v>2255</v>
      </c>
      <c r="D160" s="198" t="s">
        <v>112</v>
      </c>
      <c r="E160" s="198" t="s">
        <v>2256</v>
      </c>
      <c r="F160" s="198" t="s">
        <v>2257</v>
      </c>
      <c r="G160" s="198" t="s">
        <v>2258</v>
      </c>
      <c r="H160" s="198" t="s">
        <v>2259</v>
      </c>
      <c r="I160" s="198">
        <v>23</v>
      </c>
    </row>
    <row r="161" spans="1:9"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98" t="s">
        <v>112</v>
      </c>
      <c r="D161" s="198"/>
      <c r="E161" s="198"/>
      <c r="F161" s="198"/>
      <c r="G161" s="198"/>
      <c r="H161" s="198"/>
      <c r="I161" s="198"/>
    </row>
    <row r="162" spans="1:9"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98" t="s">
        <v>112</v>
      </c>
      <c r="D162" s="198"/>
      <c r="E162" s="198"/>
      <c r="F162" s="198"/>
      <c r="G162" s="198"/>
      <c r="H162" s="198"/>
      <c r="I162" s="198"/>
    </row>
    <row r="163" spans="1:9"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98" t="s">
        <v>112</v>
      </c>
      <c r="D163" s="198"/>
      <c r="E163" s="198"/>
      <c r="F163" s="198"/>
      <c r="G163" s="198"/>
      <c r="H163" s="198"/>
      <c r="I163" s="198"/>
    </row>
    <row r="164" spans="1:9"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98" t="s">
        <v>112</v>
      </c>
      <c r="D164" s="198"/>
      <c r="E164" s="198"/>
      <c r="F164" s="198"/>
      <c r="G164" s="198"/>
      <c r="H164" s="198"/>
      <c r="I164" s="198"/>
    </row>
    <row r="165" spans="1:9"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98" t="s">
        <v>112</v>
      </c>
      <c r="D165" s="198"/>
      <c r="E165" s="198"/>
      <c r="F165" s="198"/>
      <c r="G165" s="198"/>
      <c r="H165" s="198"/>
      <c r="I165" s="198"/>
    </row>
    <row r="166" spans="1:9"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98" t="s">
        <v>206</v>
      </c>
      <c r="D166" s="198" t="s">
        <v>110</v>
      </c>
      <c r="E166" s="198" t="s">
        <v>111</v>
      </c>
      <c r="F166" s="198" t="s">
        <v>112</v>
      </c>
      <c r="G166" s="198" t="s">
        <v>113</v>
      </c>
      <c r="H166" s="198"/>
      <c r="I166" s="198"/>
    </row>
    <row r="167" spans="1:9" x14ac:dyDescent="0.35">
      <c r="A167" s="1" t="str">
        <f t="shared" si="2"/>
        <v>2</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98" t="s">
        <v>2260</v>
      </c>
      <c r="D167" s="198" t="s">
        <v>2261</v>
      </c>
      <c r="E167" s="198" t="s">
        <v>2262</v>
      </c>
      <c r="F167" s="198" t="s">
        <v>112</v>
      </c>
      <c r="G167" s="198">
        <v>269984</v>
      </c>
      <c r="H167" s="198"/>
      <c r="I167" s="198"/>
    </row>
    <row r="168" spans="1:9" x14ac:dyDescent="0.35">
      <c r="A168" s="1" t="str">
        <f t="shared" si="2"/>
        <v>2</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98" t="s">
        <v>2263</v>
      </c>
      <c r="D168" s="198" t="s">
        <v>278</v>
      </c>
      <c r="E168" s="198" t="s">
        <v>2264</v>
      </c>
      <c r="F168" s="198" t="s">
        <v>112</v>
      </c>
      <c r="G168" s="198">
        <v>370066</v>
      </c>
      <c r="H168" s="198"/>
      <c r="I168" s="198"/>
    </row>
    <row r="169" spans="1:9" x14ac:dyDescent="0.35">
      <c r="A169" s="1" t="str">
        <f t="shared" si="2"/>
        <v>2</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98" t="s">
        <v>2265</v>
      </c>
      <c r="D169" s="198" t="s">
        <v>2266</v>
      </c>
      <c r="E169" s="198" t="s">
        <v>2267</v>
      </c>
      <c r="F169" s="198" t="s">
        <v>112</v>
      </c>
      <c r="G169" s="198">
        <v>107782</v>
      </c>
      <c r="H169" s="198"/>
      <c r="I169" s="198"/>
    </row>
    <row r="170" spans="1:9" x14ac:dyDescent="0.35">
      <c r="A170" s="1" t="str">
        <f t="shared" si="2"/>
        <v>2</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98" t="s">
        <v>2268</v>
      </c>
      <c r="D170" s="198" t="s">
        <v>461</v>
      </c>
      <c r="E170" s="198">
        <v>30</v>
      </c>
      <c r="F170" s="198" t="s">
        <v>112</v>
      </c>
      <c r="G170" s="198">
        <v>649</v>
      </c>
      <c r="H170" s="198"/>
      <c r="I170" s="198"/>
    </row>
    <row r="171" spans="1:9" x14ac:dyDescent="0.35">
      <c r="A171" s="1" t="str">
        <f t="shared" si="2"/>
        <v>2</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98" t="s">
        <v>2269</v>
      </c>
      <c r="D171" s="198" t="s">
        <v>270</v>
      </c>
      <c r="E171" s="198" t="s">
        <v>1156</v>
      </c>
      <c r="F171" s="198" t="s">
        <v>112</v>
      </c>
      <c r="G171" s="198">
        <v>2704</v>
      </c>
      <c r="H171" s="198"/>
      <c r="I171" s="198"/>
    </row>
    <row r="172" spans="1:9" x14ac:dyDescent="0.35">
      <c r="A172" s="1" t="str">
        <f t="shared" si="2"/>
        <v>2</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98" t="s">
        <v>2270</v>
      </c>
      <c r="D172" s="198" t="s">
        <v>2271</v>
      </c>
      <c r="E172" s="198" t="s">
        <v>2272</v>
      </c>
      <c r="F172" s="198" t="s">
        <v>112</v>
      </c>
      <c r="G172" s="198">
        <v>113752</v>
      </c>
      <c r="H172" s="198"/>
      <c r="I172" s="198"/>
    </row>
    <row r="173" spans="1:9" x14ac:dyDescent="0.35">
      <c r="A173" s="1" t="str">
        <f t="shared" si="2"/>
        <v>2</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98" t="s">
        <v>2273</v>
      </c>
      <c r="D173" s="198" t="s">
        <v>1459</v>
      </c>
      <c r="E173" s="198" t="s">
        <v>2274</v>
      </c>
      <c r="F173" s="198" t="s">
        <v>112</v>
      </c>
      <c r="G173" s="198">
        <v>193566</v>
      </c>
      <c r="H173" s="198"/>
      <c r="I173" s="198"/>
    </row>
    <row r="174" spans="1:9" x14ac:dyDescent="0.35">
      <c r="A174" s="1" t="str">
        <f t="shared" si="2"/>
        <v>2</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98" t="s">
        <v>2275</v>
      </c>
      <c r="D174" s="198" t="s">
        <v>1972</v>
      </c>
      <c r="E174" s="198" t="s">
        <v>2276</v>
      </c>
      <c r="F174" s="198" t="s">
        <v>112</v>
      </c>
      <c r="G174" s="198">
        <v>101033</v>
      </c>
      <c r="H174" s="198"/>
      <c r="I174" s="198"/>
    </row>
    <row r="175" spans="1:9" x14ac:dyDescent="0.35">
      <c r="A175" s="1" t="str">
        <f t="shared" si="2"/>
        <v>2</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98" t="s">
        <v>2277</v>
      </c>
      <c r="D175" s="198" t="s">
        <v>2278</v>
      </c>
      <c r="E175" s="198" t="s">
        <v>2279</v>
      </c>
      <c r="F175" s="198" t="s">
        <v>112</v>
      </c>
      <c r="G175" s="198">
        <v>180848</v>
      </c>
      <c r="H175" s="198"/>
      <c r="I175" s="198"/>
    </row>
    <row r="176" spans="1:9" x14ac:dyDescent="0.35">
      <c r="A176" s="1" t="str">
        <f t="shared" si="2"/>
        <v>2</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98" t="s">
        <v>2280</v>
      </c>
      <c r="D176" s="198" t="s">
        <v>2281</v>
      </c>
      <c r="E176" s="198" t="s">
        <v>2282</v>
      </c>
      <c r="F176" s="198" t="s">
        <v>112</v>
      </c>
      <c r="G176" s="198">
        <v>241000</v>
      </c>
      <c r="H176" s="198"/>
      <c r="I176" s="198"/>
    </row>
    <row r="177" spans="1:9" x14ac:dyDescent="0.35">
      <c r="A177" s="1" t="str">
        <f t="shared" si="2"/>
        <v>2</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98" t="s">
        <v>2283</v>
      </c>
      <c r="D177" s="198" t="s">
        <v>2284</v>
      </c>
      <c r="E177" s="198" t="s">
        <v>2285</v>
      </c>
      <c r="F177" s="198" t="s">
        <v>112</v>
      </c>
      <c r="G177" s="198">
        <v>150263</v>
      </c>
      <c r="H177" s="198"/>
      <c r="I177" s="198"/>
    </row>
    <row r="178" spans="1:9" x14ac:dyDescent="0.35">
      <c r="A178" s="1" t="str">
        <f t="shared" si="2"/>
        <v>2</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98" t="s">
        <v>2286</v>
      </c>
      <c r="D178" s="198" t="s">
        <v>2287</v>
      </c>
      <c r="E178" s="198" t="s">
        <v>2288</v>
      </c>
      <c r="F178" s="198" t="s">
        <v>112</v>
      </c>
      <c r="G178" s="198">
        <v>121365</v>
      </c>
      <c r="H178" s="198"/>
      <c r="I178" s="198"/>
    </row>
    <row r="179" spans="1:9" x14ac:dyDescent="0.35">
      <c r="A179" s="1" t="str">
        <f t="shared" si="2"/>
        <v>2</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98" t="s">
        <v>2289</v>
      </c>
      <c r="D179" s="198"/>
      <c r="E179" s="198"/>
      <c r="F179" s="198"/>
      <c r="G179" s="198"/>
      <c r="H179" s="198"/>
      <c r="I179" s="198"/>
    </row>
    <row r="180" spans="1:9" x14ac:dyDescent="0.35">
      <c r="A180" s="1" t="str">
        <f t="shared" si="2"/>
        <v>2</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98" t="s">
        <v>2290</v>
      </c>
      <c r="D180" s="198"/>
      <c r="E180" s="198"/>
      <c r="F180" s="198"/>
      <c r="G180" s="198"/>
      <c r="H180" s="198"/>
      <c r="I180" s="198"/>
    </row>
    <row r="181" spans="1:9" x14ac:dyDescent="0.35">
      <c r="A181" s="1" t="str">
        <f t="shared" si="2"/>
        <v>2</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98" t="s">
        <v>2291</v>
      </c>
      <c r="D181" s="198"/>
      <c r="E181" s="198"/>
      <c r="F181" s="198"/>
      <c r="G181" s="198"/>
      <c r="H181" s="198"/>
      <c r="I181" s="198"/>
    </row>
    <row r="182" spans="1:9" x14ac:dyDescent="0.35">
      <c r="A182" s="1" t="str">
        <f t="shared" si="2"/>
        <v>2</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98" t="s">
        <v>2292</v>
      </c>
      <c r="D182" s="198" t="s">
        <v>2293</v>
      </c>
      <c r="E182" s="198" t="s">
        <v>2294</v>
      </c>
      <c r="F182" s="198" t="s">
        <v>112</v>
      </c>
      <c r="G182" s="198">
        <v>583380</v>
      </c>
      <c r="H182" s="198"/>
      <c r="I182" s="198"/>
    </row>
    <row r="183" spans="1:9" x14ac:dyDescent="0.35">
      <c r="A183" s="1" t="str">
        <f t="shared" si="2"/>
        <v>2</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98" t="s">
        <v>2295</v>
      </c>
      <c r="D183" s="198" t="s">
        <v>2296</v>
      </c>
      <c r="E183" s="198" t="s">
        <v>2297</v>
      </c>
      <c r="F183" s="198" t="s">
        <v>112</v>
      </c>
      <c r="G183" s="198">
        <v>434350</v>
      </c>
      <c r="H183" s="198"/>
      <c r="I183" s="198"/>
    </row>
    <row r="184" spans="1:9" x14ac:dyDescent="0.35">
      <c r="A184" s="1" t="str">
        <f t="shared" si="2"/>
        <v>2</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98" t="s">
        <v>2298</v>
      </c>
      <c r="D184" s="198" t="s">
        <v>2299</v>
      </c>
      <c r="E184" s="198" t="s">
        <v>2300</v>
      </c>
      <c r="F184" s="198" t="s">
        <v>112</v>
      </c>
      <c r="G184" s="198">
        <v>626964</v>
      </c>
      <c r="H184" s="198"/>
      <c r="I184" s="198"/>
    </row>
    <row r="185" spans="1:9" x14ac:dyDescent="0.35">
      <c r="A185" s="1" t="str">
        <f t="shared" si="2"/>
        <v>2</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98" t="s">
        <v>2301</v>
      </c>
      <c r="D185" s="198" t="s">
        <v>2302</v>
      </c>
      <c r="E185" s="198" t="s">
        <v>2303</v>
      </c>
      <c r="F185" s="198" t="s">
        <v>112</v>
      </c>
      <c r="G185" s="198">
        <v>255341</v>
      </c>
      <c r="H185" s="198"/>
      <c r="I185" s="198"/>
    </row>
    <row r="186" spans="1:9" x14ac:dyDescent="0.35">
      <c r="A186" s="1" t="str">
        <f t="shared" si="2"/>
        <v>2</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98" t="s">
        <v>2304</v>
      </c>
      <c r="D186" s="198" t="s">
        <v>174</v>
      </c>
      <c r="E186" s="198" t="s">
        <v>2305</v>
      </c>
      <c r="F186" s="198" t="s">
        <v>112</v>
      </c>
      <c r="G186" s="198">
        <v>183184</v>
      </c>
      <c r="H186" s="198"/>
      <c r="I186" s="198"/>
    </row>
    <row r="187" spans="1:9" x14ac:dyDescent="0.35">
      <c r="A187" s="1" t="str">
        <f t="shared" si="2"/>
        <v>2</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98" t="s">
        <v>2306</v>
      </c>
      <c r="D187" s="198" t="s">
        <v>2307</v>
      </c>
      <c r="E187" s="198" t="s">
        <v>2308</v>
      </c>
      <c r="F187" s="198" t="s">
        <v>112</v>
      </c>
      <c r="G187" s="198">
        <v>116023</v>
      </c>
      <c r="H187" s="198"/>
      <c r="I187" s="198"/>
    </row>
    <row r="188" spans="1:9" x14ac:dyDescent="0.35">
      <c r="A188" s="1" t="str">
        <f t="shared" si="2"/>
        <v>2</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98" t="s">
        <v>2309</v>
      </c>
      <c r="D188" s="198" t="s">
        <v>2310</v>
      </c>
      <c r="E188" s="198" t="s">
        <v>2311</v>
      </c>
      <c r="F188" s="198" t="s">
        <v>112</v>
      </c>
      <c r="G188" s="198">
        <v>113254</v>
      </c>
      <c r="H188" s="198"/>
      <c r="I188" s="198"/>
    </row>
    <row r="189" spans="1:9" x14ac:dyDescent="0.35">
      <c r="A189" s="1" t="str">
        <f t="shared" si="2"/>
        <v>2</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98" t="s">
        <v>2312</v>
      </c>
      <c r="D189" s="198">
        <v>0</v>
      </c>
      <c r="E189" s="198">
        <v>0</v>
      </c>
      <c r="F189" s="198" t="s">
        <v>112</v>
      </c>
      <c r="G189" s="198">
        <v>0</v>
      </c>
      <c r="H189" s="198"/>
      <c r="I189" s="198"/>
    </row>
    <row r="190" spans="1:9" x14ac:dyDescent="0.35">
      <c r="A190" s="1" t="str">
        <f t="shared" si="2"/>
        <v>2</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98" t="s">
        <v>2313</v>
      </c>
      <c r="D190" s="198" t="s">
        <v>2314</v>
      </c>
      <c r="E190" s="198" t="s">
        <v>2315</v>
      </c>
      <c r="F190" s="198" t="s">
        <v>112</v>
      </c>
      <c r="G190" s="198">
        <v>88704</v>
      </c>
      <c r="H190" s="198"/>
      <c r="I190" s="198"/>
    </row>
    <row r="191" spans="1:9"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98" t="s">
        <v>112</v>
      </c>
      <c r="D191" s="198"/>
      <c r="E191" s="198"/>
      <c r="F191" s="198"/>
      <c r="G191" s="198"/>
      <c r="H191" s="198"/>
      <c r="I191" s="198"/>
    </row>
    <row r="192" spans="1:9"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98" t="s">
        <v>195</v>
      </c>
      <c r="D192" s="198" t="s">
        <v>112</v>
      </c>
      <c r="E192" s="198" t="s">
        <v>196</v>
      </c>
      <c r="F192" s="198" t="s">
        <v>197</v>
      </c>
      <c r="G192" s="198" t="s">
        <v>198</v>
      </c>
      <c r="H192" s="198" t="s">
        <v>199</v>
      </c>
      <c r="I192" s="198" t="s">
        <v>200</v>
      </c>
    </row>
    <row r="193" spans="1:9" x14ac:dyDescent="0.35">
      <c r="A193" s="1" t="str">
        <f t="shared" si="2"/>
        <v>2</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98" t="s">
        <v>2316</v>
      </c>
      <c r="D193" s="198" t="s">
        <v>112</v>
      </c>
      <c r="E193" s="198" t="s">
        <v>2317</v>
      </c>
      <c r="F193" s="198" t="s">
        <v>2318</v>
      </c>
      <c r="G193" s="198" t="s">
        <v>2319</v>
      </c>
      <c r="H193" s="198" t="s">
        <v>2320</v>
      </c>
      <c r="I193" s="198">
        <v>22</v>
      </c>
    </row>
    <row r="194" spans="1:9"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98" t="s">
        <v>112</v>
      </c>
      <c r="D194" s="198"/>
      <c r="E194" s="198"/>
      <c r="F194" s="198"/>
      <c r="G194" s="198"/>
      <c r="H194" s="198"/>
      <c r="I194" s="198"/>
    </row>
    <row r="195" spans="1:9"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98" t="s">
        <v>112</v>
      </c>
      <c r="D195" s="198"/>
      <c r="E195" s="198"/>
      <c r="F195" s="198"/>
      <c r="G195" s="198"/>
      <c r="H195" s="198"/>
      <c r="I195" s="198"/>
    </row>
    <row r="196" spans="1:9"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98" t="s">
        <v>112</v>
      </c>
      <c r="D196" s="198"/>
      <c r="E196" s="198"/>
      <c r="F196" s="198"/>
      <c r="G196" s="198"/>
      <c r="H196" s="198"/>
      <c r="I196" s="198"/>
    </row>
    <row r="197" spans="1:9"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98" t="s">
        <v>112</v>
      </c>
      <c r="D197" s="198"/>
      <c r="E197" s="198"/>
      <c r="F197" s="198"/>
      <c r="G197" s="198"/>
      <c r="H197" s="198"/>
      <c r="I197" s="198"/>
    </row>
    <row r="198" spans="1:9"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98" t="s">
        <v>112</v>
      </c>
      <c r="D198" s="198"/>
      <c r="E198" s="198"/>
      <c r="F198" s="198"/>
      <c r="G198" s="198"/>
      <c r="H198" s="198"/>
      <c r="I198" s="198"/>
    </row>
    <row r="199" spans="1:9"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98" t="s">
        <v>206</v>
      </c>
      <c r="D199" s="198" t="s">
        <v>110</v>
      </c>
      <c r="E199" s="198" t="s">
        <v>111</v>
      </c>
      <c r="F199" s="198" t="s">
        <v>112</v>
      </c>
      <c r="G199" s="198" t="s">
        <v>113</v>
      </c>
      <c r="H199" s="198"/>
      <c r="I199" s="198"/>
    </row>
    <row r="200" spans="1:9" x14ac:dyDescent="0.35">
      <c r="A200" s="1" t="str">
        <f t="shared" si="3"/>
        <v>3</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98" t="s">
        <v>2321</v>
      </c>
      <c r="D200" s="198" t="s">
        <v>1317</v>
      </c>
      <c r="E200" s="198" t="s">
        <v>2322</v>
      </c>
      <c r="F200" s="198" t="s">
        <v>112</v>
      </c>
      <c r="G200" s="198">
        <v>301542</v>
      </c>
      <c r="H200" s="198"/>
      <c r="I200" s="198"/>
    </row>
    <row r="201" spans="1:9" x14ac:dyDescent="0.35">
      <c r="A201" s="1" t="str">
        <f t="shared" si="3"/>
        <v>3</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98" t="s">
        <v>2323</v>
      </c>
      <c r="D201" s="198" t="s">
        <v>1118</v>
      </c>
      <c r="E201" s="198" t="s">
        <v>2324</v>
      </c>
      <c r="F201" s="198" t="s">
        <v>112</v>
      </c>
      <c r="G201" s="198">
        <v>120868</v>
      </c>
      <c r="H201" s="198"/>
      <c r="I201" s="198"/>
    </row>
    <row r="202" spans="1:9" x14ac:dyDescent="0.35">
      <c r="A202" s="1" t="str">
        <f t="shared" si="3"/>
        <v>3</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98" t="s">
        <v>2325</v>
      </c>
      <c r="D202" s="198" t="s">
        <v>256</v>
      </c>
      <c r="E202" s="198" t="s">
        <v>2326</v>
      </c>
      <c r="F202" s="198" t="s">
        <v>112</v>
      </c>
      <c r="G202" s="198">
        <v>32380</v>
      </c>
      <c r="H202" s="198"/>
      <c r="I202" s="198"/>
    </row>
    <row r="203" spans="1:9" x14ac:dyDescent="0.35">
      <c r="A203" s="1" t="str">
        <f t="shared" si="3"/>
        <v>3</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98" t="s">
        <v>2327</v>
      </c>
      <c r="D203" s="198" t="s">
        <v>2287</v>
      </c>
      <c r="E203" s="198" t="s">
        <v>2328</v>
      </c>
      <c r="F203" s="198" t="s">
        <v>112</v>
      </c>
      <c r="G203" s="198">
        <v>109426</v>
      </c>
      <c r="H203" s="198"/>
      <c r="I203" s="198"/>
    </row>
    <row r="204" spans="1:9" x14ac:dyDescent="0.35">
      <c r="A204" s="1" t="str">
        <f t="shared" si="3"/>
        <v>3</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98" t="s">
        <v>2329</v>
      </c>
      <c r="D204" s="198"/>
      <c r="E204" s="198"/>
      <c r="F204" s="198"/>
      <c r="G204" s="198"/>
      <c r="H204" s="198"/>
      <c r="I204" s="198"/>
    </row>
    <row r="205" spans="1:9" x14ac:dyDescent="0.35">
      <c r="A205" s="1" t="str">
        <f t="shared" si="3"/>
        <v>3</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98" t="s">
        <v>2330</v>
      </c>
      <c r="D205" s="198" t="s">
        <v>2331</v>
      </c>
      <c r="E205" s="198" t="s">
        <v>2332</v>
      </c>
      <c r="F205" s="198" t="s">
        <v>112</v>
      </c>
      <c r="G205" s="198">
        <v>86714</v>
      </c>
      <c r="H205" s="198"/>
      <c r="I205" s="198"/>
    </row>
    <row r="206" spans="1:9" x14ac:dyDescent="0.35">
      <c r="A206" s="1" t="str">
        <f t="shared" si="3"/>
        <v>3</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98" t="s">
        <v>2333</v>
      </c>
      <c r="D206" s="198" t="s">
        <v>2334</v>
      </c>
      <c r="E206" s="198" t="s">
        <v>2335</v>
      </c>
      <c r="F206" s="198" t="s">
        <v>112</v>
      </c>
      <c r="G206" s="198">
        <v>322199</v>
      </c>
      <c r="H206" s="198"/>
      <c r="I206" s="198"/>
    </row>
    <row r="207" spans="1:9" x14ac:dyDescent="0.35">
      <c r="A207" s="1" t="str">
        <f t="shared" si="3"/>
        <v>3</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98" t="s">
        <v>2336</v>
      </c>
      <c r="D207" s="198" t="s">
        <v>1284</v>
      </c>
      <c r="E207" s="198" t="s">
        <v>2337</v>
      </c>
      <c r="F207" s="198" t="s">
        <v>112</v>
      </c>
      <c r="G207" s="198">
        <v>172650</v>
      </c>
      <c r="H207" s="198"/>
      <c r="I207" s="198"/>
    </row>
    <row r="208" spans="1:9" x14ac:dyDescent="0.35">
      <c r="A208" s="1" t="str">
        <f t="shared" si="3"/>
        <v>3</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98" t="s">
        <v>2338</v>
      </c>
      <c r="D208" s="198" t="s">
        <v>2307</v>
      </c>
      <c r="E208" s="198" t="s">
        <v>2339</v>
      </c>
      <c r="F208" s="198" t="s">
        <v>112</v>
      </c>
      <c r="G208" s="198">
        <v>108063</v>
      </c>
      <c r="H208" s="198"/>
      <c r="I208" s="198"/>
    </row>
    <row r="209" spans="1:9" x14ac:dyDescent="0.35">
      <c r="A209" s="1" t="str">
        <f t="shared" si="3"/>
        <v>3</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98" t="s">
        <v>2340</v>
      </c>
      <c r="D209" s="198" t="s">
        <v>2341</v>
      </c>
      <c r="E209" s="198" t="s">
        <v>2342</v>
      </c>
      <c r="F209" s="198" t="s">
        <v>112</v>
      </c>
      <c r="G209" s="198">
        <v>218765</v>
      </c>
      <c r="H209" s="198"/>
      <c r="I209" s="198"/>
    </row>
    <row r="210" spans="1:9" x14ac:dyDescent="0.35">
      <c r="A210" s="1" t="str">
        <f t="shared" si="3"/>
        <v>3</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98" t="s">
        <v>2343</v>
      </c>
      <c r="D210" s="198" t="s">
        <v>447</v>
      </c>
      <c r="E210" s="198" t="s">
        <v>2344</v>
      </c>
      <c r="F210" s="198" t="s">
        <v>112</v>
      </c>
      <c r="G210" s="198">
        <v>49186</v>
      </c>
      <c r="H210" s="198"/>
      <c r="I210" s="198"/>
    </row>
    <row r="211" spans="1:9" x14ac:dyDescent="0.35">
      <c r="A211" s="1" t="str">
        <f t="shared" si="3"/>
        <v>3</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98" t="s">
        <v>2345</v>
      </c>
      <c r="D211" s="198" t="s">
        <v>2346</v>
      </c>
      <c r="E211" s="198" t="s">
        <v>2347</v>
      </c>
      <c r="F211" s="198" t="s">
        <v>112</v>
      </c>
      <c r="G211" s="198">
        <v>321485</v>
      </c>
      <c r="H211" s="198"/>
      <c r="I211" s="198"/>
    </row>
    <row r="212" spans="1:9" x14ac:dyDescent="0.35">
      <c r="A212" s="1" t="str">
        <f t="shared" si="3"/>
        <v>3</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98" t="s">
        <v>2348</v>
      </c>
      <c r="D212" s="198" t="s">
        <v>516</v>
      </c>
      <c r="E212" s="198" t="s">
        <v>2349</v>
      </c>
      <c r="F212" s="198" t="s">
        <v>112</v>
      </c>
      <c r="G212" s="198">
        <v>134646</v>
      </c>
      <c r="H212" s="198"/>
      <c r="I212" s="198"/>
    </row>
    <row r="213" spans="1:9" x14ac:dyDescent="0.35">
      <c r="A213" s="1" t="str">
        <f t="shared" si="3"/>
        <v>3</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98" t="s">
        <v>2350</v>
      </c>
      <c r="D213" s="198" t="s">
        <v>2351</v>
      </c>
      <c r="E213" s="198" t="s">
        <v>2352</v>
      </c>
      <c r="F213" s="198" t="s">
        <v>112</v>
      </c>
      <c r="G213" s="198">
        <v>110226</v>
      </c>
      <c r="H213" s="198"/>
      <c r="I213" s="198"/>
    </row>
    <row r="214" spans="1:9" x14ac:dyDescent="0.35">
      <c r="A214" s="1" t="str">
        <f t="shared" si="3"/>
        <v>3</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98" t="s">
        <v>2353</v>
      </c>
      <c r="D214" s="198" t="s">
        <v>1518</v>
      </c>
      <c r="E214" s="198">
        <v>35</v>
      </c>
      <c r="F214" s="198" t="s">
        <v>112</v>
      </c>
      <c r="G214" s="198">
        <v>123399</v>
      </c>
      <c r="H214" s="198"/>
      <c r="I214" s="198"/>
    </row>
    <row r="215" spans="1:9" x14ac:dyDescent="0.35">
      <c r="A215" s="1" t="str">
        <f t="shared" si="3"/>
        <v>3</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98" t="s">
        <v>2354</v>
      </c>
      <c r="D215" s="198" t="s">
        <v>527</v>
      </c>
      <c r="E215" s="198" t="s">
        <v>2355</v>
      </c>
      <c r="F215" s="198" t="s">
        <v>112</v>
      </c>
      <c r="G215" s="198">
        <v>167415</v>
      </c>
      <c r="H215" s="198"/>
      <c r="I215" s="198"/>
    </row>
    <row r="216" spans="1:9" x14ac:dyDescent="0.35">
      <c r="A216" s="1" t="str">
        <f t="shared" si="3"/>
        <v>3</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98" t="s">
        <v>2356</v>
      </c>
      <c r="D216" s="198" t="s">
        <v>431</v>
      </c>
      <c r="E216" s="198" t="s">
        <v>2357</v>
      </c>
      <c r="F216" s="198" t="s">
        <v>112</v>
      </c>
      <c r="G216" s="198">
        <v>94285</v>
      </c>
      <c r="H216" s="198"/>
      <c r="I216" s="198"/>
    </row>
    <row r="217" spans="1:9" x14ac:dyDescent="0.35">
      <c r="A217" s="1" t="str">
        <f t="shared" si="3"/>
        <v>3</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98" t="s">
        <v>2358</v>
      </c>
      <c r="D217" s="198" t="s">
        <v>2310</v>
      </c>
      <c r="E217" s="198" t="s">
        <v>2359</v>
      </c>
      <c r="F217" s="198" t="s">
        <v>112</v>
      </c>
      <c r="G217" s="198">
        <v>122988</v>
      </c>
      <c r="H217" s="198"/>
      <c r="I217" s="198"/>
    </row>
    <row r="218" spans="1:9" x14ac:dyDescent="0.35">
      <c r="A218" s="1" t="str">
        <f t="shared" si="3"/>
        <v>3</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98" t="s">
        <v>2360</v>
      </c>
      <c r="D218" s="198" t="s">
        <v>2361</v>
      </c>
      <c r="E218" s="198" t="s">
        <v>2362</v>
      </c>
      <c r="F218" s="198" t="s">
        <v>112</v>
      </c>
      <c r="G218" s="198">
        <v>746253</v>
      </c>
      <c r="H218" s="198"/>
      <c r="I218" s="198"/>
    </row>
    <row r="219" spans="1:9" x14ac:dyDescent="0.35">
      <c r="A219" s="1" t="str">
        <f t="shared" si="3"/>
        <v>3</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98" t="s">
        <v>2363</v>
      </c>
      <c r="D219" s="198" t="s">
        <v>2364</v>
      </c>
      <c r="E219" s="198" t="s">
        <v>2365</v>
      </c>
      <c r="F219" s="198" t="s">
        <v>112</v>
      </c>
      <c r="G219" s="198">
        <v>1211793</v>
      </c>
      <c r="H219" s="198"/>
      <c r="I219" s="198"/>
    </row>
    <row r="220" spans="1:9" x14ac:dyDescent="0.35">
      <c r="A220" s="1" t="str">
        <f t="shared" si="3"/>
        <v>3</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98" t="s">
        <v>2366</v>
      </c>
      <c r="D220" s="198" t="s">
        <v>2367</v>
      </c>
      <c r="E220" s="198" t="s">
        <v>2368</v>
      </c>
      <c r="F220" s="198" t="s">
        <v>112</v>
      </c>
      <c r="G220" s="198">
        <v>41486</v>
      </c>
      <c r="H220" s="198"/>
      <c r="I220" s="198"/>
    </row>
    <row r="221" spans="1:9" x14ac:dyDescent="0.35">
      <c r="A221" s="1" t="str">
        <f t="shared" si="3"/>
        <v>3</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98" t="s">
        <v>2369</v>
      </c>
      <c r="D221" s="198" t="s">
        <v>1420</v>
      </c>
      <c r="E221" s="198" t="s">
        <v>2370</v>
      </c>
      <c r="F221" s="198" t="s">
        <v>112</v>
      </c>
      <c r="G221" s="198">
        <v>109512</v>
      </c>
      <c r="H221" s="198"/>
      <c r="I221" s="198"/>
    </row>
    <row r="222" spans="1:9" x14ac:dyDescent="0.35">
      <c r="A222" s="1" t="str">
        <f t="shared" si="3"/>
        <v>3</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98" t="s">
        <v>2371</v>
      </c>
      <c r="D222" s="198" t="s">
        <v>2372</v>
      </c>
      <c r="E222" s="198" t="s">
        <v>2373</v>
      </c>
      <c r="F222" s="198" t="s">
        <v>112</v>
      </c>
      <c r="G222" s="198">
        <v>118229</v>
      </c>
      <c r="H222" s="198"/>
      <c r="I222" s="198"/>
    </row>
    <row r="223" spans="1:9" x14ac:dyDescent="0.35">
      <c r="A223" s="1" t="str">
        <f t="shared" si="3"/>
        <v>3</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98" t="s">
        <v>2374</v>
      </c>
      <c r="D223" s="198" t="s">
        <v>2375</v>
      </c>
      <c r="E223" s="198" t="s">
        <v>2376</v>
      </c>
      <c r="F223" s="198" t="s">
        <v>112</v>
      </c>
      <c r="G223" s="198">
        <v>235766</v>
      </c>
      <c r="H223" s="198"/>
      <c r="I223" s="198"/>
    </row>
    <row r="224" spans="1:9"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98" t="s">
        <v>112</v>
      </c>
      <c r="D224" s="198"/>
      <c r="E224" s="198"/>
      <c r="F224" s="198"/>
      <c r="G224" s="198"/>
      <c r="H224" s="198"/>
      <c r="I224" s="198"/>
    </row>
    <row r="225" spans="1:9"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98" t="s">
        <v>195</v>
      </c>
      <c r="D225" s="198" t="s">
        <v>112</v>
      </c>
      <c r="E225" s="198" t="s">
        <v>196</v>
      </c>
      <c r="F225" s="198" t="s">
        <v>197</v>
      </c>
      <c r="G225" s="198" t="s">
        <v>198</v>
      </c>
      <c r="H225" s="198" t="s">
        <v>199</v>
      </c>
      <c r="I225" s="198" t="s">
        <v>200</v>
      </c>
    </row>
    <row r="226" spans="1:9" x14ac:dyDescent="0.35">
      <c r="A226" s="1" t="str">
        <f t="shared" si="3"/>
        <v>3</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98" t="s">
        <v>2377</v>
      </c>
      <c r="D226" s="198" t="s">
        <v>112</v>
      </c>
      <c r="E226" s="198" t="s">
        <v>2378</v>
      </c>
      <c r="F226" s="198" t="s">
        <v>2379</v>
      </c>
      <c r="G226" s="198" t="s">
        <v>2380</v>
      </c>
      <c r="H226" s="198" t="s">
        <v>2381</v>
      </c>
      <c r="I226" s="198">
        <v>23</v>
      </c>
    </row>
    <row r="227" spans="1:9"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98" t="s">
        <v>112</v>
      </c>
      <c r="D227" s="198"/>
      <c r="E227" s="198"/>
      <c r="F227" s="198"/>
      <c r="G227" s="198"/>
      <c r="H227" s="198"/>
      <c r="I227" s="198"/>
    </row>
    <row r="228" spans="1:9"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98" t="s">
        <v>112</v>
      </c>
      <c r="D228" s="198"/>
      <c r="E228" s="198"/>
      <c r="F228" s="198"/>
      <c r="G228" s="198"/>
      <c r="H228" s="198"/>
      <c r="I228" s="198"/>
    </row>
    <row r="229" spans="1:9"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98" t="s">
        <v>112</v>
      </c>
      <c r="D229" s="198"/>
      <c r="E229" s="198"/>
      <c r="F229" s="198"/>
      <c r="G229" s="198"/>
      <c r="H229" s="198"/>
      <c r="I229" s="198"/>
    </row>
    <row r="230" spans="1:9"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98" t="s">
        <v>112</v>
      </c>
      <c r="D230" s="198"/>
      <c r="E230" s="198"/>
      <c r="F230" s="198"/>
      <c r="G230" s="198"/>
      <c r="H230" s="198"/>
      <c r="I230" s="198"/>
    </row>
    <row r="231" spans="1:9"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98" t="s">
        <v>112</v>
      </c>
      <c r="D231" s="198"/>
      <c r="E231" s="198"/>
      <c r="F231" s="198"/>
      <c r="G231" s="198"/>
      <c r="H231" s="198"/>
      <c r="I231" s="198"/>
    </row>
    <row r="232" spans="1:9"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98" t="s">
        <v>206</v>
      </c>
      <c r="D232" s="198" t="s">
        <v>110</v>
      </c>
      <c r="E232" s="198" t="s">
        <v>111</v>
      </c>
      <c r="F232" s="198" t="s">
        <v>112</v>
      </c>
      <c r="G232" s="198" t="s">
        <v>113</v>
      </c>
      <c r="H232" s="198"/>
      <c r="I232" s="198"/>
    </row>
    <row r="233" spans="1:9" x14ac:dyDescent="0.35">
      <c r="A233" s="1" t="str">
        <f t="shared" si="3"/>
        <v>4</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98" t="s">
        <v>2382</v>
      </c>
      <c r="D233" s="198" t="s">
        <v>2383</v>
      </c>
      <c r="E233" s="198" t="s">
        <v>2384</v>
      </c>
      <c r="F233" s="198" t="s">
        <v>112</v>
      </c>
      <c r="G233" s="198">
        <v>707968</v>
      </c>
      <c r="H233" s="198"/>
      <c r="I233" s="198"/>
    </row>
    <row r="234" spans="1:9" x14ac:dyDescent="0.35">
      <c r="A234" s="1" t="str">
        <f t="shared" si="3"/>
        <v>4</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98" t="s">
        <v>2385</v>
      </c>
      <c r="D234" s="198" t="s">
        <v>2346</v>
      </c>
      <c r="E234" s="198" t="s">
        <v>2386</v>
      </c>
      <c r="F234" s="198" t="s">
        <v>112</v>
      </c>
      <c r="G234" s="198">
        <v>382957</v>
      </c>
      <c r="H234" s="198"/>
      <c r="I234" s="198"/>
    </row>
    <row r="235" spans="1:9" x14ac:dyDescent="0.35">
      <c r="A235" s="1" t="str">
        <f t="shared" si="3"/>
        <v>4</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98" t="s">
        <v>2387</v>
      </c>
      <c r="D235" s="198" t="s">
        <v>2388</v>
      </c>
      <c r="E235" s="198" t="s">
        <v>2389</v>
      </c>
      <c r="F235" s="198" t="s">
        <v>112</v>
      </c>
      <c r="G235" s="198">
        <v>635897</v>
      </c>
      <c r="H235" s="198"/>
      <c r="I235" s="198"/>
    </row>
    <row r="236" spans="1:9" x14ac:dyDescent="0.35">
      <c r="A236" s="1" t="str">
        <f t="shared" si="3"/>
        <v>4</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98" t="s">
        <v>2390</v>
      </c>
      <c r="D236" s="198" t="s">
        <v>2391</v>
      </c>
      <c r="E236" s="198" t="s">
        <v>2392</v>
      </c>
      <c r="F236" s="198" t="s">
        <v>112</v>
      </c>
      <c r="G236" s="198">
        <v>2146983</v>
      </c>
      <c r="H236" s="198"/>
      <c r="I236" s="198"/>
    </row>
    <row r="237" spans="1:9" x14ac:dyDescent="0.35">
      <c r="A237" s="1" t="str">
        <f t="shared" si="3"/>
        <v>4</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98" t="s">
        <v>2393</v>
      </c>
      <c r="D237" s="198" t="s">
        <v>2394</v>
      </c>
      <c r="E237" s="198" t="s">
        <v>2395</v>
      </c>
      <c r="F237" s="198" t="s">
        <v>112</v>
      </c>
      <c r="G237" s="198">
        <v>1528022</v>
      </c>
      <c r="H237" s="198"/>
      <c r="I237" s="198"/>
    </row>
    <row r="238" spans="1:9" x14ac:dyDescent="0.35">
      <c r="A238" s="1" t="str">
        <f t="shared" si="3"/>
        <v>4</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98" t="s">
        <v>2396</v>
      </c>
      <c r="D238" s="198"/>
      <c r="E238" s="198"/>
      <c r="F238" s="198"/>
      <c r="G238" s="198"/>
      <c r="H238" s="198"/>
      <c r="I238" s="198"/>
    </row>
    <row r="239" spans="1:9" x14ac:dyDescent="0.35">
      <c r="A239" s="1" t="str">
        <f t="shared" si="3"/>
        <v>4</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98" t="s">
        <v>2397</v>
      </c>
      <c r="D239" s="198" t="s">
        <v>211</v>
      </c>
      <c r="E239" s="198" t="s">
        <v>2398</v>
      </c>
      <c r="F239" s="198" t="s">
        <v>112</v>
      </c>
      <c r="G239" s="198">
        <v>348047</v>
      </c>
      <c r="H239" s="198"/>
      <c r="I239" s="198"/>
    </row>
    <row r="240" spans="1:9" x14ac:dyDescent="0.35">
      <c r="A240" s="1" t="str">
        <f t="shared" si="3"/>
        <v>4</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98" t="s">
        <v>2399</v>
      </c>
      <c r="D240" s="198" t="s">
        <v>2331</v>
      </c>
      <c r="E240" s="198" t="s">
        <v>2400</v>
      </c>
      <c r="F240" s="198" t="s">
        <v>112</v>
      </c>
      <c r="G240" s="198">
        <v>82237</v>
      </c>
      <c r="H240" s="198"/>
      <c r="I240" s="198"/>
    </row>
    <row r="241" spans="1:9" x14ac:dyDescent="0.35">
      <c r="A241" s="1" t="str">
        <f t="shared" si="3"/>
        <v>4</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98" t="s">
        <v>2401</v>
      </c>
      <c r="D241" s="198" t="s">
        <v>2402</v>
      </c>
      <c r="E241" s="198" t="s">
        <v>2403</v>
      </c>
      <c r="F241" s="198" t="s">
        <v>112</v>
      </c>
      <c r="G241" s="198">
        <v>419663</v>
      </c>
      <c r="H241" s="198"/>
      <c r="I241" s="198"/>
    </row>
    <row r="242" spans="1:9" x14ac:dyDescent="0.35">
      <c r="A242" s="1" t="str">
        <f t="shared" si="3"/>
        <v>4</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98" t="s">
        <v>2404</v>
      </c>
      <c r="D242" s="198" t="s">
        <v>2405</v>
      </c>
      <c r="E242" s="198" t="s">
        <v>2406</v>
      </c>
      <c r="F242" s="198" t="s">
        <v>112</v>
      </c>
      <c r="G242" s="198">
        <v>2635624</v>
      </c>
      <c r="H242" s="198"/>
      <c r="I242" s="198"/>
    </row>
    <row r="243" spans="1:9" x14ac:dyDescent="0.35">
      <c r="A243" s="1" t="str">
        <f t="shared" si="3"/>
        <v>4</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98" t="s">
        <v>2407</v>
      </c>
      <c r="D243" s="198" t="s">
        <v>2408</v>
      </c>
      <c r="E243" s="198" t="s">
        <v>2409</v>
      </c>
      <c r="F243" s="198" t="s">
        <v>112</v>
      </c>
      <c r="G243" s="198">
        <v>2671162</v>
      </c>
      <c r="H243" s="198"/>
      <c r="I243" s="198"/>
    </row>
    <row r="244" spans="1:9" x14ac:dyDescent="0.35">
      <c r="A244" s="1" t="str">
        <f t="shared" si="3"/>
        <v>4</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98" t="s">
        <v>2410</v>
      </c>
      <c r="D244" s="198" t="s">
        <v>1770</v>
      </c>
      <c r="E244" s="198" t="s">
        <v>2411</v>
      </c>
      <c r="F244" s="198" t="s">
        <v>112</v>
      </c>
      <c r="G244" s="198">
        <v>2770616</v>
      </c>
      <c r="H244" s="198"/>
      <c r="I244" s="198"/>
    </row>
    <row r="245" spans="1:9" x14ac:dyDescent="0.35">
      <c r="A245" s="1" t="str">
        <f t="shared" si="3"/>
        <v>4</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98" t="s">
        <v>2412</v>
      </c>
      <c r="D245" s="198" t="s">
        <v>2413</v>
      </c>
      <c r="E245" s="198" t="s">
        <v>2414</v>
      </c>
      <c r="F245" s="198" t="s">
        <v>112</v>
      </c>
      <c r="G245" s="198">
        <v>272731</v>
      </c>
      <c r="H245" s="198"/>
      <c r="I245" s="198"/>
    </row>
    <row r="246" spans="1:9" x14ac:dyDescent="0.35">
      <c r="A246" s="1" t="str">
        <f t="shared" si="3"/>
        <v>4</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98" t="s">
        <v>2415</v>
      </c>
      <c r="D246" s="198" t="s">
        <v>2416</v>
      </c>
      <c r="E246" s="198" t="s">
        <v>2417</v>
      </c>
      <c r="F246" s="198" t="s">
        <v>112</v>
      </c>
      <c r="G246" s="198">
        <v>131834</v>
      </c>
      <c r="H246" s="198"/>
      <c r="I246" s="198"/>
    </row>
    <row r="247" spans="1:9" x14ac:dyDescent="0.35">
      <c r="A247" s="1" t="str">
        <f t="shared" si="3"/>
        <v>4</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98" t="s">
        <v>2418</v>
      </c>
      <c r="D247" s="198" t="s">
        <v>1079</v>
      </c>
      <c r="E247" s="198" t="s">
        <v>2419</v>
      </c>
      <c r="F247" s="198" t="s">
        <v>112</v>
      </c>
      <c r="G247" s="198">
        <v>246754</v>
      </c>
      <c r="H247" s="198"/>
      <c r="I247" s="198"/>
    </row>
    <row r="248" spans="1:9" x14ac:dyDescent="0.35">
      <c r="A248" s="1" t="str">
        <f t="shared" si="3"/>
        <v>4</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98" t="s">
        <v>2420</v>
      </c>
      <c r="D248" s="198" t="s">
        <v>245</v>
      </c>
      <c r="E248" s="198">
        <v>33</v>
      </c>
      <c r="F248" s="198" t="s">
        <v>112</v>
      </c>
      <c r="G248" s="198">
        <v>2141</v>
      </c>
      <c r="H248" s="198"/>
      <c r="I248" s="198"/>
    </row>
    <row r="249" spans="1:9" x14ac:dyDescent="0.35">
      <c r="A249" s="1" t="str">
        <f t="shared" si="3"/>
        <v>4</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98" t="s">
        <v>2421</v>
      </c>
      <c r="D249" s="198" t="s">
        <v>2422</v>
      </c>
      <c r="E249" s="198" t="s">
        <v>2423</v>
      </c>
      <c r="F249" s="198" t="s">
        <v>112</v>
      </c>
      <c r="G249" s="198">
        <v>119613</v>
      </c>
      <c r="H249" s="198"/>
      <c r="I249" s="198"/>
    </row>
    <row r="250" spans="1:9" x14ac:dyDescent="0.35">
      <c r="A250" s="1" t="str">
        <f t="shared" si="3"/>
        <v>4</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98" t="s">
        <v>2424</v>
      </c>
      <c r="D250" s="198" t="s">
        <v>424</v>
      </c>
      <c r="E250" s="198" t="s">
        <v>2425</v>
      </c>
      <c r="F250" s="198" t="s">
        <v>112</v>
      </c>
      <c r="G250" s="198">
        <v>265983</v>
      </c>
      <c r="H250" s="198"/>
      <c r="I250" s="198"/>
    </row>
    <row r="251" spans="1:9" x14ac:dyDescent="0.35">
      <c r="A251" s="1" t="str">
        <f t="shared" si="3"/>
        <v>4</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98" t="s">
        <v>2426</v>
      </c>
      <c r="D251" s="198" t="s">
        <v>2427</v>
      </c>
      <c r="E251" s="198" t="s">
        <v>2428</v>
      </c>
      <c r="F251" s="198" t="s">
        <v>112</v>
      </c>
      <c r="G251" s="198">
        <v>1328876</v>
      </c>
      <c r="H251" s="198"/>
      <c r="I251" s="198"/>
    </row>
    <row r="252" spans="1:9" x14ac:dyDescent="0.35">
      <c r="A252" s="1" t="str">
        <f t="shared" si="3"/>
        <v>4</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98" t="s">
        <v>2429</v>
      </c>
      <c r="D252" s="198" t="s">
        <v>2430</v>
      </c>
      <c r="E252" s="198" t="s">
        <v>2431</v>
      </c>
      <c r="F252" s="198" t="s">
        <v>112</v>
      </c>
      <c r="G252" s="198">
        <v>1125512</v>
      </c>
      <c r="H252" s="198"/>
      <c r="I252" s="198"/>
    </row>
    <row r="253" spans="1:9" x14ac:dyDescent="0.35">
      <c r="A253" s="1" t="str">
        <f t="shared" si="3"/>
        <v>4</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98" t="s">
        <v>2432</v>
      </c>
      <c r="D253" s="198" t="s">
        <v>2433</v>
      </c>
      <c r="E253" s="198" t="s">
        <v>2434</v>
      </c>
      <c r="F253" s="198" t="s">
        <v>112</v>
      </c>
      <c r="G253" s="198">
        <v>1251549</v>
      </c>
      <c r="H253" s="198"/>
      <c r="I253" s="198"/>
    </row>
    <row r="254" spans="1:9" x14ac:dyDescent="0.35">
      <c r="A254" s="1" t="str">
        <f t="shared" si="3"/>
        <v>4</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98" t="s">
        <v>2435</v>
      </c>
      <c r="D254" s="198" t="s">
        <v>2436</v>
      </c>
      <c r="E254" s="198" t="s">
        <v>2437</v>
      </c>
      <c r="F254" s="198" t="s">
        <v>112</v>
      </c>
      <c r="G254" s="198">
        <v>2505823</v>
      </c>
      <c r="H254" s="198"/>
      <c r="I254" s="198"/>
    </row>
    <row r="255" spans="1:9" x14ac:dyDescent="0.35">
      <c r="A255" s="1" t="str">
        <f t="shared" si="3"/>
        <v>4</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98" t="s">
        <v>2438</v>
      </c>
      <c r="D255" s="198" t="s">
        <v>2439</v>
      </c>
      <c r="E255" s="198" t="s">
        <v>2440</v>
      </c>
      <c r="F255" s="198" t="s">
        <v>112</v>
      </c>
      <c r="G255" s="198">
        <v>2388438</v>
      </c>
      <c r="H255" s="198"/>
      <c r="I255" s="198"/>
    </row>
    <row r="256" spans="1:9" x14ac:dyDescent="0.35">
      <c r="A256" s="1" t="str">
        <f t="shared" si="3"/>
        <v>4</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98" t="s">
        <v>2441</v>
      </c>
      <c r="D256" s="198" t="s">
        <v>1920</v>
      </c>
      <c r="E256" s="198" t="s">
        <v>2442</v>
      </c>
      <c r="F256" s="198" t="s">
        <v>112</v>
      </c>
      <c r="G256" s="198">
        <v>1909898</v>
      </c>
      <c r="H256" s="198"/>
      <c r="I256" s="198"/>
    </row>
    <row r="257" spans="1:9"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98" t="s">
        <v>112</v>
      </c>
      <c r="D257" s="198"/>
      <c r="E257" s="198"/>
      <c r="F257" s="198"/>
      <c r="G257" s="198"/>
      <c r="H257" s="198"/>
      <c r="I257" s="198"/>
    </row>
    <row r="258" spans="1:9"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98" t="s">
        <v>195</v>
      </c>
      <c r="D258" s="198" t="s">
        <v>112</v>
      </c>
      <c r="E258" s="198" t="s">
        <v>196</v>
      </c>
      <c r="F258" s="198" t="s">
        <v>197</v>
      </c>
      <c r="G258" s="198" t="s">
        <v>198</v>
      </c>
      <c r="H258" s="198" t="s">
        <v>199</v>
      </c>
      <c r="I258" s="198" t="s">
        <v>200</v>
      </c>
    </row>
    <row r="259" spans="1:9" x14ac:dyDescent="0.35">
      <c r="A259" s="1" t="str">
        <f t="shared" si="4"/>
        <v>4</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98" t="s">
        <v>2443</v>
      </c>
      <c r="D259" s="198" t="s">
        <v>112</v>
      </c>
      <c r="E259" s="198" t="s">
        <v>2444</v>
      </c>
      <c r="F259" s="198" t="s">
        <v>2445</v>
      </c>
      <c r="G259" s="198" t="s">
        <v>2446</v>
      </c>
      <c r="H259" s="198" t="s">
        <v>2447</v>
      </c>
      <c r="I259" s="198">
        <v>24</v>
      </c>
    </row>
    <row r="260" spans="1:9"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98" t="s">
        <v>112</v>
      </c>
      <c r="D260" s="198"/>
      <c r="E260" s="198"/>
      <c r="F260" s="198"/>
      <c r="G260" s="198"/>
      <c r="H260" s="198"/>
      <c r="I260" s="198"/>
    </row>
    <row r="261" spans="1:9"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98" t="s">
        <v>112</v>
      </c>
      <c r="D261" s="198"/>
      <c r="E261" s="198"/>
      <c r="F261" s="198"/>
      <c r="G261" s="198"/>
      <c r="H261" s="198"/>
      <c r="I261" s="198"/>
    </row>
    <row r="262" spans="1:9"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98" t="s">
        <v>112</v>
      </c>
      <c r="D262" s="198"/>
      <c r="E262" s="198"/>
      <c r="F262" s="198"/>
      <c r="G262" s="198"/>
      <c r="H262" s="198"/>
      <c r="I262" s="198"/>
    </row>
    <row r="263" spans="1:9"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98" t="s">
        <v>112</v>
      </c>
      <c r="D263" s="198"/>
      <c r="E263" s="198"/>
      <c r="F263" s="198"/>
      <c r="G263" s="198"/>
      <c r="H263" s="198"/>
      <c r="I263" s="198"/>
    </row>
    <row r="264" spans="1:9"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98" t="s">
        <v>112</v>
      </c>
      <c r="D264" s="198"/>
      <c r="E264" s="198"/>
      <c r="F264" s="198"/>
      <c r="G264" s="198"/>
      <c r="H264" s="198"/>
      <c r="I264" s="198"/>
    </row>
    <row r="265" spans="1:9"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98" t="s">
        <v>206</v>
      </c>
      <c r="D265" s="198" t="s">
        <v>110</v>
      </c>
      <c r="E265" s="198" t="s">
        <v>111</v>
      </c>
      <c r="F265" s="198" t="s">
        <v>112</v>
      </c>
      <c r="G265" s="198" t="s">
        <v>113</v>
      </c>
      <c r="H265" s="198"/>
      <c r="I265" s="198"/>
    </row>
    <row r="266" spans="1:9" x14ac:dyDescent="0.35">
      <c r="A266" s="1" t="str">
        <f t="shared" si="4"/>
        <v>5</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98" t="s">
        <v>2448</v>
      </c>
      <c r="D266" s="198" t="s">
        <v>2180</v>
      </c>
      <c r="E266" s="198" t="s">
        <v>2449</v>
      </c>
      <c r="F266" s="198" t="s">
        <v>112</v>
      </c>
      <c r="G266" s="198">
        <v>3161123</v>
      </c>
      <c r="H266" s="198"/>
      <c r="I266" s="198"/>
    </row>
    <row r="267" spans="1:9" x14ac:dyDescent="0.35">
      <c r="A267" s="1" t="str">
        <f t="shared" si="4"/>
        <v>5</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98" t="s">
        <v>2450</v>
      </c>
      <c r="D267" s="198" t="s">
        <v>2451</v>
      </c>
      <c r="E267" s="198" t="s">
        <v>2452</v>
      </c>
      <c r="F267" s="198" t="s">
        <v>112</v>
      </c>
      <c r="G267" s="198">
        <v>2347774</v>
      </c>
      <c r="H267" s="198"/>
      <c r="I267" s="198"/>
    </row>
    <row r="268" spans="1:9" x14ac:dyDescent="0.35">
      <c r="A268" s="1" t="str">
        <f t="shared" si="4"/>
        <v>5</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98" t="s">
        <v>2453</v>
      </c>
      <c r="D268" s="198" t="s">
        <v>2454</v>
      </c>
      <c r="E268" s="198" t="s">
        <v>2455</v>
      </c>
      <c r="F268" s="198" t="s">
        <v>112</v>
      </c>
      <c r="G268" s="198">
        <v>3014840</v>
      </c>
      <c r="H268" s="198"/>
      <c r="I268" s="198"/>
    </row>
    <row r="269" spans="1:9" x14ac:dyDescent="0.35">
      <c r="A269" s="1" t="str">
        <f t="shared" si="4"/>
        <v>5</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98" t="s">
        <v>2456</v>
      </c>
      <c r="D269" s="198" t="s">
        <v>2457</v>
      </c>
      <c r="E269" s="198" t="s">
        <v>2458</v>
      </c>
      <c r="F269" s="198" t="s">
        <v>112</v>
      </c>
      <c r="G269" s="198">
        <v>1438907</v>
      </c>
      <c r="H269" s="198"/>
      <c r="I269" s="198"/>
    </row>
    <row r="270" spans="1:9" x14ac:dyDescent="0.35">
      <c r="A270" s="1" t="str">
        <f t="shared" si="4"/>
        <v>5</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98" t="s">
        <v>2459</v>
      </c>
      <c r="D270" s="198" t="s">
        <v>2460</v>
      </c>
      <c r="E270" s="198" t="s">
        <v>2461</v>
      </c>
      <c r="F270" s="198" t="s">
        <v>112</v>
      </c>
      <c r="G270" s="198">
        <v>1516342</v>
      </c>
      <c r="H270" s="198"/>
      <c r="I270" s="198"/>
    </row>
    <row r="271" spans="1:9" x14ac:dyDescent="0.35">
      <c r="A271" s="1" t="str">
        <f t="shared" si="4"/>
        <v>5</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98" t="s">
        <v>2462</v>
      </c>
      <c r="D271" s="198" t="s">
        <v>2463</v>
      </c>
      <c r="E271" s="198" t="s">
        <v>2464</v>
      </c>
      <c r="F271" s="198" t="s">
        <v>112</v>
      </c>
      <c r="G271" s="198">
        <v>1920864</v>
      </c>
      <c r="H271" s="198"/>
      <c r="I271" s="198"/>
    </row>
    <row r="272" spans="1:9" x14ac:dyDescent="0.35">
      <c r="A272" s="1" t="str">
        <f t="shared" si="4"/>
        <v>5</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98" t="s">
        <v>2465</v>
      </c>
      <c r="D272" s="198" t="s">
        <v>881</v>
      </c>
      <c r="E272" s="198" t="s">
        <v>2466</v>
      </c>
      <c r="F272" s="198" t="s">
        <v>112</v>
      </c>
      <c r="G272" s="198">
        <v>2871758</v>
      </c>
      <c r="H272" s="198"/>
      <c r="I272" s="198"/>
    </row>
    <row r="273" spans="1:9" x14ac:dyDescent="0.35">
      <c r="A273" s="1" t="str">
        <f t="shared" si="4"/>
        <v>5</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98" t="s">
        <v>2467</v>
      </c>
      <c r="D273" s="198" t="s">
        <v>2468</v>
      </c>
      <c r="E273" s="198" t="s">
        <v>2469</v>
      </c>
      <c r="F273" s="198" t="s">
        <v>112</v>
      </c>
      <c r="G273" s="198">
        <v>2929120</v>
      </c>
      <c r="H273" s="198"/>
      <c r="I273" s="198"/>
    </row>
    <row r="274" spans="1:9" x14ac:dyDescent="0.35">
      <c r="A274" s="1" t="str">
        <f t="shared" si="4"/>
        <v>5</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98" t="s">
        <v>2470</v>
      </c>
      <c r="D274" s="198" t="s">
        <v>2471</v>
      </c>
      <c r="E274" s="198" t="s">
        <v>2472</v>
      </c>
      <c r="F274" s="198" t="s">
        <v>112</v>
      </c>
      <c r="G274" s="198">
        <v>2854346</v>
      </c>
      <c r="H274" s="198"/>
      <c r="I274" s="198"/>
    </row>
    <row r="275" spans="1:9" x14ac:dyDescent="0.35">
      <c r="A275" s="1" t="str">
        <f t="shared" si="4"/>
        <v>5</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98" t="s">
        <v>2473</v>
      </c>
      <c r="D275" s="198" t="s">
        <v>2474</v>
      </c>
      <c r="E275" s="198" t="s">
        <v>2475</v>
      </c>
      <c r="F275" s="198" t="s">
        <v>112</v>
      </c>
      <c r="G275" s="198">
        <v>2255025</v>
      </c>
      <c r="H275" s="198"/>
      <c r="I275" s="198"/>
    </row>
    <row r="276" spans="1:9" x14ac:dyDescent="0.35">
      <c r="A276" s="1" t="str">
        <f t="shared" si="4"/>
        <v>5</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98" t="s">
        <v>2476</v>
      </c>
      <c r="D276" s="198" t="s">
        <v>2477</v>
      </c>
      <c r="E276" s="198" t="s">
        <v>2478</v>
      </c>
      <c r="F276" s="198" t="s">
        <v>112</v>
      </c>
      <c r="G276" s="198">
        <v>2097256</v>
      </c>
      <c r="H276" s="198"/>
      <c r="I276" s="198"/>
    </row>
    <row r="277" spans="1:9" x14ac:dyDescent="0.35">
      <c r="A277" s="1" t="str">
        <f t="shared" si="4"/>
        <v>5</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98" t="s">
        <v>2479</v>
      </c>
      <c r="D277" s="198" t="s">
        <v>2480</v>
      </c>
      <c r="E277" s="198" t="s">
        <v>2481</v>
      </c>
      <c r="F277" s="198" t="s">
        <v>112</v>
      </c>
      <c r="G277" s="198">
        <v>2348076</v>
      </c>
      <c r="H277" s="198"/>
      <c r="I277" s="198"/>
    </row>
    <row r="278" spans="1:9" x14ac:dyDescent="0.35">
      <c r="A278" s="1" t="str">
        <f t="shared" si="4"/>
        <v>5</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98" t="s">
        <v>2482</v>
      </c>
      <c r="D278" s="198" t="s">
        <v>2483</v>
      </c>
      <c r="E278" s="198" t="s">
        <v>2484</v>
      </c>
      <c r="F278" s="198" t="s">
        <v>112</v>
      </c>
      <c r="G278" s="198">
        <v>2799601</v>
      </c>
      <c r="H278" s="198"/>
      <c r="I278" s="198"/>
    </row>
    <row r="279" spans="1:9" x14ac:dyDescent="0.35">
      <c r="A279" s="1" t="str">
        <f t="shared" si="4"/>
        <v>5</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98" t="s">
        <v>2485</v>
      </c>
      <c r="D279" s="198" t="s">
        <v>1768</v>
      </c>
      <c r="E279" s="198" t="s">
        <v>2486</v>
      </c>
      <c r="F279" s="198" t="s">
        <v>112</v>
      </c>
      <c r="G279" s="198">
        <v>3237995</v>
      </c>
      <c r="H279" s="198"/>
      <c r="I279" s="198"/>
    </row>
    <row r="280" spans="1:9" x14ac:dyDescent="0.35">
      <c r="A280" s="1" t="str">
        <f t="shared" si="4"/>
        <v>5</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98" t="s">
        <v>2487</v>
      </c>
      <c r="D280" s="198" t="s">
        <v>2488</v>
      </c>
      <c r="E280" s="198" t="s">
        <v>2489</v>
      </c>
      <c r="F280" s="198" t="s">
        <v>112</v>
      </c>
      <c r="G280" s="198">
        <v>3020528</v>
      </c>
      <c r="H280" s="198"/>
      <c r="I280" s="198"/>
    </row>
    <row r="281" spans="1:9" x14ac:dyDescent="0.35">
      <c r="A281" s="1" t="str">
        <f t="shared" si="4"/>
        <v>5</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98" t="s">
        <v>2490</v>
      </c>
      <c r="D281" s="198" t="s">
        <v>2491</v>
      </c>
      <c r="E281" s="198" t="s">
        <v>2492</v>
      </c>
      <c r="F281" s="198" t="s">
        <v>112</v>
      </c>
      <c r="G281" s="198">
        <v>1460364</v>
      </c>
      <c r="H281" s="198"/>
      <c r="I281" s="198"/>
    </row>
    <row r="282" spans="1:9" x14ac:dyDescent="0.35">
      <c r="A282" s="1" t="str">
        <f t="shared" si="4"/>
        <v>5</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98" t="s">
        <v>2493</v>
      </c>
      <c r="D282" s="198" t="s">
        <v>2494</v>
      </c>
      <c r="E282" s="198" t="s">
        <v>2495</v>
      </c>
      <c r="F282" s="198" t="s">
        <v>112</v>
      </c>
      <c r="G282" s="198">
        <v>1617959</v>
      </c>
      <c r="H282" s="198"/>
      <c r="I282" s="198"/>
    </row>
    <row r="283" spans="1:9" x14ac:dyDescent="0.35">
      <c r="A283" s="1" t="str">
        <f t="shared" si="4"/>
        <v>5</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98" t="s">
        <v>2496</v>
      </c>
      <c r="D283" s="198" t="s">
        <v>2497</v>
      </c>
      <c r="E283" s="198" t="s">
        <v>2498</v>
      </c>
      <c r="F283" s="198" t="s">
        <v>112</v>
      </c>
      <c r="G283" s="198">
        <v>1332791</v>
      </c>
      <c r="H283" s="198"/>
      <c r="I283" s="198"/>
    </row>
    <row r="284" spans="1:9" x14ac:dyDescent="0.35">
      <c r="A284" s="1" t="str">
        <f t="shared" si="4"/>
        <v>5</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98" t="s">
        <v>2499</v>
      </c>
      <c r="D284" s="198" t="s">
        <v>2500</v>
      </c>
      <c r="E284" s="198" t="s">
        <v>2501</v>
      </c>
      <c r="F284" s="198" t="s">
        <v>112</v>
      </c>
      <c r="G284" s="198">
        <v>2799363</v>
      </c>
      <c r="H284" s="198"/>
      <c r="I284" s="198"/>
    </row>
    <row r="285" spans="1:9" x14ac:dyDescent="0.35">
      <c r="A285" s="1" t="str">
        <f t="shared" si="4"/>
        <v>5</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98" t="s">
        <v>2502</v>
      </c>
      <c r="D285" s="198" t="s">
        <v>2503</v>
      </c>
      <c r="E285" s="198" t="s">
        <v>2504</v>
      </c>
      <c r="F285" s="198" t="s">
        <v>112</v>
      </c>
      <c r="G285" s="198">
        <v>2841649</v>
      </c>
      <c r="H285" s="198"/>
      <c r="I285" s="198"/>
    </row>
    <row r="286" spans="1:9" x14ac:dyDescent="0.35">
      <c r="A286" s="1" t="str">
        <f t="shared" si="4"/>
        <v>5</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98" t="s">
        <v>2505</v>
      </c>
      <c r="D286" s="198" t="s">
        <v>2506</v>
      </c>
      <c r="E286" s="198" t="s">
        <v>2507</v>
      </c>
      <c r="F286" s="198" t="s">
        <v>112</v>
      </c>
      <c r="G286" s="198">
        <v>2532277</v>
      </c>
      <c r="H286" s="198"/>
      <c r="I286" s="198"/>
    </row>
    <row r="287" spans="1:9" x14ac:dyDescent="0.35">
      <c r="A287" s="1" t="str">
        <f t="shared" si="4"/>
        <v>5</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98" t="s">
        <v>2508</v>
      </c>
      <c r="D287" s="198" t="s">
        <v>2509</v>
      </c>
      <c r="E287" s="198" t="s">
        <v>2510</v>
      </c>
      <c r="F287" s="198" t="s">
        <v>112</v>
      </c>
      <c r="G287" s="198">
        <v>2974954</v>
      </c>
      <c r="H287" s="198"/>
      <c r="I287" s="198"/>
    </row>
    <row r="288" spans="1:9" x14ac:dyDescent="0.35">
      <c r="A288" s="1" t="str">
        <f t="shared" si="4"/>
        <v>5</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98" t="s">
        <v>2511</v>
      </c>
      <c r="D288" s="198" t="s">
        <v>661</v>
      </c>
      <c r="E288" s="198" t="s">
        <v>2512</v>
      </c>
      <c r="F288" s="198" t="s">
        <v>112</v>
      </c>
      <c r="G288" s="198">
        <v>2753248</v>
      </c>
      <c r="H288" s="198"/>
      <c r="I288" s="198"/>
    </row>
    <row r="289" spans="1:9" x14ac:dyDescent="0.35">
      <c r="A289" s="1" t="str">
        <f t="shared" si="4"/>
        <v>5</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98" t="s">
        <v>2513</v>
      </c>
      <c r="D289" s="198" t="s">
        <v>935</v>
      </c>
      <c r="E289" s="198" t="s">
        <v>2514</v>
      </c>
      <c r="F289" s="198" t="s">
        <v>112</v>
      </c>
      <c r="G289" s="198">
        <v>2240295</v>
      </c>
      <c r="H289" s="198"/>
      <c r="I289" s="198"/>
    </row>
    <row r="290" spans="1:9"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98" t="s">
        <v>112</v>
      </c>
      <c r="D290" s="198"/>
      <c r="E290" s="198"/>
      <c r="F290" s="198"/>
      <c r="G290" s="198"/>
      <c r="H290" s="198"/>
      <c r="I290" s="198"/>
    </row>
    <row r="291" spans="1:9"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98" t="s">
        <v>195</v>
      </c>
      <c r="D291" s="198" t="s">
        <v>112</v>
      </c>
      <c r="E291" s="198" t="s">
        <v>196</v>
      </c>
      <c r="F291" s="198" t="s">
        <v>197</v>
      </c>
      <c r="G291" s="198" t="s">
        <v>198</v>
      </c>
      <c r="H291" s="198" t="s">
        <v>199</v>
      </c>
      <c r="I291" s="198" t="s">
        <v>200</v>
      </c>
    </row>
    <row r="292" spans="1:9" x14ac:dyDescent="0.35">
      <c r="A292" s="1" t="str">
        <f t="shared" si="4"/>
        <v>5</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98" t="s">
        <v>2515</v>
      </c>
      <c r="D292" s="198" t="s">
        <v>112</v>
      </c>
      <c r="E292" s="198" t="s">
        <v>2516</v>
      </c>
      <c r="F292" s="198" t="s">
        <v>2517</v>
      </c>
      <c r="G292" s="198" t="s">
        <v>2518</v>
      </c>
      <c r="H292" s="198" t="s">
        <v>2519</v>
      </c>
      <c r="I292" s="198">
        <v>24</v>
      </c>
    </row>
    <row r="293" spans="1:9"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98" t="s">
        <v>112</v>
      </c>
      <c r="D293" s="198"/>
      <c r="E293" s="198"/>
      <c r="F293" s="198"/>
      <c r="G293" s="198"/>
      <c r="H293" s="198"/>
      <c r="I293" s="198"/>
    </row>
    <row r="294" spans="1:9"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98" t="s">
        <v>112</v>
      </c>
      <c r="D294" s="198"/>
      <c r="E294" s="198"/>
      <c r="F294" s="198"/>
      <c r="G294" s="198"/>
      <c r="H294" s="198"/>
      <c r="I294" s="198"/>
    </row>
    <row r="295" spans="1:9"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98" t="s">
        <v>112</v>
      </c>
      <c r="D295" s="198"/>
      <c r="E295" s="198"/>
      <c r="F295" s="198"/>
      <c r="G295" s="198"/>
      <c r="H295" s="198"/>
      <c r="I295" s="198"/>
    </row>
    <row r="296" spans="1:9"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98" t="s">
        <v>112</v>
      </c>
      <c r="D296" s="198"/>
      <c r="E296" s="198"/>
      <c r="F296" s="198"/>
      <c r="G296" s="198"/>
      <c r="H296" s="198"/>
      <c r="I296" s="198"/>
    </row>
    <row r="297" spans="1:9"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98" t="s">
        <v>112</v>
      </c>
      <c r="D297" s="198"/>
      <c r="E297" s="198"/>
      <c r="F297" s="198"/>
      <c r="G297" s="198"/>
      <c r="H297" s="198"/>
      <c r="I297" s="198"/>
    </row>
    <row r="298" spans="1:9"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98" t="s">
        <v>206</v>
      </c>
      <c r="D298" s="198" t="s">
        <v>110</v>
      </c>
      <c r="E298" s="198" t="s">
        <v>111</v>
      </c>
      <c r="F298" s="198" t="s">
        <v>112</v>
      </c>
      <c r="G298" s="198" t="s">
        <v>113</v>
      </c>
      <c r="H298" s="198"/>
      <c r="I298" s="198"/>
    </row>
    <row r="299" spans="1:9" x14ac:dyDescent="0.35">
      <c r="A299" s="1" t="str">
        <f t="shared" si="4"/>
        <v>6</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98" t="s">
        <v>2520</v>
      </c>
      <c r="D299" s="198" t="s">
        <v>1292</v>
      </c>
      <c r="E299" s="198" t="s">
        <v>2521</v>
      </c>
      <c r="F299" s="198" t="s">
        <v>112</v>
      </c>
      <c r="G299" s="198">
        <v>3074452</v>
      </c>
      <c r="H299" s="198"/>
      <c r="I299" s="198"/>
    </row>
    <row r="300" spans="1:9" x14ac:dyDescent="0.35">
      <c r="A300" s="1" t="str">
        <f t="shared" si="4"/>
        <v>6</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98" t="s">
        <v>2522</v>
      </c>
      <c r="D300" s="198" t="s">
        <v>2523</v>
      </c>
      <c r="E300" s="198" t="s">
        <v>2524</v>
      </c>
      <c r="F300" s="198" t="s">
        <v>112</v>
      </c>
      <c r="G300" s="198">
        <v>3265617</v>
      </c>
      <c r="H300" s="198"/>
      <c r="I300" s="198"/>
    </row>
    <row r="301" spans="1:9" x14ac:dyDescent="0.35">
      <c r="A301" s="1" t="str">
        <f t="shared" si="4"/>
        <v>6</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98" t="s">
        <v>2525</v>
      </c>
      <c r="D301" s="198" t="s">
        <v>1610</v>
      </c>
      <c r="E301" s="198" t="s">
        <v>2526</v>
      </c>
      <c r="F301" s="198" t="s">
        <v>112</v>
      </c>
      <c r="G301" s="198">
        <v>2831807</v>
      </c>
      <c r="H301" s="198"/>
      <c r="I301" s="198"/>
    </row>
    <row r="302" spans="1:9" x14ac:dyDescent="0.35">
      <c r="A302" s="1" t="str">
        <f t="shared" si="4"/>
        <v>6</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98" t="s">
        <v>2527</v>
      </c>
      <c r="D302" s="198" t="s">
        <v>1317</v>
      </c>
      <c r="E302" s="198" t="s">
        <v>2528</v>
      </c>
      <c r="F302" s="198" t="s">
        <v>112</v>
      </c>
      <c r="G302" s="198">
        <v>286683</v>
      </c>
      <c r="H302" s="198"/>
      <c r="I302" s="198"/>
    </row>
    <row r="303" spans="1:9" x14ac:dyDescent="0.35">
      <c r="A303" s="1" t="str">
        <f t="shared" si="4"/>
        <v>6</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98" t="s">
        <v>2529</v>
      </c>
      <c r="D303" s="198" t="s">
        <v>2530</v>
      </c>
      <c r="E303" s="198" t="s">
        <v>2531</v>
      </c>
      <c r="F303" s="198" t="s">
        <v>112</v>
      </c>
      <c r="G303" s="198">
        <v>551411</v>
      </c>
      <c r="H303" s="198"/>
      <c r="I303" s="198"/>
    </row>
    <row r="304" spans="1:9" x14ac:dyDescent="0.35">
      <c r="A304" s="1" t="str">
        <f t="shared" si="4"/>
        <v>6</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98" t="s">
        <v>2532</v>
      </c>
      <c r="D304" s="198" t="s">
        <v>2533</v>
      </c>
      <c r="E304" s="198" t="s">
        <v>2534</v>
      </c>
      <c r="F304" s="198" t="s">
        <v>112</v>
      </c>
      <c r="G304" s="198">
        <v>535946</v>
      </c>
      <c r="H304" s="198"/>
      <c r="I304" s="198"/>
    </row>
    <row r="305" spans="1:9" x14ac:dyDescent="0.35">
      <c r="A305" s="1" t="str">
        <f t="shared" si="4"/>
        <v>6</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98" t="s">
        <v>2535</v>
      </c>
      <c r="D305" s="198" t="s">
        <v>2536</v>
      </c>
      <c r="E305" s="198" t="s">
        <v>2537</v>
      </c>
      <c r="F305" s="198" t="s">
        <v>112</v>
      </c>
      <c r="G305" s="198">
        <v>3195363</v>
      </c>
      <c r="H305" s="198"/>
      <c r="I305" s="198"/>
    </row>
    <row r="306" spans="1:9" x14ac:dyDescent="0.35">
      <c r="A306" s="1" t="str">
        <f t="shared" si="4"/>
        <v>6</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98" t="s">
        <v>2538</v>
      </c>
      <c r="D306" s="198"/>
      <c r="E306" s="198"/>
      <c r="F306" s="198"/>
      <c r="G306" s="198"/>
      <c r="H306" s="198"/>
      <c r="I306" s="198"/>
    </row>
    <row r="307" spans="1:9" x14ac:dyDescent="0.35">
      <c r="A307" s="1" t="str">
        <f t="shared" si="4"/>
        <v>6</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98" t="s">
        <v>2539</v>
      </c>
      <c r="D307" s="198" t="s">
        <v>2540</v>
      </c>
      <c r="E307" s="198" t="s">
        <v>2541</v>
      </c>
      <c r="F307" s="198" t="s">
        <v>112</v>
      </c>
      <c r="G307" s="198">
        <v>3156926</v>
      </c>
      <c r="H307" s="198"/>
      <c r="I307" s="198"/>
    </row>
    <row r="308" spans="1:9" x14ac:dyDescent="0.35">
      <c r="A308" s="1" t="str">
        <f t="shared" si="4"/>
        <v>6</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98" t="s">
        <v>2542</v>
      </c>
      <c r="D308" s="198" t="s">
        <v>945</v>
      </c>
      <c r="E308" s="198" t="s">
        <v>2543</v>
      </c>
      <c r="F308" s="198" t="s">
        <v>112</v>
      </c>
      <c r="G308" s="198">
        <v>3897794</v>
      </c>
      <c r="H308" s="198"/>
      <c r="I308" s="198"/>
    </row>
    <row r="309" spans="1:9" x14ac:dyDescent="0.35">
      <c r="A309" s="1" t="str">
        <f t="shared" si="4"/>
        <v>6</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98" t="s">
        <v>2544</v>
      </c>
      <c r="D309" s="198" t="s">
        <v>2545</v>
      </c>
      <c r="E309" s="198" t="s">
        <v>2546</v>
      </c>
      <c r="F309" s="198" t="s">
        <v>112</v>
      </c>
      <c r="G309" s="198">
        <v>4256828</v>
      </c>
      <c r="H309" s="198"/>
      <c r="I309" s="198"/>
    </row>
    <row r="310" spans="1:9" x14ac:dyDescent="0.35">
      <c r="A310" s="1" t="str">
        <f t="shared" si="4"/>
        <v>6</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98" t="s">
        <v>2547</v>
      </c>
      <c r="D310" s="198" t="s">
        <v>2548</v>
      </c>
      <c r="E310" s="198" t="s">
        <v>2549</v>
      </c>
      <c r="F310" s="198" t="s">
        <v>112</v>
      </c>
      <c r="G310" s="198">
        <v>3591817</v>
      </c>
      <c r="H310" s="198"/>
      <c r="I310" s="198"/>
    </row>
    <row r="311" spans="1:9" x14ac:dyDescent="0.35">
      <c r="A311" s="1" t="str">
        <f t="shared" si="4"/>
        <v>6</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98" t="s">
        <v>2550</v>
      </c>
      <c r="D311" s="198" t="s">
        <v>2551</v>
      </c>
      <c r="E311" s="198" t="s">
        <v>2552</v>
      </c>
      <c r="F311" s="198" t="s">
        <v>112</v>
      </c>
      <c r="G311" s="198">
        <v>4678200</v>
      </c>
      <c r="H311" s="198"/>
      <c r="I311" s="198"/>
    </row>
    <row r="312" spans="1:9" x14ac:dyDescent="0.35">
      <c r="A312" s="1" t="str">
        <f t="shared" si="4"/>
        <v>6</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98" t="s">
        <v>2553</v>
      </c>
      <c r="D312" s="198" t="s">
        <v>2554</v>
      </c>
      <c r="E312" s="198" t="s">
        <v>2555</v>
      </c>
      <c r="F312" s="198" t="s">
        <v>112</v>
      </c>
      <c r="G312" s="198">
        <v>5027263</v>
      </c>
      <c r="H312" s="198"/>
      <c r="I312" s="198"/>
    </row>
    <row r="313" spans="1:9" x14ac:dyDescent="0.35">
      <c r="A313" s="1" t="str">
        <f t="shared" si="4"/>
        <v>6</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98" t="s">
        <v>2556</v>
      </c>
      <c r="D313" s="198" t="s">
        <v>2557</v>
      </c>
      <c r="E313" s="198" t="s">
        <v>2558</v>
      </c>
      <c r="F313" s="198" t="s">
        <v>112</v>
      </c>
      <c r="G313" s="198">
        <v>4307983</v>
      </c>
      <c r="H313" s="198"/>
      <c r="I313" s="198"/>
    </row>
    <row r="314" spans="1:9" x14ac:dyDescent="0.35">
      <c r="A314" s="1" t="str">
        <f t="shared" si="4"/>
        <v>6</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98" t="s">
        <v>2559</v>
      </c>
      <c r="D314" s="198" t="s">
        <v>2560</v>
      </c>
      <c r="E314" s="198" t="s">
        <v>2561</v>
      </c>
      <c r="F314" s="198" t="s">
        <v>112</v>
      </c>
      <c r="G314" s="198">
        <v>3296223</v>
      </c>
      <c r="H314" s="198"/>
      <c r="I314" s="198"/>
    </row>
    <row r="315" spans="1:9" x14ac:dyDescent="0.35">
      <c r="A315" s="1" t="str">
        <f t="shared" si="4"/>
        <v>6</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98" t="s">
        <v>2562</v>
      </c>
      <c r="D315" s="198" t="s">
        <v>2563</v>
      </c>
      <c r="E315" s="198" t="s">
        <v>2564</v>
      </c>
      <c r="F315" s="198" t="s">
        <v>112</v>
      </c>
      <c r="G315" s="198">
        <v>2902234</v>
      </c>
      <c r="H315" s="198"/>
      <c r="I315" s="198"/>
    </row>
    <row r="316" spans="1:9" x14ac:dyDescent="0.35">
      <c r="A316" s="1" t="str">
        <f t="shared" si="4"/>
        <v>6</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98" t="s">
        <v>2565</v>
      </c>
      <c r="D316" s="198" t="s">
        <v>1807</v>
      </c>
      <c r="E316" s="198" t="s">
        <v>2566</v>
      </c>
      <c r="F316" s="198" t="s">
        <v>112</v>
      </c>
      <c r="G316" s="198">
        <v>2862284</v>
      </c>
      <c r="H316" s="198"/>
      <c r="I316" s="198"/>
    </row>
    <row r="317" spans="1:9" x14ac:dyDescent="0.35">
      <c r="A317" s="1" t="str">
        <f t="shared" si="4"/>
        <v>6</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98" t="s">
        <v>2567</v>
      </c>
      <c r="D317" s="198"/>
      <c r="E317" s="198"/>
      <c r="F317" s="198"/>
      <c r="G317" s="198"/>
      <c r="H317" s="198"/>
      <c r="I317" s="198"/>
    </row>
    <row r="318" spans="1:9" x14ac:dyDescent="0.35">
      <c r="A318" s="1" t="str">
        <f t="shared" si="4"/>
        <v>6</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98" t="s">
        <v>2568</v>
      </c>
      <c r="D318" s="198"/>
      <c r="E318" s="198"/>
      <c r="F318" s="198"/>
      <c r="G318" s="198"/>
      <c r="H318" s="198"/>
      <c r="I318" s="198"/>
    </row>
    <row r="319" spans="1:9" x14ac:dyDescent="0.35">
      <c r="A319" s="1" t="str">
        <f t="shared" si="4"/>
        <v>6</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98" t="s">
        <v>2569</v>
      </c>
      <c r="D319" s="198"/>
      <c r="E319" s="198"/>
      <c r="F319" s="198"/>
      <c r="G319" s="198"/>
      <c r="H319" s="198"/>
      <c r="I319" s="198"/>
    </row>
    <row r="320" spans="1:9" x14ac:dyDescent="0.35">
      <c r="A320" s="1" t="str">
        <f t="shared" si="4"/>
        <v>6</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98" t="s">
        <v>2570</v>
      </c>
      <c r="D320" s="198" t="s">
        <v>2571</v>
      </c>
      <c r="E320" s="198" t="s">
        <v>2572</v>
      </c>
      <c r="F320" s="198" t="s">
        <v>112</v>
      </c>
      <c r="G320" s="198">
        <v>1504208</v>
      </c>
      <c r="H320" s="198"/>
      <c r="I320" s="198"/>
    </row>
    <row r="321" spans="1:9" x14ac:dyDescent="0.35">
      <c r="A321" s="1" t="str">
        <f t="shared" si="4"/>
        <v>6</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98" t="s">
        <v>2573</v>
      </c>
      <c r="D321" s="198" t="s">
        <v>2574</v>
      </c>
      <c r="E321" s="198" t="s">
        <v>2575</v>
      </c>
      <c r="F321" s="198" t="s">
        <v>112</v>
      </c>
      <c r="G321" s="198">
        <v>1825304</v>
      </c>
      <c r="H321" s="198"/>
      <c r="I321" s="198"/>
    </row>
    <row r="322" spans="1:9" x14ac:dyDescent="0.35">
      <c r="A322" s="1" t="str">
        <f t="shared" ref="A322:A385" si="5">IFERROR(LEFT(RIGHT(C322,LEN(C322)-SEARCH("@",C322)),SEARCH("/",RIGHT(C322,LEN(C322)-SEARCH("@",C322)-1))),"")</f>
        <v>6</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98" t="s">
        <v>2576</v>
      </c>
      <c r="D322" s="198" t="s">
        <v>2577</v>
      </c>
      <c r="E322" s="198" t="s">
        <v>2578</v>
      </c>
      <c r="F322" s="198" t="s">
        <v>112</v>
      </c>
      <c r="G322" s="198">
        <v>1052013</v>
      </c>
      <c r="H322" s="198"/>
      <c r="I322" s="198"/>
    </row>
    <row r="323" spans="1:9"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98" t="s">
        <v>112</v>
      </c>
      <c r="D323" s="198"/>
      <c r="E323" s="198"/>
      <c r="F323" s="198"/>
      <c r="G323" s="198"/>
      <c r="H323" s="198"/>
      <c r="I323" s="198"/>
    </row>
    <row r="324" spans="1:9"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98" t="s">
        <v>195</v>
      </c>
      <c r="D324" s="198" t="s">
        <v>112</v>
      </c>
      <c r="E324" s="198" t="s">
        <v>196</v>
      </c>
      <c r="F324" s="198" t="s">
        <v>197</v>
      </c>
      <c r="G324" s="198" t="s">
        <v>198</v>
      </c>
      <c r="H324" s="198" t="s">
        <v>199</v>
      </c>
      <c r="I324" s="198" t="s">
        <v>200</v>
      </c>
    </row>
    <row r="325" spans="1:9" x14ac:dyDescent="0.35">
      <c r="A325" s="1" t="str">
        <f t="shared" si="5"/>
        <v>6</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98" t="s">
        <v>2579</v>
      </c>
      <c r="D325" s="198" t="s">
        <v>112</v>
      </c>
      <c r="E325" s="198" t="s">
        <v>2580</v>
      </c>
      <c r="F325" s="198" t="s">
        <v>2581</v>
      </c>
      <c r="G325" s="198" t="s">
        <v>2582</v>
      </c>
      <c r="H325" s="198" t="s">
        <v>2583</v>
      </c>
      <c r="I325" s="198">
        <v>24</v>
      </c>
    </row>
    <row r="326" spans="1:9"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98" t="s">
        <v>112</v>
      </c>
      <c r="D326" s="198"/>
      <c r="E326" s="198"/>
      <c r="F326" s="198"/>
      <c r="G326" s="198"/>
      <c r="H326" s="198"/>
      <c r="I326" s="198"/>
    </row>
    <row r="327" spans="1:9"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98" t="s">
        <v>112</v>
      </c>
      <c r="D327" s="198"/>
      <c r="E327" s="198"/>
      <c r="F327" s="198"/>
      <c r="G327" s="198"/>
      <c r="H327" s="198"/>
      <c r="I327" s="198"/>
    </row>
    <row r="328" spans="1:9"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98" t="s">
        <v>112</v>
      </c>
      <c r="D328" s="198"/>
      <c r="E328" s="198"/>
      <c r="F328" s="198"/>
      <c r="G328" s="198"/>
      <c r="H328" s="198"/>
      <c r="I328" s="198"/>
    </row>
    <row r="329" spans="1:9"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98" t="s">
        <v>112</v>
      </c>
      <c r="D329" s="198"/>
      <c r="E329" s="198"/>
      <c r="F329" s="198"/>
      <c r="G329" s="198"/>
      <c r="H329" s="198"/>
      <c r="I329" s="198"/>
    </row>
    <row r="330" spans="1:9"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98" t="s">
        <v>112</v>
      </c>
      <c r="D330" s="198"/>
      <c r="E330" s="198"/>
      <c r="F330" s="198"/>
      <c r="G330" s="198"/>
      <c r="H330" s="198"/>
      <c r="I330" s="198"/>
    </row>
    <row r="331" spans="1:9"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98" t="s">
        <v>206</v>
      </c>
      <c r="D331" s="198" t="s">
        <v>110</v>
      </c>
      <c r="E331" s="198" t="s">
        <v>111</v>
      </c>
      <c r="F331" s="198" t="s">
        <v>112</v>
      </c>
      <c r="G331" s="198" t="s">
        <v>113</v>
      </c>
      <c r="H331" s="198"/>
      <c r="I331" s="198"/>
    </row>
    <row r="332" spans="1:9" x14ac:dyDescent="0.35">
      <c r="A332" s="1" t="str">
        <f t="shared" si="5"/>
        <v>7</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98" t="s">
        <v>2584</v>
      </c>
      <c r="D332" s="198" t="s">
        <v>2585</v>
      </c>
      <c r="E332" s="198" t="s">
        <v>2586</v>
      </c>
      <c r="F332" s="198" t="s">
        <v>112</v>
      </c>
      <c r="G332" s="198">
        <v>4486711</v>
      </c>
      <c r="H332" s="198"/>
      <c r="I332" s="198"/>
    </row>
    <row r="333" spans="1:9" x14ac:dyDescent="0.35">
      <c r="A333" s="1" t="str">
        <f t="shared" si="5"/>
        <v>7</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98" t="s">
        <v>2587</v>
      </c>
      <c r="D333" s="198" t="s">
        <v>2588</v>
      </c>
      <c r="E333" s="198" t="s">
        <v>2589</v>
      </c>
      <c r="F333" s="198" t="s">
        <v>112</v>
      </c>
      <c r="G333" s="198">
        <v>3786291</v>
      </c>
      <c r="H333" s="198"/>
      <c r="I333" s="198"/>
    </row>
    <row r="334" spans="1:9" x14ac:dyDescent="0.35">
      <c r="A334" s="1" t="str">
        <f t="shared" si="5"/>
        <v>7</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98" t="s">
        <v>2590</v>
      </c>
      <c r="D334" s="198" t="s">
        <v>2591</v>
      </c>
      <c r="E334" s="198" t="s">
        <v>2592</v>
      </c>
      <c r="F334" s="198" t="s">
        <v>112</v>
      </c>
      <c r="G334" s="198">
        <v>4171541</v>
      </c>
      <c r="H334" s="198"/>
      <c r="I334" s="198"/>
    </row>
    <row r="335" spans="1:9" x14ac:dyDescent="0.35">
      <c r="A335" s="1" t="str">
        <f t="shared" si="5"/>
        <v>7</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98" t="s">
        <v>2593</v>
      </c>
      <c r="D335" s="198" t="s">
        <v>2594</v>
      </c>
      <c r="E335" s="198" t="s">
        <v>2595</v>
      </c>
      <c r="F335" s="198" t="s">
        <v>112</v>
      </c>
      <c r="G335" s="198">
        <v>3486047</v>
      </c>
      <c r="H335" s="198"/>
      <c r="I335" s="198"/>
    </row>
    <row r="336" spans="1:9" x14ac:dyDescent="0.35">
      <c r="A336" s="1" t="str">
        <f t="shared" si="5"/>
        <v>7</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98" t="s">
        <v>2596</v>
      </c>
      <c r="D336" s="198" t="s">
        <v>2597</v>
      </c>
      <c r="E336" s="198" t="s">
        <v>2598</v>
      </c>
      <c r="F336" s="198" t="s">
        <v>112</v>
      </c>
      <c r="G336" s="198">
        <v>3639078</v>
      </c>
      <c r="H336" s="198"/>
      <c r="I336" s="198"/>
    </row>
    <row r="337" spans="1:9" x14ac:dyDescent="0.35">
      <c r="A337" s="1" t="str">
        <f t="shared" si="5"/>
        <v>7</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98" t="s">
        <v>2599</v>
      </c>
      <c r="D337" s="198" t="s">
        <v>2600</v>
      </c>
      <c r="E337" s="198" t="s">
        <v>2601</v>
      </c>
      <c r="F337" s="198" t="s">
        <v>112</v>
      </c>
      <c r="G337" s="198">
        <v>4135593</v>
      </c>
      <c r="H337" s="198"/>
      <c r="I337" s="198"/>
    </row>
    <row r="338" spans="1:9" x14ac:dyDescent="0.35">
      <c r="A338" s="1" t="str">
        <f t="shared" si="5"/>
        <v>7</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98" t="s">
        <v>2602</v>
      </c>
      <c r="D338" s="198" t="s">
        <v>2603</v>
      </c>
      <c r="E338" s="198" t="s">
        <v>2604</v>
      </c>
      <c r="F338" s="198" t="s">
        <v>112</v>
      </c>
      <c r="G338" s="198">
        <v>5268848</v>
      </c>
      <c r="H338" s="198"/>
      <c r="I338" s="198"/>
    </row>
    <row r="339" spans="1:9" x14ac:dyDescent="0.35">
      <c r="A339" s="1" t="str">
        <f t="shared" si="5"/>
        <v>7</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98" t="s">
        <v>2605</v>
      </c>
      <c r="D339" s="198" t="s">
        <v>2606</v>
      </c>
      <c r="E339" s="198" t="s">
        <v>2607</v>
      </c>
      <c r="F339" s="198" t="s">
        <v>112</v>
      </c>
      <c r="G339" s="198">
        <v>5340940</v>
      </c>
      <c r="H339" s="198"/>
      <c r="I339" s="198"/>
    </row>
    <row r="340" spans="1:9" x14ac:dyDescent="0.35">
      <c r="A340" s="1" t="str">
        <f t="shared" si="5"/>
        <v>7</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98" t="s">
        <v>2608</v>
      </c>
      <c r="D340" s="198" t="s">
        <v>2609</v>
      </c>
      <c r="E340" s="198" t="s">
        <v>2610</v>
      </c>
      <c r="F340" s="198" t="s">
        <v>112</v>
      </c>
      <c r="G340" s="198">
        <v>4978726</v>
      </c>
      <c r="H340" s="198"/>
      <c r="I340" s="198"/>
    </row>
    <row r="341" spans="1:9" x14ac:dyDescent="0.35">
      <c r="A341" s="1" t="str">
        <f t="shared" si="5"/>
        <v>7</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98" t="s">
        <v>2611</v>
      </c>
      <c r="D341" s="198" t="s">
        <v>2612</v>
      </c>
      <c r="E341" s="198" t="s">
        <v>2613</v>
      </c>
      <c r="F341" s="198" t="s">
        <v>112</v>
      </c>
      <c r="G341" s="198">
        <v>4028287</v>
      </c>
      <c r="H341" s="198"/>
      <c r="I341" s="198"/>
    </row>
    <row r="342" spans="1:9" x14ac:dyDescent="0.35">
      <c r="A342" s="1" t="str">
        <f t="shared" si="5"/>
        <v>7</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98" t="s">
        <v>2614</v>
      </c>
      <c r="D342" s="198" t="s">
        <v>2615</v>
      </c>
      <c r="E342" s="198" t="s">
        <v>2616</v>
      </c>
      <c r="F342" s="198" t="s">
        <v>112</v>
      </c>
      <c r="G342" s="198">
        <v>4464410</v>
      </c>
      <c r="H342" s="198"/>
      <c r="I342" s="198"/>
    </row>
    <row r="343" spans="1:9" x14ac:dyDescent="0.35">
      <c r="A343" s="1" t="str">
        <f t="shared" si="5"/>
        <v>7</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98" t="s">
        <v>2617</v>
      </c>
      <c r="D343" s="198" t="s">
        <v>2618</v>
      </c>
      <c r="E343" s="198" t="s">
        <v>2619</v>
      </c>
      <c r="F343" s="198" t="s">
        <v>112</v>
      </c>
      <c r="G343" s="198">
        <v>4310059</v>
      </c>
      <c r="H343" s="198"/>
      <c r="I343" s="198"/>
    </row>
    <row r="344" spans="1:9" x14ac:dyDescent="0.35">
      <c r="A344" s="1" t="str">
        <f t="shared" si="5"/>
        <v>7</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98" t="s">
        <v>2620</v>
      </c>
      <c r="D344" s="198"/>
      <c r="E344" s="198"/>
      <c r="F344" s="198"/>
      <c r="G344" s="198"/>
      <c r="H344" s="198"/>
      <c r="I344" s="198"/>
    </row>
    <row r="345" spans="1:9" x14ac:dyDescent="0.35">
      <c r="A345" s="1" t="str">
        <f t="shared" si="5"/>
        <v>7</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98" t="s">
        <v>2621</v>
      </c>
      <c r="D345" s="198" t="s">
        <v>2622</v>
      </c>
      <c r="E345" s="198" t="s">
        <v>2623</v>
      </c>
      <c r="F345" s="198" t="s">
        <v>112</v>
      </c>
      <c r="G345" s="198">
        <v>4474230</v>
      </c>
      <c r="H345" s="198"/>
      <c r="I345" s="198"/>
    </row>
    <row r="346" spans="1:9" x14ac:dyDescent="0.35">
      <c r="A346" s="1" t="str">
        <f t="shared" si="5"/>
        <v>7</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98" t="s">
        <v>2624</v>
      </c>
      <c r="D346" s="198" t="s">
        <v>2625</v>
      </c>
      <c r="E346" s="198" t="s">
        <v>2626</v>
      </c>
      <c r="F346" s="198" t="s">
        <v>112</v>
      </c>
      <c r="G346" s="198">
        <v>3973888</v>
      </c>
      <c r="H346" s="198"/>
      <c r="I346" s="198"/>
    </row>
    <row r="347" spans="1:9" x14ac:dyDescent="0.35">
      <c r="A347" s="1" t="str">
        <f t="shared" si="5"/>
        <v>7</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98" t="s">
        <v>2627</v>
      </c>
      <c r="D347" s="198" t="s">
        <v>2628</v>
      </c>
      <c r="E347" s="198" t="s">
        <v>2629</v>
      </c>
      <c r="F347" s="198" t="s">
        <v>112</v>
      </c>
      <c r="G347" s="198">
        <v>4149068</v>
      </c>
      <c r="H347" s="198"/>
      <c r="I347" s="198"/>
    </row>
    <row r="348" spans="1:9" x14ac:dyDescent="0.35">
      <c r="A348" s="1" t="str">
        <f t="shared" si="5"/>
        <v>7</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98" t="s">
        <v>2630</v>
      </c>
      <c r="D348" s="198" t="s">
        <v>1793</v>
      </c>
      <c r="E348" s="198" t="s">
        <v>2631</v>
      </c>
      <c r="F348" s="198" t="s">
        <v>112</v>
      </c>
      <c r="G348" s="198">
        <v>3759514</v>
      </c>
      <c r="H348" s="198"/>
      <c r="I348" s="198"/>
    </row>
    <row r="349" spans="1:9" x14ac:dyDescent="0.35">
      <c r="A349" s="1" t="str">
        <f t="shared" si="5"/>
        <v>7</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98" t="s">
        <v>2632</v>
      </c>
      <c r="D349" s="198" t="s">
        <v>1764</v>
      </c>
      <c r="E349" s="198" t="s">
        <v>2633</v>
      </c>
      <c r="F349" s="198" t="s">
        <v>112</v>
      </c>
      <c r="G349" s="198">
        <v>4167367</v>
      </c>
      <c r="H349" s="198"/>
      <c r="I349" s="198"/>
    </row>
    <row r="350" spans="1:9" x14ac:dyDescent="0.35">
      <c r="A350" s="1" t="str">
        <f t="shared" si="5"/>
        <v>7</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98" t="s">
        <v>2634</v>
      </c>
      <c r="D350" s="198" t="s">
        <v>2635</v>
      </c>
      <c r="E350" s="198" t="s">
        <v>2636</v>
      </c>
      <c r="F350" s="198" t="s">
        <v>112</v>
      </c>
      <c r="G350" s="198">
        <v>4842371</v>
      </c>
      <c r="H350" s="198"/>
      <c r="I350" s="198"/>
    </row>
    <row r="351" spans="1:9" x14ac:dyDescent="0.35">
      <c r="A351" s="1" t="str">
        <f t="shared" si="5"/>
        <v>7</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98" t="s">
        <v>2637</v>
      </c>
      <c r="D351" s="198" t="s">
        <v>1561</v>
      </c>
      <c r="E351" s="198" t="s">
        <v>2638</v>
      </c>
      <c r="F351" s="198" t="s">
        <v>112</v>
      </c>
      <c r="G351" s="198">
        <v>5420992</v>
      </c>
      <c r="H351" s="198"/>
      <c r="I351" s="198"/>
    </row>
    <row r="352" spans="1:9" x14ac:dyDescent="0.35">
      <c r="A352" s="1" t="str">
        <f t="shared" si="5"/>
        <v>7</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98" t="s">
        <v>2639</v>
      </c>
      <c r="D352" s="198" t="s">
        <v>2640</v>
      </c>
      <c r="E352" s="198" t="s">
        <v>2641</v>
      </c>
      <c r="F352" s="198" t="s">
        <v>112</v>
      </c>
      <c r="G352" s="198">
        <v>5413011</v>
      </c>
      <c r="H352" s="198"/>
      <c r="I352" s="198"/>
    </row>
    <row r="353" spans="1:9" x14ac:dyDescent="0.35">
      <c r="A353" s="1" t="str">
        <f t="shared" si="5"/>
        <v>7</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98" t="s">
        <v>2642</v>
      </c>
      <c r="D353" s="198" t="s">
        <v>398</v>
      </c>
      <c r="E353" s="198" t="s">
        <v>2643</v>
      </c>
      <c r="F353" s="198" t="s">
        <v>112</v>
      </c>
      <c r="G353" s="198">
        <v>4176906</v>
      </c>
      <c r="H353" s="198"/>
      <c r="I353" s="198"/>
    </row>
    <row r="354" spans="1:9" x14ac:dyDescent="0.35">
      <c r="A354" s="1" t="str">
        <f t="shared" si="5"/>
        <v>7</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98" t="s">
        <v>2644</v>
      </c>
      <c r="D354" s="198" t="s">
        <v>2149</v>
      </c>
      <c r="E354" s="198" t="s">
        <v>2645</v>
      </c>
      <c r="F354" s="198" t="s">
        <v>112</v>
      </c>
      <c r="G354" s="198">
        <v>3917953</v>
      </c>
      <c r="H354" s="198"/>
      <c r="I354" s="198"/>
    </row>
    <row r="355" spans="1:9" x14ac:dyDescent="0.35">
      <c r="A355" s="1" t="str">
        <f t="shared" si="5"/>
        <v>7</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98" t="s">
        <v>2646</v>
      </c>
      <c r="D355" s="198" t="s">
        <v>1031</v>
      </c>
      <c r="E355" s="198" t="s">
        <v>2647</v>
      </c>
      <c r="F355" s="198" t="s">
        <v>112</v>
      </c>
      <c r="G355" s="198">
        <v>3642063</v>
      </c>
      <c r="H355" s="198"/>
      <c r="I355" s="198"/>
    </row>
    <row r="356" spans="1:9"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98" t="s">
        <v>112</v>
      </c>
      <c r="D356" s="198"/>
      <c r="E356" s="198"/>
      <c r="F356" s="198"/>
      <c r="G356" s="198"/>
      <c r="H356" s="198"/>
      <c r="I356" s="198"/>
    </row>
    <row r="357" spans="1:9"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98" t="s">
        <v>195</v>
      </c>
      <c r="D357" s="198" t="s">
        <v>112</v>
      </c>
      <c r="E357" s="198" t="s">
        <v>196</v>
      </c>
      <c r="F357" s="198" t="s">
        <v>197</v>
      </c>
      <c r="G357" s="198" t="s">
        <v>198</v>
      </c>
      <c r="H357" s="198" t="s">
        <v>199</v>
      </c>
      <c r="I357" s="198" t="s">
        <v>200</v>
      </c>
    </row>
    <row r="358" spans="1:9" x14ac:dyDescent="0.35">
      <c r="A358" s="1" t="str">
        <f t="shared" si="5"/>
        <v>7</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98" t="s">
        <v>2648</v>
      </c>
      <c r="D358" s="198" t="s">
        <v>112</v>
      </c>
      <c r="E358" s="198" t="s">
        <v>2649</v>
      </c>
      <c r="F358" s="198" t="s">
        <v>2650</v>
      </c>
      <c r="G358" s="198" t="s">
        <v>2651</v>
      </c>
      <c r="H358" s="198" t="s">
        <v>2652</v>
      </c>
      <c r="I358" s="198">
        <v>24</v>
      </c>
    </row>
    <row r="359" spans="1:9"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98" t="s">
        <v>112</v>
      </c>
      <c r="D359" s="198"/>
      <c r="E359" s="198"/>
      <c r="F359" s="198"/>
      <c r="G359" s="198"/>
      <c r="H359" s="198"/>
      <c r="I359" s="198"/>
    </row>
    <row r="360" spans="1:9"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98" t="s">
        <v>112</v>
      </c>
      <c r="D360" s="198"/>
      <c r="E360" s="198"/>
      <c r="F360" s="198"/>
      <c r="G360" s="198"/>
      <c r="H360" s="198"/>
      <c r="I360" s="198"/>
    </row>
    <row r="361" spans="1:9"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98" t="s">
        <v>112</v>
      </c>
      <c r="D361" s="198"/>
      <c r="E361" s="198"/>
      <c r="F361" s="198"/>
      <c r="G361" s="198"/>
      <c r="H361" s="198"/>
      <c r="I361" s="198"/>
    </row>
    <row r="362" spans="1:9"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98" t="s">
        <v>112</v>
      </c>
      <c r="D362" s="198"/>
      <c r="E362" s="198"/>
      <c r="F362" s="198"/>
      <c r="G362" s="198"/>
      <c r="H362" s="198"/>
      <c r="I362" s="198"/>
    </row>
    <row r="363" spans="1:9"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98" t="s">
        <v>112</v>
      </c>
      <c r="D363" s="198"/>
      <c r="E363" s="198"/>
      <c r="F363" s="198"/>
      <c r="G363" s="198"/>
      <c r="H363" s="198"/>
      <c r="I363" s="198"/>
    </row>
    <row r="364" spans="1:9"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98" t="s">
        <v>206</v>
      </c>
      <c r="D364" s="198" t="s">
        <v>110</v>
      </c>
      <c r="E364" s="198" t="s">
        <v>111</v>
      </c>
      <c r="F364" s="198" t="s">
        <v>112</v>
      </c>
      <c r="G364" s="198" t="s">
        <v>113</v>
      </c>
      <c r="H364" s="198"/>
      <c r="I364" s="198"/>
    </row>
    <row r="365" spans="1:9" x14ac:dyDescent="0.35">
      <c r="A365" s="1" t="str">
        <f t="shared" si="5"/>
        <v>10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98" t="s">
        <v>2653</v>
      </c>
      <c r="D365" s="198" t="s">
        <v>254</v>
      </c>
      <c r="E365" s="198" t="s">
        <v>2654</v>
      </c>
      <c r="F365" s="198" t="s">
        <v>112</v>
      </c>
      <c r="G365" s="198">
        <v>134365</v>
      </c>
      <c r="H365" s="198"/>
      <c r="I365" s="198"/>
    </row>
    <row r="366" spans="1:9" x14ac:dyDescent="0.35">
      <c r="A366" s="1" t="str">
        <f t="shared" si="5"/>
        <v>10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98" t="s">
        <v>2655</v>
      </c>
      <c r="D366" s="198" t="s">
        <v>147</v>
      </c>
      <c r="E366" s="198" t="s">
        <v>2656</v>
      </c>
      <c r="F366" s="198" t="s">
        <v>112</v>
      </c>
      <c r="G366" s="198">
        <v>177062</v>
      </c>
      <c r="H366" s="198"/>
      <c r="I366" s="198"/>
    </row>
    <row r="367" spans="1:9" x14ac:dyDescent="0.35">
      <c r="A367" s="1" t="str">
        <f t="shared" si="5"/>
        <v>10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98" t="s">
        <v>2657</v>
      </c>
      <c r="D367" s="198" t="s">
        <v>2658</v>
      </c>
      <c r="E367" s="198" t="s">
        <v>2659</v>
      </c>
      <c r="F367" s="198" t="s">
        <v>112</v>
      </c>
      <c r="G367" s="198">
        <v>178598</v>
      </c>
      <c r="H367" s="198"/>
      <c r="I367" s="198"/>
    </row>
    <row r="368" spans="1:9" x14ac:dyDescent="0.35">
      <c r="A368" s="1" t="str">
        <f t="shared" si="5"/>
        <v>10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98" t="s">
        <v>2660</v>
      </c>
      <c r="D368" s="198" t="s">
        <v>2661</v>
      </c>
      <c r="E368" s="198" t="s">
        <v>2662</v>
      </c>
      <c r="F368" s="198" t="s">
        <v>112</v>
      </c>
      <c r="G368" s="198">
        <v>226400</v>
      </c>
      <c r="H368" s="198"/>
      <c r="I368" s="198"/>
    </row>
    <row r="369" spans="1:9" x14ac:dyDescent="0.35">
      <c r="A369" s="1" t="str">
        <f t="shared" si="5"/>
        <v>10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98" t="s">
        <v>2663</v>
      </c>
      <c r="D369" s="198" t="s">
        <v>1162</v>
      </c>
      <c r="E369" s="198" t="s">
        <v>2664</v>
      </c>
      <c r="F369" s="198" t="s">
        <v>112</v>
      </c>
      <c r="G369" s="198">
        <v>216450</v>
      </c>
      <c r="H369" s="198"/>
      <c r="I369" s="198"/>
    </row>
    <row r="370" spans="1:9" x14ac:dyDescent="0.35">
      <c r="A370" s="1" t="str">
        <f t="shared" si="5"/>
        <v>10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98" t="s">
        <v>2665</v>
      </c>
      <c r="D370" s="198" t="s">
        <v>538</v>
      </c>
      <c r="E370" s="198">
        <v>31</v>
      </c>
      <c r="F370" s="198" t="s">
        <v>112</v>
      </c>
      <c r="G370" s="198">
        <v>1341</v>
      </c>
      <c r="H370" s="198"/>
      <c r="I370" s="198"/>
    </row>
    <row r="371" spans="1:9" x14ac:dyDescent="0.35">
      <c r="A371" s="1" t="str">
        <f t="shared" si="5"/>
        <v>10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98" t="s">
        <v>2666</v>
      </c>
      <c r="D371" s="198" t="s">
        <v>1464</v>
      </c>
      <c r="E371" s="198" t="s">
        <v>2667</v>
      </c>
      <c r="F371" s="198" t="s">
        <v>112</v>
      </c>
      <c r="G371" s="198">
        <v>214936</v>
      </c>
      <c r="H371" s="198"/>
      <c r="I371" s="198"/>
    </row>
    <row r="372" spans="1:9" x14ac:dyDescent="0.35">
      <c r="A372" s="1" t="str">
        <f t="shared" si="5"/>
        <v>10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98" t="s">
        <v>2668</v>
      </c>
      <c r="D372" s="198" t="s">
        <v>2669</v>
      </c>
      <c r="E372" s="198" t="s">
        <v>2670</v>
      </c>
      <c r="F372" s="198" t="s">
        <v>112</v>
      </c>
      <c r="G372" s="198">
        <v>280907</v>
      </c>
      <c r="H372" s="198"/>
      <c r="I372" s="198"/>
    </row>
    <row r="373" spans="1:9" x14ac:dyDescent="0.35">
      <c r="A373" s="1" t="str">
        <f t="shared" si="5"/>
        <v>10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98" t="s">
        <v>2671</v>
      </c>
      <c r="D373" s="198" t="s">
        <v>1969</v>
      </c>
      <c r="E373" s="198" t="s">
        <v>2672</v>
      </c>
      <c r="F373" s="198" t="s">
        <v>112</v>
      </c>
      <c r="G373" s="198">
        <v>169665</v>
      </c>
      <c r="H373" s="198"/>
      <c r="I373" s="198"/>
    </row>
    <row r="374" spans="1:9" x14ac:dyDescent="0.35">
      <c r="A374" s="1" t="str">
        <f t="shared" si="5"/>
        <v>10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98" t="s">
        <v>2673</v>
      </c>
      <c r="D374" s="198" t="s">
        <v>2674</v>
      </c>
      <c r="E374" s="198" t="s">
        <v>2675</v>
      </c>
      <c r="F374" s="198" t="s">
        <v>112</v>
      </c>
      <c r="G374" s="198">
        <v>298514</v>
      </c>
      <c r="H374" s="198"/>
      <c r="I374" s="198"/>
    </row>
    <row r="375" spans="1:9" x14ac:dyDescent="0.35">
      <c r="A375" s="1" t="str">
        <f t="shared" si="5"/>
        <v>10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98" t="s">
        <v>2676</v>
      </c>
      <c r="D375" s="198" t="s">
        <v>2677</v>
      </c>
      <c r="E375" s="198" t="s">
        <v>2678</v>
      </c>
      <c r="F375" s="198" t="s">
        <v>112</v>
      </c>
      <c r="G375" s="198">
        <v>191965</v>
      </c>
      <c r="H375" s="198"/>
      <c r="I375" s="198"/>
    </row>
    <row r="376" spans="1:9" x14ac:dyDescent="0.35">
      <c r="A376" s="1" t="str">
        <f t="shared" si="5"/>
        <v>10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98" t="s">
        <v>2679</v>
      </c>
      <c r="D376" s="198" t="s">
        <v>2680</v>
      </c>
      <c r="E376" s="198" t="s">
        <v>2681</v>
      </c>
      <c r="F376" s="198" t="s">
        <v>112</v>
      </c>
      <c r="G376" s="198">
        <v>260597</v>
      </c>
      <c r="H376" s="198"/>
      <c r="I376" s="198"/>
    </row>
    <row r="377" spans="1:9" x14ac:dyDescent="0.35">
      <c r="A377" s="1" t="str">
        <f t="shared" si="5"/>
        <v>10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98" t="s">
        <v>2682</v>
      </c>
      <c r="D377" s="198"/>
      <c r="E377" s="198"/>
      <c r="F377" s="198"/>
      <c r="G377" s="198"/>
      <c r="H377" s="198"/>
      <c r="I377" s="198"/>
    </row>
    <row r="378" spans="1:9" x14ac:dyDescent="0.35">
      <c r="A378" s="1" t="str">
        <f t="shared" si="5"/>
        <v>10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98" t="s">
        <v>2683</v>
      </c>
      <c r="D378" s="198" t="s">
        <v>2684</v>
      </c>
      <c r="E378" s="198" t="s">
        <v>2685</v>
      </c>
      <c r="F378" s="198" t="s">
        <v>112</v>
      </c>
      <c r="G378" s="198">
        <v>198238</v>
      </c>
      <c r="H378" s="198"/>
      <c r="I378" s="198"/>
    </row>
    <row r="379" spans="1:9" x14ac:dyDescent="0.35">
      <c r="A379" s="1" t="str">
        <f t="shared" si="5"/>
        <v>10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98" t="s">
        <v>2686</v>
      </c>
      <c r="D379" s="198" t="s">
        <v>2687</v>
      </c>
      <c r="E379" s="198" t="s">
        <v>2688</v>
      </c>
      <c r="F379" s="198" t="s">
        <v>112</v>
      </c>
      <c r="G379" s="198">
        <v>309026</v>
      </c>
      <c r="H379" s="198"/>
      <c r="I379" s="198"/>
    </row>
    <row r="380" spans="1:9" x14ac:dyDescent="0.35">
      <c r="A380" s="1" t="str">
        <f t="shared" si="5"/>
        <v>10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98" t="s">
        <v>2689</v>
      </c>
      <c r="D380" s="198" t="s">
        <v>254</v>
      </c>
      <c r="E380" s="198" t="s">
        <v>2690</v>
      </c>
      <c r="F380" s="198" t="s">
        <v>112</v>
      </c>
      <c r="G380" s="198">
        <v>143644</v>
      </c>
      <c r="H380" s="198"/>
      <c r="I380" s="198"/>
    </row>
    <row r="381" spans="1:9" x14ac:dyDescent="0.35">
      <c r="A381" s="1" t="str">
        <f t="shared" si="5"/>
        <v>10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98" t="s">
        <v>2691</v>
      </c>
      <c r="D381" s="198" t="s">
        <v>1528</v>
      </c>
      <c r="E381" s="198" t="s">
        <v>2692</v>
      </c>
      <c r="F381" s="198" t="s">
        <v>112</v>
      </c>
      <c r="G381" s="198">
        <v>140508</v>
      </c>
      <c r="H381" s="198"/>
      <c r="I381" s="198"/>
    </row>
    <row r="382" spans="1:9" x14ac:dyDescent="0.35">
      <c r="A382" s="1" t="str">
        <f t="shared" si="5"/>
        <v>10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98" t="s">
        <v>2693</v>
      </c>
      <c r="D382" s="198"/>
      <c r="E382" s="198"/>
      <c r="F382" s="198"/>
      <c r="G382" s="198"/>
      <c r="H382" s="198"/>
      <c r="I382" s="198"/>
    </row>
    <row r="383" spans="1:9" x14ac:dyDescent="0.35">
      <c r="A383" s="1" t="str">
        <f t="shared" si="5"/>
        <v>10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98" t="s">
        <v>2694</v>
      </c>
      <c r="D383" s="198" t="s">
        <v>588</v>
      </c>
      <c r="E383" s="198" t="s">
        <v>2695</v>
      </c>
      <c r="F383" s="198" t="s">
        <v>112</v>
      </c>
      <c r="G383" s="198">
        <v>213076</v>
      </c>
      <c r="H383" s="198"/>
      <c r="I383" s="198"/>
    </row>
    <row r="384" spans="1:9" x14ac:dyDescent="0.35">
      <c r="A384" s="1" t="str">
        <f t="shared" si="5"/>
        <v>10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98" t="s">
        <v>2696</v>
      </c>
      <c r="D384" s="198" t="s">
        <v>2697</v>
      </c>
      <c r="E384" s="198" t="s">
        <v>2698</v>
      </c>
      <c r="F384" s="198" t="s">
        <v>112</v>
      </c>
      <c r="G384" s="198">
        <v>57060</v>
      </c>
      <c r="H384" s="198"/>
      <c r="I384" s="198"/>
    </row>
    <row r="385" spans="1:9" x14ac:dyDescent="0.35">
      <c r="A385" s="1" t="str">
        <f t="shared" si="5"/>
        <v>10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98" t="s">
        <v>2699</v>
      </c>
      <c r="D385" s="198" t="s">
        <v>2700</v>
      </c>
      <c r="E385" s="198" t="s">
        <v>2701</v>
      </c>
      <c r="F385" s="198" t="s">
        <v>112</v>
      </c>
      <c r="G385" s="198">
        <v>162765</v>
      </c>
      <c r="H385" s="198"/>
      <c r="I385" s="198"/>
    </row>
    <row r="386" spans="1:9" x14ac:dyDescent="0.35">
      <c r="A386" s="1" t="str">
        <f t="shared" ref="A386:A449" si="6">IFERROR(LEFT(RIGHT(C386,LEN(C386)-SEARCH("@",C386)),SEARCH("/",RIGHT(C386,LEN(C386)-SEARCH("@",C386)-1))),"")</f>
        <v>10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98" t="s">
        <v>2702</v>
      </c>
      <c r="D386" s="198" t="s">
        <v>2703</v>
      </c>
      <c r="E386" s="198" t="s">
        <v>2704</v>
      </c>
      <c r="F386" s="198" t="s">
        <v>112</v>
      </c>
      <c r="G386" s="198">
        <v>283914</v>
      </c>
      <c r="H386" s="198"/>
      <c r="I386" s="198"/>
    </row>
    <row r="387" spans="1:9" x14ac:dyDescent="0.35">
      <c r="A387" s="1" t="str">
        <f t="shared" si="6"/>
        <v>10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98" t="s">
        <v>2705</v>
      </c>
      <c r="D387" s="198" t="s">
        <v>219</v>
      </c>
      <c r="E387" s="198" t="s">
        <v>2706</v>
      </c>
      <c r="F387" s="198" t="s">
        <v>112</v>
      </c>
      <c r="G387" s="198">
        <v>192549</v>
      </c>
      <c r="H387" s="198"/>
      <c r="I387" s="198"/>
    </row>
    <row r="388" spans="1:9" x14ac:dyDescent="0.35">
      <c r="A388" s="1" t="str">
        <f t="shared" si="6"/>
        <v>10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98" t="s">
        <v>2707</v>
      </c>
      <c r="D388" s="198" t="s">
        <v>1454</v>
      </c>
      <c r="E388" s="198" t="s">
        <v>2708</v>
      </c>
      <c r="F388" s="198" t="s">
        <v>112</v>
      </c>
      <c r="G388" s="198">
        <v>250799</v>
      </c>
      <c r="H388" s="198"/>
      <c r="I388" s="198"/>
    </row>
    <row r="389" spans="1:9"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98" t="s">
        <v>112</v>
      </c>
      <c r="D389" s="198"/>
      <c r="E389" s="198"/>
      <c r="F389" s="198"/>
      <c r="G389" s="198"/>
      <c r="H389" s="198"/>
      <c r="I389" s="198"/>
    </row>
    <row r="390" spans="1:9"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98" t="s">
        <v>195</v>
      </c>
      <c r="D390" s="198" t="s">
        <v>112</v>
      </c>
      <c r="E390" s="198" t="s">
        <v>196</v>
      </c>
      <c r="F390" s="198" t="s">
        <v>197</v>
      </c>
      <c r="G390" s="198" t="s">
        <v>198</v>
      </c>
      <c r="H390" s="198" t="s">
        <v>199</v>
      </c>
      <c r="I390" s="198" t="s">
        <v>200</v>
      </c>
    </row>
    <row r="391" spans="1:9" x14ac:dyDescent="0.35">
      <c r="A391" s="1" t="str">
        <f t="shared" si="6"/>
        <v>10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98" t="s">
        <v>2709</v>
      </c>
      <c r="D391" s="198" t="s">
        <v>112</v>
      </c>
      <c r="E391" s="198" t="s">
        <v>2710</v>
      </c>
      <c r="F391" s="198" t="s">
        <v>2711</v>
      </c>
      <c r="G391" s="198" t="s">
        <v>2712</v>
      </c>
      <c r="H391" s="198" t="s">
        <v>2713</v>
      </c>
      <c r="I391" s="198">
        <v>24</v>
      </c>
    </row>
    <row r="392" spans="1:9"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98" t="s">
        <v>112</v>
      </c>
      <c r="D392" s="198"/>
      <c r="E392" s="198"/>
      <c r="F392" s="198"/>
      <c r="G392" s="198"/>
      <c r="H392" s="198"/>
      <c r="I392" s="198"/>
    </row>
    <row r="393" spans="1:9"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98" t="s">
        <v>112</v>
      </c>
      <c r="D393" s="198"/>
      <c r="E393" s="198"/>
      <c r="F393" s="198"/>
      <c r="G393" s="198"/>
      <c r="H393" s="198"/>
      <c r="I393" s="198"/>
    </row>
    <row r="394" spans="1:9"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98" t="s">
        <v>112</v>
      </c>
      <c r="D394" s="198"/>
      <c r="E394" s="198"/>
      <c r="F394" s="198"/>
      <c r="G394" s="198"/>
      <c r="H394" s="198"/>
      <c r="I394" s="198"/>
    </row>
    <row r="395" spans="1:9"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98" t="s">
        <v>112</v>
      </c>
      <c r="D395" s="198"/>
      <c r="E395" s="198"/>
      <c r="F395" s="198"/>
      <c r="G395" s="198"/>
      <c r="H395" s="198"/>
      <c r="I395" s="198"/>
    </row>
    <row r="396" spans="1:9"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98" t="s">
        <v>112</v>
      </c>
      <c r="D396" s="198"/>
      <c r="E396" s="198"/>
      <c r="F396" s="198"/>
      <c r="G396" s="198"/>
      <c r="H396" s="198"/>
      <c r="I396" s="198"/>
    </row>
    <row r="397" spans="1:9"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98" t="s">
        <v>206</v>
      </c>
      <c r="D397" s="198" t="s">
        <v>110</v>
      </c>
      <c r="E397" s="198" t="s">
        <v>111</v>
      </c>
      <c r="F397" s="198" t="s">
        <v>112</v>
      </c>
      <c r="G397" s="198" t="s">
        <v>113</v>
      </c>
      <c r="H397" s="198"/>
      <c r="I397" s="198"/>
    </row>
    <row r="398" spans="1:9" x14ac:dyDescent="0.35">
      <c r="A398" s="1" t="str">
        <f t="shared" si="6"/>
        <v>11</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98" t="s">
        <v>2714</v>
      </c>
      <c r="D398" s="198" t="s">
        <v>176</v>
      </c>
      <c r="E398" s="198" t="s">
        <v>2715</v>
      </c>
      <c r="F398" s="198" t="s">
        <v>112</v>
      </c>
      <c r="G398" s="198">
        <v>141092</v>
      </c>
      <c r="H398" s="198"/>
      <c r="I398" s="198"/>
    </row>
    <row r="399" spans="1:9" x14ac:dyDescent="0.35">
      <c r="A399" s="1" t="str">
        <f t="shared" si="6"/>
        <v>11</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98" t="s">
        <v>2716</v>
      </c>
      <c r="D399" s="198" t="s">
        <v>2717</v>
      </c>
      <c r="E399" s="198" t="s">
        <v>2718</v>
      </c>
      <c r="F399" s="198" t="s">
        <v>112</v>
      </c>
      <c r="G399" s="198">
        <v>107263</v>
      </c>
      <c r="H399" s="198"/>
      <c r="I399" s="198"/>
    </row>
    <row r="400" spans="1:9" x14ac:dyDescent="0.35">
      <c r="A400" s="1" t="str">
        <f t="shared" si="6"/>
        <v>11</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98" t="s">
        <v>2719</v>
      </c>
      <c r="D400" s="198" t="s">
        <v>1945</v>
      </c>
      <c r="E400" s="198" t="s">
        <v>2720</v>
      </c>
      <c r="F400" s="198" t="s">
        <v>112</v>
      </c>
      <c r="G400" s="198">
        <v>469498</v>
      </c>
      <c r="H400" s="198"/>
      <c r="I400" s="198"/>
    </row>
    <row r="401" spans="1:9" x14ac:dyDescent="0.35">
      <c r="A401" s="1" t="str">
        <f t="shared" si="6"/>
        <v>11</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98" t="s">
        <v>2721</v>
      </c>
      <c r="D401" s="198" t="s">
        <v>2722</v>
      </c>
      <c r="E401" s="198" t="s">
        <v>2723</v>
      </c>
      <c r="F401" s="198" t="s">
        <v>112</v>
      </c>
      <c r="G401" s="198">
        <v>1464301</v>
      </c>
      <c r="H401" s="198"/>
      <c r="I401" s="198"/>
    </row>
    <row r="402" spans="1:9" x14ac:dyDescent="0.35">
      <c r="A402" s="1" t="str">
        <f t="shared" si="6"/>
        <v>11</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98" t="s">
        <v>2724</v>
      </c>
      <c r="D402" s="198"/>
      <c r="E402" s="198"/>
      <c r="F402" s="198"/>
      <c r="G402" s="198"/>
      <c r="H402" s="198"/>
      <c r="I402" s="198"/>
    </row>
    <row r="403" spans="1:9" x14ac:dyDescent="0.35">
      <c r="A403" s="1" t="str">
        <f t="shared" si="6"/>
        <v>11</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98" t="s">
        <v>2725</v>
      </c>
      <c r="D403" s="198"/>
      <c r="E403" s="198"/>
      <c r="F403" s="198"/>
      <c r="G403" s="198"/>
      <c r="H403" s="198"/>
      <c r="I403" s="198"/>
    </row>
    <row r="404" spans="1:9" x14ac:dyDescent="0.35">
      <c r="A404" s="1" t="str">
        <f t="shared" si="6"/>
        <v>11</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98" t="s">
        <v>2726</v>
      </c>
      <c r="D404" s="198" t="s">
        <v>2727</v>
      </c>
      <c r="E404" s="198" t="s">
        <v>2728</v>
      </c>
      <c r="F404" s="198" t="s">
        <v>112</v>
      </c>
      <c r="G404" s="198">
        <v>1393895</v>
      </c>
      <c r="H404" s="198"/>
      <c r="I404" s="198"/>
    </row>
    <row r="405" spans="1:9" x14ac:dyDescent="0.35">
      <c r="A405" s="1" t="str">
        <f t="shared" si="6"/>
        <v>11</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98" t="s">
        <v>2729</v>
      </c>
      <c r="D405" s="198" t="s">
        <v>2730</v>
      </c>
      <c r="E405" s="198" t="s">
        <v>2731</v>
      </c>
      <c r="F405" s="198" t="s">
        <v>112</v>
      </c>
      <c r="G405" s="198">
        <v>1314925</v>
      </c>
      <c r="H405" s="198"/>
      <c r="I405" s="198"/>
    </row>
    <row r="406" spans="1:9" x14ac:dyDescent="0.35">
      <c r="A406" s="1" t="str">
        <f t="shared" si="6"/>
        <v>11</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98" t="s">
        <v>2732</v>
      </c>
      <c r="D406" s="198" t="s">
        <v>2733</v>
      </c>
      <c r="E406" s="198" t="s">
        <v>2734</v>
      </c>
      <c r="F406" s="198" t="s">
        <v>112</v>
      </c>
      <c r="G406" s="198">
        <v>1613028</v>
      </c>
      <c r="H406" s="198"/>
      <c r="I406" s="198"/>
    </row>
    <row r="407" spans="1:9" x14ac:dyDescent="0.35">
      <c r="A407" s="1" t="str">
        <f t="shared" si="6"/>
        <v>11</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98" t="s">
        <v>2735</v>
      </c>
      <c r="D407" s="198" t="s">
        <v>2736</v>
      </c>
      <c r="E407" s="198" t="s">
        <v>2737</v>
      </c>
      <c r="F407" s="198" t="s">
        <v>112</v>
      </c>
      <c r="G407" s="198">
        <v>1198123</v>
      </c>
      <c r="H407" s="198"/>
      <c r="I407" s="198"/>
    </row>
    <row r="408" spans="1:9" x14ac:dyDescent="0.35">
      <c r="A408" s="1" t="str">
        <f t="shared" si="6"/>
        <v>11</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98" t="s">
        <v>2738</v>
      </c>
      <c r="D408" s="198" t="s">
        <v>807</v>
      </c>
      <c r="E408" s="198" t="s">
        <v>2739</v>
      </c>
      <c r="F408" s="198" t="s">
        <v>112</v>
      </c>
      <c r="G408" s="198">
        <v>1018249</v>
      </c>
      <c r="H408" s="198"/>
      <c r="I408" s="198"/>
    </row>
    <row r="409" spans="1:9" x14ac:dyDescent="0.35">
      <c r="A409" s="1" t="str">
        <f t="shared" si="6"/>
        <v>11</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98" t="s">
        <v>2740</v>
      </c>
      <c r="D409" s="198" t="s">
        <v>2741</v>
      </c>
      <c r="E409" s="198" t="s">
        <v>2742</v>
      </c>
      <c r="F409" s="198" t="s">
        <v>112</v>
      </c>
      <c r="G409" s="198">
        <v>1075828</v>
      </c>
      <c r="H409" s="198"/>
      <c r="I409" s="198"/>
    </row>
    <row r="410" spans="1:9" x14ac:dyDescent="0.35">
      <c r="A410" s="1" t="str">
        <f t="shared" si="6"/>
        <v>11</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98" t="s">
        <v>2743</v>
      </c>
      <c r="D410" s="198" t="s">
        <v>2744</v>
      </c>
      <c r="E410" s="198" t="s">
        <v>2745</v>
      </c>
      <c r="F410" s="198" t="s">
        <v>112</v>
      </c>
      <c r="G410" s="198">
        <v>1769801</v>
      </c>
      <c r="H410" s="198"/>
      <c r="I410" s="198"/>
    </row>
    <row r="411" spans="1:9" x14ac:dyDescent="0.35">
      <c r="A411" s="1" t="str">
        <f t="shared" si="6"/>
        <v>11</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98" t="s">
        <v>2746</v>
      </c>
      <c r="D411" s="198" t="s">
        <v>2747</v>
      </c>
      <c r="E411" s="198" t="s">
        <v>2748</v>
      </c>
      <c r="F411" s="198" t="s">
        <v>112</v>
      </c>
      <c r="G411" s="198">
        <v>1798829</v>
      </c>
      <c r="H411" s="198"/>
      <c r="I411" s="198"/>
    </row>
    <row r="412" spans="1:9" x14ac:dyDescent="0.35">
      <c r="A412" s="1" t="str">
        <f t="shared" si="6"/>
        <v>11</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98" t="s">
        <v>2749</v>
      </c>
      <c r="D412" s="198" t="s">
        <v>1773</v>
      </c>
      <c r="E412" s="198" t="s">
        <v>2750</v>
      </c>
      <c r="F412" s="198" t="s">
        <v>112</v>
      </c>
      <c r="G412" s="198">
        <v>1990729</v>
      </c>
      <c r="H412" s="198"/>
      <c r="I412" s="198"/>
    </row>
    <row r="413" spans="1:9" x14ac:dyDescent="0.35">
      <c r="A413" s="1" t="str">
        <f t="shared" si="6"/>
        <v>11</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98" t="s">
        <v>2751</v>
      </c>
      <c r="D413" s="198" t="s">
        <v>2752</v>
      </c>
      <c r="E413" s="198" t="s">
        <v>2753</v>
      </c>
      <c r="F413" s="198" t="s">
        <v>112</v>
      </c>
      <c r="G413" s="198">
        <v>943647</v>
      </c>
      <c r="H413" s="198"/>
      <c r="I413" s="198"/>
    </row>
    <row r="414" spans="1:9" x14ac:dyDescent="0.35">
      <c r="A414" s="1" t="str">
        <f t="shared" si="6"/>
        <v>11</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98" t="s">
        <v>2754</v>
      </c>
      <c r="D414" s="198" t="s">
        <v>2755</v>
      </c>
      <c r="E414" s="198" t="s">
        <v>2756</v>
      </c>
      <c r="F414" s="198" t="s">
        <v>112</v>
      </c>
      <c r="G414" s="198">
        <v>1060276</v>
      </c>
      <c r="H414" s="198"/>
      <c r="I414" s="198"/>
    </row>
    <row r="415" spans="1:9" x14ac:dyDescent="0.35">
      <c r="A415" s="1" t="str">
        <f t="shared" si="6"/>
        <v>11</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98" t="s">
        <v>2757</v>
      </c>
      <c r="D415" s="198" t="s">
        <v>2758</v>
      </c>
      <c r="E415" s="198" t="s">
        <v>2759</v>
      </c>
      <c r="F415" s="198" t="s">
        <v>112</v>
      </c>
      <c r="G415" s="198">
        <v>1298248</v>
      </c>
      <c r="H415" s="198"/>
      <c r="I415" s="198"/>
    </row>
    <row r="416" spans="1:9" x14ac:dyDescent="0.35">
      <c r="A416" s="1" t="str">
        <f t="shared" si="6"/>
        <v>11</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98" t="s">
        <v>2760</v>
      </c>
      <c r="D416" s="198" t="s">
        <v>2761</v>
      </c>
      <c r="E416" s="198" t="s">
        <v>2762</v>
      </c>
      <c r="F416" s="198" t="s">
        <v>112</v>
      </c>
      <c r="G416" s="198">
        <v>949790</v>
      </c>
      <c r="H416" s="198"/>
      <c r="I416" s="198"/>
    </row>
    <row r="417" spans="1:9" x14ac:dyDescent="0.35">
      <c r="A417" s="1" t="str">
        <f t="shared" si="6"/>
        <v>11</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98" t="s">
        <v>2763</v>
      </c>
      <c r="D417" s="198" t="s">
        <v>2764</v>
      </c>
      <c r="E417" s="198" t="s">
        <v>2765</v>
      </c>
      <c r="F417" s="198" t="s">
        <v>112</v>
      </c>
      <c r="G417" s="198">
        <v>1081862</v>
      </c>
      <c r="H417" s="198"/>
      <c r="I417" s="198"/>
    </row>
    <row r="418" spans="1:9" x14ac:dyDescent="0.35">
      <c r="A418" s="1" t="str">
        <f t="shared" si="6"/>
        <v>11</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98" t="s">
        <v>2766</v>
      </c>
      <c r="D418" s="198" t="s">
        <v>572</v>
      </c>
      <c r="E418" s="198" t="s">
        <v>2767</v>
      </c>
      <c r="F418" s="198" t="s">
        <v>112</v>
      </c>
      <c r="G418" s="198">
        <v>1265890</v>
      </c>
      <c r="H418" s="198"/>
      <c r="I418" s="198"/>
    </row>
    <row r="419" spans="1:9" x14ac:dyDescent="0.35">
      <c r="A419" s="1" t="str">
        <f t="shared" si="6"/>
        <v>11</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98" t="s">
        <v>2768</v>
      </c>
      <c r="D419" s="198" t="s">
        <v>2769</v>
      </c>
      <c r="E419" s="198" t="s">
        <v>2770</v>
      </c>
      <c r="F419" s="198" t="s">
        <v>112</v>
      </c>
      <c r="G419" s="198">
        <v>840667</v>
      </c>
      <c r="H419" s="198"/>
      <c r="I419" s="198"/>
    </row>
    <row r="420" spans="1:9" x14ac:dyDescent="0.35">
      <c r="A420" s="1" t="str">
        <f t="shared" si="6"/>
        <v>11</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98" t="s">
        <v>2771</v>
      </c>
      <c r="D420" s="198" t="s">
        <v>2772</v>
      </c>
      <c r="E420" s="198" t="s">
        <v>2773</v>
      </c>
      <c r="F420" s="198" t="s">
        <v>112</v>
      </c>
      <c r="G420" s="198">
        <v>677578</v>
      </c>
      <c r="H420" s="198"/>
      <c r="I420" s="198"/>
    </row>
    <row r="421" spans="1:9" x14ac:dyDescent="0.35">
      <c r="A421" s="1" t="str">
        <f t="shared" si="6"/>
        <v>11</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98" t="s">
        <v>2774</v>
      </c>
      <c r="D421" s="198" t="s">
        <v>2775</v>
      </c>
      <c r="E421" s="198" t="s">
        <v>2776</v>
      </c>
      <c r="F421" s="198" t="s">
        <v>112</v>
      </c>
      <c r="G421" s="198">
        <v>992207</v>
      </c>
      <c r="H421" s="198"/>
      <c r="I421" s="198"/>
    </row>
    <row r="422" spans="1:9"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98" t="s">
        <v>112</v>
      </c>
      <c r="D422" s="198"/>
      <c r="E422" s="198"/>
      <c r="F422" s="198"/>
      <c r="G422" s="198"/>
      <c r="H422" s="198"/>
      <c r="I422" s="198"/>
    </row>
    <row r="423" spans="1:9"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98" t="s">
        <v>195</v>
      </c>
      <c r="D423" s="198" t="s">
        <v>112</v>
      </c>
      <c r="E423" s="198" t="s">
        <v>196</v>
      </c>
      <c r="F423" s="198" t="s">
        <v>197</v>
      </c>
      <c r="G423" s="198" t="s">
        <v>198</v>
      </c>
      <c r="H423" s="198" t="s">
        <v>199</v>
      </c>
      <c r="I423" s="198" t="s">
        <v>200</v>
      </c>
    </row>
    <row r="424" spans="1:9" x14ac:dyDescent="0.35">
      <c r="A424" s="1" t="str">
        <f t="shared" si="6"/>
        <v>11</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98" t="s">
        <v>2777</v>
      </c>
      <c r="D424" s="198" t="s">
        <v>112</v>
      </c>
      <c r="E424" s="198" t="s">
        <v>2778</v>
      </c>
      <c r="F424" s="198" t="s">
        <v>2779</v>
      </c>
      <c r="G424" s="198" t="s">
        <v>2780</v>
      </c>
      <c r="H424" s="198" t="s">
        <v>2781</v>
      </c>
      <c r="I424" s="198">
        <v>24</v>
      </c>
    </row>
    <row r="425" spans="1:9"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98" t="s">
        <v>112</v>
      </c>
      <c r="D425" s="198"/>
      <c r="E425" s="198"/>
      <c r="F425" s="198"/>
      <c r="G425" s="198"/>
      <c r="H425" s="198"/>
      <c r="I425" s="198"/>
    </row>
    <row r="426" spans="1:9"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98" t="s">
        <v>112</v>
      </c>
      <c r="D426" s="198"/>
      <c r="E426" s="198"/>
      <c r="F426" s="198"/>
      <c r="G426" s="198"/>
      <c r="H426" s="198"/>
      <c r="I426" s="198"/>
    </row>
    <row r="427" spans="1:9"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98" t="s">
        <v>112</v>
      </c>
      <c r="D427" s="198"/>
      <c r="E427" s="198"/>
      <c r="F427" s="198"/>
      <c r="G427" s="198"/>
      <c r="H427" s="198"/>
      <c r="I427" s="198"/>
    </row>
    <row r="428" spans="1:9"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98" t="s">
        <v>112</v>
      </c>
      <c r="D428" s="198"/>
      <c r="E428" s="198"/>
      <c r="F428" s="198"/>
      <c r="G428" s="198"/>
      <c r="H428" s="198"/>
      <c r="I428" s="198"/>
    </row>
    <row r="429" spans="1:9"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98" t="s">
        <v>112</v>
      </c>
      <c r="D429" s="198"/>
      <c r="E429" s="198"/>
      <c r="F429" s="198"/>
      <c r="G429" s="198"/>
      <c r="H429" s="198"/>
      <c r="I429" s="198"/>
    </row>
    <row r="430" spans="1:9"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98" t="s">
        <v>206</v>
      </c>
      <c r="D430" s="198" t="s">
        <v>110</v>
      </c>
      <c r="E430" s="198" t="s">
        <v>111</v>
      </c>
      <c r="F430" s="198" t="s">
        <v>112</v>
      </c>
      <c r="G430" s="198" t="s">
        <v>113</v>
      </c>
      <c r="H430" s="198"/>
      <c r="I430" s="198"/>
    </row>
    <row r="431" spans="1:9" x14ac:dyDescent="0.35">
      <c r="A431" s="1" t="str">
        <f t="shared" si="6"/>
        <v>12</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98" t="s">
        <v>2782</v>
      </c>
      <c r="D431" s="198" t="s">
        <v>2783</v>
      </c>
      <c r="E431" s="198" t="s">
        <v>2784</v>
      </c>
      <c r="F431" s="198" t="s">
        <v>112</v>
      </c>
      <c r="G431" s="198">
        <v>2468425</v>
      </c>
      <c r="H431" s="198"/>
      <c r="I431" s="198"/>
    </row>
    <row r="432" spans="1:9" x14ac:dyDescent="0.35">
      <c r="A432" s="1" t="str">
        <f t="shared" si="6"/>
        <v>12</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98" t="s">
        <v>2785</v>
      </c>
      <c r="D432" s="198" t="s">
        <v>961</v>
      </c>
      <c r="E432" s="198" t="s">
        <v>2786</v>
      </c>
      <c r="F432" s="198" t="s">
        <v>112</v>
      </c>
      <c r="G432" s="198">
        <v>2837539</v>
      </c>
      <c r="H432" s="198"/>
      <c r="I432" s="198"/>
    </row>
    <row r="433" spans="1:9" x14ac:dyDescent="0.35">
      <c r="A433" s="1" t="str">
        <f t="shared" si="6"/>
        <v>12</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98" t="s">
        <v>2787</v>
      </c>
      <c r="D433" s="198" t="s">
        <v>1728</v>
      </c>
      <c r="E433" s="198" t="s">
        <v>2788</v>
      </c>
      <c r="F433" s="198" t="s">
        <v>112</v>
      </c>
      <c r="G433" s="198">
        <v>2944997</v>
      </c>
      <c r="H433" s="198"/>
      <c r="I433" s="198"/>
    </row>
    <row r="434" spans="1:9" x14ac:dyDescent="0.35">
      <c r="A434" s="1" t="str">
        <f t="shared" si="6"/>
        <v>12</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98" t="s">
        <v>2789</v>
      </c>
      <c r="D434" s="198" t="s">
        <v>604</v>
      </c>
      <c r="E434" s="198" t="s">
        <v>2790</v>
      </c>
      <c r="F434" s="198" t="s">
        <v>112</v>
      </c>
      <c r="G434" s="198">
        <v>2337132</v>
      </c>
      <c r="H434" s="198"/>
      <c r="I434" s="198"/>
    </row>
    <row r="435" spans="1:9" x14ac:dyDescent="0.35">
      <c r="A435" s="1" t="str">
        <f t="shared" si="6"/>
        <v>12</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98" t="s">
        <v>2791</v>
      </c>
      <c r="D435" s="198" t="s">
        <v>2792</v>
      </c>
      <c r="E435" s="198" t="s">
        <v>2793</v>
      </c>
      <c r="F435" s="198" t="s">
        <v>112</v>
      </c>
      <c r="G435" s="198">
        <v>1926921</v>
      </c>
      <c r="H435" s="198"/>
      <c r="I435" s="198"/>
    </row>
    <row r="436" spans="1:9" x14ac:dyDescent="0.35">
      <c r="A436" s="1" t="str">
        <f t="shared" si="6"/>
        <v>12</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98" t="s">
        <v>2794</v>
      </c>
      <c r="D436" s="198" t="s">
        <v>2795</v>
      </c>
      <c r="E436" s="198" t="s">
        <v>2796</v>
      </c>
      <c r="F436" s="198" t="s">
        <v>112</v>
      </c>
      <c r="G436" s="198">
        <v>2146572</v>
      </c>
      <c r="H436" s="198"/>
      <c r="I436" s="198"/>
    </row>
    <row r="437" spans="1:9" x14ac:dyDescent="0.35">
      <c r="A437" s="1" t="str">
        <f t="shared" si="6"/>
        <v>12</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98" t="s">
        <v>2797</v>
      </c>
      <c r="D437" s="198" t="s">
        <v>2798</v>
      </c>
      <c r="E437" s="198" t="s">
        <v>2799</v>
      </c>
      <c r="F437" s="198" t="s">
        <v>112</v>
      </c>
      <c r="G437" s="198">
        <v>1783104</v>
      </c>
      <c r="H437" s="198"/>
      <c r="I437" s="198"/>
    </row>
    <row r="438" spans="1:9" x14ac:dyDescent="0.35">
      <c r="A438" s="1" t="str">
        <f t="shared" si="6"/>
        <v>12</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98" t="s">
        <v>2800</v>
      </c>
      <c r="D438" s="198" t="s">
        <v>2801</v>
      </c>
      <c r="E438" s="198" t="s">
        <v>2802</v>
      </c>
      <c r="F438" s="198" t="s">
        <v>112</v>
      </c>
      <c r="G438" s="198">
        <v>1639178</v>
      </c>
      <c r="H438" s="198"/>
      <c r="I438" s="198"/>
    </row>
    <row r="439" spans="1:9" x14ac:dyDescent="0.35">
      <c r="A439" s="1" t="str">
        <f t="shared" si="6"/>
        <v>12</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98" t="s">
        <v>2803</v>
      </c>
      <c r="D439" s="198" t="s">
        <v>2804</v>
      </c>
      <c r="E439" s="198" t="s">
        <v>2805</v>
      </c>
      <c r="F439" s="198" t="s">
        <v>112</v>
      </c>
      <c r="G439" s="198">
        <v>2400724</v>
      </c>
      <c r="H439" s="198"/>
      <c r="I439" s="198"/>
    </row>
    <row r="440" spans="1:9" x14ac:dyDescent="0.35">
      <c r="A440" s="1" t="str">
        <f t="shared" si="6"/>
        <v>12</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98" t="s">
        <v>2806</v>
      </c>
      <c r="D440" s="198" t="s">
        <v>2807</v>
      </c>
      <c r="E440" s="198" t="s">
        <v>2808</v>
      </c>
      <c r="F440" s="198" t="s">
        <v>112</v>
      </c>
      <c r="G440" s="198">
        <v>2716823</v>
      </c>
      <c r="H440" s="198"/>
      <c r="I440" s="198"/>
    </row>
    <row r="441" spans="1:9" x14ac:dyDescent="0.35">
      <c r="A441" s="1" t="str">
        <f t="shared" si="6"/>
        <v>12</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98" t="s">
        <v>2809</v>
      </c>
      <c r="D441" s="198" t="s">
        <v>2810</v>
      </c>
      <c r="E441" s="198" t="s">
        <v>2811</v>
      </c>
      <c r="F441" s="198" t="s">
        <v>112</v>
      </c>
      <c r="G441" s="198">
        <v>3001754</v>
      </c>
      <c r="H441" s="198"/>
      <c r="I441" s="198"/>
    </row>
    <row r="442" spans="1:9" x14ac:dyDescent="0.35">
      <c r="A442" s="1" t="str">
        <f t="shared" si="6"/>
        <v>12</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98" t="s">
        <v>2812</v>
      </c>
      <c r="D442" s="198" t="s">
        <v>2813</v>
      </c>
      <c r="E442" s="198" t="s">
        <v>2814</v>
      </c>
      <c r="F442" s="198" t="s">
        <v>112</v>
      </c>
      <c r="G442" s="198">
        <v>2869638</v>
      </c>
      <c r="H442" s="198"/>
      <c r="I442" s="198"/>
    </row>
    <row r="443" spans="1:9" x14ac:dyDescent="0.35">
      <c r="A443" s="1" t="str">
        <f t="shared" si="6"/>
        <v>12</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98" t="s">
        <v>2815</v>
      </c>
      <c r="D443" s="198" t="s">
        <v>2186</v>
      </c>
      <c r="E443" s="198" t="s">
        <v>2816</v>
      </c>
      <c r="F443" s="198" t="s">
        <v>112</v>
      </c>
      <c r="G443" s="198">
        <v>3904564</v>
      </c>
      <c r="H443" s="198"/>
      <c r="I443" s="198"/>
    </row>
    <row r="444" spans="1:9" x14ac:dyDescent="0.35">
      <c r="A444" s="1" t="str">
        <f t="shared" si="6"/>
        <v>12</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98" t="s">
        <v>2817</v>
      </c>
      <c r="D444" s="198" t="s">
        <v>2818</v>
      </c>
      <c r="E444" s="198" t="s">
        <v>2819</v>
      </c>
      <c r="F444" s="198" t="s">
        <v>112</v>
      </c>
      <c r="G444" s="198">
        <v>4034819</v>
      </c>
      <c r="H444" s="198"/>
      <c r="I444" s="198"/>
    </row>
    <row r="445" spans="1:9" x14ac:dyDescent="0.35">
      <c r="A445" s="1" t="str">
        <f t="shared" si="6"/>
        <v>12</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98" t="s">
        <v>2820</v>
      </c>
      <c r="D445" s="198" t="s">
        <v>2821</v>
      </c>
      <c r="E445" s="198" t="s">
        <v>2822</v>
      </c>
      <c r="F445" s="198" t="s">
        <v>112</v>
      </c>
      <c r="G445" s="198">
        <v>4164144</v>
      </c>
      <c r="H445" s="198"/>
      <c r="I445" s="198"/>
    </row>
    <row r="446" spans="1:9" x14ac:dyDescent="0.35">
      <c r="A446" s="1" t="str">
        <f t="shared" si="6"/>
        <v>12</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98" t="s">
        <v>2823</v>
      </c>
      <c r="D446" s="198" t="s">
        <v>1530</v>
      </c>
      <c r="E446" s="198" t="s">
        <v>2824</v>
      </c>
      <c r="F446" s="198" t="s">
        <v>112</v>
      </c>
      <c r="G446" s="198">
        <v>90867</v>
      </c>
      <c r="H446" s="198"/>
      <c r="I446" s="198"/>
    </row>
    <row r="447" spans="1:9" x14ac:dyDescent="0.35">
      <c r="A447" s="1" t="str">
        <f t="shared" si="6"/>
        <v>12</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98" t="s">
        <v>2825</v>
      </c>
      <c r="D447" s="198" t="s">
        <v>433</v>
      </c>
      <c r="E447" s="198" t="s">
        <v>2826</v>
      </c>
      <c r="F447" s="198" t="s">
        <v>112</v>
      </c>
      <c r="G447" s="198">
        <v>103910</v>
      </c>
      <c r="H447" s="198"/>
      <c r="I447" s="198"/>
    </row>
    <row r="448" spans="1:9" x14ac:dyDescent="0.35">
      <c r="A448" s="1" t="str">
        <f t="shared" si="6"/>
        <v>12</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98" t="s">
        <v>2827</v>
      </c>
      <c r="D448" s="198"/>
      <c r="E448" s="198"/>
      <c r="F448" s="198"/>
      <c r="G448" s="198"/>
      <c r="H448" s="198"/>
      <c r="I448" s="198"/>
    </row>
    <row r="449" spans="1:9" x14ac:dyDescent="0.35">
      <c r="A449" s="1" t="str">
        <f t="shared" si="6"/>
        <v>12</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98" t="s">
        <v>2828</v>
      </c>
      <c r="D449" s="198"/>
      <c r="E449" s="198"/>
      <c r="F449" s="198"/>
      <c r="G449" s="198"/>
      <c r="H449" s="198"/>
      <c r="I449" s="198"/>
    </row>
    <row r="450" spans="1:9" x14ac:dyDescent="0.35">
      <c r="A450" s="1" t="str">
        <f t="shared" ref="A450:A513" si="7">IFERROR(LEFT(RIGHT(C450,LEN(C450)-SEARCH("@",C450)),SEARCH("/",RIGHT(C450,LEN(C450)-SEARCH("@",C450)-1))),"")</f>
        <v>12</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98" t="s">
        <v>2829</v>
      </c>
      <c r="D450" s="198"/>
      <c r="E450" s="198"/>
      <c r="F450" s="198"/>
      <c r="G450" s="198"/>
      <c r="H450" s="198"/>
      <c r="I450" s="198"/>
    </row>
    <row r="451" spans="1:9" x14ac:dyDescent="0.35">
      <c r="A451" s="1" t="str">
        <f t="shared" si="7"/>
        <v>12</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98" t="s">
        <v>2830</v>
      </c>
      <c r="D451" s="198"/>
      <c r="E451" s="198"/>
      <c r="F451" s="198"/>
      <c r="G451" s="198"/>
      <c r="H451" s="198"/>
      <c r="I451" s="198"/>
    </row>
    <row r="452" spans="1:9" x14ac:dyDescent="0.35">
      <c r="A452" s="1" t="str">
        <f t="shared" si="7"/>
        <v>12</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98" t="s">
        <v>2831</v>
      </c>
      <c r="D452" s="198" t="s">
        <v>2832</v>
      </c>
      <c r="E452" s="198" t="s">
        <v>2833</v>
      </c>
      <c r="F452" s="198" t="s">
        <v>112</v>
      </c>
      <c r="G452" s="198">
        <v>1823249</v>
      </c>
      <c r="H452" s="198"/>
      <c r="I452" s="198"/>
    </row>
    <row r="453" spans="1:9" x14ac:dyDescent="0.35">
      <c r="A453" s="1" t="str">
        <f t="shared" si="7"/>
        <v>12</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98" t="s">
        <v>2834</v>
      </c>
      <c r="D453" s="198" t="s">
        <v>1760</v>
      </c>
      <c r="E453" s="198" t="s">
        <v>2835</v>
      </c>
      <c r="F453" s="198" t="s">
        <v>112</v>
      </c>
      <c r="G453" s="198">
        <v>1785180</v>
      </c>
      <c r="H453" s="198"/>
      <c r="I453" s="198"/>
    </row>
    <row r="454" spans="1:9" x14ac:dyDescent="0.35">
      <c r="A454" s="1" t="str">
        <f t="shared" si="7"/>
        <v>12</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98" t="s">
        <v>2836</v>
      </c>
      <c r="D454" s="198" t="s">
        <v>2837</v>
      </c>
      <c r="E454" s="198" t="s">
        <v>2838</v>
      </c>
      <c r="F454" s="198" t="s">
        <v>112</v>
      </c>
      <c r="G454" s="198">
        <v>2038509</v>
      </c>
      <c r="H454" s="198"/>
      <c r="I454" s="198"/>
    </row>
    <row r="455" spans="1:9"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98" t="s">
        <v>112</v>
      </c>
      <c r="D455" s="198"/>
      <c r="E455" s="198"/>
      <c r="F455" s="198"/>
      <c r="G455" s="198"/>
      <c r="H455" s="198"/>
      <c r="I455" s="198"/>
    </row>
    <row r="456" spans="1:9"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98" t="s">
        <v>195</v>
      </c>
      <c r="D456" s="198" t="s">
        <v>112</v>
      </c>
      <c r="E456" s="198" t="s">
        <v>196</v>
      </c>
      <c r="F456" s="198" t="s">
        <v>197</v>
      </c>
      <c r="G456" s="198" t="s">
        <v>198</v>
      </c>
      <c r="H456" s="198" t="s">
        <v>199</v>
      </c>
      <c r="I456" s="198" t="s">
        <v>200</v>
      </c>
    </row>
    <row r="457" spans="1:9" x14ac:dyDescent="0.35">
      <c r="A457" s="1" t="str">
        <f t="shared" si="7"/>
        <v>12</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98" t="s">
        <v>2839</v>
      </c>
      <c r="D457" s="198" t="s">
        <v>112</v>
      </c>
      <c r="E457" s="198" t="s">
        <v>2840</v>
      </c>
      <c r="F457" s="198" t="s">
        <v>2841</v>
      </c>
      <c r="G457" s="198" t="s">
        <v>2842</v>
      </c>
      <c r="H457" s="198" t="s">
        <v>2843</v>
      </c>
      <c r="I457" s="198">
        <v>24</v>
      </c>
    </row>
    <row r="458" spans="1:9"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98" t="s">
        <v>112</v>
      </c>
      <c r="D458" s="198"/>
      <c r="E458" s="198"/>
      <c r="F458" s="198"/>
      <c r="G458" s="198"/>
      <c r="H458" s="198"/>
      <c r="I458" s="198"/>
    </row>
    <row r="459" spans="1:9"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98" t="s">
        <v>112</v>
      </c>
      <c r="D459" s="198"/>
      <c r="E459" s="198"/>
      <c r="F459" s="198"/>
      <c r="G459" s="198"/>
      <c r="H459" s="198"/>
      <c r="I459" s="198"/>
    </row>
    <row r="460" spans="1:9"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98" t="s">
        <v>112</v>
      </c>
      <c r="D460" s="198"/>
      <c r="E460" s="198"/>
      <c r="F460" s="198"/>
      <c r="G460" s="198"/>
      <c r="H460" s="198"/>
      <c r="I460" s="198"/>
    </row>
    <row r="461" spans="1:9"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98" t="s">
        <v>112</v>
      </c>
      <c r="D461" s="198"/>
      <c r="E461" s="198"/>
      <c r="F461" s="198"/>
      <c r="G461" s="198"/>
      <c r="H461" s="198"/>
      <c r="I461" s="198"/>
    </row>
    <row r="462" spans="1:9"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98" t="s">
        <v>112</v>
      </c>
      <c r="D462" s="198"/>
      <c r="E462" s="198"/>
      <c r="F462" s="198"/>
      <c r="G462" s="198"/>
      <c r="H462" s="198"/>
      <c r="I462" s="198"/>
    </row>
    <row r="463" spans="1:9"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98" t="s">
        <v>206</v>
      </c>
      <c r="D463" s="198" t="s">
        <v>110</v>
      </c>
      <c r="E463" s="198" t="s">
        <v>111</v>
      </c>
      <c r="F463" s="198" t="s">
        <v>112</v>
      </c>
      <c r="G463" s="198" t="s">
        <v>113</v>
      </c>
      <c r="H463" s="198"/>
      <c r="I463" s="198"/>
    </row>
    <row r="464" spans="1:9" x14ac:dyDescent="0.35">
      <c r="A464" s="1" t="str">
        <f t="shared" si="7"/>
        <v>17</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98" t="s">
        <v>2844</v>
      </c>
      <c r="D464" s="198" t="s">
        <v>2845</v>
      </c>
      <c r="E464" s="198" t="s">
        <v>2846</v>
      </c>
      <c r="F464" s="198" t="s">
        <v>112</v>
      </c>
      <c r="G464" s="198">
        <v>1005011</v>
      </c>
      <c r="H464" s="198"/>
      <c r="I464" s="198"/>
    </row>
    <row r="465" spans="1:9" x14ac:dyDescent="0.35">
      <c r="A465" s="1" t="str">
        <f t="shared" si="7"/>
        <v>17</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98" t="s">
        <v>2847</v>
      </c>
      <c r="D465" s="198" t="s">
        <v>262</v>
      </c>
      <c r="E465" s="198" t="s">
        <v>2848</v>
      </c>
      <c r="F465" s="198" t="s">
        <v>112</v>
      </c>
      <c r="G465" s="198">
        <v>5256</v>
      </c>
      <c r="H465" s="198"/>
      <c r="I465" s="198"/>
    </row>
    <row r="466" spans="1:9" x14ac:dyDescent="0.35">
      <c r="A466" s="1" t="str">
        <f t="shared" si="7"/>
        <v>17</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98" t="s">
        <v>2849</v>
      </c>
      <c r="D466" s="198" t="s">
        <v>2850</v>
      </c>
      <c r="E466" s="198" t="s">
        <v>2851</v>
      </c>
      <c r="F466" s="198" t="s">
        <v>112</v>
      </c>
      <c r="G466" s="198">
        <v>436902</v>
      </c>
      <c r="H466" s="198"/>
      <c r="I466" s="198"/>
    </row>
    <row r="467" spans="1:9" x14ac:dyDescent="0.35">
      <c r="A467" s="1" t="str">
        <f t="shared" si="7"/>
        <v>17</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98" t="s">
        <v>2852</v>
      </c>
      <c r="D467" s="198" t="s">
        <v>2853</v>
      </c>
      <c r="E467" s="198" t="s">
        <v>2854</v>
      </c>
      <c r="F467" s="198" t="s">
        <v>112</v>
      </c>
      <c r="G467" s="198">
        <v>2544822</v>
      </c>
      <c r="H467" s="198"/>
      <c r="I467" s="198"/>
    </row>
    <row r="468" spans="1:9" x14ac:dyDescent="0.35">
      <c r="A468" s="1" t="str">
        <f t="shared" si="7"/>
        <v>17</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98" t="s">
        <v>2855</v>
      </c>
      <c r="D468" s="198" t="s">
        <v>2856</v>
      </c>
      <c r="E468" s="198" t="s">
        <v>2857</v>
      </c>
      <c r="F468" s="198" t="s">
        <v>112</v>
      </c>
      <c r="G468" s="198">
        <v>2689699</v>
      </c>
      <c r="H468" s="198"/>
      <c r="I468" s="198"/>
    </row>
    <row r="469" spans="1:9" x14ac:dyDescent="0.35">
      <c r="A469" s="1" t="str">
        <f t="shared" si="7"/>
        <v>17</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98" t="s">
        <v>2858</v>
      </c>
      <c r="D469" s="198" t="s">
        <v>2859</v>
      </c>
      <c r="E469" s="198" t="s">
        <v>2860</v>
      </c>
      <c r="F469" s="198" t="s">
        <v>112</v>
      </c>
      <c r="G469" s="198">
        <v>2002214</v>
      </c>
      <c r="H469" s="198"/>
      <c r="I469" s="198"/>
    </row>
    <row r="470" spans="1:9" x14ac:dyDescent="0.35">
      <c r="A470" s="1" t="str">
        <f t="shared" si="7"/>
        <v>17</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98" t="s">
        <v>2861</v>
      </c>
      <c r="D470" s="198" t="s">
        <v>1217</v>
      </c>
      <c r="E470" s="198" t="s">
        <v>2862</v>
      </c>
      <c r="F470" s="198" t="s">
        <v>112</v>
      </c>
      <c r="G470" s="198">
        <v>335242</v>
      </c>
      <c r="H470" s="198"/>
      <c r="I470" s="198"/>
    </row>
    <row r="471" spans="1:9" x14ac:dyDescent="0.35">
      <c r="A471" s="1" t="str">
        <f t="shared" si="7"/>
        <v>17</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98" t="s">
        <v>2863</v>
      </c>
      <c r="D471" s="198" t="s">
        <v>1432</v>
      </c>
      <c r="E471" s="198" t="s">
        <v>2864</v>
      </c>
      <c r="F471" s="198" t="s">
        <v>112</v>
      </c>
      <c r="G471" s="198">
        <v>209031</v>
      </c>
      <c r="H471" s="198"/>
      <c r="I471" s="198"/>
    </row>
    <row r="472" spans="1:9" x14ac:dyDescent="0.35">
      <c r="A472" s="1" t="str">
        <f t="shared" si="7"/>
        <v>17</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98" t="s">
        <v>2865</v>
      </c>
      <c r="D472" s="198" t="s">
        <v>2866</v>
      </c>
      <c r="E472" s="198" t="s">
        <v>2867</v>
      </c>
      <c r="F472" s="198" t="s">
        <v>112</v>
      </c>
      <c r="G472" s="198">
        <v>264079</v>
      </c>
      <c r="H472" s="198"/>
      <c r="I472" s="198"/>
    </row>
    <row r="473" spans="1:9" x14ac:dyDescent="0.35">
      <c r="A473" s="1" t="str">
        <f t="shared" si="7"/>
        <v>17</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98" t="s">
        <v>2868</v>
      </c>
      <c r="D473" s="198" t="s">
        <v>2661</v>
      </c>
      <c r="E473" s="198" t="s">
        <v>2869</v>
      </c>
      <c r="F473" s="198" t="s">
        <v>112</v>
      </c>
      <c r="G473" s="198">
        <v>203472</v>
      </c>
      <c r="H473" s="198"/>
      <c r="I473" s="198"/>
    </row>
    <row r="474" spans="1:9" x14ac:dyDescent="0.35">
      <c r="A474" s="1" t="str">
        <f t="shared" si="7"/>
        <v>17</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98" t="s">
        <v>2870</v>
      </c>
      <c r="D474" s="198" t="s">
        <v>2871</v>
      </c>
      <c r="E474" s="198" t="s">
        <v>2872</v>
      </c>
      <c r="F474" s="198" t="s">
        <v>112</v>
      </c>
      <c r="G474" s="198">
        <v>372899</v>
      </c>
      <c r="H474" s="198"/>
      <c r="I474" s="198"/>
    </row>
    <row r="475" spans="1:9" x14ac:dyDescent="0.35">
      <c r="A475" s="1" t="str">
        <f t="shared" si="7"/>
        <v>17</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98" t="s">
        <v>2873</v>
      </c>
      <c r="D475" s="198" t="s">
        <v>2874</v>
      </c>
      <c r="E475" s="198" t="s">
        <v>2875</v>
      </c>
      <c r="F475" s="198" t="s">
        <v>112</v>
      </c>
      <c r="G475" s="198">
        <v>603496</v>
      </c>
      <c r="H475" s="198"/>
      <c r="I475" s="198"/>
    </row>
    <row r="476" spans="1:9" x14ac:dyDescent="0.35">
      <c r="A476" s="1" t="str">
        <f t="shared" si="7"/>
        <v>17</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98" t="s">
        <v>2876</v>
      </c>
      <c r="D476" s="198" t="s">
        <v>2877</v>
      </c>
      <c r="E476" s="198" t="s">
        <v>2878</v>
      </c>
      <c r="F476" s="198" t="s">
        <v>112</v>
      </c>
      <c r="G476" s="198">
        <v>3044862</v>
      </c>
      <c r="H476" s="198"/>
      <c r="I476" s="198"/>
    </row>
    <row r="477" spans="1:9" x14ac:dyDescent="0.35">
      <c r="A477" s="1" t="str">
        <f t="shared" si="7"/>
        <v>17</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98" t="s">
        <v>2879</v>
      </c>
      <c r="D477" s="198" t="s">
        <v>2880</v>
      </c>
      <c r="E477" s="198" t="s">
        <v>2881</v>
      </c>
      <c r="F477" s="198" t="s">
        <v>112</v>
      </c>
      <c r="G477" s="198">
        <v>3396932</v>
      </c>
      <c r="H477" s="198"/>
      <c r="I477" s="198"/>
    </row>
    <row r="478" spans="1:9" x14ac:dyDescent="0.35">
      <c r="A478" s="1" t="str">
        <f t="shared" si="7"/>
        <v>17</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98" t="s">
        <v>2882</v>
      </c>
      <c r="D478" s="198" t="s">
        <v>2883</v>
      </c>
      <c r="E478" s="198" t="s">
        <v>2884</v>
      </c>
      <c r="F478" s="198" t="s">
        <v>112</v>
      </c>
      <c r="G478" s="198">
        <v>3084964</v>
      </c>
      <c r="H478" s="198"/>
      <c r="I478" s="198"/>
    </row>
    <row r="479" spans="1:9" x14ac:dyDescent="0.35">
      <c r="A479" s="1" t="str">
        <f t="shared" si="7"/>
        <v>17</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98" t="s">
        <v>2885</v>
      </c>
      <c r="D479" s="198" t="s">
        <v>1159</v>
      </c>
      <c r="E479" s="198" t="s">
        <v>2886</v>
      </c>
      <c r="F479" s="198" t="s">
        <v>112</v>
      </c>
      <c r="G479" s="198">
        <v>197135</v>
      </c>
      <c r="H479" s="198"/>
      <c r="I479" s="198"/>
    </row>
    <row r="480" spans="1:9" x14ac:dyDescent="0.35">
      <c r="A480" s="1" t="str">
        <f t="shared" si="7"/>
        <v>17</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98" t="s">
        <v>2887</v>
      </c>
      <c r="D480" s="198" t="s">
        <v>1083</v>
      </c>
      <c r="E480" s="198" t="s">
        <v>2888</v>
      </c>
      <c r="F480" s="198" t="s">
        <v>112</v>
      </c>
      <c r="G480" s="198">
        <v>141914</v>
      </c>
      <c r="H480" s="198"/>
      <c r="I480" s="198"/>
    </row>
    <row r="481" spans="1:9" x14ac:dyDescent="0.35">
      <c r="A481" s="1" t="str">
        <f t="shared" si="7"/>
        <v>17</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98" t="s">
        <v>2889</v>
      </c>
      <c r="D481" s="198" t="s">
        <v>221</v>
      </c>
      <c r="E481" s="198" t="s">
        <v>2890</v>
      </c>
      <c r="F481" s="198" t="s">
        <v>112</v>
      </c>
      <c r="G481" s="198">
        <v>218267</v>
      </c>
      <c r="H481" s="198"/>
      <c r="I481" s="198"/>
    </row>
    <row r="482" spans="1:9" x14ac:dyDescent="0.35">
      <c r="A482" s="1" t="str">
        <f t="shared" si="7"/>
        <v>17</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98" t="s">
        <v>2891</v>
      </c>
      <c r="D482" s="198" t="s">
        <v>2892</v>
      </c>
      <c r="E482" s="198" t="s">
        <v>2893</v>
      </c>
      <c r="F482" s="198" t="s">
        <v>112</v>
      </c>
      <c r="G482" s="198">
        <v>2045777</v>
      </c>
      <c r="H482" s="198"/>
      <c r="I482" s="198"/>
    </row>
    <row r="483" spans="1:9" x14ac:dyDescent="0.35">
      <c r="A483" s="1" t="str">
        <f t="shared" si="7"/>
        <v>17</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98" t="s">
        <v>2894</v>
      </c>
      <c r="D483" s="198" t="s">
        <v>2895</v>
      </c>
      <c r="E483" s="198" t="s">
        <v>2896</v>
      </c>
      <c r="F483" s="198" t="s">
        <v>112</v>
      </c>
      <c r="G483" s="198">
        <v>2542789</v>
      </c>
      <c r="H483" s="198"/>
      <c r="I483" s="198"/>
    </row>
    <row r="484" spans="1:9" x14ac:dyDescent="0.35">
      <c r="A484" s="1" t="str">
        <f t="shared" si="7"/>
        <v>17</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98" t="s">
        <v>2897</v>
      </c>
      <c r="D484" s="198" t="s">
        <v>2898</v>
      </c>
      <c r="E484" s="198" t="s">
        <v>2899</v>
      </c>
      <c r="F484" s="198" t="s">
        <v>112</v>
      </c>
      <c r="G484" s="198">
        <v>2348617</v>
      </c>
      <c r="H484" s="198"/>
      <c r="I484" s="198"/>
    </row>
    <row r="485" spans="1:9" x14ac:dyDescent="0.35">
      <c r="A485" s="1" t="str">
        <f t="shared" si="7"/>
        <v>17</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98" t="s">
        <v>2900</v>
      </c>
      <c r="D485" s="198" t="s">
        <v>2901</v>
      </c>
      <c r="E485" s="198" t="s">
        <v>2902</v>
      </c>
      <c r="F485" s="198" t="s">
        <v>112</v>
      </c>
      <c r="G485" s="198">
        <v>690945</v>
      </c>
      <c r="H485" s="198"/>
      <c r="I485" s="198"/>
    </row>
    <row r="486" spans="1:9" x14ac:dyDescent="0.35">
      <c r="A486" s="1" t="str">
        <f t="shared" si="7"/>
        <v>17</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98" t="s">
        <v>2903</v>
      </c>
      <c r="D486" s="198" t="s">
        <v>324</v>
      </c>
      <c r="E486" s="198" t="s">
        <v>2904</v>
      </c>
      <c r="F486" s="198" t="s">
        <v>112</v>
      </c>
      <c r="G486" s="198">
        <v>594195</v>
      </c>
      <c r="H486" s="198"/>
      <c r="I486" s="198"/>
    </row>
    <row r="487" spans="1:9" x14ac:dyDescent="0.35">
      <c r="A487" s="1" t="str">
        <f t="shared" si="7"/>
        <v>17</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98" t="s">
        <v>2905</v>
      </c>
      <c r="D487" s="198" t="s">
        <v>2906</v>
      </c>
      <c r="E487" s="198" t="s">
        <v>2907</v>
      </c>
      <c r="F487" s="198" t="s">
        <v>112</v>
      </c>
      <c r="G487" s="198">
        <v>347333</v>
      </c>
      <c r="H487" s="198"/>
      <c r="I487" s="198"/>
    </row>
    <row r="488" spans="1:9"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98" t="s">
        <v>112</v>
      </c>
      <c r="D488" s="198"/>
      <c r="E488" s="198"/>
      <c r="F488" s="198"/>
      <c r="G488" s="198"/>
      <c r="H488" s="198"/>
      <c r="I488" s="198"/>
    </row>
    <row r="489" spans="1:9"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98" t="s">
        <v>195</v>
      </c>
      <c r="D489" s="198" t="s">
        <v>112</v>
      </c>
      <c r="E489" s="198" t="s">
        <v>196</v>
      </c>
      <c r="F489" s="198" t="s">
        <v>197</v>
      </c>
      <c r="G489" s="198" t="s">
        <v>198</v>
      </c>
      <c r="H489" s="198" t="s">
        <v>199</v>
      </c>
      <c r="I489" s="198" t="s">
        <v>200</v>
      </c>
    </row>
    <row r="490" spans="1:9" x14ac:dyDescent="0.35">
      <c r="A490" s="1" t="str">
        <f t="shared" si="7"/>
        <v>17</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98" t="s">
        <v>2908</v>
      </c>
      <c r="D490" s="198" t="s">
        <v>112</v>
      </c>
      <c r="E490" s="198" t="s">
        <v>2909</v>
      </c>
      <c r="F490" s="198" t="s">
        <v>2910</v>
      </c>
      <c r="G490" s="198" t="s">
        <v>2911</v>
      </c>
      <c r="H490" s="198" t="s">
        <v>2912</v>
      </c>
      <c r="I490" s="198">
        <v>24</v>
      </c>
    </row>
    <row r="491" spans="1:9"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98" t="s">
        <v>112</v>
      </c>
      <c r="D491" s="198"/>
      <c r="E491" s="198"/>
      <c r="F491" s="198"/>
      <c r="G491" s="198"/>
      <c r="H491" s="198"/>
      <c r="I491" s="198"/>
    </row>
    <row r="492" spans="1:9"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98" t="s">
        <v>112</v>
      </c>
      <c r="D492" s="198"/>
      <c r="E492" s="198"/>
      <c r="F492" s="198"/>
      <c r="G492" s="198"/>
      <c r="H492" s="198"/>
      <c r="I492" s="198"/>
    </row>
    <row r="493" spans="1:9"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98" t="s">
        <v>112</v>
      </c>
      <c r="D493" s="198"/>
      <c r="E493" s="198"/>
      <c r="F493" s="198"/>
      <c r="G493" s="198"/>
      <c r="H493" s="198"/>
      <c r="I493" s="198"/>
    </row>
    <row r="494" spans="1:9"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98" t="s">
        <v>112</v>
      </c>
      <c r="D494" s="198"/>
      <c r="E494" s="198"/>
      <c r="F494" s="198"/>
      <c r="G494" s="198"/>
      <c r="H494" s="198"/>
      <c r="I494" s="198"/>
    </row>
    <row r="495" spans="1:9"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98" t="s">
        <v>112</v>
      </c>
      <c r="D495" s="198"/>
      <c r="E495" s="198"/>
      <c r="F495" s="198"/>
      <c r="G495" s="198"/>
      <c r="H495" s="198"/>
      <c r="I495" s="198"/>
    </row>
    <row r="496" spans="1:9"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98" t="s">
        <v>206</v>
      </c>
      <c r="D496" s="198" t="s">
        <v>110</v>
      </c>
      <c r="E496" s="198" t="s">
        <v>111</v>
      </c>
      <c r="F496" s="198" t="s">
        <v>112</v>
      </c>
      <c r="G496" s="198" t="s">
        <v>113</v>
      </c>
      <c r="H496" s="198"/>
      <c r="I496" s="198"/>
    </row>
    <row r="497" spans="1:9" x14ac:dyDescent="0.35">
      <c r="A497" s="1" t="str">
        <f t="shared" si="7"/>
        <v>18</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98" t="s">
        <v>2913</v>
      </c>
      <c r="D497" s="198" t="s">
        <v>2154</v>
      </c>
      <c r="E497" s="198" t="s">
        <v>2914</v>
      </c>
      <c r="F497" s="198" t="s">
        <v>112</v>
      </c>
      <c r="G497" s="198">
        <v>3221254</v>
      </c>
      <c r="H497" s="198"/>
      <c r="I497" s="198"/>
    </row>
    <row r="498" spans="1:9" x14ac:dyDescent="0.35">
      <c r="A498" s="1" t="str">
        <f t="shared" si="7"/>
        <v>18</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98" t="s">
        <v>2915</v>
      </c>
      <c r="D498" s="198" t="s">
        <v>2916</v>
      </c>
      <c r="E498" s="198" t="s">
        <v>2917</v>
      </c>
      <c r="F498" s="198" t="s">
        <v>112</v>
      </c>
      <c r="G498" s="198">
        <v>4134641</v>
      </c>
      <c r="H498" s="198"/>
      <c r="I498" s="198"/>
    </row>
    <row r="499" spans="1:9" x14ac:dyDescent="0.35">
      <c r="A499" s="1" t="str">
        <f t="shared" si="7"/>
        <v>18</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98" t="s">
        <v>2918</v>
      </c>
      <c r="D499" s="198" t="s">
        <v>2919</v>
      </c>
      <c r="E499" s="198" t="s">
        <v>2920</v>
      </c>
      <c r="F499" s="198" t="s">
        <v>112</v>
      </c>
      <c r="G499" s="198">
        <v>3820791</v>
      </c>
      <c r="H499" s="198"/>
      <c r="I499" s="198"/>
    </row>
    <row r="500" spans="1:9" x14ac:dyDescent="0.35">
      <c r="A500" s="1" t="str">
        <f t="shared" si="7"/>
        <v>18</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98" t="s">
        <v>2921</v>
      </c>
      <c r="D500" s="198" t="s">
        <v>2922</v>
      </c>
      <c r="E500" s="198" t="s">
        <v>2923</v>
      </c>
      <c r="F500" s="198" t="s">
        <v>112</v>
      </c>
      <c r="G500" s="198">
        <v>2487741</v>
      </c>
      <c r="H500" s="198"/>
      <c r="I500" s="198"/>
    </row>
    <row r="501" spans="1:9" x14ac:dyDescent="0.35">
      <c r="A501" s="1" t="str">
        <f t="shared" si="7"/>
        <v>18</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98" t="s">
        <v>2924</v>
      </c>
      <c r="D501" s="198" t="s">
        <v>2925</v>
      </c>
      <c r="E501" s="198" t="s">
        <v>2926</v>
      </c>
      <c r="F501" s="198" t="s">
        <v>112</v>
      </c>
      <c r="G501" s="198">
        <v>2383074</v>
      </c>
      <c r="H501" s="198"/>
      <c r="I501" s="198"/>
    </row>
    <row r="502" spans="1:9" x14ac:dyDescent="0.35">
      <c r="A502" s="1" t="str">
        <f t="shared" si="7"/>
        <v>18</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98" t="s">
        <v>2927</v>
      </c>
      <c r="D502" s="198" t="s">
        <v>2928</v>
      </c>
      <c r="E502" s="198" t="s">
        <v>2929</v>
      </c>
      <c r="F502" s="198" t="s">
        <v>112</v>
      </c>
      <c r="G502" s="198">
        <v>2906604</v>
      </c>
      <c r="H502" s="198"/>
      <c r="I502" s="198"/>
    </row>
    <row r="503" spans="1:9" x14ac:dyDescent="0.35">
      <c r="A503" s="1" t="str">
        <f t="shared" si="7"/>
        <v>18</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98" t="s">
        <v>2930</v>
      </c>
      <c r="D503" s="198" t="s">
        <v>2931</v>
      </c>
      <c r="E503" s="198" t="s">
        <v>2932</v>
      </c>
      <c r="F503" s="198" t="s">
        <v>112</v>
      </c>
      <c r="G503" s="198">
        <v>650562</v>
      </c>
      <c r="H503" s="198"/>
      <c r="I503" s="198"/>
    </row>
    <row r="504" spans="1:9" x14ac:dyDescent="0.35">
      <c r="A504" s="1" t="str">
        <f t="shared" si="7"/>
        <v>18</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98" t="s">
        <v>2933</v>
      </c>
      <c r="D504" s="198" t="s">
        <v>2772</v>
      </c>
      <c r="E504" s="198" t="s">
        <v>2934</v>
      </c>
      <c r="F504" s="198" t="s">
        <v>112</v>
      </c>
      <c r="G504" s="198">
        <v>739915</v>
      </c>
      <c r="H504" s="198"/>
      <c r="I504" s="198"/>
    </row>
    <row r="505" spans="1:9" x14ac:dyDescent="0.35">
      <c r="A505" s="1" t="str">
        <f t="shared" si="7"/>
        <v>18</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98" t="s">
        <v>2935</v>
      </c>
      <c r="D505" s="198" t="s">
        <v>2936</v>
      </c>
      <c r="E505" s="198" t="s">
        <v>2937</v>
      </c>
      <c r="F505" s="198" t="s">
        <v>112</v>
      </c>
      <c r="G505" s="198">
        <v>906293</v>
      </c>
      <c r="H505" s="198"/>
      <c r="I505" s="198"/>
    </row>
    <row r="506" spans="1:9" x14ac:dyDescent="0.35">
      <c r="A506" s="1" t="str">
        <f t="shared" si="7"/>
        <v>18</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98" t="s">
        <v>2938</v>
      </c>
      <c r="D506" s="198" t="s">
        <v>2939</v>
      </c>
      <c r="E506" s="198" t="s">
        <v>2940</v>
      </c>
      <c r="F506" s="198" t="s">
        <v>112</v>
      </c>
      <c r="G506" s="198">
        <v>2504158</v>
      </c>
      <c r="H506" s="198"/>
      <c r="I506" s="198"/>
    </row>
    <row r="507" spans="1:9" x14ac:dyDescent="0.35">
      <c r="A507" s="1" t="str">
        <f t="shared" si="7"/>
        <v>18</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98" t="s">
        <v>2941</v>
      </c>
      <c r="D507" s="198"/>
      <c r="E507" s="198"/>
      <c r="F507" s="198"/>
      <c r="G507" s="198"/>
      <c r="H507" s="198"/>
      <c r="I507" s="198"/>
    </row>
    <row r="508" spans="1:9" x14ac:dyDescent="0.35">
      <c r="A508" s="1" t="str">
        <f t="shared" si="7"/>
        <v>18</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98" t="s">
        <v>2942</v>
      </c>
      <c r="D508" s="198" t="s">
        <v>2943</v>
      </c>
      <c r="E508" s="198" t="s">
        <v>2944</v>
      </c>
      <c r="F508" s="198" t="s">
        <v>112</v>
      </c>
      <c r="G508" s="198">
        <v>2452808</v>
      </c>
      <c r="H508" s="198"/>
      <c r="I508" s="198"/>
    </row>
    <row r="509" spans="1:9" x14ac:dyDescent="0.35">
      <c r="A509" s="1" t="str">
        <f t="shared" si="7"/>
        <v>18</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98" t="s">
        <v>2945</v>
      </c>
      <c r="D509" s="198" t="s">
        <v>2946</v>
      </c>
      <c r="E509" s="198" t="s">
        <v>2947</v>
      </c>
      <c r="F509" s="198" t="s">
        <v>112</v>
      </c>
      <c r="G509" s="198">
        <v>3236481</v>
      </c>
      <c r="H509" s="198"/>
      <c r="I509" s="198"/>
    </row>
    <row r="510" spans="1:9" x14ac:dyDescent="0.35">
      <c r="A510" s="1" t="str">
        <f t="shared" si="7"/>
        <v>18</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98" t="s">
        <v>2948</v>
      </c>
      <c r="D510" s="198" t="s">
        <v>2949</v>
      </c>
      <c r="E510" s="198" t="s">
        <v>2950</v>
      </c>
      <c r="F510" s="198" t="s">
        <v>112</v>
      </c>
      <c r="G510" s="198">
        <v>3091929</v>
      </c>
      <c r="H510" s="198"/>
      <c r="I510" s="198"/>
    </row>
    <row r="511" spans="1:9" x14ac:dyDescent="0.35">
      <c r="A511" s="1" t="str">
        <f t="shared" si="7"/>
        <v>18</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98" t="s">
        <v>2951</v>
      </c>
      <c r="D511" s="198" t="s">
        <v>2952</v>
      </c>
      <c r="E511" s="198" t="s">
        <v>2953</v>
      </c>
      <c r="F511" s="198" t="s">
        <v>112</v>
      </c>
      <c r="G511" s="198">
        <v>3556560</v>
      </c>
      <c r="H511" s="198"/>
      <c r="I511" s="198"/>
    </row>
    <row r="512" spans="1:9" x14ac:dyDescent="0.35">
      <c r="A512" s="1" t="str">
        <f t="shared" si="7"/>
        <v>18</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98" t="s">
        <v>2954</v>
      </c>
      <c r="D512" s="198" t="s">
        <v>2955</v>
      </c>
      <c r="E512" s="198" t="s">
        <v>2956</v>
      </c>
      <c r="F512" s="198" t="s">
        <v>112</v>
      </c>
      <c r="G512" s="198">
        <v>1517770</v>
      </c>
      <c r="H512" s="198"/>
      <c r="I512" s="198"/>
    </row>
    <row r="513" spans="1:9" x14ac:dyDescent="0.35">
      <c r="A513" s="1" t="str">
        <f t="shared" si="7"/>
        <v>18</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98" t="s">
        <v>2957</v>
      </c>
      <c r="D513" s="198" t="s">
        <v>2958</v>
      </c>
      <c r="E513" s="198" t="s">
        <v>2959</v>
      </c>
      <c r="F513" s="198" t="s">
        <v>112</v>
      </c>
      <c r="G513" s="198">
        <v>2354717</v>
      </c>
      <c r="H513" s="198"/>
      <c r="I513" s="198"/>
    </row>
    <row r="514" spans="1:9" x14ac:dyDescent="0.35">
      <c r="A514" s="1" t="str">
        <f t="shared" ref="A514:A577" si="8">IFERROR(LEFT(RIGHT(C514,LEN(C514)-SEARCH("@",C514)),SEARCH("/",RIGHT(C514,LEN(C514)-SEARCH("@",C514)-1))),"")</f>
        <v>18</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98" t="s">
        <v>2960</v>
      </c>
      <c r="D514" s="198" t="s">
        <v>2961</v>
      </c>
      <c r="E514" s="198" t="s">
        <v>2962</v>
      </c>
      <c r="F514" s="198" t="s">
        <v>112</v>
      </c>
      <c r="G514" s="198">
        <v>2225413</v>
      </c>
      <c r="H514" s="198"/>
      <c r="I514" s="198"/>
    </row>
    <row r="515" spans="1:9" x14ac:dyDescent="0.35">
      <c r="A515" s="1" t="str">
        <f t="shared" si="8"/>
        <v>18</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98" t="s">
        <v>2963</v>
      </c>
      <c r="D515" s="198" t="s">
        <v>2964</v>
      </c>
      <c r="E515" s="198" t="s">
        <v>2965</v>
      </c>
      <c r="F515" s="198" t="s">
        <v>112</v>
      </c>
      <c r="G515" s="198">
        <v>980764</v>
      </c>
      <c r="H515" s="198"/>
      <c r="I515" s="198"/>
    </row>
    <row r="516" spans="1:9" x14ac:dyDescent="0.35">
      <c r="A516" s="1" t="str">
        <f t="shared" si="8"/>
        <v>18</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98" t="s">
        <v>2966</v>
      </c>
      <c r="D516" s="198" t="s">
        <v>2967</v>
      </c>
      <c r="E516" s="198" t="s">
        <v>2968</v>
      </c>
      <c r="F516" s="198" t="s">
        <v>112</v>
      </c>
      <c r="G516" s="198">
        <v>2170084</v>
      </c>
      <c r="H516" s="198"/>
      <c r="I516" s="198"/>
    </row>
    <row r="517" spans="1:9" x14ac:dyDescent="0.35">
      <c r="A517" s="1" t="str">
        <f t="shared" si="8"/>
        <v>18</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98" t="s">
        <v>2969</v>
      </c>
      <c r="D517" s="198" t="s">
        <v>2970</v>
      </c>
      <c r="E517" s="198" t="s">
        <v>2971</v>
      </c>
      <c r="F517" s="198" t="s">
        <v>112</v>
      </c>
      <c r="G517" s="198">
        <v>1577317</v>
      </c>
      <c r="H517" s="198"/>
      <c r="I517" s="198"/>
    </row>
    <row r="518" spans="1:9" x14ac:dyDescent="0.35">
      <c r="A518" s="1" t="str">
        <f t="shared" si="8"/>
        <v>18</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98" t="s">
        <v>2972</v>
      </c>
      <c r="D518" s="198" t="s">
        <v>2973</v>
      </c>
      <c r="E518" s="198" t="s">
        <v>2974</v>
      </c>
      <c r="F518" s="198" t="s">
        <v>112</v>
      </c>
      <c r="G518" s="198">
        <v>2459081</v>
      </c>
      <c r="H518" s="198"/>
      <c r="I518" s="198"/>
    </row>
    <row r="519" spans="1:9" x14ac:dyDescent="0.35">
      <c r="A519" s="1" t="str">
        <f t="shared" si="8"/>
        <v>18</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98" t="s">
        <v>2975</v>
      </c>
      <c r="D519" s="198" t="s">
        <v>2976</v>
      </c>
      <c r="E519" s="198" t="s">
        <v>2977</v>
      </c>
      <c r="F519" s="198" t="s">
        <v>112</v>
      </c>
      <c r="G519" s="198">
        <v>1934318</v>
      </c>
      <c r="H519" s="198"/>
      <c r="I519" s="198"/>
    </row>
    <row r="520" spans="1:9" x14ac:dyDescent="0.35">
      <c r="A520" s="1" t="str">
        <f t="shared" si="8"/>
        <v>18</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98" t="s">
        <v>2978</v>
      </c>
      <c r="D520" s="198" t="s">
        <v>578</v>
      </c>
      <c r="E520" s="198" t="s">
        <v>2979</v>
      </c>
      <c r="F520" s="198" t="s">
        <v>112</v>
      </c>
      <c r="G520" s="198">
        <v>2395987</v>
      </c>
      <c r="H520" s="198"/>
      <c r="I520" s="198"/>
    </row>
    <row r="521" spans="1:9"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98" t="s">
        <v>112</v>
      </c>
      <c r="D521" s="198"/>
      <c r="E521" s="198"/>
      <c r="F521" s="198"/>
      <c r="G521" s="198"/>
      <c r="H521" s="198"/>
      <c r="I521" s="198"/>
    </row>
    <row r="522" spans="1:9"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98" t="s">
        <v>195</v>
      </c>
      <c r="D522" s="198" t="s">
        <v>112</v>
      </c>
      <c r="E522" s="198" t="s">
        <v>196</v>
      </c>
      <c r="F522" s="198" t="s">
        <v>197</v>
      </c>
      <c r="G522" s="198" t="s">
        <v>198</v>
      </c>
      <c r="H522" s="198" t="s">
        <v>199</v>
      </c>
      <c r="I522" s="198" t="s">
        <v>200</v>
      </c>
    </row>
    <row r="523" spans="1:9" x14ac:dyDescent="0.35">
      <c r="A523" s="1" t="str">
        <f t="shared" si="8"/>
        <v>18</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98" t="s">
        <v>2980</v>
      </c>
      <c r="D523" s="198" t="s">
        <v>112</v>
      </c>
      <c r="E523" s="198" t="s">
        <v>2981</v>
      </c>
      <c r="F523" s="198" t="s">
        <v>2982</v>
      </c>
      <c r="G523" s="198">
        <v>2272170</v>
      </c>
      <c r="H523" s="198" t="s">
        <v>2983</v>
      </c>
      <c r="I523" s="198">
        <v>24</v>
      </c>
    </row>
    <row r="524" spans="1:9"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98" t="s">
        <v>112</v>
      </c>
      <c r="D524" s="198"/>
      <c r="E524" s="198"/>
      <c r="F524" s="198"/>
      <c r="G524" s="198"/>
      <c r="H524" s="198"/>
      <c r="I524" s="198"/>
    </row>
    <row r="525" spans="1:9"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98" t="s">
        <v>112</v>
      </c>
      <c r="D525" s="198"/>
      <c r="E525" s="198"/>
      <c r="F525" s="198"/>
      <c r="G525" s="198"/>
      <c r="H525" s="198"/>
      <c r="I525" s="198"/>
    </row>
    <row r="526" spans="1:9"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98" t="s">
        <v>112</v>
      </c>
      <c r="D526" s="198"/>
      <c r="E526" s="198"/>
      <c r="F526" s="198"/>
      <c r="G526" s="198"/>
      <c r="H526" s="198"/>
      <c r="I526" s="198"/>
    </row>
    <row r="527" spans="1:9"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98" t="s">
        <v>112</v>
      </c>
      <c r="D527" s="198"/>
      <c r="E527" s="198"/>
      <c r="F527" s="198"/>
      <c r="G527" s="198"/>
      <c r="H527" s="198"/>
      <c r="I527" s="198"/>
    </row>
    <row r="528" spans="1:9"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98" t="s">
        <v>112</v>
      </c>
      <c r="D528" s="198"/>
      <c r="E528" s="198"/>
      <c r="F528" s="198"/>
      <c r="G528" s="198"/>
      <c r="H528" s="198"/>
      <c r="I528" s="198"/>
    </row>
    <row r="529" spans="1:9"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98" t="s">
        <v>206</v>
      </c>
      <c r="D529" s="198" t="s">
        <v>110</v>
      </c>
      <c r="E529" s="198" t="s">
        <v>111</v>
      </c>
      <c r="F529" s="198" t="s">
        <v>112</v>
      </c>
      <c r="G529" s="198" t="s">
        <v>113</v>
      </c>
      <c r="H529" s="198"/>
      <c r="I529" s="198"/>
    </row>
    <row r="530" spans="1:9" x14ac:dyDescent="0.35">
      <c r="A530" s="1" t="str">
        <f t="shared" si="8"/>
        <v>19</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98" t="s">
        <v>2984</v>
      </c>
      <c r="D530" s="198" t="s">
        <v>1881</v>
      </c>
      <c r="E530" s="198" t="s">
        <v>1882</v>
      </c>
      <c r="F530" s="198" t="s">
        <v>112</v>
      </c>
      <c r="G530" s="198">
        <v>4379686</v>
      </c>
      <c r="H530" s="198"/>
      <c r="I530" s="198"/>
    </row>
    <row r="531" spans="1:9" x14ac:dyDescent="0.35">
      <c r="A531" s="1" t="str">
        <f t="shared" si="8"/>
        <v>19</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98" t="s">
        <v>2985</v>
      </c>
      <c r="D531" s="198" t="s">
        <v>1883</v>
      </c>
      <c r="E531" s="198" t="s">
        <v>1884</v>
      </c>
      <c r="F531" s="198" t="s">
        <v>112</v>
      </c>
      <c r="G531" s="198">
        <v>4100011</v>
      </c>
      <c r="H531" s="198"/>
      <c r="I531" s="198"/>
    </row>
    <row r="532" spans="1:9" x14ac:dyDescent="0.35">
      <c r="A532" s="1" t="str">
        <f t="shared" si="8"/>
        <v>19</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98" t="s">
        <v>2986</v>
      </c>
      <c r="D532" s="198" t="s">
        <v>1885</v>
      </c>
      <c r="E532" s="198" t="s">
        <v>1886</v>
      </c>
      <c r="F532" s="198" t="s">
        <v>112</v>
      </c>
      <c r="G532" s="198">
        <v>4446241</v>
      </c>
      <c r="H532" s="198"/>
      <c r="I532" s="198"/>
    </row>
    <row r="533" spans="1:9" x14ac:dyDescent="0.35">
      <c r="A533" s="1" t="str">
        <f t="shared" si="8"/>
        <v>19</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98" t="s">
        <v>2987</v>
      </c>
      <c r="D533" s="198" t="s">
        <v>1887</v>
      </c>
      <c r="E533" s="198" t="s">
        <v>1888</v>
      </c>
      <c r="F533" s="198" t="s">
        <v>112</v>
      </c>
      <c r="G533" s="198">
        <v>3168909</v>
      </c>
      <c r="H533" s="198"/>
      <c r="I533" s="198"/>
    </row>
    <row r="534" spans="1:9" x14ac:dyDescent="0.35">
      <c r="A534" s="1" t="str">
        <f t="shared" si="8"/>
        <v>19</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98" t="s">
        <v>2988</v>
      </c>
      <c r="D534" s="198" t="s">
        <v>1889</v>
      </c>
      <c r="E534" s="198" t="s">
        <v>1890</v>
      </c>
      <c r="F534" s="198" t="s">
        <v>112</v>
      </c>
      <c r="G534" s="198">
        <v>2693052</v>
      </c>
      <c r="H534" s="198"/>
      <c r="I534" s="198"/>
    </row>
    <row r="535" spans="1:9" x14ac:dyDescent="0.35">
      <c r="A535" s="1" t="str">
        <f t="shared" si="8"/>
        <v>19</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98" t="s">
        <v>2989</v>
      </c>
      <c r="D535" s="198"/>
      <c r="E535" s="198"/>
      <c r="F535" s="198"/>
      <c r="G535" s="198"/>
      <c r="H535" s="198"/>
      <c r="I535" s="198"/>
    </row>
    <row r="536" spans="1:9" x14ac:dyDescent="0.35">
      <c r="A536" s="1" t="str">
        <f t="shared" si="8"/>
        <v>19</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98" t="s">
        <v>2990</v>
      </c>
      <c r="D536" s="198" t="s">
        <v>310</v>
      </c>
      <c r="E536" s="198" t="s">
        <v>1891</v>
      </c>
      <c r="F536" s="198" t="s">
        <v>112</v>
      </c>
      <c r="G536" s="198">
        <v>1526854</v>
      </c>
      <c r="H536" s="198"/>
      <c r="I536" s="198"/>
    </row>
    <row r="537" spans="1:9" x14ac:dyDescent="0.35">
      <c r="A537" s="1" t="str">
        <f t="shared" si="8"/>
        <v>19</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98" t="s">
        <v>2991</v>
      </c>
      <c r="D537" s="198" t="s">
        <v>787</v>
      </c>
      <c r="E537" s="198" t="s">
        <v>1892</v>
      </c>
      <c r="F537" s="198" t="s">
        <v>112</v>
      </c>
      <c r="G537" s="198">
        <v>1943965</v>
      </c>
      <c r="H537" s="198"/>
      <c r="I537" s="198"/>
    </row>
    <row r="538" spans="1:9" x14ac:dyDescent="0.35">
      <c r="A538" s="1" t="str">
        <f t="shared" si="8"/>
        <v>19</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98" t="s">
        <v>2992</v>
      </c>
      <c r="D538" s="198" t="s">
        <v>1893</v>
      </c>
      <c r="E538" s="198" t="s">
        <v>1894</v>
      </c>
      <c r="F538" s="198" t="s">
        <v>112</v>
      </c>
      <c r="G538" s="198">
        <v>1854612</v>
      </c>
      <c r="H538" s="198"/>
      <c r="I538" s="198"/>
    </row>
    <row r="539" spans="1:9" x14ac:dyDescent="0.35">
      <c r="A539" s="1" t="str">
        <f t="shared" si="8"/>
        <v>19</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98" t="s">
        <v>2993</v>
      </c>
      <c r="D539" s="198" t="s">
        <v>1895</v>
      </c>
      <c r="E539" s="198" t="s">
        <v>1896</v>
      </c>
      <c r="F539" s="198" t="s">
        <v>112</v>
      </c>
      <c r="G539" s="198">
        <v>3033852</v>
      </c>
      <c r="H539" s="198"/>
      <c r="I539" s="198"/>
    </row>
    <row r="540" spans="1:9" x14ac:dyDescent="0.35">
      <c r="A540" s="1" t="str">
        <f t="shared" si="8"/>
        <v>19</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98" t="s">
        <v>2994</v>
      </c>
      <c r="D540" s="198" t="s">
        <v>1593</v>
      </c>
      <c r="E540" s="198" t="s">
        <v>1897</v>
      </c>
      <c r="F540" s="198" t="s">
        <v>112</v>
      </c>
      <c r="G540" s="198">
        <v>2812687</v>
      </c>
      <c r="H540" s="198"/>
      <c r="I540" s="198"/>
    </row>
    <row r="541" spans="1:9" x14ac:dyDescent="0.35">
      <c r="A541" s="1" t="str">
        <f t="shared" si="8"/>
        <v>19</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98" t="s">
        <v>2995</v>
      </c>
      <c r="D541" s="198" t="s">
        <v>1898</v>
      </c>
      <c r="E541" s="198" t="s">
        <v>1899</v>
      </c>
      <c r="F541" s="198" t="s">
        <v>112</v>
      </c>
      <c r="G541" s="198">
        <v>2781323</v>
      </c>
      <c r="H541" s="198"/>
      <c r="I541" s="198"/>
    </row>
    <row r="542" spans="1:9" x14ac:dyDescent="0.35">
      <c r="A542" s="1" t="str">
        <f t="shared" si="8"/>
        <v>19</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98" t="s">
        <v>2996</v>
      </c>
      <c r="D542" s="198" t="s">
        <v>1900</v>
      </c>
      <c r="E542" s="198" t="s">
        <v>1901</v>
      </c>
      <c r="F542" s="198" t="s">
        <v>112</v>
      </c>
      <c r="G542" s="198">
        <v>3783112</v>
      </c>
      <c r="H542" s="198"/>
      <c r="I542" s="198"/>
    </row>
    <row r="543" spans="1:9" x14ac:dyDescent="0.35">
      <c r="A543" s="1" t="str">
        <f t="shared" si="8"/>
        <v>19</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98" t="s">
        <v>2997</v>
      </c>
      <c r="D543" s="198" t="s">
        <v>1902</v>
      </c>
      <c r="E543" s="198" t="s">
        <v>1903</v>
      </c>
      <c r="F543" s="198" t="s">
        <v>112</v>
      </c>
      <c r="G543" s="198">
        <v>3184418</v>
      </c>
      <c r="H543" s="198"/>
      <c r="I543" s="198"/>
    </row>
    <row r="544" spans="1:9" x14ac:dyDescent="0.35">
      <c r="A544" s="1" t="str">
        <f t="shared" si="8"/>
        <v>19</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98" t="s">
        <v>2998</v>
      </c>
      <c r="D544" s="198" t="s">
        <v>1904</v>
      </c>
      <c r="E544" s="198" t="s">
        <v>1905</v>
      </c>
      <c r="F544" s="198" t="s">
        <v>112</v>
      </c>
      <c r="G544" s="198">
        <v>3722029</v>
      </c>
      <c r="H544" s="198"/>
      <c r="I544" s="198"/>
    </row>
    <row r="545" spans="1:9" x14ac:dyDescent="0.35">
      <c r="A545" s="1" t="str">
        <f t="shared" si="8"/>
        <v>19</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98" t="s">
        <v>2999</v>
      </c>
      <c r="D545" s="198"/>
      <c r="E545" s="198"/>
      <c r="F545" s="198"/>
      <c r="G545" s="198"/>
      <c r="H545" s="198"/>
      <c r="I545" s="198"/>
    </row>
    <row r="546" spans="1:9" x14ac:dyDescent="0.35">
      <c r="A546" s="1" t="str">
        <f t="shared" si="8"/>
        <v>19</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98" t="s">
        <v>3000</v>
      </c>
      <c r="D546" s="198" t="s">
        <v>1906</v>
      </c>
      <c r="E546" s="198" t="s">
        <v>1907</v>
      </c>
      <c r="F546" s="198" t="s">
        <v>112</v>
      </c>
      <c r="G546" s="198">
        <v>2036887</v>
      </c>
      <c r="H546" s="198"/>
      <c r="I546" s="198"/>
    </row>
    <row r="547" spans="1:9" x14ac:dyDescent="0.35">
      <c r="A547" s="1" t="str">
        <f t="shared" si="8"/>
        <v>19</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98" t="s">
        <v>3001</v>
      </c>
      <c r="D547" s="198" t="s">
        <v>1908</v>
      </c>
      <c r="E547" s="198" t="s">
        <v>1909</v>
      </c>
      <c r="F547" s="198" t="s">
        <v>112</v>
      </c>
      <c r="G547" s="198">
        <v>2273042</v>
      </c>
      <c r="H547" s="198"/>
      <c r="I547" s="198"/>
    </row>
    <row r="548" spans="1:9" x14ac:dyDescent="0.35">
      <c r="A548" s="1" t="str">
        <f t="shared" si="8"/>
        <v>19</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98" t="s">
        <v>3002</v>
      </c>
      <c r="D548" s="198" t="s">
        <v>1910</v>
      </c>
      <c r="E548" s="198" t="s">
        <v>1911</v>
      </c>
      <c r="F548" s="198" t="s">
        <v>112</v>
      </c>
      <c r="G548" s="198">
        <v>2044955</v>
      </c>
      <c r="H548" s="198"/>
      <c r="I548" s="198"/>
    </row>
    <row r="549" spans="1:9" x14ac:dyDescent="0.35">
      <c r="A549" s="1" t="str">
        <f t="shared" si="8"/>
        <v>19</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98" t="s">
        <v>3003</v>
      </c>
      <c r="D549" s="198" t="s">
        <v>1912</v>
      </c>
      <c r="E549" s="198" t="s">
        <v>1913</v>
      </c>
      <c r="F549" s="198" t="s">
        <v>112</v>
      </c>
      <c r="G549" s="198">
        <v>1994860</v>
      </c>
      <c r="H549" s="198"/>
      <c r="I549" s="198"/>
    </row>
    <row r="550" spans="1:9" x14ac:dyDescent="0.35">
      <c r="A550" s="1" t="str">
        <f t="shared" si="8"/>
        <v>19</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98" t="s">
        <v>3004</v>
      </c>
      <c r="D550" s="198" t="s">
        <v>1914</v>
      </c>
      <c r="E550" s="198" t="s">
        <v>1915</v>
      </c>
      <c r="F550" s="198" t="s">
        <v>112</v>
      </c>
      <c r="G550" s="198">
        <v>2136752</v>
      </c>
      <c r="H550" s="198"/>
      <c r="I550" s="198"/>
    </row>
    <row r="551" spans="1:9" x14ac:dyDescent="0.35">
      <c r="A551" s="1" t="str">
        <f t="shared" si="8"/>
        <v>19</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98" t="s">
        <v>3005</v>
      </c>
      <c r="D551" s="198" t="s">
        <v>1916</v>
      </c>
      <c r="E551" s="198" t="s">
        <v>1917</v>
      </c>
      <c r="F551" s="198" t="s">
        <v>112</v>
      </c>
      <c r="G551" s="198">
        <v>1812044</v>
      </c>
      <c r="H551" s="198"/>
      <c r="I551" s="198"/>
    </row>
    <row r="552" spans="1:9" x14ac:dyDescent="0.35">
      <c r="A552" s="1" t="str">
        <f t="shared" si="8"/>
        <v>19</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98" t="s">
        <v>3006</v>
      </c>
      <c r="D552" s="198" t="s">
        <v>1918</v>
      </c>
      <c r="E552" s="198" t="s">
        <v>1919</v>
      </c>
      <c r="F552" s="198" t="s">
        <v>112</v>
      </c>
      <c r="G552" s="198">
        <v>1581578</v>
      </c>
      <c r="H552" s="198"/>
      <c r="I552" s="198"/>
    </row>
    <row r="553" spans="1:9" x14ac:dyDescent="0.35">
      <c r="A553" s="1" t="str">
        <f t="shared" si="8"/>
        <v>19</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98" t="s">
        <v>3007</v>
      </c>
      <c r="D553" s="198" t="s">
        <v>1920</v>
      </c>
      <c r="E553" s="198" t="s">
        <v>1921</v>
      </c>
      <c r="F553" s="198" t="s">
        <v>112</v>
      </c>
      <c r="G553" s="198">
        <v>2008920</v>
      </c>
      <c r="H553" s="198"/>
      <c r="I553" s="198"/>
    </row>
    <row r="554" spans="1:9"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98" t="s">
        <v>112</v>
      </c>
      <c r="D554" s="198"/>
      <c r="E554" s="198"/>
      <c r="F554" s="198"/>
      <c r="G554" s="198"/>
      <c r="H554" s="198"/>
      <c r="I554" s="198"/>
    </row>
    <row r="555" spans="1:9"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98" t="s">
        <v>195</v>
      </c>
      <c r="D555" s="198" t="s">
        <v>112</v>
      </c>
      <c r="E555" s="198" t="s">
        <v>196</v>
      </c>
      <c r="F555" s="198" t="s">
        <v>197</v>
      </c>
      <c r="G555" s="198" t="s">
        <v>198</v>
      </c>
      <c r="H555" s="198" t="s">
        <v>199</v>
      </c>
      <c r="I555" s="198" t="s">
        <v>200</v>
      </c>
    </row>
    <row r="556" spans="1:9" x14ac:dyDescent="0.35">
      <c r="A556" s="1" t="str">
        <f t="shared" si="8"/>
        <v>19</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98" t="s">
        <v>3008</v>
      </c>
      <c r="D556" s="198" t="s">
        <v>112</v>
      </c>
      <c r="E556" s="198" t="s">
        <v>1922</v>
      </c>
      <c r="F556" s="198" t="s">
        <v>1923</v>
      </c>
      <c r="G556" s="198" t="s">
        <v>1924</v>
      </c>
      <c r="H556" s="198" t="s">
        <v>1925</v>
      </c>
      <c r="I556" s="198">
        <v>24</v>
      </c>
    </row>
    <row r="557" spans="1:9"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98" t="s">
        <v>112</v>
      </c>
      <c r="D557" s="198"/>
      <c r="E557" s="198"/>
      <c r="F557" s="198"/>
      <c r="G557" s="198"/>
      <c r="H557" s="198"/>
      <c r="I557" s="198"/>
    </row>
    <row r="558" spans="1:9"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98" t="s">
        <v>112</v>
      </c>
      <c r="D558" s="198"/>
      <c r="E558" s="198"/>
      <c r="F558" s="198"/>
      <c r="G558" s="198"/>
      <c r="H558" s="198"/>
      <c r="I558" s="198"/>
    </row>
    <row r="559" spans="1:9"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98" t="s">
        <v>112</v>
      </c>
      <c r="D559" s="198"/>
      <c r="E559" s="198"/>
      <c r="F559" s="198"/>
      <c r="G559" s="198"/>
      <c r="H559" s="198"/>
      <c r="I559" s="198"/>
    </row>
    <row r="560" spans="1:9"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98" t="s">
        <v>112</v>
      </c>
      <c r="D560" s="198"/>
      <c r="E560" s="198"/>
      <c r="F560" s="198"/>
      <c r="G560" s="198"/>
      <c r="H560" s="198"/>
      <c r="I560" s="198"/>
    </row>
    <row r="561" spans="1:9"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98" t="s">
        <v>112</v>
      </c>
      <c r="D561" s="198"/>
      <c r="E561" s="198"/>
      <c r="F561" s="198"/>
      <c r="G561" s="198"/>
      <c r="H561" s="198"/>
      <c r="I561" s="198"/>
    </row>
    <row r="562" spans="1:9"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98" t="s">
        <v>206</v>
      </c>
      <c r="D562" s="198" t="s">
        <v>110</v>
      </c>
      <c r="E562" s="198" t="s">
        <v>111</v>
      </c>
      <c r="F562" s="198" t="s">
        <v>112</v>
      </c>
      <c r="G562" s="198" t="s">
        <v>113</v>
      </c>
      <c r="H562" s="198"/>
      <c r="I562" s="198"/>
    </row>
    <row r="563" spans="1:9" x14ac:dyDescent="0.35">
      <c r="A563" s="1" t="str">
        <f t="shared" si="8"/>
        <v>20</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98" t="s">
        <v>3009</v>
      </c>
      <c r="D563" s="198" t="s">
        <v>3010</v>
      </c>
      <c r="E563" s="198" t="s">
        <v>3011</v>
      </c>
      <c r="F563" s="198" t="s">
        <v>112</v>
      </c>
      <c r="G563" s="198">
        <v>3518405</v>
      </c>
      <c r="H563" s="198"/>
      <c r="I563" s="198"/>
    </row>
    <row r="564" spans="1:9" x14ac:dyDescent="0.35">
      <c r="A564" s="1" t="str">
        <f t="shared" si="8"/>
        <v>20</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98" t="s">
        <v>3012</v>
      </c>
      <c r="D564" s="198" t="s">
        <v>3013</v>
      </c>
      <c r="E564" s="198" t="s">
        <v>3014</v>
      </c>
      <c r="F564" s="198" t="s">
        <v>112</v>
      </c>
      <c r="G564" s="198">
        <v>3476054</v>
      </c>
      <c r="H564" s="198"/>
      <c r="I564" s="198"/>
    </row>
    <row r="565" spans="1:9" x14ac:dyDescent="0.35">
      <c r="A565" s="1" t="str">
        <f t="shared" si="8"/>
        <v>20</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98" t="s">
        <v>3015</v>
      </c>
      <c r="D565" s="198" t="s">
        <v>1268</v>
      </c>
      <c r="E565" s="198" t="s">
        <v>3016</v>
      </c>
      <c r="F565" s="198" t="s">
        <v>112</v>
      </c>
      <c r="G565" s="198">
        <v>3324385</v>
      </c>
      <c r="H565" s="198"/>
      <c r="I565" s="198"/>
    </row>
    <row r="566" spans="1:9" x14ac:dyDescent="0.35">
      <c r="A566" s="1" t="str">
        <f t="shared" si="8"/>
        <v>20</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98" t="s">
        <v>3017</v>
      </c>
      <c r="D566" s="198" t="s">
        <v>3018</v>
      </c>
      <c r="E566" s="198" t="s">
        <v>3019</v>
      </c>
      <c r="F566" s="198" t="s">
        <v>112</v>
      </c>
      <c r="G566" s="198">
        <v>2377623</v>
      </c>
      <c r="H566" s="198"/>
      <c r="I566" s="198"/>
    </row>
    <row r="567" spans="1:9" x14ac:dyDescent="0.35">
      <c r="A567" s="1" t="str">
        <f t="shared" si="8"/>
        <v>20</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98" t="s">
        <v>3020</v>
      </c>
      <c r="D567" s="198" t="s">
        <v>2798</v>
      </c>
      <c r="E567" s="198" t="s">
        <v>3021</v>
      </c>
      <c r="F567" s="198" t="s">
        <v>112</v>
      </c>
      <c r="G567" s="198">
        <v>2098987</v>
      </c>
      <c r="H567" s="198"/>
      <c r="I567" s="198"/>
    </row>
    <row r="568" spans="1:9" x14ac:dyDescent="0.35">
      <c r="A568" s="1" t="str">
        <f t="shared" si="8"/>
        <v>20</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98" t="s">
        <v>3022</v>
      </c>
      <c r="D568" s="198" t="s">
        <v>3023</v>
      </c>
      <c r="E568" s="198" t="s">
        <v>3024</v>
      </c>
      <c r="F568" s="198" t="s">
        <v>112</v>
      </c>
      <c r="G568" s="198">
        <v>2234822</v>
      </c>
      <c r="H568" s="198"/>
      <c r="I568" s="198"/>
    </row>
    <row r="569" spans="1:9" x14ac:dyDescent="0.35">
      <c r="A569" s="1" t="str">
        <f t="shared" si="8"/>
        <v>20</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98" t="s">
        <v>3025</v>
      </c>
      <c r="D569" s="198" t="s">
        <v>3026</v>
      </c>
      <c r="E569" s="198" t="s">
        <v>3027</v>
      </c>
      <c r="F569" s="198" t="s">
        <v>112</v>
      </c>
      <c r="G569" s="198">
        <v>3660687</v>
      </c>
      <c r="H569" s="198"/>
      <c r="I569" s="198"/>
    </row>
    <row r="570" spans="1:9" x14ac:dyDescent="0.35">
      <c r="A570" s="1" t="str">
        <f t="shared" si="8"/>
        <v>20</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98" t="s">
        <v>3028</v>
      </c>
      <c r="D570" s="198" t="s">
        <v>3029</v>
      </c>
      <c r="E570" s="198" t="s">
        <v>3030</v>
      </c>
      <c r="F570" s="198" t="s">
        <v>112</v>
      </c>
      <c r="G570" s="198">
        <v>3304832</v>
      </c>
      <c r="H570" s="198"/>
      <c r="I570" s="198"/>
    </row>
    <row r="571" spans="1:9" x14ac:dyDescent="0.35">
      <c r="A571" s="1" t="str">
        <f t="shared" si="8"/>
        <v>20</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98" t="s">
        <v>3031</v>
      </c>
      <c r="D571" s="198" t="s">
        <v>3032</v>
      </c>
      <c r="E571" s="198" t="s">
        <v>3033</v>
      </c>
      <c r="F571" s="198" t="s">
        <v>112</v>
      </c>
      <c r="G571" s="198">
        <v>2901348</v>
      </c>
      <c r="H571" s="198"/>
      <c r="I571" s="198"/>
    </row>
    <row r="572" spans="1:9" x14ac:dyDescent="0.35">
      <c r="A572" s="1" t="str">
        <f t="shared" si="8"/>
        <v>20</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98" t="s">
        <v>3034</v>
      </c>
      <c r="D572" s="198"/>
      <c r="E572" s="198"/>
      <c r="F572" s="198"/>
      <c r="G572" s="198"/>
      <c r="H572" s="198"/>
      <c r="I572" s="198"/>
    </row>
    <row r="573" spans="1:9" x14ac:dyDescent="0.35">
      <c r="A573" s="1" t="str">
        <f t="shared" si="8"/>
        <v>20</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98" t="s">
        <v>3035</v>
      </c>
      <c r="D573" s="198" t="s">
        <v>3036</v>
      </c>
      <c r="E573" s="198" t="s">
        <v>3037</v>
      </c>
      <c r="F573" s="198" t="s">
        <v>112</v>
      </c>
      <c r="G573" s="198">
        <v>2530936</v>
      </c>
      <c r="H573" s="198"/>
      <c r="I573" s="198"/>
    </row>
    <row r="574" spans="1:9" x14ac:dyDescent="0.35">
      <c r="A574" s="1" t="str">
        <f t="shared" si="8"/>
        <v>20</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98" t="s">
        <v>3038</v>
      </c>
      <c r="D574" s="198" t="s">
        <v>3039</v>
      </c>
      <c r="E574" s="198" t="s">
        <v>3040</v>
      </c>
      <c r="F574" s="198" t="s">
        <v>112</v>
      </c>
      <c r="G574" s="198">
        <v>2787358</v>
      </c>
      <c r="H574" s="198"/>
      <c r="I574" s="198"/>
    </row>
    <row r="575" spans="1:9" x14ac:dyDescent="0.35">
      <c r="A575" s="1" t="str">
        <f t="shared" si="8"/>
        <v>20</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98" t="s">
        <v>3041</v>
      </c>
      <c r="D575" s="198" t="s">
        <v>3042</v>
      </c>
      <c r="E575" s="198" t="s">
        <v>3043</v>
      </c>
      <c r="F575" s="198" t="s">
        <v>112</v>
      </c>
      <c r="G575" s="198">
        <v>1504186</v>
      </c>
      <c r="H575" s="198"/>
      <c r="I575" s="198"/>
    </row>
    <row r="576" spans="1:9" x14ac:dyDescent="0.35">
      <c r="A576" s="1" t="str">
        <f t="shared" si="8"/>
        <v>20</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98" t="s">
        <v>3044</v>
      </c>
      <c r="D576" s="198" t="s">
        <v>3045</v>
      </c>
      <c r="E576" s="198" t="s">
        <v>3046</v>
      </c>
      <c r="F576" s="198" t="s">
        <v>112</v>
      </c>
      <c r="G576" s="198">
        <v>1587721</v>
      </c>
      <c r="H576" s="198"/>
      <c r="I576" s="198"/>
    </row>
    <row r="577" spans="1:9" x14ac:dyDescent="0.35">
      <c r="A577" s="1" t="str">
        <f t="shared" si="8"/>
        <v>20</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98" t="s">
        <v>3047</v>
      </c>
      <c r="D577" s="198" t="s">
        <v>3048</v>
      </c>
      <c r="E577" s="198" t="s">
        <v>3049</v>
      </c>
      <c r="F577" s="198" t="s">
        <v>112</v>
      </c>
      <c r="G577" s="198">
        <v>1648868</v>
      </c>
      <c r="H577" s="198"/>
      <c r="I577" s="198"/>
    </row>
    <row r="578" spans="1:9" x14ac:dyDescent="0.35">
      <c r="A578" s="1" t="str">
        <f t="shared" ref="A578:A641" si="9">IFERROR(LEFT(RIGHT(C578,LEN(C578)-SEARCH("@",C578)),SEARCH("/",RIGHT(C578,LEN(C578)-SEARCH("@",C578)-1))),"")</f>
        <v>20</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98" t="s">
        <v>3050</v>
      </c>
      <c r="D578" s="198" t="s">
        <v>3051</v>
      </c>
      <c r="E578" s="198" t="s">
        <v>3052</v>
      </c>
      <c r="F578" s="198" t="s">
        <v>112</v>
      </c>
      <c r="G578" s="198">
        <v>2630866</v>
      </c>
      <c r="H578" s="198"/>
      <c r="I578" s="198"/>
    </row>
    <row r="579" spans="1:9" x14ac:dyDescent="0.35">
      <c r="A579" s="1" t="str">
        <f t="shared" si="9"/>
        <v>20</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98" t="s">
        <v>3053</v>
      </c>
      <c r="D579" s="198" t="s">
        <v>2928</v>
      </c>
      <c r="E579" s="198" t="s">
        <v>3054</v>
      </c>
      <c r="F579" s="198" t="s">
        <v>112</v>
      </c>
      <c r="G579" s="198">
        <v>2910194</v>
      </c>
      <c r="H579" s="198"/>
      <c r="I579" s="198"/>
    </row>
    <row r="580" spans="1:9" x14ac:dyDescent="0.35">
      <c r="A580" s="1" t="str">
        <f t="shared" si="9"/>
        <v>20</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98" t="s">
        <v>3055</v>
      </c>
      <c r="D580" s="198" t="s">
        <v>3056</v>
      </c>
      <c r="E580" s="198" t="s">
        <v>3057</v>
      </c>
      <c r="F580" s="198" t="s">
        <v>112</v>
      </c>
      <c r="G580" s="198">
        <v>2869660</v>
      </c>
      <c r="H580" s="198"/>
      <c r="I580" s="198"/>
    </row>
    <row r="581" spans="1:9" x14ac:dyDescent="0.35">
      <c r="A581" s="1" t="str">
        <f t="shared" si="9"/>
        <v>20</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98" t="s">
        <v>3058</v>
      </c>
      <c r="D581" s="198" t="s">
        <v>3059</v>
      </c>
      <c r="E581" s="198" t="s">
        <v>3060</v>
      </c>
      <c r="F581" s="198" t="s">
        <v>112</v>
      </c>
      <c r="G581" s="198">
        <v>2562688</v>
      </c>
      <c r="H581" s="198"/>
      <c r="I581" s="198"/>
    </row>
    <row r="582" spans="1:9" x14ac:dyDescent="0.35">
      <c r="A582" s="1" t="str">
        <f t="shared" si="9"/>
        <v>20</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98" t="s">
        <v>3061</v>
      </c>
      <c r="D582" s="198" t="s">
        <v>3062</v>
      </c>
      <c r="E582" s="198" t="s">
        <v>3063</v>
      </c>
      <c r="F582" s="198" t="s">
        <v>112</v>
      </c>
      <c r="G582" s="198">
        <v>2310592</v>
      </c>
      <c r="H582" s="198"/>
      <c r="I582" s="198"/>
    </row>
    <row r="583" spans="1:9" x14ac:dyDescent="0.35">
      <c r="A583" s="1" t="str">
        <f t="shared" si="9"/>
        <v>20</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98" t="s">
        <v>3064</v>
      </c>
      <c r="D583" s="198" t="s">
        <v>3065</v>
      </c>
      <c r="E583" s="198" t="s">
        <v>3066</v>
      </c>
      <c r="F583" s="198" t="s">
        <v>112</v>
      </c>
      <c r="G583" s="198">
        <v>2518498</v>
      </c>
      <c r="H583" s="198"/>
      <c r="I583" s="198"/>
    </row>
    <row r="584" spans="1:9" x14ac:dyDescent="0.35">
      <c r="A584" s="1" t="str">
        <f t="shared" si="9"/>
        <v>20</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98" t="s">
        <v>3067</v>
      </c>
      <c r="D584" s="198" t="s">
        <v>3068</v>
      </c>
      <c r="E584" s="198" t="s">
        <v>3069</v>
      </c>
      <c r="F584" s="198" t="s">
        <v>112</v>
      </c>
      <c r="G584" s="198">
        <v>5440805</v>
      </c>
      <c r="H584" s="198"/>
      <c r="I584" s="198"/>
    </row>
    <row r="585" spans="1:9" x14ac:dyDescent="0.35">
      <c r="A585" s="1" t="str">
        <f t="shared" si="9"/>
        <v>20</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98" t="s">
        <v>3070</v>
      </c>
      <c r="D585" s="198" t="s">
        <v>3071</v>
      </c>
      <c r="E585" s="198" t="s">
        <v>3072</v>
      </c>
      <c r="F585" s="198" t="s">
        <v>112</v>
      </c>
      <c r="G585" s="198">
        <v>5409118</v>
      </c>
      <c r="H585" s="198"/>
      <c r="I585" s="198"/>
    </row>
    <row r="586" spans="1:9" x14ac:dyDescent="0.35">
      <c r="A586" s="1" t="str">
        <f t="shared" si="9"/>
        <v>20</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98" t="s">
        <v>3073</v>
      </c>
      <c r="D586" s="198" t="s">
        <v>3074</v>
      </c>
      <c r="E586" s="198" t="s">
        <v>3075</v>
      </c>
      <c r="F586" s="198" t="s">
        <v>112</v>
      </c>
      <c r="G586" s="198">
        <v>5579193</v>
      </c>
      <c r="H586" s="198"/>
      <c r="I586" s="198"/>
    </row>
    <row r="587" spans="1:9"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98" t="s">
        <v>112</v>
      </c>
      <c r="D587" s="198"/>
      <c r="E587" s="198"/>
      <c r="F587" s="198"/>
      <c r="G587" s="198"/>
      <c r="H587" s="198"/>
      <c r="I587" s="198"/>
    </row>
    <row r="588" spans="1:9"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98" t="s">
        <v>195</v>
      </c>
      <c r="D588" s="198" t="s">
        <v>112</v>
      </c>
      <c r="E588" s="198" t="s">
        <v>196</v>
      </c>
      <c r="F588" s="198" t="s">
        <v>197</v>
      </c>
      <c r="G588" s="198" t="s">
        <v>198</v>
      </c>
      <c r="H588" s="198" t="s">
        <v>199</v>
      </c>
      <c r="I588" s="198" t="s">
        <v>200</v>
      </c>
    </row>
    <row r="589" spans="1:9" x14ac:dyDescent="0.35">
      <c r="A589" s="1" t="str">
        <f t="shared" si="9"/>
        <v>20</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98" t="s">
        <v>3076</v>
      </c>
      <c r="D589" s="198" t="s">
        <v>112</v>
      </c>
      <c r="E589" s="198" t="s">
        <v>3077</v>
      </c>
      <c r="F589" s="198" t="s">
        <v>3078</v>
      </c>
      <c r="G589" s="198" t="s">
        <v>3079</v>
      </c>
      <c r="H589" s="198" t="s">
        <v>3080</v>
      </c>
      <c r="I589" s="198">
        <v>24</v>
      </c>
    </row>
    <row r="590" spans="1:9"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98" t="s">
        <v>112</v>
      </c>
      <c r="D590" s="198"/>
      <c r="E590" s="198"/>
      <c r="F590" s="198"/>
      <c r="G590" s="198"/>
      <c r="H590" s="198"/>
      <c r="I590" s="198"/>
    </row>
    <row r="591" spans="1:9"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98" t="s">
        <v>112</v>
      </c>
      <c r="D591" s="198"/>
      <c r="E591" s="198"/>
      <c r="F591" s="198"/>
      <c r="G591" s="198"/>
      <c r="H591" s="198"/>
      <c r="I591" s="198"/>
    </row>
    <row r="592" spans="1:9"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98" t="s">
        <v>112</v>
      </c>
      <c r="D592" s="198"/>
      <c r="E592" s="198"/>
      <c r="F592" s="198"/>
      <c r="G592" s="198"/>
      <c r="H592" s="198"/>
      <c r="I592" s="198"/>
    </row>
    <row r="593" spans="1:9"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98" t="s">
        <v>112</v>
      </c>
      <c r="D593" s="198"/>
      <c r="E593" s="198"/>
      <c r="F593" s="198"/>
      <c r="G593" s="198"/>
      <c r="H593" s="198"/>
      <c r="I593" s="198"/>
    </row>
    <row r="594" spans="1:9"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98" t="s">
        <v>112</v>
      </c>
      <c r="D594" s="198"/>
      <c r="E594" s="198"/>
      <c r="F594" s="198"/>
      <c r="G594" s="198"/>
      <c r="H594" s="198"/>
      <c r="I594" s="198"/>
    </row>
    <row r="595" spans="1:9"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98" t="s">
        <v>206</v>
      </c>
      <c r="D595" s="198" t="s">
        <v>110</v>
      </c>
      <c r="E595" s="198" t="s">
        <v>111</v>
      </c>
      <c r="F595" s="198" t="s">
        <v>112</v>
      </c>
      <c r="G595" s="198" t="s">
        <v>113</v>
      </c>
      <c r="H595" s="198"/>
      <c r="I595" s="198"/>
    </row>
    <row r="596" spans="1:9" x14ac:dyDescent="0.35">
      <c r="A596" s="1" t="str">
        <f t="shared" si="9"/>
        <v>21</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98" t="s">
        <v>3081</v>
      </c>
      <c r="D596" s="198" t="s">
        <v>3082</v>
      </c>
      <c r="E596" s="198" t="s">
        <v>3083</v>
      </c>
      <c r="F596" s="198" t="s">
        <v>112</v>
      </c>
      <c r="G596" s="198">
        <v>3331891</v>
      </c>
      <c r="H596" s="198"/>
      <c r="I596" s="198"/>
    </row>
    <row r="597" spans="1:9" x14ac:dyDescent="0.35">
      <c r="A597" s="1" t="str">
        <f t="shared" si="9"/>
        <v>21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98" t="s">
        <v>3084</v>
      </c>
      <c r="D597" s="198" t="s">
        <v>3085</v>
      </c>
      <c r="E597" s="198" t="s">
        <v>3086</v>
      </c>
      <c r="F597" s="198" t="s">
        <v>112</v>
      </c>
      <c r="G597" s="198">
        <v>3555025</v>
      </c>
      <c r="H597" s="198"/>
      <c r="I597" s="198"/>
    </row>
    <row r="598" spans="1:9" x14ac:dyDescent="0.35">
      <c r="A598" s="1" t="str">
        <f t="shared" si="9"/>
        <v>21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98" t="s">
        <v>3087</v>
      </c>
      <c r="D598" s="198" t="s">
        <v>3088</v>
      </c>
      <c r="E598" s="198" t="s">
        <v>3089</v>
      </c>
      <c r="F598" s="198" t="s">
        <v>112</v>
      </c>
      <c r="G598" s="198">
        <v>3537288</v>
      </c>
      <c r="H598" s="198"/>
      <c r="I598" s="198"/>
    </row>
    <row r="599" spans="1:9" x14ac:dyDescent="0.35">
      <c r="A599" s="1" t="str">
        <f t="shared" si="9"/>
        <v>21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98" t="s">
        <v>3090</v>
      </c>
      <c r="D599" s="198" t="s">
        <v>3091</v>
      </c>
      <c r="E599" s="198" t="s">
        <v>3092</v>
      </c>
      <c r="F599" s="198" t="s">
        <v>112</v>
      </c>
      <c r="G599" s="198">
        <v>3373788</v>
      </c>
      <c r="H599" s="198"/>
      <c r="I599" s="198"/>
    </row>
    <row r="600" spans="1:9" x14ac:dyDescent="0.35">
      <c r="A600" s="1" t="str">
        <f t="shared" si="9"/>
        <v>21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98" t="s">
        <v>3093</v>
      </c>
      <c r="D600" s="198" t="s">
        <v>2961</v>
      </c>
      <c r="E600" s="198" t="s">
        <v>3094</v>
      </c>
      <c r="F600" s="198" t="s">
        <v>112</v>
      </c>
      <c r="G600" s="198">
        <v>2710767</v>
      </c>
      <c r="H600" s="198"/>
      <c r="I600" s="198"/>
    </row>
    <row r="601" spans="1:9" x14ac:dyDescent="0.35">
      <c r="A601" s="1" t="str">
        <f t="shared" si="9"/>
        <v>21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98" t="s">
        <v>3095</v>
      </c>
      <c r="D601" s="198" t="s">
        <v>3096</v>
      </c>
      <c r="E601" s="198" t="s">
        <v>3097</v>
      </c>
      <c r="F601" s="198" t="s">
        <v>112</v>
      </c>
      <c r="G601" s="198">
        <v>2878744</v>
      </c>
      <c r="H601" s="198"/>
      <c r="I601" s="198"/>
    </row>
    <row r="602" spans="1:9" x14ac:dyDescent="0.35">
      <c r="A602" s="1" t="str">
        <f t="shared" si="9"/>
        <v>21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98" t="s">
        <v>3098</v>
      </c>
      <c r="D602" s="198" t="s">
        <v>3099</v>
      </c>
      <c r="E602" s="198" t="s">
        <v>3100</v>
      </c>
      <c r="F602" s="198" t="s">
        <v>112</v>
      </c>
      <c r="G602" s="198">
        <v>4459825</v>
      </c>
      <c r="H602" s="198"/>
      <c r="I602" s="198"/>
    </row>
    <row r="603" spans="1:9" x14ac:dyDescent="0.35">
      <c r="A603" s="1" t="str">
        <f t="shared" si="9"/>
        <v>21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98" t="s">
        <v>3101</v>
      </c>
      <c r="D603" s="198" t="s">
        <v>3102</v>
      </c>
      <c r="E603" s="198" t="s">
        <v>3103</v>
      </c>
      <c r="F603" s="198" t="s">
        <v>112</v>
      </c>
      <c r="G603" s="198">
        <v>3914730</v>
      </c>
      <c r="H603" s="198"/>
      <c r="I603" s="198"/>
    </row>
    <row r="604" spans="1:9" x14ac:dyDescent="0.35">
      <c r="A604" s="1" t="str">
        <f t="shared" si="9"/>
        <v>21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98" t="s">
        <v>3104</v>
      </c>
      <c r="D604" s="198" t="s">
        <v>3105</v>
      </c>
      <c r="E604" s="198" t="s">
        <v>3106</v>
      </c>
      <c r="F604" s="198" t="s">
        <v>112</v>
      </c>
      <c r="G604" s="198">
        <v>4098216</v>
      </c>
      <c r="H604" s="198"/>
      <c r="I604" s="198"/>
    </row>
    <row r="605" spans="1:9" x14ac:dyDescent="0.35">
      <c r="A605" s="1" t="str">
        <f t="shared" si="9"/>
        <v>21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98" t="s">
        <v>3107</v>
      </c>
      <c r="D605" s="198" t="s">
        <v>3108</v>
      </c>
      <c r="E605" s="198" t="s">
        <v>3109</v>
      </c>
      <c r="F605" s="198" t="s">
        <v>112</v>
      </c>
      <c r="G605" s="198">
        <v>3207627</v>
      </c>
      <c r="H605" s="198"/>
      <c r="I605" s="198"/>
    </row>
    <row r="606" spans="1:9" x14ac:dyDescent="0.35">
      <c r="A606" s="1" t="str">
        <f t="shared" si="9"/>
        <v>21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98" t="s">
        <v>3110</v>
      </c>
      <c r="D606" s="198" t="s">
        <v>3111</v>
      </c>
      <c r="E606" s="198" t="s">
        <v>3112</v>
      </c>
      <c r="F606" s="198" t="s">
        <v>112</v>
      </c>
      <c r="G606" s="198">
        <v>2795967</v>
      </c>
      <c r="H606" s="198"/>
      <c r="I606" s="198"/>
    </row>
    <row r="607" spans="1:9" x14ac:dyDescent="0.35">
      <c r="A607" s="1" t="str">
        <f t="shared" si="9"/>
        <v>21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98" t="s">
        <v>3113</v>
      </c>
      <c r="D607" s="198" t="s">
        <v>881</v>
      </c>
      <c r="E607" s="198" t="s">
        <v>3114</v>
      </c>
      <c r="F607" s="198" t="s">
        <v>112</v>
      </c>
      <c r="G607" s="198">
        <v>3124482</v>
      </c>
      <c r="H607" s="198"/>
      <c r="I607" s="198"/>
    </row>
    <row r="608" spans="1:9" x14ac:dyDescent="0.35">
      <c r="A608" s="1" t="str">
        <f t="shared" si="9"/>
        <v>21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98" t="s">
        <v>3115</v>
      </c>
      <c r="D608" s="198" t="s">
        <v>3116</v>
      </c>
      <c r="E608" s="198" t="s">
        <v>3117</v>
      </c>
      <c r="F608" s="198" t="s">
        <v>112</v>
      </c>
      <c r="G608" s="198">
        <v>5559791</v>
      </c>
      <c r="H608" s="198"/>
      <c r="I608" s="198"/>
    </row>
    <row r="609" spans="1:9" x14ac:dyDescent="0.35">
      <c r="A609" s="1" t="str">
        <f t="shared" si="9"/>
        <v>21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98" t="s">
        <v>3118</v>
      </c>
      <c r="D609" s="198" t="s">
        <v>3119</v>
      </c>
      <c r="E609" s="198" t="s">
        <v>3120</v>
      </c>
      <c r="F609" s="198" t="s">
        <v>112</v>
      </c>
      <c r="G609" s="198">
        <v>6396998</v>
      </c>
      <c r="H609" s="198"/>
      <c r="I609" s="198"/>
    </row>
    <row r="610" spans="1:9" x14ac:dyDescent="0.35">
      <c r="A610" s="1" t="str">
        <f t="shared" si="9"/>
        <v>21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98" t="s">
        <v>3121</v>
      </c>
      <c r="D610" s="198" t="s">
        <v>3122</v>
      </c>
      <c r="E610" s="198" t="s">
        <v>3123</v>
      </c>
      <c r="F610" s="198" t="s">
        <v>112</v>
      </c>
      <c r="G610" s="198">
        <v>5862934</v>
      </c>
      <c r="H610" s="198"/>
      <c r="I610" s="198"/>
    </row>
    <row r="611" spans="1:9" x14ac:dyDescent="0.35">
      <c r="A611" s="1" t="str">
        <f t="shared" si="9"/>
        <v>21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98" t="s">
        <v>3124</v>
      </c>
      <c r="D611" s="198" t="s">
        <v>3125</v>
      </c>
      <c r="E611" s="198" t="s">
        <v>3126</v>
      </c>
      <c r="F611" s="198" t="s">
        <v>112</v>
      </c>
      <c r="G611" s="198">
        <v>3810387</v>
      </c>
      <c r="H611" s="198"/>
      <c r="I611" s="198"/>
    </row>
    <row r="612" spans="1:9" x14ac:dyDescent="0.35">
      <c r="A612" s="1" t="str">
        <f t="shared" si="9"/>
        <v>21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98" t="s">
        <v>3127</v>
      </c>
      <c r="D612" s="198"/>
      <c r="E612" s="198"/>
      <c r="F612" s="198"/>
      <c r="G612" s="198"/>
      <c r="H612" s="198"/>
      <c r="I612" s="198"/>
    </row>
    <row r="613" spans="1:9" x14ac:dyDescent="0.35">
      <c r="A613" s="1" t="str">
        <f t="shared" si="9"/>
        <v>21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98" t="s">
        <v>3128</v>
      </c>
      <c r="D613" s="198" t="s">
        <v>3129</v>
      </c>
      <c r="E613" s="198" t="s">
        <v>3130</v>
      </c>
      <c r="F613" s="198" t="s">
        <v>112</v>
      </c>
      <c r="G613" s="198">
        <v>4021257</v>
      </c>
      <c r="H613" s="198"/>
      <c r="I613" s="198"/>
    </row>
    <row r="614" spans="1:9" x14ac:dyDescent="0.35">
      <c r="A614" s="1" t="str">
        <f t="shared" si="9"/>
        <v>21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98" t="s">
        <v>3131</v>
      </c>
      <c r="D614" s="198" t="s">
        <v>3132</v>
      </c>
      <c r="E614" s="198" t="s">
        <v>3133</v>
      </c>
      <c r="F614" s="198" t="s">
        <v>112</v>
      </c>
      <c r="G614" s="198">
        <v>3963570</v>
      </c>
      <c r="H614" s="198"/>
      <c r="I614" s="198"/>
    </row>
    <row r="615" spans="1:9" x14ac:dyDescent="0.35">
      <c r="A615" s="1" t="str">
        <f t="shared" si="9"/>
        <v>21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98" t="s">
        <v>3134</v>
      </c>
      <c r="D615" s="198" t="s">
        <v>3135</v>
      </c>
      <c r="E615" s="198" t="s">
        <v>3136</v>
      </c>
      <c r="F615" s="198" t="s">
        <v>112</v>
      </c>
      <c r="G615" s="198">
        <v>4120690</v>
      </c>
      <c r="H615" s="198"/>
      <c r="I615" s="198"/>
    </row>
    <row r="616" spans="1:9" x14ac:dyDescent="0.35">
      <c r="A616" s="1" t="str">
        <f t="shared" si="9"/>
        <v>21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98" t="s">
        <v>3137</v>
      </c>
      <c r="D616" s="198" t="s">
        <v>3138</v>
      </c>
      <c r="E616" s="198" t="s">
        <v>3139</v>
      </c>
      <c r="F616" s="198" t="s">
        <v>112</v>
      </c>
      <c r="G616" s="198">
        <v>4413883</v>
      </c>
      <c r="H616" s="198"/>
      <c r="I616" s="198"/>
    </row>
    <row r="617" spans="1:9" x14ac:dyDescent="0.35">
      <c r="A617" s="1" t="str">
        <f t="shared" si="9"/>
        <v>21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98" t="s">
        <v>3140</v>
      </c>
      <c r="D617" s="198" t="s">
        <v>3141</v>
      </c>
      <c r="E617" s="198" t="s">
        <v>3142</v>
      </c>
      <c r="F617" s="198" t="s">
        <v>112</v>
      </c>
      <c r="G617" s="198">
        <v>3952431</v>
      </c>
      <c r="H617" s="198"/>
      <c r="I617" s="198"/>
    </row>
    <row r="618" spans="1:9" x14ac:dyDescent="0.35">
      <c r="A618" s="1" t="str">
        <f t="shared" si="9"/>
        <v>21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98" t="s">
        <v>3143</v>
      </c>
      <c r="D618" s="198" t="s">
        <v>3091</v>
      </c>
      <c r="E618" s="198" t="s">
        <v>3144</v>
      </c>
      <c r="F618" s="198" t="s">
        <v>112</v>
      </c>
      <c r="G618" s="198">
        <v>3481894</v>
      </c>
      <c r="H618" s="198"/>
      <c r="I618" s="198"/>
    </row>
    <row r="619" spans="1:9" x14ac:dyDescent="0.35">
      <c r="A619" s="1" t="str">
        <f t="shared" si="9"/>
        <v>21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98" t="s">
        <v>3145</v>
      </c>
      <c r="D619" s="198" t="s">
        <v>3146</v>
      </c>
      <c r="E619" s="198" t="s">
        <v>3147</v>
      </c>
      <c r="F619" s="198" t="s">
        <v>112</v>
      </c>
      <c r="G619" s="198">
        <v>3403291</v>
      </c>
      <c r="H619" s="198"/>
      <c r="I619" s="198"/>
    </row>
    <row r="620" spans="1:9"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98" t="s">
        <v>112</v>
      </c>
      <c r="D620" s="198"/>
      <c r="E620" s="198"/>
      <c r="F620" s="198"/>
      <c r="G620" s="198"/>
      <c r="H620" s="198"/>
      <c r="I620" s="198"/>
    </row>
    <row r="621" spans="1:9"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98" t="s">
        <v>195</v>
      </c>
      <c r="D621" s="198" t="s">
        <v>112</v>
      </c>
      <c r="E621" s="198" t="s">
        <v>196</v>
      </c>
      <c r="F621" s="198" t="s">
        <v>197</v>
      </c>
      <c r="G621" s="198" t="s">
        <v>198</v>
      </c>
      <c r="H621" s="198" t="s">
        <v>199</v>
      </c>
      <c r="I621" s="198" t="s">
        <v>200</v>
      </c>
    </row>
    <row r="622" spans="1:9" x14ac:dyDescent="0.35">
      <c r="A622" s="1" t="str">
        <f t="shared" si="9"/>
        <v>21</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98" t="s">
        <v>3148</v>
      </c>
      <c r="D622" s="198" t="s">
        <v>112</v>
      </c>
      <c r="E622" s="198" t="s">
        <v>3149</v>
      </c>
      <c r="F622" s="198" t="s">
        <v>3150</v>
      </c>
      <c r="G622" s="198" t="s">
        <v>3151</v>
      </c>
      <c r="H622" s="198" t="s">
        <v>3152</v>
      </c>
      <c r="I622" s="198">
        <v>24</v>
      </c>
    </row>
    <row r="623" spans="1:9"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98" t="s">
        <v>112</v>
      </c>
      <c r="D623" s="198"/>
      <c r="E623" s="198"/>
      <c r="F623" s="198"/>
      <c r="G623" s="198"/>
      <c r="H623" s="198"/>
      <c r="I623" s="198"/>
    </row>
    <row r="624" spans="1:9"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98" t="s">
        <v>112</v>
      </c>
      <c r="D624" s="198"/>
      <c r="E624" s="198"/>
      <c r="F624" s="198"/>
      <c r="G624" s="198"/>
      <c r="H624" s="198"/>
      <c r="I624" s="198"/>
    </row>
    <row r="625" spans="1:9"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98" t="s">
        <v>112</v>
      </c>
      <c r="D625" s="198"/>
      <c r="E625" s="198"/>
      <c r="F625" s="198"/>
      <c r="G625" s="198"/>
      <c r="H625" s="198"/>
      <c r="I625" s="198"/>
    </row>
    <row r="626" spans="1:9"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98" t="s">
        <v>112</v>
      </c>
      <c r="D626" s="198"/>
      <c r="E626" s="198"/>
      <c r="F626" s="198"/>
      <c r="G626" s="198"/>
      <c r="H626" s="198"/>
      <c r="I626" s="198"/>
    </row>
    <row r="627" spans="1:9"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98" t="s">
        <v>112</v>
      </c>
      <c r="D627" s="198"/>
      <c r="E627" s="198"/>
      <c r="F627" s="198"/>
      <c r="G627" s="198"/>
      <c r="H627" s="198"/>
      <c r="I627" s="198"/>
    </row>
    <row r="628" spans="1:9"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98" t="s">
        <v>206</v>
      </c>
      <c r="D628" s="198" t="s">
        <v>110</v>
      </c>
      <c r="E628" s="198" t="s">
        <v>111</v>
      </c>
      <c r="F628" s="198" t="s">
        <v>112</v>
      </c>
      <c r="G628" s="198" t="s">
        <v>113</v>
      </c>
      <c r="H628" s="198"/>
      <c r="I628" s="198"/>
    </row>
    <row r="629" spans="1:9" x14ac:dyDescent="0.35">
      <c r="A629" s="1" t="str">
        <f t="shared" si="9"/>
        <v>8</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98" t="s">
        <v>3153</v>
      </c>
      <c r="D629" s="198" t="s">
        <v>246</v>
      </c>
      <c r="E629" s="198" t="s">
        <v>3154</v>
      </c>
      <c r="F629" s="198" t="s">
        <v>112</v>
      </c>
      <c r="G629" s="198">
        <v>228563</v>
      </c>
      <c r="H629" s="198"/>
      <c r="I629" s="198"/>
    </row>
    <row r="630" spans="1:9" x14ac:dyDescent="0.35">
      <c r="A630" s="1" t="str">
        <f t="shared" si="9"/>
        <v>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98" t="s">
        <v>3155</v>
      </c>
      <c r="D630" s="198" t="s">
        <v>1079</v>
      </c>
      <c r="E630" s="198" t="s">
        <v>3156</v>
      </c>
      <c r="F630" s="198" t="s">
        <v>112</v>
      </c>
      <c r="G630" s="198">
        <v>234035</v>
      </c>
      <c r="H630" s="198"/>
      <c r="I630" s="198"/>
    </row>
    <row r="631" spans="1:9" x14ac:dyDescent="0.35">
      <c r="A631" s="1" t="str">
        <f t="shared" si="9"/>
        <v>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98" t="s">
        <v>3157</v>
      </c>
      <c r="D631" s="198" t="s">
        <v>3158</v>
      </c>
      <c r="E631" s="198" t="s">
        <v>3159</v>
      </c>
      <c r="F631" s="198" t="s">
        <v>112</v>
      </c>
      <c r="G631" s="198">
        <v>316618</v>
      </c>
      <c r="H631" s="198"/>
      <c r="I631" s="198"/>
    </row>
    <row r="632" spans="1:9" x14ac:dyDescent="0.35">
      <c r="A632" s="1" t="str">
        <f t="shared" si="9"/>
        <v>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98" t="s">
        <v>3160</v>
      </c>
      <c r="D632" s="198" t="s">
        <v>3161</v>
      </c>
      <c r="E632" s="198" t="s">
        <v>3162</v>
      </c>
      <c r="F632" s="198" t="s">
        <v>112</v>
      </c>
      <c r="G632" s="198">
        <v>17347</v>
      </c>
      <c r="H632" s="198"/>
      <c r="I632" s="198"/>
    </row>
    <row r="633" spans="1:9" x14ac:dyDescent="0.35">
      <c r="A633" s="1" t="str">
        <f t="shared" si="9"/>
        <v>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98" t="s">
        <v>3163</v>
      </c>
      <c r="D633" s="198"/>
      <c r="E633" s="198"/>
      <c r="F633" s="198"/>
      <c r="G633" s="198"/>
      <c r="H633" s="198"/>
      <c r="I633" s="198"/>
    </row>
    <row r="634" spans="1:9" x14ac:dyDescent="0.35">
      <c r="A634" s="1" t="str">
        <f t="shared" si="9"/>
        <v>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98" t="s">
        <v>3164</v>
      </c>
      <c r="D634" s="198" t="s">
        <v>1169</v>
      </c>
      <c r="E634" s="198" t="s">
        <v>3165</v>
      </c>
      <c r="F634" s="198" t="s">
        <v>112</v>
      </c>
      <c r="G634" s="198">
        <v>3547</v>
      </c>
      <c r="H634" s="198"/>
      <c r="I634" s="198"/>
    </row>
    <row r="635" spans="1:9" x14ac:dyDescent="0.35">
      <c r="A635" s="1" t="str">
        <f t="shared" si="9"/>
        <v>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98" t="s">
        <v>3166</v>
      </c>
      <c r="D635" s="198"/>
      <c r="E635" s="198"/>
      <c r="F635" s="198"/>
      <c r="G635" s="198"/>
      <c r="H635" s="198"/>
      <c r="I635" s="198"/>
    </row>
    <row r="636" spans="1:9" x14ac:dyDescent="0.35">
      <c r="A636" s="1" t="str">
        <f t="shared" si="9"/>
        <v>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98" t="s">
        <v>3167</v>
      </c>
      <c r="D636" s="198"/>
      <c r="E636" s="198"/>
      <c r="F636" s="198"/>
      <c r="G636" s="198"/>
      <c r="H636" s="198"/>
      <c r="I636" s="198"/>
    </row>
    <row r="637" spans="1:9" x14ac:dyDescent="0.35">
      <c r="A637" s="1" t="str">
        <f t="shared" si="9"/>
        <v>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98" t="s">
        <v>3168</v>
      </c>
      <c r="D637" s="198"/>
      <c r="E637" s="198"/>
      <c r="F637" s="198"/>
      <c r="G637" s="198"/>
      <c r="H637" s="198"/>
      <c r="I637" s="198"/>
    </row>
    <row r="638" spans="1:9" x14ac:dyDescent="0.35">
      <c r="A638" s="1" t="str">
        <f t="shared" si="9"/>
        <v>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98" t="s">
        <v>3169</v>
      </c>
      <c r="D638" s="198" t="s">
        <v>2050</v>
      </c>
      <c r="E638" s="198" t="s">
        <v>3170</v>
      </c>
      <c r="F638" s="198" t="s">
        <v>112</v>
      </c>
      <c r="G638" s="198">
        <v>460803</v>
      </c>
      <c r="H638" s="198"/>
      <c r="I638" s="198"/>
    </row>
    <row r="639" spans="1:9" x14ac:dyDescent="0.35">
      <c r="A639" s="1" t="str">
        <f t="shared" si="9"/>
        <v>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98" t="s">
        <v>3171</v>
      </c>
      <c r="D639" s="198" t="s">
        <v>3172</v>
      </c>
      <c r="E639" s="198" t="s">
        <v>3173</v>
      </c>
      <c r="F639" s="198" t="s">
        <v>112</v>
      </c>
      <c r="G639" s="198">
        <v>202694</v>
      </c>
      <c r="H639" s="198"/>
      <c r="I639" s="198"/>
    </row>
    <row r="640" spans="1:9" x14ac:dyDescent="0.35">
      <c r="A640" s="1" t="str">
        <f t="shared" si="9"/>
        <v>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98" t="s">
        <v>3174</v>
      </c>
      <c r="D640" s="198" t="s">
        <v>3175</v>
      </c>
      <c r="E640" s="198" t="s">
        <v>3176</v>
      </c>
      <c r="F640" s="198" t="s">
        <v>112</v>
      </c>
      <c r="G640" s="198">
        <v>449253</v>
      </c>
      <c r="H640" s="198"/>
      <c r="I640" s="198"/>
    </row>
    <row r="641" spans="1:9" x14ac:dyDescent="0.35">
      <c r="A641" s="1" t="str">
        <f t="shared" si="9"/>
        <v>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98" t="s">
        <v>3177</v>
      </c>
      <c r="D641" s="198" t="s">
        <v>3178</v>
      </c>
      <c r="E641" s="198" t="s">
        <v>3179</v>
      </c>
      <c r="F641" s="198" t="s">
        <v>112</v>
      </c>
      <c r="G641" s="198">
        <v>529889</v>
      </c>
      <c r="H641" s="198"/>
      <c r="I641" s="198"/>
    </row>
    <row r="642" spans="1:9" x14ac:dyDescent="0.35">
      <c r="A642" s="1" t="str">
        <f t="shared" ref="A642:A705" si="10">IFERROR(LEFT(RIGHT(C642,LEN(C642)-SEARCH("@",C642)),SEARCH("/",RIGHT(C642,LEN(C642)-SEARCH("@",C642)-1))),"")</f>
        <v>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98" t="s">
        <v>3180</v>
      </c>
      <c r="D642" s="198" t="s">
        <v>2090</v>
      </c>
      <c r="E642" s="198" t="s">
        <v>3181</v>
      </c>
      <c r="F642" s="198" t="s">
        <v>112</v>
      </c>
      <c r="G642" s="198">
        <v>395524</v>
      </c>
      <c r="H642" s="198"/>
      <c r="I642" s="198"/>
    </row>
    <row r="643" spans="1:9" x14ac:dyDescent="0.35">
      <c r="A643" s="1" t="str">
        <f t="shared" si="10"/>
        <v>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98" t="s">
        <v>3182</v>
      </c>
      <c r="D643" s="198"/>
      <c r="E643" s="198"/>
      <c r="F643" s="198"/>
      <c r="G643" s="198"/>
      <c r="H643" s="198"/>
      <c r="I643" s="198"/>
    </row>
    <row r="644" spans="1:9" x14ac:dyDescent="0.35">
      <c r="A644" s="1" t="str">
        <f t="shared" si="10"/>
        <v>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98" t="s">
        <v>3183</v>
      </c>
      <c r="D644" s="198" t="s">
        <v>221</v>
      </c>
      <c r="E644" s="198" t="s">
        <v>3184</v>
      </c>
      <c r="F644" s="198" t="s">
        <v>112</v>
      </c>
      <c r="G644" s="198">
        <v>243315</v>
      </c>
      <c r="H644" s="198"/>
      <c r="I644" s="198"/>
    </row>
    <row r="645" spans="1:9" x14ac:dyDescent="0.35">
      <c r="A645" s="1" t="str">
        <f t="shared" si="10"/>
        <v>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98" t="s">
        <v>3185</v>
      </c>
      <c r="D645" s="198" t="s">
        <v>3186</v>
      </c>
      <c r="E645" s="198" t="s">
        <v>3187</v>
      </c>
      <c r="F645" s="198" t="s">
        <v>112</v>
      </c>
      <c r="G645" s="198">
        <v>300223</v>
      </c>
      <c r="H645" s="198"/>
      <c r="I645" s="198"/>
    </row>
    <row r="646" spans="1:9" x14ac:dyDescent="0.35">
      <c r="A646" s="1" t="str">
        <f t="shared" si="10"/>
        <v>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98" t="s">
        <v>3188</v>
      </c>
      <c r="D646" s="198" t="s">
        <v>213</v>
      </c>
      <c r="E646" s="198" t="s">
        <v>3189</v>
      </c>
      <c r="F646" s="198" t="s">
        <v>112</v>
      </c>
      <c r="G646" s="198">
        <v>390290</v>
      </c>
      <c r="H646" s="198"/>
      <c r="I646" s="198"/>
    </row>
    <row r="647" spans="1:9" x14ac:dyDescent="0.35">
      <c r="A647" s="1" t="str">
        <f t="shared" si="10"/>
        <v>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98" t="s">
        <v>3190</v>
      </c>
      <c r="D647" s="198" t="s">
        <v>3191</v>
      </c>
      <c r="E647" s="198" t="s">
        <v>3192</v>
      </c>
      <c r="F647" s="198" t="s">
        <v>112</v>
      </c>
      <c r="G647" s="198">
        <v>415056</v>
      </c>
      <c r="H647" s="198"/>
      <c r="I647" s="198"/>
    </row>
    <row r="648" spans="1:9" x14ac:dyDescent="0.35">
      <c r="A648" s="1" t="str">
        <f t="shared" si="10"/>
        <v>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98" t="s">
        <v>3193</v>
      </c>
      <c r="D648" s="198" t="s">
        <v>3194</v>
      </c>
      <c r="E648" s="198" t="s">
        <v>3195</v>
      </c>
      <c r="F648" s="198" t="s">
        <v>112</v>
      </c>
      <c r="G648" s="198">
        <v>622314</v>
      </c>
      <c r="H648" s="198"/>
      <c r="I648" s="198"/>
    </row>
    <row r="649" spans="1:9" x14ac:dyDescent="0.35">
      <c r="A649" s="1" t="str">
        <f t="shared" si="10"/>
        <v>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98" t="s">
        <v>3196</v>
      </c>
      <c r="D649" s="198" t="s">
        <v>3197</v>
      </c>
      <c r="E649" s="198" t="s">
        <v>3198</v>
      </c>
      <c r="F649" s="198" t="s">
        <v>112</v>
      </c>
      <c r="G649" s="198">
        <v>254995</v>
      </c>
      <c r="H649" s="198"/>
      <c r="I649" s="198"/>
    </row>
    <row r="650" spans="1:9" x14ac:dyDescent="0.35">
      <c r="A650" s="1" t="str">
        <f t="shared" si="10"/>
        <v>8</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98" t="s">
        <v>3199</v>
      </c>
      <c r="D650" s="198" t="s">
        <v>1308</v>
      </c>
      <c r="E650" s="198" t="s">
        <v>3200</v>
      </c>
      <c r="F650" s="198" t="s">
        <v>112</v>
      </c>
      <c r="G650" s="198">
        <v>227417</v>
      </c>
      <c r="H650" s="198"/>
      <c r="I650" s="198"/>
    </row>
    <row r="651" spans="1:9" x14ac:dyDescent="0.35">
      <c r="A651" s="1" t="str">
        <f t="shared" si="10"/>
        <v>8</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98" t="s">
        <v>3201</v>
      </c>
      <c r="D651" s="198" t="s">
        <v>166</v>
      </c>
      <c r="E651" s="198" t="s">
        <v>3202</v>
      </c>
      <c r="F651" s="198" t="s">
        <v>112</v>
      </c>
      <c r="G651" s="198">
        <v>180026</v>
      </c>
      <c r="H651" s="198"/>
      <c r="I651" s="198"/>
    </row>
    <row r="652" spans="1:9" x14ac:dyDescent="0.35">
      <c r="A652" s="1" t="str">
        <f t="shared" si="10"/>
        <v>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98" t="s">
        <v>3203</v>
      </c>
      <c r="D652" s="198" t="s">
        <v>3172</v>
      </c>
      <c r="E652" s="198" t="s">
        <v>3204</v>
      </c>
      <c r="F652" s="198" t="s">
        <v>112</v>
      </c>
      <c r="G652" s="198">
        <v>188634</v>
      </c>
      <c r="H652" s="198"/>
      <c r="I652" s="198"/>
    </row>
    <row r="653" spans="1:9"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98" t="s">
        <v>112</v>
      </c>
      <c r="D653" s="198"/>
      <c r="E653" s="198"/>
      <c r="F653" s="198"/>
      <c r="G653" s="198"/>
      <c r="H653" s="198"/>
      <c r="I653" s="198"/>
    </row>
    <row r="654" spans="1:9"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98" t="s">
        <v>195</v>
      </c>
      <c r="D654" s="198" t="s">
        <v>112</v>
      </c>
      <c r="E654" s="198" t="s">
        <v>196</v>
      </c>
      <c r="F654" s="198" t="s">
        <v>197</v>
      </c>
      <c r="G654" s="198" t="s">
        <v>198</v>
      </c>
      <c r="H654" s="198" t="s">
        <v>199</v>
      </c>
      <c r="I654" s="198" t="s">
        <v>200</v>
      </c>
    </row>
    <row r="655" spans="1:9" x14ac:dyDescent="0.35">
      <c r="A655" s="1" t="str">
        <f t="shared" si="10"/>
        <v>8</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98" t="s">
        <v>3205</v>
      </c>
      <c r="D655" s="198" t="s">
        <v>112</v>
      </c>
      <c r="E655" s="198" t="s">
        <v>3206</v>
      </c>
      <c r="F655" s="198" t="s">
        <v>3207</v>
      </c>
      <c r="G655" s="198" t="s">
        <v>3208</v>
      </c>
      <c r="H655" s="198" t="s">
        <v>3209</v>
      </c>
      <c r="I655" s="198">
        <v>24</v>
      </c>
    </row>
    <row r="656" spans="1:9"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98" t="s">
        <v>112</v>
      </c>
      <c r="D656" s="198"/>
      <c r="E656" s="198"/>
      <c r="F656" s="198"/>
      <c r="G656" s="198"/>
      <c r="H656" s="198"/>
      <c r="I656" s="198"/>
    </row>
    <row r="657" spans="1:9"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98" t="s">
        <v>112</v>
      </c>
      <c r="D657" s="198"/>
      <c r="E657" s="198"/>
      <c r="F657" s="198"/>
      <c r="G657" s="198"/>
      <c r="H657" s="198"/>
      <c r="I657" s="198"/>
    </row>
    <row r="658" spans="1:9"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98" t="s">
        <v>112</v>
      </c>
      <c r="D658" s="198"/>
      <c r="E658" s="198"/>
      <c r="F658" s="198"/>
      <c r="G658" s="198"/>
      <c r="H658" s="198"/>
      <c r="I658" s="198"/>
    </row>
    <row r="659" spans="1:9"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98" t="s">
        <v>112</v>
      </c>
      <c r="D659" s="198"/>
      <c r="E659" s="198"/>
      <c r="F659" s="198"/>
      <c r="G659" s="198"/>
      <c r="H659" s="198"/>
      <c r="I659" s="198"/>
    </row>
    <row r="660" spans="1:9"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98" t="s">
        <v>112</v>
      </c>
      <c r="D660" s="198"/>
      <c r="E660" s="198"/>
      <c r="F660" s="198"/>
      <c r="G660" s="198"/>
      <c r="H660" s="198"/>
      <c r="I660" s="198"/>
    </row>
    <row r="661" spans="1:9"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98" t="s">
        <v>206</v>
      </c>
      <c r="D661" s="198" t="s">
        <v>110</v>
      </c>
      <c r="E661" s="198" t="s">
        <v>111</v>
      </c>
      <c r="F661" s="198" t="s">
        <v>112</v>
      </c>
      <c r="G661" s="198" t="s">
        <v>113</v>
      </c>
      <c r="H661" s="198"/>
      <c r="I661" s="198"/>
    </row>
    <row r="662" spans="1:9" x14ac:dyDescent="0.35">
      <c r="A662" s="1" t="str">
        <f t="shared" si="10"/>
        <v>9</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98" t="s">
        <v>3210</v>
      </c>
      <c r="D662" s="198" t="s">
        <v>546</v>
      </c>
      <c r="E662" s="198" t="s">
        <v>3211</v>
      </c>
      <c r="F662" s="198" t="s">
        <v>112</v>
      </c>
      <c r="G662" s="198">
        <v>64111</v>
      </c>
      <c r="H662" s="198"/>
      <c r="I662" s="198"/>
    </row>
    <row r="663" spans="1:9" x14ac:dyDescent="0.35">
      <c r="A663" s="1" t="str">
        <f t="shared" si="10"/>
        <v>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98" t="s">
        <v>3212</v>
      </c>
      <c r="D663" s="198" t="s">
        <v>546</v>
      </c>
      <c r="E663" s="198" t="s">
        <v>3213</v>
      </c>
      <c r="F663" s="198" t="s">
        <v>112</v>
      </c>
      <c r="G663" s="198">
        <v>62272</v>
      </c>
      <c r="H663" s="198"/>
      <c r="I663" s="198"/>
    </row>
    <row r="664" spans="1:9" x14ac:dyDescent="0.35">
      <c r="A664" s="1" t="str">
        <f t="shared" si="10"/>
        <v>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98" t="s">
        <v>3214</v>
      </c>
      <c r="D664" s="198" t="s">
        <v>3215</v>
      </c>
      <c r="E664" s="198" t="s">
        <v>3216</v>
      </c>
      <c r="F664" s="198" t="s">
        <v>112</v>
      </c>
      <c r="G664" s="198">
        <v>134084</v>
      </c>
      <c r="H664" s="198"/>
      <c r="I664" s="198"/>
    </row>
    <row r="665" spans="1:9" x14ac:dyDescent="0.35">
      <c r="A665" s="1" t="str">
        <f t="shared" si="10"/>
        <v>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98" t="s">
        <v>3217</v>
      </c>
      <c r="D665" s="198" t="s">
        <v>3218</v>
      </c>
      <c r="E665" s="198" t="s">
        <v>3219</v>
      </c>
      <c r="F665" s="198" t="s">
        <v>112</v>
      </c>
      <c r="G665" s="198">
        <v>153183</v>
      </c>
      <c r="H665" s="198"/>
      <c r="I665" s="198"/>
    </row>
    <row r="666" spans="1:9" x14ac:dyDescent="0.35">
      <c r="A666" s="1" t="str">
        <f t="shared" si="10"/>
        <v>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98" t="s">
        <v>3220</v>
      </c>
      <c r="D666" s="198" t="s">
        <v>3221</v>
      </c>
      <c r="E666" s="198" t="s">
        <v>3222</v>
      </c>
      <c r="F666" s="198" t="s">
        <v>112</v>
      </c>
      <c r="G666" s="198">
        <v>313439</v>
      </c>
      <c r="H666" s="198"/>
      <c r="I666" s="198"/>
    </row>
    <row r="667" spans="1:9" x14ac:dyDescent="0.35">
      <c r="A667" s="1" t="str">
        <f t="shared" si="10"/>
        <v>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98" t="s">
        <v>3223</v>
      </c>
      <c r="D667" s="198" t="s">
        <v>1969</v>
      </c>
      <c r="E667" s="198" t="s">
        <v>3224</v>
      </c>
      <c r="F667" s="198" t="s">
        <v>112</v>
      </c>
      <c r="G667" s="198">
        <v>177365</v>
      </c>
      <c r="H667" s="198"/>
      <c r="I667" s="198"/>
    </row>
    <row r="668" spans="1:9" x14ac:dyDescent="0.35">
      <c r="A668" s="1" t="str">
        <f t="shared" si="10"/>
        <v>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98" t="s">
        <v>3225</v>
      </c>
      <c r="D668" s="198" t="s">
        <v>3226</v>
      </c>
      <c r="E668" s="198" t="s">
        <v>3227</v>
      </c>
      <c r="F668" s="198" t="s">
        <v>112</v>
      </c>
      <c r="G668" s="198">
        <v>173082</v>
      </c>
      <c r="H668" s="198"/>
      <c r="I668" s="198"/>
    </row>
    <row r="669" spans="1:9" x14ac:dyDescent="0.35">
      <c r="A669" s="1" t="str">
        <f t="shared" si="10"/>
        <v>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98" t="s">
        <v>3228</v>
      </c>
      <c r="D669" s="198" t="s">
        <v>1108</v>
      </c>
      <c r="E669" s="198" t="s">
        <v>3229</v>
      </c>
      <c r="F669" s="198" t="s">
        <v>112</v>
      </c>
      <c r="G669" s="198">
        <v>207517</v>
      </c>
      <c r="H669" s="198"/>
      <c r="I669" s="198"/>
    </row>
    <row r="670" spans="1:9" x14ac:dyDescent="0.35">
      <c r="A670" s="1" t="str">
        <f t="shared" si="10"/>
        <v>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98" t="s">
        <v>3230</v>
      </c>
      <c r="D670" s="198" t="s">
        <v>3215</v>
      </c>
      <c r="E670" s="198" t="s">
        <v>3231</v>
      </c>
      <c r="F670" s="198" t="s">
        <v>112</v>
      </c>
      <c r="G670" s="198">
        <v>136009</v>
      </c>
      <c r="H670" s="198"/>
      <c r="I670" s="198"/>
    </row>
    <row r="671" spans="1:9" x14ac:dyDescent="0.35">
      <c r="A671" s="1" t="str">
        <f t="shared" si="10"/>
        <v>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98" t="s">
        <v>3232</v>
      </c>
      <c r="D671" s="198" t="s">
        <v>3233</v>
      </c>
      <c r="E671" s="198" t="s">
        <v>3234</v>
      </c>
      <c r="F671" s="198" t="s">
        <v>112</v>
      </c>
      <c r="G671" s="198">
        <v>26064</v>
      </c>
      <c r="H671" s="198"/>
      <c r="I671" s="198"/>
    </row>
    <row r="672" spans="1:9" x14ac:dyDescent="0.35">
      <c r="A672" s="1" t="str">
        <f t="shared" si="10"/>
        <v>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98" t="s">
        <v>3235</v>
      </c>
      <c r="D672" s="198" t="s">
        <v>510</v>
      </c>
      <c r="E672" s="198" t="s">
        <v>3236</v>
      </c>
      <c r="F672" s="198" t="s">
        <v>112</v>
      </c>
      <c r="G672" s="198">
        <v>101444</v>
      </c>
      <c r="H672" s="198"/>
      <c r="I672" s="198"/>
    </row>
    <row r="673" spans="1:9" x14ac:dyDescent="0.35">
      <c r="A673" s="1" t="str">
        <f t="shared" si="10"/>
        <v>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98" t="s">
        <v>3237</v>
      </c>
      <c r="D673" s="198" t="s">
        <v>3238</v>
      </c>
      <c r="E673" s="198" t="s">
        <v>3239</v>
      </c>
      <c r="F673" s="198" t="s">
        <v>112</v>
      </c>
      <c r="G673" s="198">
        <v>215001</v>
      </c>
      <c r="H673" s="198"/>
      <c r="I673" s="198"/>
    </row>
    <row r="674" spans="1:9" x14ac:dyDescent="0.35">
      <c r="A674" s="1" t="str">
        <f t="shared" si="10"/>
        <v>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98" t="s">
        <v>3240</v>
      </c>
      <c r="D674" s="198" t="s">
        <v>1437</v>
      </c>
      <c r="E674" s="198" t="s">
        <v>1469</v>
      </c>
      <c r="F674" s="198" t="s">
        <v>112</v>
      </c>
      <c r="G674" s="198">
        <v>7051</v>
      </c>
      <c r="H674" s="198"/>
      <c r="I674" s="198"/>
    </row>
    <row r="675" spans="1:9" x14ac:dyDescent="0.35">
      <c r="A675" s="1" t="str">
        <f t="shared" si="10"/>
        <v>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98" t="s">
        <v>3241</v>
      </c>
      <c r="D675" s="198" t="s">
        <v>2314</v>
      </c>
      <c r="E675" s="198" t="s">
        <v>3242</v>
      </c>
      <c r="F675" s="198" t="s">
        <v>112</v>
      </c>
      <c r="G675" s="198">
        <v>90110</v>
      </c>
      <c r="H675" s="198"/>
      <c r="I675" s="198"/>
    </row>
    <row r="676" spans="1:9" x14ac:dyDescent="0.35">
      <c r="A676" s="1" t="str">
        <f t="shared" si="10"/>
        <v>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98" t="s">
        <v>3243</v>
      </c>
      <c r="D676" s="198"/>
      <c r="E676" s="198"/>
      <c r="F676" s="198"/>
      <c r="G676" s="198"/>
      <c r="H676" s="198"/>
      <c r="I676" s="198"/>
    </row>
    <row r="677" spans="1:9" x14ac:dyDescent="0.35">
      <c r="A677" s="1" t="str">
        <f t="shared" si="10"/>
        <v>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98" t="s">
        <v>3244</v>
      </c>
      <c r="D677" s="198" t="s">
        <v>3245</v>
      </c>
      <c r="E677" s="198" t="s">
        <v>3246</v>
      </c>
      <c r="F677" s="198" t="s">
        <v>112</v>
      </c>
      <c r="G677" s="198">
        <v>48840</v>
      </c>
      <c r="H677" s="198"/>
      <c r="I677" s="198"/>
    </row>
    <row r="678" spans="1:9" x14ac:dyDescent="0.35">
      <c r="A678" s="1" t="str">
        <f t="shared" si="10"/>
        <v>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98" t="s">
        <v>3247</v>
      </c>
      <c r="D678" s="198" t="s">
        <v>3248</v>
      </c>
      <c r="E678" s="198" t="s">
        <v>3249</v>
      </c>
      <c r="F678" s="198" t="s">
        <v>112</v>
      </c>
      <c r="G678" s="198">
        <v>307512</v>
      </c>
      <c r="H678" s="198"/>
      <c r="I678" s="198"/>
    </row>
    <row r="679" spans="1:9" x14ac:dyDescent="0.35">
      <c r="A679" s="1" t="str">
        <f t="shared" si="10"/>
        <v>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98" t="s">
        <v>3250</v>
      </c>
      <c r="D679" s="198"/>
      <c r="E679" s="198"/>
      <c r="F679" s="198"/>
      <c r="G679" s="198"/>
      <c r="H679" s="198"/>
      <c r="I679" s="198"/>
    </row>
    <row r="680" spans="1:9" x14ac:dyDescent="0.35">
      <c r="A680" s="1" t="str">
        <f t="shared" si="10"/>
        <v>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98" t="s">
        <v>3251</v>
      </c>
      <c r="D680" s="198" t="s">
        <v>2045</v>
      </c>
      <c r="E680" s="198" t="s">
        <v>3252</v>
      </c>
      <c r="F680" s="198" t="s">
        <v>112</v>
      </c>
      <c r="G680" s="198">
        <v>60845</v>
      </c>
      <c r="H680" s="198"/>
      <c r="I680" s="198"/>
    </row>
    <row r="681" spans="1:9" x14ac:dyDescent="0.35">
      <c r="A681" s="1" t="str">
        <f t="shared" si="10"/>
        <v>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98" t="s">
        <v>3253</v>
      </c>
      <c r="D681" s="198" t="s">
        <v>2402</v>
      </c>
      <c r="E681" s="198" t="s">
        <v>3254</v>
      </c>
      <c r="F681" s="198" t="s">
        <v>112</v>
      </c>
      <c r="G681" s="198">
        <v>442137</v>
      </c>
      <c r="H681" s="198"/>
      <c r="I681" s="198"/>
    </row>
    <row r="682" spans="1:9" x14ac:dyDescent="0.35">
      <c r="A682" s="1" t="str">
        <f t="shared" si="10"/>
        <v>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98" t="s">
        <v>3255</v>
      </c>
      <c r="D682" s="198" t="s">
        <v>1631</v>
      </c>
      <c r="E682" s="198" t="s">
        <v>3256</v>
      </c>
      <c r="F682" s="198" t="s">
        <v>112</v>
      </c>
      <c r="G682" s="198">
        <v>91365</v>
      </c>
      <c r="H682" s="198"/>
      <c r="I682" s="198"/>
    </row>
    <row r="683" spans="1:9" x14ac:dyDescent="0.35">
      <c r="A683" s="1" t="str">
        <f t="shared" si="10"/>
        <v>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98" t="s">
        <v>3257</v>
      </c>
      <c r="D683" s="198" t="s">
        <v>2375</v>
      </c>
      <c r="E683" s="198" t="s">
        <v>3258</v>
      </c>
      <c r="F683" s="198" t="s">
        <v>112</v>
      </c>
      <c r="G683" s="198">
        <v>247381</v>
      </c>
      <c r="H683" s="198"/>
      <c r="I683" s="198"/>
    </row>
    <row r="684" spans="1:9" x14ac:dyDescent="0.35">
      <c r="A684" s="1" t="str">
        <f t="shared" si="10"/>
        <v>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98" t="s">
        <v>3259</v>
      </c>
      <c r="D684" s="198" t="s">
        <v>538</v>
      </c>
      <c r="E684" s="198" t="s">
        <v>751</v>
      </c>
      <c r="F684" s="198" t="s">
        <v>112</v>
      </c>
      <c r="G684" s="198">
        <v>1319</v>
      </c>
      <c r="H684" s="198"/>
      <c r="I684" s="198"/>
    </row>
    <row r="685" spans="1:9" x14ac:dyDescent="0.35">
      <c r="A685" s="1" t="str">
        <f t="shared" si="10"/>
        <v>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98" t="s">
        <v>3260</v>
      </c>
      <c r="D685" s="198" t="s">
        <v>1308</v>
      </c>
      <c r="E685" s="198" t="s">
        <v>3261</v>
      </c>
      <c r="F685" s="198" t="s">
        <v>112</v>
      </c>
      <c r="G685" s="198">
        <v>218137</v>
      </c>
      <c r="H685" s="198"/>
      <c r="I685" s="198"/>
    </row>
    <row r="686" spans="1:9"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98" t="s">
        <v>112</v>
      </c>
      <c r="D686" s="198"/>
      <c r="E686" s="198"/>
      <c r="F686" s="198"/>
      <c r="G686" s="198"/>
      <c r="H686" s="198"/>
      <c r="I686" s="198"/>
    </row>
    <row r="687" spans="1:9"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98" t="s">
        <v>195</v>
      </c>
      <c r="D687" s="198" t="s">
        <v>112</v>
      </c>
      <c r="E687" s="198" t="s">
        <v>196</v>
      </c>
      <c r="F687" s="198" t="s">
        <v>197</v>
      </c>
      <c r="G687" s="198" t="s">
        <v>198</v>
      </c>
      <c r="H687" s="198" t="s">
        <v>199</v>
      </c>
      <c r="I687" s="198" t="s">
        <v>200</v>
      </c>
    </row>
    <row r="688" spans="1:9" x14ac:dyDescent="0.35">
      <c r="A688" s="1" t="str">
        <f t="shared" si="10"/>
        <v>9</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98" t="s">
        <v>3267</v>
      </c>
      <c r="D688" s="198" t="s">
        <v>112</v>
      </c>
      <c r="E688" s="198" t="s">
        <v>3268</v>
      </c>
      <c r="F688" s="198" t="s">
        <v>3269</v>
      </c>
      <c r="G688" s="198" t="s">
        <v>3270</v>
      </c>
      <c r="H688" s="198" t="s">
        <v>3271</v>
      </c>
      <c r="I688" s="198">
        <v>23</v>
      </c>
    </row>
    <row r="689" spans="1:2"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N13:XFD14 AG11:XFD12">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opLeftCell="A31" zoomScale="75" zoomScaleNormal="75" zoomScaleSheetLayoutView="40" zoomScalePageLayoutView="30" workbookViewId="0">
      <pane xSplit="1" topLeftCell="L1" activePane="topRight" state="frozen"/>
      <selection pane="topRight" activeCell="V16" sqref="V16"/>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25" t="s">
        <v>40</v>
      </c>
      <c r="B1" s="226"/>
      <c r="C1" s="226"/>
      <c r="D1" s="226"/>
      <c r="E1" s="226"/>
      <c r="F1" s="226"/>
      <c r="G1" s="226"/>
      <c r="H1" s="226"/>
      <c r="I1" s="226"/>
      <c r="J1" s="226"/>
      <c r="K1" s="226"/>
      <c r="L1" s="226"/>
      <c r="M1" s="226"/>
      <c r="N1" s="226"/>
      <c r="O1" s="226"/>
      <c r="P1" s="226"/>
      <c r="Q1" s="226"/>
      <c r="R1" s="226"/>
      <c r="S1" s="226"/>
      <c r="T1" s="226"/>
      <c r="U1" s="226"/>
      <c r="V1" s="226"/>
    </row>
    <row r="2" spans="1:22" ht="15" thickBot="1" x14ac:dyDescent="0.4">
      <c r="A2"/>
      <c r="B2"/>
      <c r="C2"/>
      <c r="D2"/>
      <c r="E2"/>
      <c r="F2"/>
      <c r="G2"/>
      <c r="H2"/>
      <c r="I2"/>
      <c r="J2"/>
      <c r="K2"/>
      <c r="L2"/>
      <c r="M2"/>
      <c r="S2"/>
      <c r="T2"/>
      <c r="U2"/>
      <c r="V2"/>
    </row>
    <row r="3" spans="1:22" ht="15" thickBot="1" x14ac:dyDescent="0.4">
      <c r="A3" s="51" t="s">
        <v>17</v>
      </c>
      <c r="B3" s="233" t="s">
        <v>6</v>
      </c>
      <c r="C3" s="234"/>
      <c r="D3" s="234"/>
      <c r="E3" s="234"/>
      <c r="F3" s="234"/>
      <c r="G3" s="234"/>
      <c r="H3" s="234"/>
      <c r="I3" s="234"/>
      <c r="J3" s="234"/>
      <c r="K3" s="234"/>
      <c r="L3" s="234"/>
      <c r="M3" s="234"/>
      <c r="O3" s="233" t="s">
        <v>3</v>
      </c>
      <c r="P3" s="234"/>
      <c r="Q3" s="234"/>
      <c r="R3" s="234"/>
      <c r="S3" s="234"/>
      <c r="T3" s="234"/>
      <c r="U3" s="234"/>
      <c r="V3" s="234"/>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BPA-1mg/L</v>
      </c>
      <c r="J4" s="35" t="str">
        <f>'Page de garde'!A16</f>
        <v>BPA-2mg/L</v>
      </c>
      <c r="K4" s="35" t="str">
        <f>'Page de garde'!A17</f>
        <v>BPA-3mg/L</v>
      </c>
      <c r="L4" s="35" t="str">
        <f>'Page de garde'!A18</f>
        <v>BPA-4mg/L</v>
      </c>
      <c r="M4" s="35" t="str">
        <f>'Page de garde'!A19</f>
        <v>BPA-5mg/L</v>
      </c>
      <c r="N4" s="3"/>
      <c r="O4" s="36" t="str">
        <f>'Page de garde'!A36</f>
        <v>Testo -30µg/L</v>
      </c>
      <c r="P4" s="36" t="str">
        <f>'Page de garde'!A37</f>
        <v>Testo 30µg/L + EE2 -64ng/L</v>
      </c>
      <c r="Q4" s="36" t="str">
        <f>'Page de garde'!A38</f>
        <v>Testo 30µg/L + FAD-10mg/L</v>
      </c>
      <c r="R4" s="36" t="str">
        <f>'Page de garde'!A39</f>
        <v>BPA-1mg/L + Testostérone</v>
      </c>
      <c r="S4" s="36" t="str">
        <f>'Page de garde'!A40</f>
        <v>BPA-2mg/L + Testostérone</v>
      </c>
      <c r="T4" s="36" t="str">
        <f>'Page de garde'!A41</f>
        <v>BPA-3mg/L + Testostérone</v>
      </c>
      <c r="U4" s="36" t="str">
        <f>'Page de garde'!A42</f>
        <v>BPA-4mg/L + Testostérone</v>
      </c>
      <c r="V4" s="36" t="str">
        <f>'Page de garde'!A43</f>
        <v>BPA-5mg/L + Testostérone</v>
      </c>
    </row>
    <row r="5" spans="1:22" ht="16.5" x14ac:dyDescent="0.35">
      <c r="A5" s="229" t="s">
        <v>33</v>
      </c>
      <c r="B5" s="73">
        <v>209831.33333333334</v>
      </c>
      <c r="C5" s="13">
        <v>249277.33333333334</v>
      </c>
      <c r="D5" s="32">
        <v>151596.66666666666</v>
      </c>
      <c r="E5" s="32">
        <v>575607.33333333337</v>
      </c>
      <c r="F5" s="32">
        <v>2841245.6666666665</v>
      </c>
      <c r="G5" s="32">
        <v>3057292</v>
      </c>
      <c r="H5" s="32">
        <v>4148181</v>
      </c>
      <c r="I5" s="32">
        <v>259738.66666666666</v>
      </c>
      <c r="J5" s="16">
        <v>86822.333333333328</v>
      </c>
      <c r="K5" s="13">
        <v>163341.66666666666</v>
      </c>
      <c r="L5" s="13">
        <v>239284.33333333334</v>
      </c>
      <c r="M5" s="13">
        <v>2750320.3333333335</v>
      </c>
      <c r="N5" s="3"/>
      <c r="O5" s="32">
        <v>1690989</v>
      </c>
      <c r="P5" s="13">
        <v>5102852.333333333</v>
      </c>
      <c r="Q5" s="13">
        <v>50181.333333333336</v>
      </c>
      <c r="R5" s="4">
        <v>482389.66666666669</v>
      </c>
      <c r="S5" s="32">
        <v>3725562</v>
      </c>
      <c r="T5" s="32">
        <v>4308646</v>
      </c>
      <c r="U5" s="32">
        <v>3439614.6666666665</v>
      </c>
      <c r="V5" s="32">
        <v>3474734.6666666665</v>
      </c>
    </row>
    <row r="6" spans="1:22" ht="16.5" x14ac:dyDescent="0.35">
      <c r="A6" s="230"/>
      <c r="B6" s="73">
        <v>216753.33333333334</v>
      </c>
      <c r="C6" s="13">
        <v>39035</v>
      </c>
      <c r="D6" s="32">
        <v>98070</v>
      </c>
      <c r="E6" s="32">
        <v>1837502.5</v>
      </c>
      <c r="F6" s="32">
        <v>1625371</v>
      </c>
      <c r="G6" s="32">
        <v>458013.33333333331</v>
      </c>
      <c r="H6" s="32">
        <v>3753572.6666666665</v>
      </c>
      <c r="I6" s="32">
        <v>10447</v>
      </c>
      <c r="J6" s="16">
        <v>214662.33333333334</v>
      </c>
      <c r="K6" s="13">
        <v>148063.66666666666</v>
      </c>
      <c r="L6" s="13">
        <v>1464301</v>
      </c>
      <c r="M6" s="13">
        <v>2136875</v>
      </c>
      <c r="N6" s="3"/>
      <c r="O6" s="32">
        <v>72424</v>
      </c>
      <c r="P6" s="13">
        <v>4121381.3333333335</v>
      </c>
      <c r="Q6" s="13">
        <v>133059.66666666666</v>
      </c>
      <c r="R6" s="4">
        <v>2412245</v>
      </c>
      <c r="S6" s="32">
        <v>2592473</v>
      </c>
      <c r="T6" s="32">
        <v>2930980.5</v>
      </c>
      <c r="U6" s="32">
        <v>2237144</v>
      </c>
      <c r="V6" s="32">
        <v>2987766.3333333335</v>
      </c>
    </row>
    <row r="7" spans="1:22" ht="16.5" x14ac:dyDescent="0.35">
      <c r="A7" s="230"/>
      <c r="B7" s="73">
        <v>419093.66666666669</v>
      </c>
      <c r="C7" s="13">
        <v>158482.33333333334</v>
      </c>
      <c r="D7" s="32">
        <v>200970.66666666666</v>
      </c>
      <c r="E7" s="32">
        <v>283315.66666666669</v>
      </c>
      <c r="F7" s="32">
        <v>2885074.6666666665</v>
      </c>
      <c r="G7" s="32">
        <v>3176144.5</v>
      </c>
      <c r="H7" s="32">
        <v>5196171.333333333</v>
      </c>
      <c r="I7" s="32"/>
      <c r="J7" s="16">
        <v>172202.66666666666</v>
      </c>
      <c r="K7" s="13">
        <v>221836</v>
      </c>
      <c r="L7" s="13">
        <v>1440616</v>
      </c>
      <c r="M7" s="13">
        <v>1941002</v>
      </c>
      <c r="N7" s="3"/>
      <c r="O7" s="32">
        <v>1480696</v>
      </c>
      <c r="P7" s="13">
        <v>3965228.6666666665</v>
      </c>
      <c r="Q7" s="13">
        <v>87741.5</v>
      </c>
      <c r="R7" s="4">
        <v>269450.66666666669</v>
      </c>
      <c r="S7" s="32">
        <v>765590</v>
      </c>
      <c r="T7" s="32">
        <v>1775143.6666666667</v>
      </c>
      <c r="U7" s="32">
        <v>3288955.6666666665</v>
      </c>
      <c r="V7" s="32">
        <v>4157590.3333333335</v>
      </c>
    </row>
    <row r="8" spans="1:22" ht="16.5" x14ac:dyDescent="0.35">
      <c r="A8" s="230"/>
      <c r="B8" s="73">
        <v>213660.33333333334</v>
      </c>
      <c r="C8" s="13">
        <v>170876</v>
      </c>
      <c r="D8" s="32">
        <v>196478.66666666666</v>
      </c>
      <c r="E8" s="32">
        <v>2692467.3333333335</v>
      </c>
      <c r="F8" s="32">
        <v>2233452.3333333335</v>
      </c>
      <c r="G8" s="32">
        <v>3915479.6666666665</v>
      </c>
      <c r="H8" s="32">
        <v>4267585.333333333</v>
      </c>
      <c r="I8" s="32">
        <v>370916.66666666669</v>
      </c>
      <c r="J8" s="16">
        <v>114169.66666666667</v>
      </c>
      <c r="K8" s="13">
        <v>250358.66666666666</v>
      </c>
      <c r="L8" s="13">
        <v>1097400</v>
      </c>
      <c r="M8" s="13">
        <v>2862738.3333333335</v>
      </c>
      <c r="N8" s="3"/>
      <c r="O8" s="32">
        <v>1059713.5</v>
      </c>
      <c r="P8" s="13">
        <v>3489421.3333333335</v>
      </c>
      <c r="Q8" s="13">
        <v>55019.333333333336</v>
      </c>
      <c r="R8" s="4">
        <v>393289</v>
      </c>
      <c r="S8" s="32">
        <v>2478483</v>
      </c>
      <c r="T8" s="32">
        <v>2875954</v>
      </c>
      <c r="U8" s="32">
        <v>2659147</v>
      </c>
      <c r="V8" s="32">
        <v>3042692</v>
      </c>
    </row>
    <row r="9" spans="1:22" ht="16.5" x14ac:dyDescent="0.35">
      <c r="A9" s="230"/>
      <c r="B9" s="73">
        <v>297079.33333333331</v>
      </c>
      <c r="C9" s="13"/>
      <c r="D9" s="32">
        <v>122757</v>
      </c>
      <c r="E9" s="32">
        <v>217106.33333333334</v>
      </c>
      <c r="F9" s="32">
        <v>3019374.6666666665</v>
      </c>
      <c r="G9" s="32">
        <v>4671148.666666667</v>
      </c>
      <c r="H9" s="32">
        <v>4224059</v>
      </c>
      <c r="I9" s="32">
        <v>462706.5</v>
      </c>
      <c r="J9" s="16">
        <v>48580.5</v>
      </c>
      <c r="K9" s="13">
        <v>253632</v>
      </c>
      <c r="L9" s="13">
        <v>1853119.6666666667</v>
      </c>
      <c r="M9" s="13">
        <v>4034509</v>
      </c>
      <c r="N9" s="3"/>
      <c r="O9" s="32">
        <v>337325.33333333331</v>
      </c>
      <c r="P9" s="13">
        <v>1875780.6666666667</v>
      </c>
      <c r="Q9" s="13">
        <v>277677</v>
      </c>
      <c r="R9" s="4">
        <v>3175586</v>
      </c>
      <c r="S9" s="32">
        <v>3294990</v>
      </c>
      <c r="T9" s="32">
        <v>3563186.3333333335</v>
      </c>
      <c r="U9" s="32">
        <v>1580258.3333333333</v>
      </c>
      <c r="V9" s="32">
        <v>5939907.666666667</v>
      </c>
    </row>
    <row r="10" spans="1:22" ht="16.5" x14ac:dyDescent="0.35">
      <c r="A10" s="230"/>
      <c r="B10" s="73">
        <v>125057</v>
      </c>
      <c r="C10" s="13">
        <v>548231.33333333337</v>
      </c>
      <c r="D10" s="32">
        <v>128229.33333333333</v>
      </c>
      <c r="E10" s="32">
        <v>129245.66666666667</v>
      </c>
      <c r="F10" s="32">
        <v>1470371.3333333333</v>
      </c>
      <c r="G10" s="32">
        <v>3020247</v>
      </c>
      <c r="H10" s="32">
        <v>4025316.3333333335</v>
      </c>
      <c r="I10" s="32">
        <v>311276</v>
      </c>
      <c r="J10" s="16">
        <v>178176</v>
      </c>
      <c r="K10" s="13">
        <v>142076</v>
      </c>
      <c r="L10" s="13">
        <v>1100723.6666666667</v>
      </c>
      <c r="M10" s="13">
        <v>97388.5</v>
      </c>
      <c r="N10" s="3"/>
      <c r="O10" s="32">
        <v>2049014</v>
      </c>
      <c r="P10" s="13">
        <v>2992027.3333333335</v>
      </c>
      <c r="Q10" s="13">
        <v>32127.666666666668</v>
      </c>
      <c r="R10" s="4">
        <v>185772</v>
      </c>
      <c r="S10" s="32">
        <v>2032633.3333333333</v>
      </c>
      <c r="T10" s="32">
        <v>2154964.5</v>
      </c>
      <c r="U10" s="32">
        <v>2803573.3333333335</v>
      </c>
      <c r="V10" s="32">
        <v>3915822</v>
      </c>
    </row>
    <row r="11" spans="1:22" ht="16.5" x14ac:dyDescent="0.35">
      <c r="A11" s="230"/>
      <c r="B11" s="73">
        <v>104083.33333333333</v>
      </c>
      <c r="C11" s="13">
        <v>184849.33333333334</v>
      </c>
      <c r="D11" s="32">
        <v>666510.66666666663</v>
      </c>
      <c r="E11" s="32">
        <v>1235312.3333333333</v>
      </c>
      <c r="F11" s="32">
        <v>2724429.6666666665</v>
      </c>
      <c r="G11" s="32"/>
      <c r="H11" s="32">
        <v>5225458</v>
      </c>
      <c r="I11" s="32">
        <v>430788.33333333331</v>
      </c>
      <c r="J11" s="16">
        <v>198115.66666666666</v>
      </c>
      <c r="K11" s="13">
        <v>144300.33333333334</v>
      </c>
      <c r="L11" s="13">
        <v>1099180.6666666667</v>
      </c>
      <c r="M11" s="13"/>
      <c r="N11" s="3"/>
      <c r="O11" s="32">
        <v>24824</v>
      </c>
      <c r="P11" s="13">
        <v>3668877</v>
      </c>
      <c r="Q11" s="13">
        <v>85200</v>
      </c>
      <c r="R11" s="4">
        <v>2312394.3333333335</v>
      </c>
      <c r="S11" s="32">
        <v>1576055</v>
      </c>
      <c r="T11" s="32">
        <v>2058855.6666666667</v>
      </c>
      <c r="U11" s="32">
        <v>2463926</v>
      </c>
      <c r="V11" s="32">
        <v>4166047.6666666665</v>
      </c>
    </row>
    <row r="12" spans="1:22" ht="16.5" x14ac:dyDescent="0.35">
      <c r="A12" s="230"/>
      <c r="B12" s="73">
        <v>83080.333333333328</v>
      </c>
      <c r="C12" s="13">
        <v>67319.333333333328</v>
      </c>
      <c r="D12" s="32">
        <v>154502.33333333334</v>
      </c>
      <c r="E12" s="32">
        <v>2268053</v>
      </c>
      <c r="F12" s="32">
        <v>2656165.6666666665</v>
      </c>
      <c r="G12" s="32">
        <v>1460508.3333333333</v>
      </c>
      <c r="H12" s="32">
        <v>3912307.3333333335</v>
      </c>
      <c r="I12" s="32">
        <v>198692.33333333334</v>
      </c>
      <c r="J12" s="16">
        <v>155612.33333333334</v>
      </c>
      <c r="K12" s="13">
        <v>242420.66666666666</v>
      </c>
      <c r="L12" s="13">
        <v>836817.33333333337</v>
      </c>
      <c r="M12" s="13">
        <v>1882312.6666666667</v>
      </c>
      <c r="N12" s="3"/>
      <c r="O12" s="32">
        <v>484726</v>
      </c>
      <c r="P12" s="13">
        <v>3375410</v>
      </c>
      <c r="Q12" s="13">
        <v>197726</v>
      </c>
      <c r="R12" s="4">
        <v>544157.66666666663</v>
      </c>
      <c r="S12" s="32">
        <v>2263128.6666666665</v>
      </c>
      <c r="T12" s="32">
        <v>1800847.3333333333</v>
      </c>
      <c r="U12" s="32">
        <v>5476372</v>
      </c>
      <c r="V12" s="32">
        <v>3612538.6666666665</v>
      </c>
    </row>
    <row r="13" spans="1:22" ht="16.5" x14ac:dyDescent="0.35">
      <c r="A13" s="230"/>
      <c r="B13" s="14"/>
      <c r="C13" s="13"/>
      <c r="D13" s="16"/>
      <c r="E13" s="16"/>
      <c r="F13" s="16"/>
      <c r="G13" s="16"/>
      <c r="H13" s="16"/>
      <c r="I13" s="32"/>
      <c r="J13" s="16"/>
      <c r="K13" s="13"/>
      <c r="L13" s="13"/>
      <c r="M13" s="13"/>
      <c r="N13" s="3"/>
      <c r="O13" s="32">
        <v>69677</v>
      </c>
      <c r="P13" s="13"/>
      <c r="Q13" s="13"/>
      <c r="R13" s="4"/>
      <c r="S13" s="32"/>
      <c r="T13" s="32"/>
      <c r="U13" s="32"/>
      <c r="V13" s="32"/>
    </row>
    <row r="14" spans="1:22" ht="16.5" x14ac:dyDescent="0.35">
      <c r="A14" s="230"/>
      <c r="B14" s="14"/>
      <c r="C14" s="16"/>
      <c r="D14" s="16"/>
      <c r="E14" s="16"/>
      <c r="F14" s="16"/>
      <c r="G14" s="16"/>
      <c r="H14" s="16"/>
      <c r="I14" s="32"/>
      <c r="J14" s="16"/>
      <c r="K14" s="13"/>
      <c r="L14" s="13"/>
      <c r="M14" s="13"/>
      <c r="N14" s="3"/>
      <c r="O14" s="32">
        <v>67434.666666666672</v>
      </c>
      <c r="P14" s="13"/>
      <c r="Q14" s="13"/>
      <c r="R14" s="4"/>
      <c r="S14" s="32"/>
      <c r="T14" s="32"/>
      <c r="U14" s="32"/>
      <c r="V14" s="32"/>
    </row>
    <row r="15" spans="1:22" ht="16.5" x14ac:dyDescent="0.35">
      <c r="A15" s="230"/>
      <c r="B15" s="14"/>
      <c r="C15" s="16"/>
      <c r="D15" s="16"/>
      <c r="E15" s="16"/>
      <c r="F15" s="16"/>
      <c r="G15" s="16"/>
      <c r="H15" s="16"/>
      <c r="I15" s="32"/>
      <c r="J15" s="16"/>
      <c r="K15" s="13"/>
      <c r="L15" s="13"/>
      <c r="M15" s="13"/>
      <c r="N15" s="3"/>
      <c r="O15" s="32">
        <v>1772274.3333333333</v>
      </c>
      <c r="P15" s="13"/>
      <c r="Q15" s="13"/>
      <c r="R15" s="4"/>
      <c r="S15" s="32"/>
      <c r="T15" s="32"/>
      <c r="U15" s="32"/>
      <c r="V15" s="32"/>
    </row>
    <row r="16" spans="1:22" ht="16.5" x14ac:dyDescent="0.35">
      <c r="A16" s="230"/>
      <c r="B16" s="14"/>
      <c r="C16" s="16"/>
      <c r="D16" s="16"/>
      <c r="E16" s="16"/>
      <c r="F16" s="16"/>
      <c r="G16" s="16"/>
      <c r="H16" s="16"/>
      <c r="I16" s="32"/>
      <c r="J16" s="16"/>
      <c r="K16" s="13"/>
      <c r="L16" s="13"/>
      <c r="M16" s="13"/>
      <c r="N16" s="3"/>
      <c r="O16" s="32"/>
      <c r="P16" s="13"/>
      <c r="Q16" s="13"/>
      <c r="R16" s="4"/>
      <c r="S16" s="32"/>
      <c r="T16" s="32"/>
      <c r="U16" s="32"/>
      <c r="V16" s="32"/>
    </row>
    <row r="17" spans="1:22" s="1" customFormat="1" ht="16.5" x14ac:dyDescent="0.35">
      <c r="A17" s="230"/>
      <c r="B17" s="14"/>
      <c r="C17" s="32"/>
      <c r="D17" s="32"/>
      <c r="E17" s="32"/>
      <c r="F17" s="32"/>
      <c r="G17" s="32"/>
      <c r="H17" s="32"/>
      <c r="I17" s="32"/>
      <c r="J17" s="32"/>
      <c r="K17" s="13"/>
      <c r="L17" s="13"/>
      <c r="M17" s="13"/>
      <c r="N17" s="3"/>
      <c r="O17" s="32">
        <v>378660.33333333331</v>
      </c>
      <c r="P17" s="13"/>
      <c r="Q17" s="13"/>
      <c r="R17" s="32"/>
      <c r="S17" s="32"/>
      <c r="T17" s="32"/>
      <c r="U17" s="32"/>
      <c r="V17" s="32"/>
    </row>
    <row r="18" spans="1:22" s="1" customFormat="1" ht="16.5" x14ac:dyDescent="0.35">
      <c r="A18" s="230"/>
      <c r="B18" s="14"/>
      <c r="C18" s="32"/>
      <c r="D18" s="32"/>
      <c r="E18" s="32"/>
      <c r="F18" s="32"/>
      <c r="G18" s="32"/>
      <c r="H18" s="32"/>
      <c r="I18" s="32"/>
      <c r="J18" s="32"/>
      <c r="K18" s="13"/>
      <c r="L18" s="13"/>
      <c r="M18" s="13"/>
      <c r="N18" s="3"/>
      <c r="O18" s="32">
        <v>530365</v>
      </c>
      <c r="P18" s="13"/>
      <c r="Q18" s="13"/>
      <c r="R18" s="32"/>
      <c r="S18" s="32"/>
      <c r="T18" s="32"/>
      <c r="U18" s="32"/>
      <c r="V18" s="32"/>
    </row>
    <row r="19" spans="1:22" s="1" customFormat="1" ht="16.5" x14ac:dyDescent="0.35">
      <c r="A19" s="230"/>
      <c r="B19" s="14"/>
      <c r="C19" s="32"/>
      <c r="D19" s="32"/>
      <c r="E19" s="32"/>
      <c r="F19" s="32"/>
      <c r="G19" s="32"/>
      <c r="H19" s="32"/>
      <c r="I19" s="32"/>
      <c r="J19" s="32"/>
      <c r="K19" s="13"/>
      <c r="L19" s="13"/>
      <c r="M19" s="13"/>
      <c r="N19" s="3"/>
      <c r="O19" s="32">
        <v>185483.66666666666</v>
      </c>
      <c r="P19" s="13"/>
      <c r="Q19" s="13"/>
      <c r="R19" s="32"/>
      <c r="S19" s="32"/>
      <c r="T19" s="32"/>
      <c r="U19" s="32"/>
      <c r="V19" s="32"/>
    </row>
    <row r="20" spans="1:22" ht="16.5" x14ac:dyDescent="0.35">
      <c r="A20" s="230"/>
      <c r="B20" s="14"/>
      <c r="C20" s="16"/>
      <c r="D20" s="16"/>
      <c r="E20" s="16"/>
      <c r="F20" s="16"/>
      <c r="G20" s="16"/>
      <c r="H20" s="16"/>
      <c r="I20" s="32"/>
      <c r="J20" s="16"/>
      <c r="K20" s="13"/>
      <c r="L20" s="13"/>
      <c r="M20" s="13"/>
      <c r="N20" s="3"/>
      <c r="O20" s="32">
        <v>693533.33333333337</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BPA-1mg/L</v>
      </c>
      <c r="J22" s="68" t="str">
        <f t="shared" si="0"/>
        <v>BPA-2mg/L</v>
      </c>
      <c r="K22" s="68" t="str">
        <f t="shared" si="0"/>
        <v>BPA-3mg/L</v>
      </c>
      <c r="L22" s="68" t="str">
        <f t="shared" si="0"/>
        <v>BPA-4mg/L</v>
      </c>
      <c r="M22" s="68" t="str">
        <f t="shared" si="0"/>
        <v>BPA-5mg/L</v>
      </c>
      <c r="N22" s="68" t="s">
        <v>47</v>
      </c>
      <c r="O22" s="68" t="str">
        <f t="shared" ref="O22:V22" si="1">O4</f>
        <v>Testo -30µg/L</v>
      </c>
      <c r="P22" s="68" t="str">
        <f t="shared" si="1"/>
        <v>Testo 30µg/L + EE2 -64ng/L</v>
      </c>
      <c r="Q22" s="68" t="str">
        <f t="shared" si="1"/>
        <v>Testo 30µg/L + FAD-10mg/L</v>
      </c>
      <c r="R22" s="68" t="str">
        <f t="shared" si="1"/>
        <v>BPA-1mg/L + Testostérone</v>
      </c>
      <c r="S22" s="68" t="str">
        <f t="shared" si="1"/>
        <v>BPA-2mg/L + Testostérone</v>
      </c>
      <c r="T22" s="68" t="str">
        <f t="shared" si="1"/>
        <v>BPA-3mg/L + Testostérone</v>
      </c>
      <c r="U22" s="68" t="str">
        <f t="shared" si="1"/>
        <v>BPA-4mg/L + Testostérone</v>
      </c>
      <c r="V22" s="68" t="str">
        <f t="shared" si="1"/>
        <v>BPA-5mg/L + Testostérone</v>
      </c>
    </row>
    <row r="23" spans="1:22" x14ac:dyDescent="0.35">
      <c r="A23" s="5" t="s">
        <v>0</v>
      </c>
      <c r="B23" s="5">
        <f t="shared" ref="B23:M23" si="2">AVERAGE(B5:B20)</f>
        <v>208579.83333333331</v>
      </c>
      <c r="C23" s="5">
        <f t="shared" si="2"/>
        <v>202581.52380952379</v>
      </c>
      <c r="D23" s="5">
        <f t="shared" si="2"/>
        <v>214889.41666666666</v>
      </c>
      <c r="E23" s="5">
        <f t="shared" si="2"/>
        <v>1154826.2708333335</v>
      </c>
      <c r="F23" s="5">
        <f t="shared" si="2"/>
        <v>2431935.625</v>
      </c>
      <c r="G23" s="5">
        <f t="shared" si="2"/>
        <v>2822690.5</v>
      </c>
      <c r="H23" s="5">
        <f t="shared" si="2"/>
        <v>4344081.375</v>
      </c>
      <c r="I23" s="5">
        <f t="shared" si="2"/>
        <v>292080.78571428568</v>
      </c>
      <c r="J23" s="5">
        <f t="shared" si="2"/>
        <v>146042.6875</v>
      </c>
      <c r="K23" s="5">
        <f t="shared" si="2"/>
        <v>195753.625</v>
      </c>
      <c r="L23" s="5">
        <f t="shared" si="2"/>
        <v>1141430.3333333335</v>
      </c>
      <c r="M23" s="5">
        <f t="shared" si="2"/>
        <v>2243592.2619047621</v>
      </c>
      <c r="N23" s="5" t="s">
        <v>0</v>
      </c>
      <c r="O23" s="5">
        <f t="shared" ref="O23:V23" si="3">AVERAGE(O5:O20)</f>
        <v>726476.01111111115</v>
      </c>
      <c r="P23" s="5">
        <f t="shared" si="3"/>
        <v>3573872.333333333</v>
      </c>
      <c r="Q23" s="5">
        <f t="shared" si="3"/>
        <v>114841.56249999999</v>
      </c>
      <c r="R23" s="5">
        <f t="shared" si="3"/>
        <v>1221910.5416666665</v>
      </c>
      <c r="S23" s="5">
        <f t="shared" si="3"/>
        <v>2341114.375</v>
      </c>
      <c r="T23" s="5">
        <f t="shared" si="3"/>
        <v>2683572.25</v>
      </c>
      <c r="U23" s="5">
        <f t="shared" si="3"/>
        <v>2993623.875</v>
      </c>
      <c r="V23" s="5">
        <f t="shared" si="3"/>
        <v>3912137.416666667</v>
      </c>
    </row>
    <row r="24" spans="1:22" x14ac:dyDescent="0.35">
      <c r="A24" s="3" t="s">
        <v>1</v>
      </c>
      <c r="B24" s="3">
        <f t="shared" ref="B24:M24" si="4">STDEV(B5:B20)</f>
        <v>110768.82365682808</v>
      </c>
      <c r="C24" s="3">
        <f t="shared" si="4"/>
        <v>168306.28057864311</v>
      </c>
      <c r="D24" s="3">
        <f t="shared" si="4"/>
        <v>185854.06762114572</v>
      </c>
      <c r="E24" s="3">
        <f t="shared" si="4"/>
        <v>1007280.5110299048</v>
      </c>
      <c r="F24" s="3">
        <f t="shared" si="4"/>
        <v>593817.45672061597</v>
      </c>
      <c r="G24" s="3">
        <f t="shared" si="4"/>
        <v>1430455.654622599</v>
      </c>
      <c r="H24" s="3">
        <f t="shared" si="4"/>
        <v>560389.7283483994</v>
      </c>
      <c r="I24" s="3">
        <f t="shared" si="4"/>
        <v>154930.88538515766</v>
      </c>
      <c r="J24" s="3">
        <f t="shared" si="4"/>
        <v>57632.507139306377</v>
      </c>
      <c r="K24" s="3">
        <f t="shared" si="4"/>
        <v>50770.232771112394</v>
      </c>
      <c r="L24" s="3">
        <f t="shared" si="4"/>
        <v>479925.06261707091</v>
      </c>
      <c r="M24" s="3">
        <f t="shared" si="4"/>
        <v>1203270.607764967</v>
      </c>
      <c r="N24" s="3" t="s">
        <v>1</v>
      </c>
      <c r="O24" s="3">
        <f t="shared" ref="O24:V24" si="5">STDEV(O5:O20)</f>
        <v>702133.26603655564</v>
      </c>
      <c r="P24" s="3">
        <f t="shared" si="5"/>
        <v>931075.39923240442</v>
      </c>
      <c r="Q24" s="3">
        <f t="shared" si="5"/>
        <v>84457.40898072593</v>
      </c>
      <c r="R24" s="3">
        <f t="shared" si="5"/>
        <v>1200982.6603681729</v>
      </c>
      <c r="S24" s="3">
        <f t="shared" si="5"/>
        <v>931777.13913483638</v>
      </c>
      <c r="T24" s="3">
        <f t="shared" si="5"/>
        <v>909234.36714723671</v>
      </c>
      <c r="U24" s="3">
        <f t="shared" si="5"/>
        <v>1161809.2226190835</v>
      </c>
      <c r="V24" s="3">
        <f t="shared" si="5"/>
        <v>935648.06580170221</v>
      </c>
    </row>
    <row r="25" spans="1:22" ht="15" thickBot="1" x14ac:dyDescent="0.4"/>
    <row r="26" spans="1:22" ht="15" thickBot="1" x14ac:dyDescent="0.4">
      <c r="B26" s="233" t="s">
        <v>6</v>
      </c>
      <c r="C26" s="234"/>
      <c r="D26" s="234"/>
      <c r="E26" s="234"/>
      <c r="F26" s="234"/>
      <c r="G26" s="234"/>
      <c r="H26" s="234"/>
      <c r="I26" s="234"/>
      <c r="J26" s="234"/>
      <c r="K26" s="234"/>
      <c r="L26" s="234"/>
      <c r="M26" s="234"/>
      <c r="N26" s="1"/>
      <c r="O26" s="233" t="s">
        <v>3</v>
      </c>
      <c r="P26" s="234"/>
      <c r="Q26" s="234"/>
      <c r="R26" s="234"/>
      <c r="S26" s="234"/>
      <c r="T26" s="234"/>
      <c r="U26" s="234"/>
      <c r="V26" s="234"/>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BPA-1mg/L</v>
      </c>
      <c r="J27" s="35" t="str">
        <f t="shared" si="6"/>
        <v>BPA-2mg/L</v>
      </c>
      <c r="K27" s="35" t="str">
        <f t="shared" si="6"/>
        <v>BPA-3mg/L</v>
      </c>
      <c r="L27" s="35" t="str">
        <f t="shared" si="6"/>
        <v>BPA-4mg/L</v>
      </c>
      <c r="M27" s="35" t="str">
        <f t="shared" si="6"/>
        <v>BPA-5mg/L</v>
      </c>
      <c r="N27" s="3"/>
      <c r="O27" s="36" t="str">
        <f t="shared" ref="O27:V27" si="7">O4</f>
        <v>Testo -30µg/L</v>
      </c>
      <c r="P27" s="36" t="str">
        <f t="shared" si="7"/>
        <v>Testo 30µg/L + EE2 -64ng/L</v>
      </c>
      <c r="Q27" s="36" t="str">
        <f t="shared" si="7"/>
        <v>Testo 30µg/L + FAD-10mg/L</v>
      </c>
      <c r="R27" s="36" t="str">
        <f t="shared" si="7"/>
        <v>BPA-1mg/L + Testostérone</v>
      </c>
      <c r="S27" s="36" t="str">
        <f t="shared" si="7"/>
        <v>BPA-2mg/L + Testostérone</v>
      </c>
      <c r="T27" s="36" t="str">
        <f t="shared" si="7"/>
        <v>BPA-3mg/L + Testostérone</v>
      </c>
      <c r="U27" s="36" t="str">
        <f t="shared" si="7"/>
        <v>BPA-4mg/L + Testostérone</v>
      </c>
      <c r="V27" s="36" t="str">
        <f t="shared" si="7"/>
        <v>BPA-5mg/L + Testostérone</v>
      </c>
    </row>
    <row r="28" spans="1:22" x14ac:dyDescent="0.35">
      <c r="A28" s="231" t="s">
        <v>34</v>
      </c>
      <c r="B28" s="11">
        <f t="shared" ref="B28:M28" si="8">IF(B5="","",(B5/$O$23))</f>
        <v>0.28883449711217046</v>
      </c>
      <c r="C28" s="11">
        <f t="shared" si="8"/>
        <v>0.34313222944839611</v>
      </c>
      <c r="D28" s="11">
        <f t="shared" si="8"/>
        <v>0.20867401586296927</v>
      </c>
      <c r="E28" s="11">
        <f t="shared" si="8"/>
        <v>0.79232806662530919</v>
      </c>
      <c r="F28" s="11">
        <f t="shared" si="8"/>
        <v>3.9109972293801056</v>
      </c>
      <c r="G28" s="11">
        <f t="shared" si="8"/>
        <v>4.2083867233606442</v>
      </c>
      <c r="H28" s="11">
        <f t="shared" si="8"/>
        <v>5.7100040972523658</v>
      </c>
      <c r="I28" s="11">
        <f t="shared" si="8"/>
        <v>0.35753233788051514</v>
      </c>
      <c r="J28" s="11">
        <f t="shared" si="8"/>
        <v>0.11951163149976916</v>
      </c>
      <c r="K28" s="11">
        <f t="shared" si="8"/>
        <v>0.22484110165846111</v>
      </c>
      <c r="L28" s="11">
        <f t="shared" si="8"/>
        <v>0.32937678556977967</v>
      </c>
      <c r="M28" s="11">
        <f t="shared" si="8"/>
        <v>3.7858377857884764</v>
      </c>
      <c r="N28" s="6"/>
      <c r="O28" s="11">
        <f t="shared" ref="O28:V28" si="9">IF(O5="","",(O5/$O$23))</f>
        <v>2.3276597907392858</v>
      </c>
      <c r="P28" s="11">
        <f t="shared" si="9"/>
        <v>7.0241167709430057</v>
      </c>
      <c r="Q28" s="11">
        <f t="shared" si="9"/>
        <v>6.9075003944842353E-2</v>
      </c>
      <c r="R28" s="11">
        <f t="shared" si="9"/>
        <v>0.66401320799137498</v>
      </c>
      <c r="S28" s="11">
        <f t="shared" si="9"/>
        <v>5.1282656867112886</v>
      </c>
      <c r="T28" s="11">
        <f t="shared" si="9"/>
        <v>5.9308854443935832</v>
      </c>
      <c r="U28" s="11">
        <f t="shared" si="9"/>
        <v>4.7346569109776064</v>
      </c>
      <c r="V28" s="11">
        <f t="shared" si="9"/>
        <v>4.7829998699505882</v>
      </c>
    </row>
    <row r="29" spans="1:22" x14ac:dyDescent="0.35">
      <c r="A29" s="232"/>
      <c r="B29" s="11">
        <f t="shared" ref="B29:M29" si="10">IF(B6="","",(B6/$O$23))</f>
        <v>0.29836268509653779</v>
      </c>
      <c r="C29" s="11">
        <f t="shared" si="10"/>
        <v>5.3731987571479185E-2</v>
      </c>
      <c r="D29" s="11">
        <f t="shared" si="10"/>
        <v>0.13499413401139909</v>
      </c>
      <c r="E29" s="11">
        <f t="shared" si="10"/>
        <v>2.5293367873078503</v>
      </c>
      <c r="F29" s="11">
        <f t="shared" si="10"/>
        <v>2.2373360925078187</v>
      </c>
      <c r="G29" s="11">
        <f t="shared" si="10"/>
        <v>0.63045899152653828</v>
      </c>
      <c r="H29" s="11">
        <f t="shared" si="10"/>
        <v>5.1668225918785016</v>
      </c>
      <c r="I29" s="11">
        <f t="shared" si="10"/>
        <v>1.4380378484930014E-2</v>
      </c>
      <c r="J29" s="11">
        <f t="shared" si="10"/>
        <v>0.29548440698684231</v>
      </c>
      <c r="K29" s="11">
        <f t="shared" si="10"/>
        <v>0.20381081329885922</v>
      </c>
      <c r="L29" s="11">
        <f t="shared" si="10"/>
        <v>2.015621958060831</v>
      </c>
      <c r="M29" s="11">
        <f t="shared" si="10"/>
        <v>2.9414254115999636</v>
      </c>
      <c r="N29" s="6"/>
      <c r="O29" s="11">
        <f t="shared" ref="O29:V29" si="11">IF(O6="","",(O6/$O$23))</f>
        <v>9.9692211294397551E-2</v>
      </c>
      <c r="P29" s="11">
        <f t="shared" si="11"/>
        <v>5.6731141432046366</v>
      </c>
      <c r="Q29" s="11">
        <f t="shared" si="11"/>
        <v>0.183157688115755</v>
      </c>
      <c r="R29" s="11">
        <f t="shared" si="11"/>
        <v>3.3204744039800898</v>
      </c>
      <c r="S29" s="11">
        <f t="shared" si="11"/>
        <v>3.5685596776071566</v>
      </c>
      <c r="T29" s="11">
        <f t="shared" si="11"/>
        <v>4.0345179402650917</v>
      </c>
      <c r="U29" s="11">
        <f t="shared" si="11"/>
        <v>3.0794464865789482</v>
      </c>
      <c r="V29" s="11">
        <f t="shared" si="11"/>
        <v>4.1126840909222651</v>
      </c>
    </row>
    <row r="30" spans="1:22" x14ac:dyDescent="0.35">
      <c r="A30" s="232"/>
      <c r="B30" s="11">
        <f t="shared" ref="B30:M30" si="12">IF(B7="","",(B7/$O$23))</f>
        <v>0.57688576120453372</v>
      </c>
      <c r="C30" s="11">
        <f t="shared" si="12"/>
        <v>0.2181521907253923</v>
      </c>
      <c r="D30" s="11">
        <f t="shared" si="12"/>
        <v>0.27663771906148893</v>
      </c>
      <c r="E30" s="11">
        <f t="shared" si="12"/>
        <v>0.38998626566257655</v>
      </c>
      <c r="F30" s="11">
        <f t="shared" si="12"/>
        <v>3.9713281960323501</v>
      </c>
      <c r="G30" s="11">
        <f t="shared" si="12"/>
        <v>4.3719881337062114</v>
      </c>
      <c r="H30" s="11">
        <f t="shared" si="12"/>
        <v>7.1525711157152063</v>
      </c>
      <c r="I30" s="11" t="str">
        <f t="shared" si="12"/>
        <v/>
      </c>
      <c r="J30" s="11">
        <f t="shared" si="12"/>
        <v>0.23703833854512377</v>
      </c>
      <c r="K30" s="11">
        <f t="shared" si="12"/>
        <v>0.30535901613697086</v>
      </c>
      <c r="L30" s="11">
        <f t="shared" si="12"/>
        <v>1.9830193674208803</v>
      </c>
      <c r="M30" s="11">
        <f t="shared" si="12"/>
        <v>2.6718046711980592</v>
      </c>
      <c r="N30" s="6"/>
      <c r="O30" s="11">
        <f t="shared" ref="O30:V30" si="13">IF(O7="","",(O7/$O$23))</f>
        <v>2.0381898057932353</v>
      </c>
      <c r="P30" s="11">
        <f t="shared" si="13"/>
        <v>5.4581687571514363</v>
      </c>
      <c r="Q30" s="11">
        <f t="shared" si="13"/>
        <v>0.12077687171776459</v>
      </c>
      <c r="R30" s="11">
        <f t="shared" si="13"/>
        <v>0.37090098302703001</v>
      </c>
      <c r="S30" s="11">
        <f t="shared" si="13"/>
        <v>1.0538407164044767</v>
      </c>
      <c r="T30" s="11">
        <f t="shared" si="13"/>
        <v>2.4434993578819864</v>
      </c>
      <c r="U30" s="11">
        <f t="shared" si="13"/>
        <v>4.5272736007295853</v>
      </c>
      <c r="V30" s="11">
        <f t="shared" si="13"/>
        <v>5.7229561193280052</v>
      </c>
    </row>
    <row r="31" spans="1:22" x14ac:dyDescent="0.35">
      <c r="A31" s="232"/>
      <c r="B31" s="11">
        <f t="shared" ref="B31:M31" si="14">IF(B8="","",(B8/$O$23))</f>
        <v>0.2941051460275334</v>
      </c>
      <c r="C31" s="11">
        <f t="shared" si="14"/>
        <v>0.23521217134018388</v>
      </c>
      <c r="D31" s="11">
        <f t="shared" si="14"/>
        <v>0.27045444537963714</v>
      </c>
      <c r="E31" s="11">
        <f t="shared" si="14"/>
        <v>3.7062026717376813</v>
      </c>
      <c r="F31" s="11">
        <f t="shared" si="14"/>
        <v>3.074364878087815</v>
      </c>
      <c r="G31" s="11">
        <f t="shared" si="14"/>
        <v>5.3896888634741336</v>
      </c>
      <c r="H31" s="11">
        <f t="shared" si="14"/>
        <v>5.8743651105647112</v>
      </c>
      <c r="I31" s="11">
        <f t="shared" si="14"/>
        <v>0.51056973801429029</v>
      </c>
      <c r="J31" s="11">
        <f t="shared" si="14"/>
        <v>0.15715545306451276</v>
      </c>
      <c r="K31" s="11">
        <f t="shared" si="14"/>
        <v>0.34462069337121642</v>
      </c>
      <c r="L31" s="11">
        <f t="shared" si="14"/>
        <v>1.5105798171113427</v>
      </c>
      <c r="M31" s="11">
        <f t="shared" si="14"/>
        <v>3.9405820557720945</v>
      </c>
      <c r="N31" s="6"/>
      <c r="O31" s="11">
        <f t="shared" ref="O31:V31" si="15">IF(O8="","",(O8/$O$23))</f>
        <v>1.458704050501568</v>
      </c>
      <c r="P31" s="11">
        <f t="shared" si="15"/>
        <v>4.8032161832796465</v>
      </c>
      <c r="Q31" s="11">
        <f t="shared" si="15"/>
        <v>7.5734549375118157E-2</v>
      </c>
      <c r="R31" s="11">
        <f t="shared" si="15"/>
        <v>0.54136543256050929</v>
      </c>
      <c r="S31" s="11">
        <f t="shared" si="15"/>
        <v>3.4116515371364788</v>
      </c>
      <c r="T31" s="11">
        <f t="shared" si="15"/>
        <v>3.9587735259163792</v>
      </c>
      <c r="U31" s="11">
        <f t="shared" si="15"/>
        <v>3.6603369682268774</v>
      </c>
      <c r="V31" s="11">
        <f t="shared" si="15"/>
        <v>4.1882897073866827</v>
      </c>
    </row>
    <row r="32" spans="1:22" x14ac:dyDescent="0.35">
      <c r="A32" s="232"/>
      <c r="B32" s="11">
        <f t="shared" ref="B32:M32" si="16">IF(B9="","",(B9/$O$23))</f>
        <v>0.40893206215985622</v>
      </c>
      <c r="C32" s="11" t="str">
        <f t="shared" si="16"/>
        <v/>
      </c>
      <c r="D32" s="11">
        <f t="shared" si="16"/>
        <v>0.16897598561065891</v>
      </c>
      <c r="E32" s="11">
        <f t="shared" si="16"/>
        <v>0.29884859240056577</v>
      </c>
      <c r="F32" s="11">
        <f t="shared" si="16"/>
        <v>4.1561932128339292</v>
      </c>
      <c r="G32" s="11">
        <f t="shared" si="16"/>
        <v>6.4298732445719207</v>
      </c>
      <c r="H32" s="11">
        <f t="shared" si="16"/>
        <v>5.8144507669833434</v>
      </c>
      <c r="I32" s="11">
        <f t="shared" si="16"/>
        <v>0.63691917272300846</v>
      </c>
      <c r="J32" s="11">
        <f t="shared" si="16"/>
        <v>6.6871444145414238E-2</v>
      </c>
      <c r="K32" s="11">
        <f t="shared" si="16"/>
        <v>0.34912646270601794</v>
      </c>
      <c r="L32" s="11">
        <f t="shared" si="16"/>
        <v>2.5508339412782628</v>
      </c>
      <c r="M32" s="11">
        <f t="shared" si="16"/>
        <v>5.5535336863076958</v>
      </c>
      <c r="N32" s="6"/>
      <c r="O32" s="11">
        <f t="shared" ref="O32:V32" si="17">IF(O9="","",(O9/$O$23))</f>
        <v>0.46433100085081952</v>
      </c>
      <c r="P32" s="11">
        <f t="shared" si="17"/>
        <v>2.5820269877841495</v>
      </c>
      <c r="Q32" s="11">
        <f t="shared" si="17"/>
        <v>0.38222459620560079</v>
      </c>
      <c r="R32" s="11">
        <f t="shared" si="17"/>
        <v>4.3712193540198108</v>
      </c>
      <c r="S32" s="11">
        <f t="shared" si="17"/>
        <v>4.5355799084961754</v>
      </c>
      <c r="T32" s="11">
        <f t="shared" si="17"/>
        <v>4.9047542917261735</v>
      </c>
      <c r="U32" s="11">
        <f t="shared" si="17"/>
        <v>2.1752381484922014</v>
      </c>
      <c r="V32" s="11">
        <f t="shared" si="17"/>
        <v>8.1763300863601209</v>
      </c>
    </row>
    <row r="33" spans="1:22" x14ac:dyDescent="0.35">
      <c r="A33" s="232"/>
      <c r="B33" s="11">
        <f t="shared" ref="B33:M33" si="18">IF(B10="","",(B10/$O$23))</f>
        <v>0.17214195388052958</v>
      </c>
      <c r="C33" s="11">
        <f t="shared" si="18"/>
        <v>0.7546447851661876</v>
      </c>
      <c r="D33" s="11">
        <f t="shared" si="18"/>
        <v>0.17650869591304544</v>
      </c>
      <c r="E33" s="11">
        <f t="shared" si="18"/>
        <v>0.17790768681954336</v>
      </c>
      <c r="F33" s="11">
        <f t="shared" si="18"/>
        <v>2.0239778201133838</v>
      </c>
      <c r="G33" s="11">
        <f t="shared" si="18"/>
        <v>4.157393986596575</v>
      </c>
      <c r="H33" s="11">
        <f t="shared" si="18"/>
        <v>5.5408799076197992</v>
      </c>
      <c r="I33" s="11">
        <f t="shared" si="18"/>
        <v>0.42847388659663777</v>
      </c>
      <c r="J33" s="11">
        <f t="shared" si="18"/>
        <v>0.24526067932716475</v>
      </c>
      <c r="K33" s="11">
        <f t="shared" si="18"/>
        <v>0.19556874256962922</v>
      </c>
      <c r="L33" s="11">
        <f t="shared" si="18"/>
        <v>1.5151548706792966</v>
      </c>
      <c r="M33" s="11">
        <f t="shared" si="18"/>
        <v>0.134056043847957</v>
      </c>
      <c r="N33" s="6"/>
      <c r="O33" s="11">
        <f t="shared" ref="O33:V33" si="19">IF(O10="","",(O10/$O$23))</f>
        <v>2.8204840471829602</v>
      </c>
      <c r="P33" s="11">
        <f t="shared" si="19"/>
        <v>4.1185493912691866</v>
      </c>
      <c r="Q33" s="11">
        <f t="shared" si="19"/>
        <v>4.422398837028204E-2</v>
      </c>
      <c r="R33" s="11">
        <f t="shared" si="19"/>
        <v>0.25571663366539854</v>
      </c>
      <c r="S33" s="11">
        <f t="shared" si="19"/>
        <v>2.7979359293977448</v>
      </c>
      <c r="T33" s="11">
        <f t="shared" si="19"/>
        <v>2.9663257520424966</v>
      </c>
      <c r="U33" s="11">
        <f t="shared" si="19"/>
        <v>3.8591409632995299</v>
      </c>
      <c r="V33" s="11">
        <f t="shared" si="19"/>
        <v>5.3901600880267653</v>
      </c>
    </row>
    <row r="34" spans="1:22" x14ac:dyDescent="0.35">
      <c r="A34" s="232"/>
      <c r="B34" s="11">
        <f t="shared" ref="B34:M34" si="20">IF(B11="","",(B11/$O$23))</f>
        <v>0.14327153511117693</v>
      </c>
      <c r="C34" s="11">
        <f t="shared" si="20"/>
        <v>0.25444657566960116</v>
      </c>
      <c r="D34" s="11">
        <f t="shared" si="20"/>
        <v>0.91745722704218369</v>
      </c>
      <c r="E34" s="11">
        <f t="shared" si="20"/>
        <v>1.7004172394405435</v>
      </c>
      <c r="F34" s="11">
        <f t="shared" si="20"/>
        <v>3.7501990774613172</v>
      </c>
      <c r="G34" s="11" t="str">
        <f t="shared" si="20"/>
        <v/>
      </c>
      <c r="H34" s="11">
        <f t="shared" si="20"/>
        <v>7.192884445018227</v>
      </c>
      <c r="I34" s="11">
        <f t="shared" si="20"/>
        <v>0.59298356276687325</v>
      </c>
      <c r="J34" s="11">
        <f t="shared" si="20"/>
        <v>0.272707788883019</v>
      </c>
      <c r="K34" s="11">
        <f t="shared" si="20"/>
        <v>0.19863055507178098</v>
      </c>
      <c r="L34" s="11">
        <f t="shared" si="20"/>
        <v>1.5130309189225963</v>
      </c>
      <c r="M34" s="11" t="str">
        <f t="shared" si="20"/>
        <v/>
      </c>
      <c r="N34" s="6"/>
      <c r="O34" s="11">
        <f t="shared" ref="O34:V34" si="21">IF(O11="","",(O11/$O$23))</f>
        <v>3.4170433187508627E-2</v>
      </c>
      <c r="P34" s="11">
        <f t="shared" si="21"/>
        <v>5.0502383339384105</v>
      </c>
      <c r="Q34" s="11">
        <f t="shared" si="21"/>
        <v>0.11727847677955749</v>
      </c>
      <c r="R34" s="11">
        <f t="shared" si="21"/>
        <v>3.1830291681574376</v>
      </c>
      <c r="S34" s="11">
        <f t="shared" si="21"/>
        <v>2.1694522267700176</v>
      </c>
      <c r="T34" s="11">
        <f t="shared" si="21"/>
        <v>2.8340311795261388</v>
      </c>
      <c r="U34" s="11">
        <f t="shared" si="21"/>
        <v>3.391613711004084</v>
      </c>
      <c r="V34" s="11">
        <f t="shared" si="21"/>
        <v>5.7345977058415061</v>
      </c>
    </row>
    <row r="35" spans="1:22" x14ac:dyDescent="0.35">
      <c r="A35" s="232"/>
      <c r="B35" s="11">
        <f t="shared" ref="B35:M35" si="22">IF(B12="","",(B12/$O$23))</f>
        <v>0.11436073877548392</v>
      </c>
      <c r="C35" s="11">
        <f t="shared" si="22"/>
        <v>9.2665597079209197E-2</v>
      </c>
      <c r="D35" s="11">
        <f t="shared" si="22"/>
        <v>0.21267368911057261</v>
      </c>
      <c r="E35" s="11">
        <f t="shared" si="22"/>
        <v>3.1219929706021796</v>
      </c>
      <c r="F35" s="11">
        <f t="shared" si="22"/>
        <v>3.656233139211555</v>
      </c>
      <c r="G35" s="11">
        <f t="shared" si="22"/>
        <v>2.0104013222674126</v>
      </c>
      <c r="H35" s="11">
        <f t="shared" si="22"/>
        <v>5.385322121441618</v>
      </c>
      <c r="I35" s="11">
        <f t="shared" si="22"/>
        <v>0.27350157513039242</v>
      </c>
      <c r="J35" s="11">
        <f t="shared" si="22"/>
        <v>0.21420161292777107</v>
      </c>
      <c r="K35" s="11">
        <f t="shared" si="22"/>
        <v>0.33369397331633233</v>
      </c>
      <c r="L35" s="11">
        <f t="shared" si="22"/>
        <v>1.1518857065265793</v>
      </c>
      <c r="M35" s="11">
        <f t="shared" si="22"/>
        <v>2.5910183376705822</v>
      </c>
      <c r="N35" s="6"/>
      <c r="O35" s="11">
        <f t="shared" ref="O35:V35" si="23">IF(O12="","",(O12/$O$23))</f>
        <v>0.66722918938318998</v>
      </c>
      <c r="P35" s="11">
        <f t="shared" si="23"/>
        <v>4.6462786773061753</v>
      </c>
      <c r="Q35" s="11">
        <f t="shared" si="23"/>
        <v>0.27217140962106556</v>
      </c>
      <c r="R35" s="11">
        <f t="shared" si="23"/>
        <v>0.74903735064066723</v>
      </c>
      <c r="S35" s="11">
        <f t="shared" si="23"/>
        <v>3.1152145866527881</v>
      </c>
      <c r="T35" s="11">
        <f t="shared" si="23"/>
        <v>2.4788806592237247</v>
      </c>
      <c r="U35" s="11">
        <f t="shared" si="23"/>
        <v>7.5382695591340241</v>
      </c>
      <c r="V35" s="11">
        <f t="shared" si="23"/>
        <v>4.9726881705859185</v>
      </c>
    </row>
    <row r="36" spans="1:22" s="1" customFormat="1" x14ac:dyDescent="0.35">
      <c r="A36" s="232"/>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9.591094397381722E-2</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32"/>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9.2824354328683883E-2</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32"/>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2.4395496977563269</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32"/>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t="str">
        <f t="shared" ref="O39:R39" si="32">IF(O16="","",(O16/$O$23))</f>
        <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32"/>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0.5212289566921694</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32"/>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0.73005163541302831</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32"/>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0.2553197405417118</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32"/>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0.95465414236129631</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BPA-1mg/L</v>
      </c>
      <c r="J45" s="70" t="str">
        <f t="shared" si="46"/>
        <v>BPA-2mg/L</v>
      </c>
      <c r="K45" s="70" t="str">
        <f t="shared" si="46"/>
        <v>BPA-3mg/L</v>
      </c>
      <c r="L45" s="70" t="str">
        <f t="shared" si="46"/>
        <v>BPA-4mg/L</v>
      </c>
      <c r="M45" s="70" t="str">
        <f t="shared" si="46"/>
        <v>BPA-5mg/L</v>
      </c>
      <c r="N45" s="70" t="str">
        <f>N22</f>
        <v>Nom des groupes</v>
      </c>
      <c r="O45" s="70" t="str">
        <f t="shared" ref="O45:V45" si="47">O4</f>
        <v>Testo -30µg/L</v>
      </c>
      <c r="P45" s="70" t="str">
        <f t="shared" si="47"/>
        <v>Testo 30µg/L + EE2 -64ng/L</v>
      </c>
      <c r="Q45" s="70" t="str">
        <f t="shared" si="47"/>
        <v>Testo 30µg/L + FAD-10mg/L</v>
      </c>
      <c r="R45" s="70" t="str">
        <f t="shared" si="47"/>
        <v>BPA-1mg/L + Testostérone</v>
      </c>
      <c r="S45" s="70" t="str">
        <f t="shared" si="47"/>
        <v>BPA-2mg/L + Testostérone</v>
      </c>
      <c r="T45" s="70" t="str">
        <f t="shared" si="47"/>
        <v>BPA-3mg/L + Testostérone</v>
      </c>
      <c r="U45" s="70" t="str">
        <f t="shared" si="47"/>
        <v>BPA-4mg/L + Testostérone</v>
      </c>
      <c r="V45" s="70" t="str">
        <f t="shared" si="47"/>
        <v>BPA-5mg/L + Testostérone</v>
      </c>
    </row>
    <row r="46" spans="1:22" x14ac:dyDescent="0.35">
      <c r="A46" s="8" t="s">
        <v>0</v>
      </c>
      <c r="B46" s="10">
        <f t="shared" ref="B46:H46" si="48">AVERAGE(B28:B43)</f>
        <v>0.28711179742097781</v>
      </c>
      <c r="C46" s="10">
        <f t="shared" si="48"/>
        <v>0.27885507671434989</v>
      </c>
      <c r="D46" s="10">
        <f t="shared" si="48"/>
        <v>0.29579698899899443</v>
      </c>
      <c r="E46" s="10">
        <f t="shared" si="48"/>
        <v>1.589627535074531</v>
      </c>
      <c r="F46" s="10">
        <f t="shared" si="48"/>
        <v>3.3475787057035342</v>
      </c>
      <c r="G46" s="10">
        <f t="shared" si="48"/>
        <v>3.8854558950719187</v>
      </c>
      <c r="H46" s="10">
        <f t="shared" si="48"/>
        <v>5.9796625195592217</v>
      </c>
      <c r="I46" s="10">
        <f>AVERAGE(I28:I43)</f>
        <v>0.40205152165666391</v>
      </c>
      <c r="J46" s="9">
        <f>AVERAGE(J28:J43)</f>
        <v>0.20102891942245213</v>
      </c>
      <c r="K46" s="9">
        <f>AVERAGE(K28:K43)</f>
        <v>0.26945641976615853</v>
      </c>
      <c r="L46" s="9">
        <f t="shared" ref="L46:M46" si="49">AVERAGE(L28:L43)</f>
        <v>1.5711879206961961</v>
      </c>
      <c r="M46" s="9">
        <f t="shared" si="49"/>
        <v>3.0883225703121182</v>
      </c>
      <c r="N46" s="8" t="s">
        <v>0</v>
      </c>
      <c r="O46" s="10">
        <f>AVERAGE(O28:O43)</f>
        <v>0.99999999999999989</v>
      </c>
      <c r="P46" s="10">
        <f>AVERAGE(P28:P43)</f>
        <v>4.9194636556095812</v>
      </c>
      <c r="Q46" s="10">
        <f>AVERAGE(Q28:Q43)</f>
        <v>0.15808032301624825</v>
      </c>
      <c r="R46" s="10">
        <f>AVERAGE(R28:R43)</f>
        <v>1.6819695667552899</v>
      </c>
      <c r="S46" s="10">
        <f t="shared" ref="S46:V46" si="50">AVERAGE(S28:S43)</f>
        <v>3.2225625336470158</v>
      </c>
      <c r="T46" s="10">
        <f t="shared" si="50"/>
        <v>3.6939585188719466</v>
      </c>
      <c r="U46" s="10">
        <f t="shared" si="50"/>
        <v>4.1207470435553573</v>
      </c>
      <c r="V46" s="10">
        <f t="shared" si="50"/>
        <v>5.3850882298002318</v>
      </c>
    </row>
    <row r="47" spans="1:22" x14ac:dyDescent="0.35">
      <c r="A47" s="8" t="s">
        <v>1</v>
      </c>
      <c r="B47" s="8">
        <f t="shared" ref="B47:K47" si="51">STDEV(B28:B43)</f>
        <v>0.15247416564713834</v>
      </c>
      <c r="C47" s="8">
        <f t="shared" si="51"/>
        <v>0.23167493214432031</v>
      </c>
      <c r="D47" s="8">
        <f t="shared" si="51"/>
        <v>0.25582960039780328</v>
      </c>
      <c r="E47" s="8">
        <f t="shared" si="51"/>
        <v>1.3865296246868726</v>
      </c>
      <c r="F47" s="8">
        <f t="shared" si="51"/>
        <v>0.81739444611859902</v>
      </c>
      <c r="G47" s="8">
        <f t="shared" si="51"/>
        <v>1.9690335713009768</v>
      </c>
      <c r="H47" s="8">
        <f t="shared" si="51"/>
        <v>0.77138091248368468</v>
      </c>
      <c r="I47" s="8">
        <f>STDEV(I28:I43)</f>
        <v>0.21326359441407847</v>
      </c>
      <c r="J47" s="8">
        <f t="shared" si="51"/>
        <v>7.9331603876582404E-2</v>
      </c>
      <c r="K47" s="8">
        <f t="shared" si="51"/>
        <v>6.9885628698822019E-2</v>
      </c>
      <c r="L47" s="8">
        <f t="shared" ref="L47:M47" si="52">STDEV(L28:L43)</f>
        <v>0.66062066093971694</v>
      </c>
      <c r="M47" s="8">
        <f t="shared" si="52"/>
        <v>1.6563115496747391</v>
      </c>
      <c r="N47" s="8" t="s">
        <v>1</v>
      </c>
      <c r="O47" s="8">
        <f>STDEV(O28:O43)</f>
        <v>0.96649201804017648</v>
      </c>
      <c r="P47" s="8">
        <f>STDEV(P28:P43)</f>
        <v>1.2816326829682434</v>
      </c>
      <c r="Q47" s="8">
        <f>STDEV(Q28:Q43)</f>
        <v>0.11625629434281284</v>
      </c>
      <c r="R47" s="8">
        <f>STDEV(R28:R43)</f>
        <v>1.6531621719089191</v>
      </c>
      <c r="S47" s="8">
        <f t="shared" ref="S47:V47" si="53">STDEV(S28:S43)</f>
        <v>1.2825986335181629</v>
      </c>
      <c r="T47" s="8">
        <f t="shared" si="53"/>
        <v>1.2515683288104784</v>
      </c>
      <c r="U47" s="8">
        <f t="shared" si="53"/>
        <v>1.5992396236761497</v>
      </c>
      <c r="V47" s="8">
        <f t="shared" si="53"/>
        <v>1.2879269948235055</v>
      </c>
    </row>
    <row r="48" spans="1:22" x14ac:dyDescent="0.35">
      <c r="A48" s="8" t="s">
        <v>2</v>
      </c>
      <c r="B48" s="8">
        <f t="shared" ref="B48:K48" si="54" xml:space="preserve"> B47/SQRT(COUNT(B28:B43))</f>
        <v>5.3907758242426218E-2</v>
      </c>
      <c r="C48" s="8">
        <f t="shared" si="54"/>
        <v>8.7564893637376504E-2</v>
      </c>
      <c r="D48" s="8">
        <f t="shared" si="54"/>
        <v>9.0449422634765686E-2</v>
      </c>
      <c r="E48" s="8">
        <f t="shared" si="54"/>
        <v>0.49021224996606311</v>
      </c>
      <c r="F48" s="8">
        <f t="shared" si="54"/>
        <v>0.28899257787734167</v>
      </c>
      <c r="G48" s="8">
        <f t="shared" si="54"/>
        <v>0.74422473611425033</v>
      </c>
      <c r="H48" s="8">
        <f t="shared" si="54"/>
        <v>0.27272433704754007</v>
      </c>
      <c r="I48" s="8">
        <f xml:space="preserve"> I47/SQRT(COUNT(I28:I43))</f>
        <v>8.0606062074770737E-2</v>
      </c>
      <c r="J48" s="8">
        <f t="shared" si="54"/>
        <v>2.8047957531768208E-2</v>
      </c>
      <c r="K48" s="8">
        <f t="shared" si="54"/>
        <v>2.4708300980211123E-2</v>
      </c>
      <c r="L48" s="8">
        <f t="shared" ref="L48:M48" si="55" xml:space="preserve"> L47/SQRT(COUNT(L28:L43))</f>
        <v>0.23356467457120639</v>
      </c>
      <c r="M48" s="8">
        <f t="shared" si="55"/>
        <v>0.62602692201190924</v>
      </c>
      <c r="N48" s="8" t="s">
        <v>2</v>
      </c>
      <c r="O48" s="8">
        <f xml:space="preserve"> O47/SQRT(COUNT(O28:O43))</f>
        <v>0.24954716600746679</v>
      </c>
      <c r="P48" s="8">
        <f xml:space="preserve"> P47/SQRT(COUNT(P28:P43))</f>
        <v>0.45312558055857671</v>
      </c>
      <c r="Q48" s="8">
        <f xml:space="preserve"> Q47/SQRT(COUNT(Q28:Q43))</f>
        <v>4.1102807042711111E-2</v>
      </c>
      <c r="R48" s="8">
        <f xml:space="preserve"> R47/SQRT(COUNT(R28:R43))</f>
        <v>0.58448109107893886</v>
      </c>
      <c r="S48" s="8">
        <f t="shared" ref="S48:V48" si="56" xml:space="preserve"> S47/SQRT(COUNT(S28:S43))</f>
        <v>0.45346709565064625</v>
      </c>
      <c r="T48" s="8">
        <f t="shared" si="56"/>
        <v>0.44249622621010193</v>
      </c>
      <c r="U48" s="8">
        <f t="shared" si="56"/>
        <v>0.56541659132181388</v>
      </c>
      <c r="V48" s="8">
        <f t="shared" si="56"/>
        <v>0.45535095585645607</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27" t="s">
        <v>38</v>
      </c>
      <c r="B50" s="228"/>
      <c r="C50" s="228"/>
      <c r="D50" s="228"/>
      <c r="E50" s="228"/>
      <c r="F50" s="228"/>
      <c r="G50" s="228"/>
      <c r="H50" s="228"/>
      <c r="I50" s="228"/>
      <c r="J50" s="228"/>
      <c r="K50" s="228"/>
      <c r="L50" s="228"/>
      <c r="M50" s="228"/>
      <c r="N50" s="228"/>
      <c r="O50" s="228"/>
      <c r="P50" s="228"/>
      <c r="Q50" s="228"/>
      <c r="R50" s="228"/>
      <c r="S50" s="228"/>
      <c r="T50" s="228"/>
      <c r="U50" s="228"/>
      <c r="V50" s="228"/>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BPA-1mg/L</v>
      </c>
      <c r="J52" s="46" t="str">
        <f>J4</f>
        <v>BPA-2mg/L</v>
      </c>
      <c r="K52" s="46" t="str">
        <f>K27</f>
        <v>BPA-3mg/L</v>
      </c>
      <c r="L52" s="46" t="str">
        <f t="shared" ref="L52:M52" si="58">L27</f>
        <v>BPA-4mg/L</v>
      </c>
      <c r="M52" s="46" t="str">
        <f t="shared" si="58"/>
        <v>BPA-5mg/L</v>
      </c>
      <c r="N52" s="47"/>
      <c r="O52" s="46" t="str">
        <f>O27</f>
        <v>Testo -30µg/L</v>
      </c>
      <c r="P52" s="46" t="str">
        <f>P27</f>
        <v>Testo 30µg/L + EE2 -64ng/L</v>
      </c>
      <c r="Q52" s="46" t="str">
        <f>Q27</f>
        <v>Testo 30µg/L + FAD-10mg/L</v>
      </c>
      <c r="R52" s="46" t="str">
        <f>R27</f>
        <v>BPA-1mg/L + Testostérone</v>
      </c>
      <c r="S52" s="46" t="str">
        <f t="shared" ref="S52:V52" si="59">S27</f>
        <v>BPA-2mg/L + Testostérone</v>
      </c>
      <c r="T52" s="46" t="str">
        <f t="shared" si="59"/>
        <v>BPA-3mg/L + Testostérone</v>
      </c>
      <c r="U52" s="46" t="str">
        <f t="shared" si="59"/>
        <v>BPA-4mg/L + Testostérone</v>
      </c>
      <c r="V52" s="46" t="str">
        <f t="shared" si="59"/>
        <v>BPA-5mg/L + Testostérone</v>
      </c>
    </row>
    <row r="53" spans="1:22" s="3" customFormat="1" x14ac:dyDescent="0.35">
      <c r="A53" s="61" t="s">
        <v>32</v>
      </c>
      <c r="B53" s="141">
        <f t="shared" ref="B53:M53" si="60">B46</f>
        <v>0.28711179742097781</v>
      </c>
      <c r="C53" s="141">
        <f t="shared" si="60"/>
        <v>0.27885507671434989</v>
      </c>
      <c r="D53" s="141">
        <f t="shared" si="60"/>
        <v>0.29579698899899443</v>
      </c>
      <c r="E53" s="141">
        <f t="shared" si="60"/>
        <v>1.589627535074531</v>
      </c>
      <c r="F53" s="141">
        <f t="shared" si="60"/>
        <v>3.3475787057035342</v>
      </c>
      <c r="G53" s="141">
        <f t="shared" si="60"/>
        <v>3.8854558950719187</v>
      </c>
      <c r="H53" s="141">
        <f t="shared" si="60"/>
        <v>5.9796625195592217</v>
      </c>
      <c r="I53" s="141">
        <f t="shared" si="60"/>
        <v>0.40205152165666391</v>
      </c>
      <c r="J53" s="141">
        <f t="shared" si="60"/>
        <v>0.20102891942245213</v>
      </c>
      <c r="K53" s="141">
        <f t="shared" si="60"/>
        <v>0.26945641976615853</v>
      </c>
      <c r="L53" s="141">
        <f t="shared" si="60"/>
        <v>1.5711879206961961</v>
      </c>
      <c r="M53" s="141">
        <f t="shared" si="60"/>
        <v>3.0883225703121182</v>
      </c>
      <c r="N53" s="141"/>
      <c r="O53" s="141">
        <f t="shared" ref="O53:V53" si="61">O46</f>
        <v>0.99999999999999989</v>
      </c>
      <c r="P53" s="141">
        <f t="shared" si="61"/>
        <v>4.9194636556095812</v>
      </c>
      <c r="Q53" s="141">
        <f t="shared" si="61"/>
        <v>0.15808032301624825</v>
      </c>
      <c r="R53" s="141">
        <f t="shared" si="61"/>
        <v>1.6819695667552899</v>
      </c>
      <c r="S53" s="141">
        <f t="shared" si="61"/>
        <v>3.2225625336470158</v>
      </c>
      <c r="T53" s="141">
        <f t="shared" si="61"/>
        <v>3.6939585188719466</v>
      </c>
      <c r="U53" s="141">
        <f t="shared" si="61"/>
        <v>4.1207470435553573</v>
      </c>
      <c r="V53" s="141">
        <f t="shared" si="61"/>
        <v>5.3850882298002318</v>
      </c>
    </row>
    <row r="54" spans="1:22" s="3" customFormat="1" x14ac:dyDescent="0.35">
      <c r="A54" s="61" t="s">
        <v>2</v>
      </c>
      <c r="B54" s="141">
        <f t="shared" ref="B54:M54" si="62">B48</f>
        <v>5.3907758242426218E-2</v>
      </c>
      <c r="C54" s="141">
        <f t="shared" si="62"/>
        <v>8.7564893637376504E-2</v>
      </c>
      <c r="D54" s="141">
        <f t="shared" si="62"/>
        <v>9.0449422634765686E-2</v>
      </c>
      <c r="E54" s="141">
        <f t="shared" si="62"/>
        <v>0.49021224996606311</v>
      </c>
      <c r="F54" s="141">
        <f t="shared" si="62"/>
        <v>0.28899257787734167</v>
      </c>
      <c r="G54" s="141">
        <f t="shared" si="62"/>
        <v>0.74422473611425033</v>
      </c>
      <c r="H54" s="141">
        <f t="shared" si="62"/>
        <v>0.27272433704754007</v>
      </c>
      <c r="I54" s="141">
        <f t="shared" si="62"/>
        <v>8.0606062074770737E-2</v>
      </c>
      <c r="J54" s="141">
        <f t="shared" si="62"/>
        <v>2.8047957531768208E-2</v>
      </c>
      <c r="K54" s="141">
        <f t="shared" si="62"/>
        <v>2.4708300980211123E-2</v>
      </c>
      <c r="L54" s="141">
        <f t="shared" si="62"/>
        <v>0.23356467457120639</v>
      </c>
      <c r="M54" s="141">
        <f t="shared" si="62"/>
        <v>0.62602692201190924</v>
      </c>
      <c r="N54" s="141"/>
      <c r="O54" s="141">
        <f t="shared" ref="O54:V54" si="63">O48</f>
        <v>0.24954716600746679</v>
      </c>
      <c r="P54" s="141">
        <f t="shared" si="63"/>
        <v>0.45312558055857671</v>
      </c>
      <c r="Q54" s="141">
        <f t="shared" si="63"/>
        <v>4.1102807042711111E-2</v>
      </c>
      <c r="R54" s="141">
        <f t="shared" si="63"/>
        <v>0.58448109107893886</v>
      </c>
      <c r="S54" s="141">
        <f t="shared" si="63"/>
        <v>0.45346709565064625</v>
      </c>
      <c r="T54" s="141">
        <f t="shared" si="63"/>
        <v>0.44249622621010193</v>
      </c>
      <c r="U54" s="141">
        <f t="shared" si="63"/>
        <v>0.56541659132181388</v>
      </c>
      <c r="V54" s="141">
        <f t="shared" si="63"/>
        <v>0.45535095585645607</v>
      </c>
    </row>
    <row r="55" spans="1:22" s="3" customFormat="1" x14ac:dyDescent="0.35">
      <c r="A55" s="61" t="s">
        <v>79</v>
      </c>
      <c r="B55" s="141">
        <f t="shared" ref="B55:M55" si="64">(B53*100/$B$53)-100</f>
        <v>0</v>
      </c>
      <c r="C55" s="141">
        <f t="shared" si="64"/>
        <v>-2.875785941502599</v>
      </c>
      <c r="D55" s="141">
        <f t="shared" si="64"/>
        <v>3.0250207953948802</v>
      </c>
      <c r="E55" s="141">
        <f t="shared" si="64"/>
        <v>453.66151769226633</v>
      </c>
      <c r="F55" s="141">
        <f t="shared" si="64"/>
        <v>1065.9495484942213</v>
      </c>
      <c r="G55" s="141">
        <f t="shared" si="64"/>
        <v>1253.2902270034092</v>
      </c>
      <c r="H55" s="141">
        <f t="shared" si="64"/>
        <v>1982.694815494307</v>
      </c>
      <c r="I55" s="141">
        <f t="shared" si="64"/>
        <v>40.033089990780041</v>
      </c>
      <c r="J55" s="141">
        <f t="shared" si="64"/>
        <v>-29.982354877708715</v>
      </c>
      <c r="K55" s="141">
        <f t="shared" si="64"/>
        <v>-6.1493041433376163</v>
      </c>
      <c r="L55" s="141">
        <f t="shared" si="64"/>
        <v>447.23906673623765</v>
      </c>
      <c r="M55" s="141">
        <f t="shared" si="64"/>
        <v>975.65157477101639</v>
      </c>
      <c r="N55" s="141"/>
      <c r="O55" s="141">
        <f>(O53*100/$O$53)-100</f>
        <v>0</v>
      </c>
      <c r="P55" s="141">
        <f t="shared" ref="P55:V55" si="65">(P53*100/$O$53)-100</f>
        <v>391.94636556095816</v>
      </c>
      <c r="Q55" s="141">
        <f t="shared" si="65"/>
        <v>-84.19196769837518</v>
      </c>
      <c r="R55" s="141">
        <f t="shared" si="65"/>
        <v>68.196956675529009</v>
      </c>
      <c r="S55" s="141">
        <f t="shared" si="65"/>
        <v>222.25625336470165</v>
      </c>
      <c r="T55" s="141">
        <f t="shared" si="65"/>
        <v>269.39585188719474</v>
      </c>
      <c r="U55" s="141">
        <f t="shared" si="65"/>
        <v>312.0747043555358</v>
      </c>
      <c r="V55" s="141">
        <f t="shared" si="65"/>
        <v>438.5088229800233</v>
      </c>
    </row>
    <row r="56" spans="1:22" s="3" customFormat="1" x14ac:dyDescent="0.35">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5">
      <c r="A57" s="61" t="s">
        <v>85</v>
      </c>
      <c r="B57" s="141" t="e">
        <f t="shared" ref="B57:M57" ca="1" si="66">IF(B56&gt;0.05,"Oui","Non")</f>
        <v>#NAME?</v>
      </c>
      <c r="C57" s="141" t="e">
        <f t="shared" ca="1" si="66"/>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ref="O57:V57" ca="1" si="67">IF(O56&gt;0.05,"Oui","Non")</f>
        <v>#NAME?</v>
      </c>
      <c r="P57" s="141" t="e">
        <f t="shared" ca="1" si="67"/>
        <v>#NAME?</v>
      </c>
      <c r="Q57" s="141" t="e">
        <f t="shared" ca="1" si="67"/>
        <v>#NAME?</v>
      </c>
      <c r="R57" s="141" t="e">
        <f t="shared" ca="1" si="67"/>
        <v>#NAME?</v>
      </c>
      <c r="S57" s="141" t="e">
        <f t="shared" ca="1" si="67"/>
        <v>#NAME?</v>
      </c>
      <c r="T57" s="141" t="e">
        <f t="shared" ca="1" si="67"/>
        <v>#NAME?</v>
      </c>
      <c r="U57" s="141" t="e">
        <f t="shared" ca="1" si="67"/>
        <v>#NAME?</v>
      </c>
      <c r="V57" s="141" t="e">
        <f t="shared" ca="1" si="67"/>
        <v>#NAME?</v>
      </c>
    </row>
    <row r="58" spans="1:22" s="3" customFormat="1" x14ac:dyDescent="0.35">
      <c r="A58" s="61"/>
      <c r="B58" s="141"/>
      <c r="C58" s="141"/>
      <c r="D58" s="141"/>
      <c r="E58" s="141"/>
      <c r="F58" s="141"/>
      <c r="G58" s="141"/>
      <c r="H58" s="141"/>
      <c r="I58" s="141"/>
      <c r="J58" s="141"/>
      <c r="K58" s="141"/>
      <c r="L58" s="141"/>
      <c r="M58" s="141"/>
      <c r="N58" s="147"/>
      <c r="O58" s="148"/>
      <c r="P58" s="141"/>
      <c r="Q58" s="141"/>
      <c r="R58" s="141"/>
      <c r="S58" s="141"/>
      <c r="T58" s="141"/>
      <c r="U58" s="141"/>
      <c r="V58" s="141"/>
    </row>
    <row r="59" spans="1:22" s="3" customFormat="1" x14ac:dyDescent="0.35">
      <c r="A59" s="61" t="s">
        <v>82</v>
      </c>
      <c r="B59" s="151"/>
      <c r="C59" s="151" t="e">
        <f t="shared" ref="C59:M59" ca="1" si="68">IF($B57="Non",IF(C$57="Non","Mann Withney",IF(C$57="Oui","Mann Withney","")),IF($B$57="Oui",IF(C$57="Oui","T-Test Welch",IF(C$57="Non","Mann Withney",""))))</f>
        <v>#NAME?</v>
      </c>
      <c r="D59" s="151" t="e">
        <f t="shared" ca="1" si="68"/>
        <v>#NAME?</v>
      </c>
      <c r="E59" s="151" t="e">
        <f t="shared" ca="1" si="68"/>
        <v>#NAME?</v>
      </c>
      <c r="F59" s="151" t="e">
        <f t="shared" ca="1" si="68"/>
        <v>#NAME?</v>
      </c>
      <c r="G59" s="151" t="e">
        <f t="shared" ca="1" si="68"/>
        <v>#NAME?</v>
      </c>
      <c r="H59" s="151" t="e">
        <f t="shared" ca="1" si="68"/>
        <v>#NAME?</v>
      </c>
      <c r="I59" s="151" t="e">
        <f t="shared" ca="1" si="68"/>
        <v>#NAME?</v>
      </c>
      <c r="J59" s="151" t="e">
        <f t="shared" ca="1" si="68"/>
        <v>#NAME?</v>
      </c>
      <c r="K59" s="151" t="e">
        <f t="shared" ca="1" si="68"/>
        <v>#NAME?</v>
      </c>
      <c r="L59" s="151" t="e">
        <f t="shared" ca="1" si="68"/>
        <v>#NAME?</v>
      </c>
      <c r="M59" s="151" t="e">
        <f t="shared" ca="1" si="68"/>
        <v>#NAME?</v>
      </c>
      <c r="N59" s="151"/>
      <c r="O59" s="151" t="e">
        <f ca="1">IF($B57="Non",IF(O$57="Non","Mann Withney",IF(O$57="Oui","Mann Withney","")),IF($B$57="Oui",IF(O$57="Oui","T-Test Welch",IF(O$57="Non","Mann Withney",""))))</f>
        <v>#NAME?</v>
      </c>
      <c r="P59" s="151" t="e">
        <f ca="1">IF($O57="Non",IF(P$57="Non","Mann Withney",IF(P$57="Oui","Mann Withney","")),IF($O$57="Oui",IF(P$57="Oui","T-Test Welch",IF(P$57="Non","Mann Withney",""))))</f>
        <v>#NAME?</v>
      </c>
      <c r="Q59" s="151" t="e">
        <f t="shared" ref="Q59:V59" ca="1" si="69">IF($O57="Non",IF(Q$57="Non","Mann Withney",IF(Q$57="Oui","Mann Withney","")),IF($O$57="Oui",IF(Q$57="Oui","T-Test Welch",IF(Q$57="Non","Mann Withney",""))))</f>
        <v>#NAME?</v>
      </c>
      <c r="R59" s="151" t="e">
        <f t="shared" ca="1" si="69"/>
        <v>#NAME?</v>
      </c>
      <c r="S59" s="151" t="e">
        <f t="shared" ca="1" si="69"/>
        <v>#NAME?</v>
      </c>
      <c r="T59" s="151" t="e">
        <f t="shared" ca="1" si="69"/>
        <v>#NAME?</v>
      </c>
      <c r="U59" s="151" t="e">
        <f t="shared" ca="1" si="69"/>
        <v>#NAME?</v>
      </c>
      <c r="V59" s="151" t="e">
        <f t="shared" ca="1" si="69"/>
        <v>#NAME?</v>
      </c>
    </row>
    <row r="60" spans="1:22" s="3" customFormat="1" x14ac:dyDescent="0.35">
      <c r="A60" s="61" t="s">
        <v>83</v>
      </c>
      <c r="B60" s="152"/>
      <c r="C60" s="152" t="e">
        <f ca="1">IF(C59="Mann Withney",[1]!MTEST($B28:$B43,C28:C43,2), IF(C59="T-Test Welch",_xlfn.T.TEST($B28:$B43,C28:C43,2,3),""))</f>
        <v>#NAME?</v>
      </c>
      <c r="D60" s="152" t="e">
        <f ca="1">IF(D59="Mann Withney",[1]!MTEST($B28:$B43,D28:D43,2), IF(D59="T-Test Welch",_xlfn.T.TEST($B28:$B43,D28:D43,2,3),""))</f>
        <v>#NAME?</v>
      </c>
      <c r="E60" s="152" t="e">
        <f ca="1">IF(E59="Mann Withney",[1]!MTEST($B28:$B43,E28:E43,2), IF(E59="T-Test Welch",_xlfn.T.TEST($B28:$B43,E28:E43,2,3),""))</f>
        <v>#NAME?</v>
      </c>
      <c r="F60" s="152" t="e">
        <f ca="1">IF(F59="Mann Withney",[1]!MTEST($B28:$B43,F28:F43,2), IF(F59="T-Test Welch",_xlfn.T.TEST($B28:$B43,F28:F43,2,3),""))</f>
        <v>#NAME?</v>
      </c>
      <c r="G60" s="152" t="e">
        <f ca="1">IF(G59="Mann Withney",[1]!MTEST($B28:$B43,G28:G43,2), IF(G59="T-Test Welch",_xlfn.T.TEST($B28:$B43,G28:G43,2,3),""))</f>
        <v>#NAME?</v>
      </c>
      <c r="H60" s="152" t="e">
        <f ca="1">IF(H59="Mann Withney",[1]!MTEST($B28:$B43,H28:H43,2), IF(H59="T-Test Welch",_xlfn.T.TEST($B28:$B43,H28:H43,2,3),""))</f>
        <v>#NAME?</v>
      </c>
      <c r="I60" s="152" t="e">
        <f ca="1">IF(I59="Mann Withney",[1]!MTEST($B28:$B43,I28:I43,2), IF(I59="T-Test Welch",_xlfn.T.TEST($B28:$B43,I28:I43,2,3),""))</f>
        <v>#NAME?</v>
      </c>
      <c r="J60" s="152" t="e">
        <f ca="1">IF(J59="Mann Withney",[1]!MTEST($B28:$B43,J28:J43,2), IF(J59="T-Test Welch",_xlfn.T.TEST($B28:$B43,J28:J43,2,3),""))</f>
        <v>#NAME?</v>
      </c>
      <c r="K60" s="152" t="e">
        <f ca="1">IF(K59="Mann Withney",[1]!MTEST($B28:$B43,K28:K43,2), IF(K59="T-Test Welch",_xlfn.T.TEST($B28:$B43,K28:K43,2,3),""))</f>
        <v>#NAME?</v>
      </c>
      <c r="L60" s="152" t="e">
        <f ca="1">IF(L59="Mann Withney",[1]!MTEST($B28:$B43,L28:L43,2), IF(L59="T-Test Welch",_xlfn.T.TEST($B28:$B43,L28:L43,2,3),""))</f>
        <v>#NAME?</v>
      </c>
      <c r="M60" s="152" t="e">
        <f ca="1">IF(M59="Mann Withney",[1]!MTEST($B28:$B43,M28:M43,2), IF(M59="T-Test Welch",_xlfn.T.TEST($B28:$B43,M28:M43,2,3),""))</f>
        <v>#NAME?</v>
      </c>
      <c r="N60" s="152"/>
      <c r="O60" s="152" t="e">
        <f ca="1">IF(O59="Mann Withney",[1]!MTEST($B28:$B43,O28:O43,2), IF(O59="T-Test Welch",_xlfn.T.TEST($B28:$B43,O28:O43,2,3),""))</f>
        <v>#NAME?</v>
      </c>
      <c r="P60" s="152" t="e">
        <f ca="1">IF(P59="Mann Withney",[1]!MTEST($O28:$O43,P28:P43,2), IF(P59="T-Test Welch",_xlfn.T.TEST($O28:$O43,P28:P43,2,3),""))</f>
        <v>#NAME?</v>
      </c>
      <c r="Q60" s="152" t="e">
        <f ca="1">IF(Q59="Mann Withney",[1]!MTEST($O28:$O43,Q28:Q43,2), IF(Q59="T-Test Welch",_xlfn.T.TEST($O28:$O43,Q28:Q43,2,3),""))</f>
        <v>#NAME?</v>
      </c>
      <c r="R60" s="152" t="e">
        <f ca="1">IF(R59="Mann Withney",[1]!MTEST($O28:$O43,R28:R43,2), IF(R59="T-Test Welch",_xlfn.T.TEST($O28:$O43,R28:R43,2,3),""))</f>
        <v>#NAME?</v>
      </c>
      <c r="S60" s="152" t="e">
        <f ca="1">IF(S59="Mann Withney",[1]!MTEST($O28:$O43,S28:S43,2), IF(S59="T-Test Welch",_xlfn.T.TEST($O28:$O43,S28:S43,2,3),""))</f>
        <v>#NAME?</v>
      </c>
      <c r="T60" s="152" t="e">
        <f ca="1">IF(T59="Mann Withney",[1]!MTEST($O28:$O43,T28:T43,2), IF(T59="T-Test Welch",_xlfn.T.TEST($O28:$O43,T28:T43,2,3),""))</f>
        <v>#NAME?</v>
      </c>
      <c r="U60" s="152" t="e">
        <f ca="1">IF(U59="Mann Withney",[1]!MTEST($O28:$O43,U28:U43,2), IF(U59="T-Test Welch",_xlfn.T.TEST($O28:$O43,U28:U43,2,3),""))</f>
        <v>#NAME?</v>
      </c>
      <c r="V60" s="152" t="e">
        <f ca="1">IF(V59="Mann Withney",[1]!MTEST($O28:$O43,V28:V43,2), IF(V59="T-Test Welch",_xlfn.T.TEST($O28:$O43,V28:V43,2,3),""))</f>
        <v>#NAME?</v>
      </c>
    </row>
    <row r="61" spans="1:22" s="3" customFormat="1" ht="15" thickBot="1" x14ac:dyDescent="0.4">
      <c r="A61" s="62" t="s">
        <v>84</v>
      </c>
      <c r="B61" s="142"/>
      <c r="C61" s="142" t="e">
        <f t="shared" ref="C61:M61" ca="1" si="70">IF(C60&gt;0.05,"NS",IF(C60&gt;0.01,"*",IF(C60&gt;0.001,"**","***")))</f>
        <v>#NAME?</v>
      </c>
      <c r="D61" s="142" t="e">
        <f t="shared" ca="1" si="70"/>
        <v>#NAME?</v>
      </c>
      <c r="E61" s="142" t="e">
        <f t="shared" ca="1" si="70"/>
        <v>#NAME?</v>
      </c>
      <c r="F61" s="142" t="e">
        <f t="shared" ca="1" si="70"/>
        <v>#NAME?</v>
      </c>
      <c r="G61" s="142" t="e">
        <f t="shared" ca="1" si="70"/>
        <v>#NAME?</v>
      </c>
      <c r="H61" s="142" t="e">
        <f t="shared" ca="1" si="70"/>
        <v>#NAME?</v>
      </c>
      <c r="I61" s="142" t="e">
        <f t="shared" ca="1" si="70"/>
        <v>#NAME?</v>
      </c>
      <c r="J61" s="142" t="e">
        <f t="shared" ca="1" si="70"/>
        <v>#NAME?</v>
      </c>
      <c r="K61" s="142" t="e">
        <f t="shared" ca="1" si="70"/>
        <v>#NAME?</v>
      </c>
      <c r="L61" s="142" t="e">
        <f t="shared" ca="1" si="70"/>
        <v>#NAME?</v>
      </c>
      <c r="M61" s="142" t="e">
        <f t="shared" ca="1" si="70"/>
        <v>#NAME?</v>
      </c>
      <c r="N61" s="142"/>
      <c r="O61" s="142" t="e">
        <f ca="1">IF(O60&gt;0.05,"NS",IF(O60&gt;0.01,"*",IF(O60&gt;0.001,"**","***")))</f>
        <v>#NAME?</v>
      </c>
      <c r="P61" s="142" t="e">
        <f ca="1">IF(P60&gt;0.05,"NS",IF(P60&gt;0.01,"*",IF(P60&gt;0.001,"**","***")))</f>
        <v>#NAME?</v>
      </c>
      <c r="Q61" s="142" t="e">
        <f t="shared" ref="Q61" ca="1" si="71">IF(Q60&gt;0.05,"NS",IF(Q60&gt;0.01,"*",IF(Q60&gt;0.001,"**","***")))</f>
        <v>#NAME?</v>
      </c>
      <c r="R61" s="142" t="e">
        <f t="shared" ref="R61" ca="1" si="72">IF(R60&gt;0.05,"NS",IF(R60&gt;0.01,"*",IF(R60&gt;0.001,"**","***")))</f>
        <v>#NAME?</v>
      </c>
      <c r="S61" s="142" t="e">
        <f t="shared" ref="S61" ca="1" si="73">IF(S60&gt;0.05,"NS",IF(S60&gt;0.01,"*",IF(S60&gt;0.001,"**","***")))</f>
        <v>#NAME?</v>
      </c>
      <c r="T61" s="142" t="e">
        <f t="shared" ref="T61" ca="1" si="74">IF(T60&gt;0.05,"NS",IF(T60&gt;0.01,"*",IF(T60&gt;0.001,"**","***")))</f>
        <v>#NAME?</v>
      </c>
      <c r="U61" s="142" t="e">
        <f t="shared" ref="U61" ca="1" si="75">IF(U60&gt;0.05,"NS",IF(U60&gt;0.01,"*",IF(U60&gt;0.001,"**","***")))</f>
        <v>#NAME?</v>
      </c>
      <c r="V61" s="142" t="e">
        <f t="shared" ref="V61" ca="1" si="76">IF(V60&gt;0.05,"NS",IF(V60&gt;0.01,"*",IF(V60&gt;0.001,"**","***")))</f>
        <v>#NAME?</v>
      </c>
    </row>
    <row r="63" spans="1:22" x14ac:dyDescent="0.35">
      <c r="A63" s="2" t="s">
        <v>39</v>
      </c>
    </row>
    <row r="64" spans="1:22" x14ac:dyDescent="0.35">
      <c r="A64" s="1" t="s">
        <v>23</v>
      </c>
      <c r="B64" s="1">
        <f>B46+(3*B47)</f>
        <v>0.74453429436239282</v>
      </c>
    </row>
    <row r="65" spans="1:22" x14ac:dyDescent="0.35">
      <c r="A65" s="1" t="s">
        <v>24</v>
      </c>
      <c r="B65" s="1">
        <f>B46+(10*B47)</f>
        <v>1.8118534538923612</v>
      </c>
    </row>
    <row r="66" spans="1:22" ht="15" thickBot="1" x14ac:dyDescent="0.4"/>
    <row r="67" spans="1:22" s="1" customFormat="1" ht="26.5" thickBot="1" x14ac:dyDescent="0.65">
      <c r="A67" s="227" t="s">
        <v>52</v>
      </c>
      <c r="B67" s="228"/>
      <c r="C67" s="228"/>
      <c r="D67" s="228"/>
      <c r="E67" s="228"/>
      <c r="F67" s="228"/>
      <c r="G67" s="228"/>
      <c r="H67" s="228"/>
      <c r="I67" s="228"/>
      <c r="J67" s="228"/>
      <c r="K67" s="228"/>
      <c r="L67" s="228"/>
      <c r="M67" s="228"/>
      <c r="N67" s="228"/>
      <c r="O67" s="228"/>
      <c r="P67" s="228"/>
      <c r="Q67" s="228"/>
      <c r="R67" s="228"/>
      <c r="S67" s="228"/>
      <c r="T67" s="228"/>
      <c r="U67" s="228"/>
      <c r="V67" s="228"/>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R1" zoomScale="80" zoomScaleNormal="80" workbookViewId="0">
      <selection activeCell="L5" sqref="L5:L12"/>
    </sheetView>
  </sheetViews>
  <sheetFormatPr baseColWidth="10" defaultColWidth="11.453125" defaultRowHeight="14.5" x14ac:dyDescent="0.35"/>
  <cols>
    <col min="1" max="2" width="15" style="1" customWidth="1"/>
    <col min="3" max="3" width="108"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J1" s="1" t="s">
        <v>1179</v>
      </c>
      <c r="K1" s="202" t="s">
        <v>112</v>
      </c>
      <c r="L1" s="198"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1</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98" t="s">
        <v>3272</v>
      </c>
      <c r="D2" s="198" t="s">
        <v>538</v>
      </c>
      <c r="E2" s="198" t="s">
        <v>751</v>
      </c>
      <c r="F2" s="198" t="s">
        <v>112</v>
      </c>
      <c r="G2" s="198">
        <v>1319</v>
      </c>
      <c r="H2" s="198"/>
      <c r="I2" s="198"/>
      <c r="J2" s="198"/>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98" t="s">
        <v>3273</v>
      </c>
      <c r="D3" s="198" t="s">
        <v>1213</v>
      </c>
      <c r="E3" s="198" t="s">
        <v>1214</v>
      </c>
      <c r="F3" s="198" t="s">
        <v>112</v>
      </c>
      <c r="G3" s="198">
        <v>45185</v>
      </c>
      <c r="H3" s="198"/>
      <c r="I3" s="198"/>
      <c r="J3" s="198"/>
      <c r="K3" s="202" t="s">
        <v>154</v>
      </c>
      <c r="L3" s="20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98" t="s">
        <v>3274</v>
      </c>
      <c r="D4" s="198">
        <v>0</v>
      </c>
      <c r="E4" s="198">
        <v>0</v>
      </c>
      <c r="F4" s="198" t="s">
        <v>112</v>
      </c>
      <c r="G4" s="198">
        <v>0</v>
      </c>
      <c r="H4" s="198"/>
      <c r="I4" s="198"/>
      <c r="J4" s="198"/>
      <c r="K4" s="202" t="s">
        <v>100</v>
      </c>
      <c r="L4" s="198" t="s">
        <v>1182</v>
      </c>
      <c r="M4" s="198" t="s">
        <v>1183</v>
      </c>
      <c r="N4" s="198" t="s">
        <v>1184</v>
      </c>
      <c r="O4" s="198" t="s">
        <v>1185</v>
      </c>
      <c r="P4" s="198" t="s">
        <v>1186</v>
      </c>
      <c r="Q4" s="198" t="s">
        <v>1187</v>
      </c>
      <c r="R4" s="198" t="s">
        <v>1188</v>
      </c>
      <c r="S4" s="198" t="s">
        <v>1189</v>
      </c>
      <c r="T4" s="198" t="s">
        <v>1190</v>
      </c>
      <c r="U4" s="198" t="s">
        <v>1191</v>
      </c>
      <c r="V4" s="198" t="s">
        <v>1192</v>
      </c>
      <c r="W4" s="198" t="s">
        <v>1193</v>
      </c>
      <c r="X4" s="198" t="s">
        <v>1194</v>
      </c>
      <c r="Y4" s="198" t="s">
        <v>1195</v>
      </c>
      <c r="Z4" s="198" t="s">
        <v>1196</v>
      </c>
      <c r="AA4" s="198" t="s">
        <v>1197</v>
      </c>
      <c r="AB4" s="198" t="s">
        <v>1198</v>
      </c>
      <c r="AC4" s="198" t="s">
        <v>1199</v>
      </c>
      <c r="AD4" s="198" t="s">
        <v>1200</v>
      </c>
      <c r="AE4" s="198" t="s">
        <v>1180</v>
      </c>
      <c r="AF4" s="198" t="s">
        <v>1181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98" t="s">
        <v>3275</v>
      </c>
      <c r="D5" s="198" t="s">
        <v>1215</v>
      </c>
      <c r="E5" s="198" t="s">
        <v>1216</v>
      </c>
      <c r="F5" s="198" t="s">
        <v>112</v>
      </c>
      <c r="G5" s="198">
        <v>22257</v>
      </c>
      <c r="H5" s="198"/>
      <c r="I5" s="198"/>
      <c r="J5" s="198"/>
      <c r="K5" s="203" t="s">
        <v>164</v>
      </c>
      <c r="L5" s="200">
        <v>15501.333333333334</v>
      </c>
      <c r="M5" s="200">
        <v>1089548</v>
      </c>
      <c r="N5" s="200"/>
      <c r="O5" s="200">
        <v>4298855</v>
      </c>
      <c r="P5" s="200">
        <v>203876.33333333334</v>
      </c>
      <c r="Q5" s="200"/>
      <c r="R5" s="200">
        <v>103939</v>
      </c>
      <c r="S5" s="200">
        <v>21500</v>
      </c>
      <c r="T5" s="200">
        <v>681.5</v>
      </c>
      <c r="U5" s="200">
        <v>2371169.6666666665</v>
      </c>
      <c r="V5" s="200">
        <v>4905797</v>
      </c>
      <c r="W5" s="200">
        <v>220808.5</v>
      </c>
      <c r="X5" s="200">
        <v>453135.5</v>
      </c>
      <c r="Y5" s="200">
        <v>2370041.5</v>
      </c>
      <c r="Z5" s="200">
        <v>2087869</v>
      </c>
      <c r="AA5" s="200">
        <v>2630725</v>
      </c>
      <c r="AB5" s="200">
        <v>1599866</v>
      </c>
      <c r="AC5" s="200">
        <v>4317543.5</v>
      </c>
      <c r="AD5" s="200">
        <v>3228813.5</v>
      </c>
      <c r="AE5" s="200">
        <v>180036.5</v>
      </c>
      <c r="AF5" s="200">
        <v>148781</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98" t="s">
        <v>3276</v>
      </c>
      <c r="D6" s="198">
        <v>0</v>
      </c>
      <c r="E6" s="198">
        <v>0</v>
      </c>
      <c r="F6" s="198" t="s">
        <v>112</v>
      </c>
      <c r="G6" s="198">
        <v>0</v>
      </c>
      <c r="H6" s="198"/>
      <c r="I6" s="198"/>
      <c r="J6" s="198"/>
      <c r="K6" s="203" t="s">
        <v>1201</v>
      </c>
      <c r="L6" s="200">
        <v>147826</v>
      </c>
      <c r="M6" s="200">
        <v>2689627</v>
      </c>
      <c r="N6" s="200">
        <v>2816868.3333333335</v>
      </c>
      <c r="O6" s="200">
        <v>2413161</v>
      </c>
      <c r="P6" s="200">
        <v>241851</v>
      </c>
      <c r="Q6" s="200">
        <v>137385.66666666666</v>
      </c>
      <c r="R6" s="200">
        <v>27935</v>
      </c>
      <c r="S6" s="200">
        <v>76425.333333333328</v>
      </c>
      <c r="T6" s="200">
        <v>1144610.6666666667</v>
      </c>
      <c r="U6" s="200">
        <v>2254022.6666666665</v>
      </c>
      <c r="V6" s="200">
        <v>3645697.3333333335</v>
      </c>
      <c r="W6" s="200"/>
      <c r="X6" s="200">
        <v>626812.5</v>
      </c>
      <c r="Y6" s="200">
        <v>1387882</v>
      </c>
      <c r="Z6" s="200">
        <v>926451.5</v>
      </c>
      <c r="AA6" s="200">
        <v>2643898</v>
      </c>
      <c r="AB6" s="200">
        <v>4900491</v>
      </c>
      <c r="AC6" s="200"/>
      <c r="AD6" s="200">
        <v>3399311</v>
      </c>
      <c r="AE6" s="200">
        <v>424021.5</v>
      </c>
      <c r="AF6" s="200">
        <v>429515.5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98" t="s">
        <v>3277</v>
      </c>
      <c r="D7" s="198" t="s">
        <v>1217</v>
      </c>
      <c r="E7" s="198" t="s">
        <v>1218</v>
      </c>
      <c r="F7" s="198" t="s">
        <v>112</v>
      </c>
      <c r="G7" s="198">
        <v>421221</v>
      </c>
      <c r="H7" s="198"/>
      <c r="I7" s="198"/>
      <c r="J7" s="198"/>
      <c r="K7" s="203" t="s">
        <v>1202</v>
      </c>
      <c r="L7" s="200">
        <v>92294.666666666672</v>
      </c>
      <c r="M7" s="200">
        <v>403289.66666666669</v>
      </c>
      <c r="N7" s="200">
        <v>1682056</v>
      </c>
      <c r="O7" s="200">
        <v>1623864</v>
      </c>
      <c r="P7" s="200">
        <v>219377.66666666666</v>
      </c>
      <c r="Q7" s="200">
        <v>212513.66666666666</v>
      </c>
      <c r="R7" s="200">
        <v>233105</v>
      </c>
      <c r="S7" s="200"/>
      <c r="T7" s="200">
        <v>30144.666666666668</v>
      </c>
      <c r="U7" s="200">
        <v>2903604.3333333335</v>
      </c>
      <c r="V7" s="200">
        <v>4604478.333333333</v>
      </c>
      <c r="W7" s="200">
        <v>67009.5</v>
      </c>
      <c r="X7" s="200"/>
      <c r="Y7" s="200">
        <v>2457404.5</v>
      </c>
      <c r="Z7" s="200">
        <v>1166078</v>
      </c>
      <c r="AA7" s="200">
        <v>2871974</v>
      </c>
      <c r="AB7" s="200">
        <v>2932548.5</v>
      </c>
      <c r="AC7" s="200">
        <v>2957023</v>
      </c>
      <c r="AD7" s="200">
        <v>3041152.5</v>
      </c>
      <c r="AE7" s="200">
        <v>169373</v>
      </c>
      <c r="AF7" s="200">
        <v>293690.5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98" t="s">
        <v>3278</v>
      </c>
      <c r="D8" s="198" t="s">
        <v>1219</v>
      </c>
      <c r="E8" s="198" t="s">
        <v>1220</v>
      </c>
      <c r="F8" s="198" t="s">
        <v>112</v>
      </c>
      <c r="G8" s="198">
        <v>6640</v>
      </c>
      <c r="H8" s="198"/>
      <c r="I8" s="198"/>
      <c r="J8" s="198"/>
      <c r="K8" s="203" t="s">
        <v>1203</v>
      </c>
      <c r="L8" s="200">
        <v>162750.66666666666</v>
      </c>
      <c r="M8" s="200">
        <v>1163580.3333333333</v>
      </c>
      <c r="N8" s="200">
        <v>3321443.3333333335</v>
      </c>
      <c r="O8" s="200">
        <v>2701833.3333333335</v>
      </c>
      <c r="P8" s="200">
        <v>26345.333333333332</v>
      </c>
      <c r="Q8" s="200">
        <v>183155</v>
      </c>
      <c r="R8" s="200">
        <v>57867.333333333336</v>
      </c>
      <c r="S8" s="200">
        <v>103859.66666666667</v>
      </c>
      <c r="T8" s="200">
        <v>0</v>
      </c>
      <c r="U8" s="200"/>
      <c r="V8" s="200">
        <v>4401373.666666667</v>
      </c>
      <c r="W8" s="200">
        <v>257731</v>
      </c>
      <c r="X8" s="200">
        <v>478929</v>
      </c>
      <c r="Y8" s="200">
        <v>1171367</v>
      </c>
      <c r="Z8" s="200">
        <v>3600328.5</v>
      </c>
      <c r="AA8" s="200">
        <v>2582144.5</v>
      </c>
      <c r="AB8" s="200">
        <v>2842201</v>
      </c>
      <c r="AC8" s="200">
        <v>4411871</v>
      </c>
      <c r="AD8" s="200">
        <v>4308566.5</v>
      </c>
      <c r="AE8" s="200">
        <v>187682.5</v>
      </c>
      <c r="AF8" s="200">
        <v>210870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98" t="s">
        <v>3279</v>
      </c>
      <c r="D9" s="198" t="s">
        <v>437</v>
      </c>
      <c r="E9" s="198" t="s">
        <v>1221</v>
      </c>
      <c r="F9" s="198" t="s">
        <v>112</v>
      </c>
      <c r="G9" s="198">
        <v>15660</v>
      </c>
      <c r="H9" s="198"/>
      <c r="I9" s="198"/>
      <c r="J9" s="198"/>
      <c r="K9" s="203" t="s">
        <v>1204</v>
      </c>
      <c r="L9" s="200">
        <v>119656.33333333333</v>
      </c>
      <c r="M9" s="200">
        <v>2416528</v>
      </c>
      <c r="N9" s="200">
        <v>100096</v>
      </c>
      <c r="O9" s="200">
        <v>5410689.333333333</v>
      </c>
      <c r="P9" s="200">
        <v>44182.666666666664</v>
      </c>
      <c r="Q9" s="200">
        <v>305468.5</v>
      </c>
      <c r="R9" s="200">
        <v>190653.33333333334</v>
      </c>
      <c r="S9" s="200">
        <v>140464.66666666666</v>
      </c>
      <c r="T9" s="200">
        <v>512109.33333333331</v>
      </c>
      <c r="U9" s="200">
        <v>4632590</v>
      </c>
      <c r="V9" s="200">
        <v>3895566</v>
      </c>
      <c r="W9" s="200">
        <v>202358.5</v>
      </c>
      <c r="X9" s="200">
        <v>1585136</v>
      </c>
      <c r="Y9" s="200">
        <v>3624262</v>
      </c>
      <c r="Z9" s="200">
        <v>1885813.5</v>
      </c>
      <c r="AA9" s="200">
        <v>3446053</v>
      </c>
      <c r="AB9" s="200">
        <v>3435530</v>
      </c>
      <c r="AC9" s="200">
        <v>5064758.5</v>
      </c>
      <c r="AD9" s="200">
        <v>3046354</v>
      </c>
      <c r="AE9" s="200">
        <v>3742</v>
      </c>
      <c r="AF9" s="200">
        <v>70243</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98" t="s">
        <v>3280</v>
      </c>
      <c r="D10" s="198" t="s">
        <v>1138</v>
      </c>
      <c r="E10" s="198" t="s">
        <v>1222</v>
      </c>
      <c r="F10" s="198" t="s">
        <v>112</v>
      </c>
      <c r="G10" s="198">
        <v>254584</v>
      </c>
      <c r="H10" s="198"/>
      <c r="I10" s="198"/>
      <c r="J10" s="198"/>
      <c r="K10" s="203" t="s">
        <v>1205</v>
      </c>
      <c r="L10" s="200">
        <v>879.66666666666663</v>
      </c>
      <c r="M10" s="200">
        <v>2694465</v>
      </c>
      <c r="N10" s="200">
        <v>890474</v>
      </c>
      <c r="O10" s="200">
        <v>4275610</v>
      </c>
      <c r="P10" s="200">
        <v>327642.66666666669</v>
      </c>
      <c r="Q10" s="200">
        <v>0</v>
      </c>
      <c r="R10" s="200">
        <v>118467</v>
      </c>
      <c r="S10" s="200">
        <v>182570.66666666666</v>
      </c>
      <c r="T10" s="200">
        <v>7412</v>
      </c>
      <c r="U10" s="200">
        <v>2242097</v>
      </c>
      <c r="V10" s="200">
        <v>3894419.3333333335</v>
      </c>
      <c r="W10" s="200">
        <v>71876</v>
      </c>
      <c r="X10" s="200">
        <v>577680.5</v>
      </c>
      <c r="Y10" s="200">
        <v>1588586</v>
      </c>
      <c r="Z10" s="200">
        <v>1084404</v>
      </c>
      <c r="AA10" s="200">
        <v>3111244</v>
      </c>
      <c r="AB10" s="200">
        <v>3163545.5</v>
      </c>
      <c r="AC10" s="200">
        <v>2610933.5</v>
      </c>
      <c r="AD10" s="200">
        <v>4592048</v>
      </c>
      <c r="AE10" s="200">
        <v>430932.5</v>
      </c>
      <c r="AF10" s="200">
        <v>23695.5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98" t="s">
        <v>3281</v>
      </c>
      <c r="D11" s="198" t="s">
        <v>1223</v>
      </c>
      <c r="E11" s="198" t="s">
        <v>1224</v>
      </c>
      <c r="F11" s="198" t="s">
        <v>112</v>
      </c>
      <c r="G11" s="198">
        <v>162549</v>
      </c>
      <c r="H11" s="198"/>
      <c r="I11" s="198"/>
      <c r="J11" s="198"/>
      <c r="K11" s="203" t="s">
        <v>1206</v>
      </c>
      <c r="L11" s="200">
        <v>230113.33333333334</v>
      </c>
      <c r="M11" s="200">
        <v>1236184.6666666667</v>
      </c>
      <c r="N11" s="200">
        <v>252262.33333333334</v>
      </c>
      <c r="O11" s="200">
        <v>3285227.6666666665</v>
      </c>
      <c r="P11" s="200">
        <v>138900</v>
      </c>
      <c r="Q11" s="200">
        <v>62618.5</v>
      </c>
      <c r="R11" s="200">
        <v>144480.66666666666</v>
      </c>
      <c r="S11" s="200">
        <v>476138.5</v>
      </c>
      <c r="T11" s="200">
        <v>178756.66666666666</v>
      </c>
      <c r="U11" s="200">
        <v>2650166.6666666665</v>
      </c>
      <c r="V11" s="200">
        <v>4533409.666666667</v>
      </c>
      <c r="W11" s="200">
        <v>71422</v>
      </c>
      <c r="X11" s="200">
        <v>2878679.5</v>
      </c>
      <c r="Y11" s="200">
        <v>1828494</v>
      </c>
      <c r="Z11" s="200">
        <v>2332881.5</v>
      </c>
      <c r="AA11" s="200">
        <v>2148216</v>
      </c>
      <c r="AB11" s="200">
        <v>3066924.5</v>
      </c>
      <c r="AC11" s="200">
        <v>4043676.5</v>
      </c>
      <c r="AD11" s="200">
        <v>3395190.5</v>
      </c>
      <c r="AE11" s="200">
        <v>242244</v>
      </c>
      <c r="AF11" s="200">
        <v>358342.5</v>
      </c>
    </row>
    <row r="12" spans="1:144" x14ac:dyDescent="0.3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98" t="s">
        <v>3282</v>
      </c>
      <c r="D12" s="198" t="s">
        <v>1225</v>
      </c>
      <c r="E12" s="198" t="s">
        <v>1226</v>
      </c>
      <c r="F12" s="198" t="s">
        <v>112</v>
      </c>
      <c r="G12" s="198">
        <v>143623</v>
      </c>
      <c r="H12" s="198"/>
      <c r="I12" s="198"/>
      <c r="J12" s="198"/>
      <c r="K12" s="203" t="s">
        <v>1207</v>
      </c>
      <c r="L12" s="200"/>
      <c r="M12" s="200">
        <v>183991</v>
      </c>
      <c r="N12" s="200">
        <v>894519</v>
      </c>
      <c r="O12" s="200">
        <v>3774690.6666666665</v>
      </c>
      <c r="P12" s="200">
        <v>168309.33333333334</v>
      </c>
      <c r="Q12" s="200">
        <v>142750.33333333334</v>
      </c>
      <c r="R12" s="200">
        <v>8565.3333333333339</v>
      </c>
      <c r="S12" s="200">
        <v>199478.33333333334</v>
      </c>
      <c r="T12" s="200">
        <v>131236</v>
      </c>
      <c r="U12" s="200">
        <v>2647989.3333333335</v>
      </c>
      <c r="V12" s="200">
        <v>5059268.333333333</v>
      </c>
      <c r="W12" s="200">
        <v>122501</v>
      </c>
      <c r="X12" s="200">
        <v>258369</v>
      </c>
      <c r="Y12" s="200">
        <v>3804774</v>
      </c>
      <c r="Z12" s="200">
        <v>2851717.5</v>
      </c>
      <c r="AA12" s="200">
        <v>2526198.5</v>
      </c>
      <c r="AB12" s="200">
        <v>2150400.5</v>
      </c>
      <c r="AC12" s="200">
        <v>3986898</v>
      </c>
      <c r="AD12" s="200">
        <v>4342461</v>
      </c>
      <c r="AE12" s="200">
        <v>141827</v>
      </c>
      <c r="AF12" s="200">
        <v>204921.5</v>
      </c>
    </row>
    <row r="13" spans="1:144" x14ac:dyDescent="0.3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98" t="s">
        <v>3283</v>
      </c>
      <c r="D13" s="198" t="s">
        <v>147</v>
      </c>
      <c r="E13" s="198" t="s">
        <v>1227</v>
      </c>
      <c r="F13" s="198" t="s">
        <v>112</v>
      </c>
      <c r="G13" s="198">
        <v>182080</v>
      </c>
      <c r="H13" s="198"/>
      <c r="I13" s="198"/>
      <c r="J13" s="198"/>
      <c r="K13"/>
      <c r="L13"/>
      <c r="M13"/>
      <c r="N13"/>
      <c r="O13"/>
      <c r="P13"/>
      <c r="Q13"/>
      <c r="R13"/>
      <c r="S13"/>
      <c r="T13"/>
      <c r="U13"/>
      <c r="V13"/>
      <c r="W13"/>
      <c r="X13"/>
      <c r="Y13"/>
      <c r="Z13"/>
      <c r="AA13"/>
      <c r="AB13"/>
      <c r="AC13"/>
      <c r="AD13"/>
      <c r="AE13"/>
    </row>
    <row r="14" spans="1:144" x14ac:dyDescent="0.3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98" t="s">
        <v>3284</v>
      </c>
      <c r="D14" s="198" t="s">
        <v>1228</v>
      </c>
      <c r="E14" s="198" t="s">
        <v>1229</v>
      </c>
      <c r="F14" s="198" t="s">
        <v>112</v>
      </c>
      <c r="G14" s="198">
        <v>143644</v>
      </c>
      <c r="H14" s="198"/>
      <c r="I14" s="198"/>
      <c r="J14" s="198"/>
      <c r="K14"/>
      <c r="L14"/>
      <c r="M14"/>
      <c r="N14"/>
      <c r="O14"/>
      <c r="P14"/>
      <c r="Q14"/>
      <c r="R14"/>
      <c r="S14"/>
      <c r="T14"/>
      <c r="U14"/>
      <c r="V14"/>
      <c r="W14"/>
      <c r="X14"/>
      <c r="Y14"/>
      <c r="Z14"/>
      <c r="AA14"/>
      <c r="AB14"/>
      <c r="AC14"/>
      <c r="AD14"/>
      <c r="AE14"/>
    </row>
    <row r="15" spans="1:144" x14ac:dyDescent="0.3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98" t="s">
        <v>3285</v>
      </c>
      <c r="D15" s="198" t="s">
        <v>1118</v>
      </c>
      <c r="E15" s="198" t="s">
        <v>1230</v>
      </c>
      <c r="F15" s="198" t="s">
        <v>112</v>
      </c>
      <c r="G15" s="198">
        <v>135511</v>
      </c>
      <c r="H15" s="198"/>
      <c r="I15" s="198"/>
      <c r="J15" s="198"/>
    </row>
    <row r="16" spans="1:144" x14ac:dyDescent="0.3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98" t="s">
        <v>3286</v>
      </c>
      <c r="D16" s="198" t="s">
        <v>1231</v>
      </c>
      <c r="E16" s="198" t="s">
        <v>1232</v>
      </c>
      <c r="F16" s="198" t="s">
        <v>112</v>
      </c>
      <c r="G16" s="198">
        <v>79814</v>
      </c>
      <c r="H16" s="198"/>
      <c r="I16" s="198"/>
      <c r="J16" s="198"/>
    </row>
    <row r="17" spans="1:10" x14ac:dyDescent="0.3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98" t="s">
        <v>3287</v>
      </c>
      <c r="D17" s="198" t="s">
        <v>461</v>
      </c>
      <c r="E17" s="198">
        <v>30</v>
      </c>
      <c r="F17" s="198" t="s">
        <v>112</v>
      </c>
      <c r="G17" s="198">
        <v>649</v>
      </c>
      <c r="H17" s="198"/>
      <c r="I17" s="198"/>
      <c r="J17" s="198"/>
    </row>
    <row r="18" spans="1:10" x14ac:dyDescent="0.3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98" t="s">
        <v>3288</v>
      </c>
      <c r="D18" s="198">
        <v>0</v>
      </c>
      <c r="E18" s="198">
        <v>0</v>
      </c>
      <c r="F18" s="198" t="s">
        <v>112</v>
      </c>
      <c r="G18" s="198">
        <v>0</v>
      </c>
      <c r="H18" s="198"/>
      <c r="I18" s="198"/>
      <c r="J18" s="198"/>
    </row>
    <row r="19" spans="1:10" x14ac:dyDescent="0.3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98" t="s">
        <v>3289</v>
      </c>
      <c r="D19" s="198" t="s">
        <v>245</v>
      </c>
      <c r="E19" s="198" t="s">
        <v>785</v>
      </c>
      <c r="F19" s="198" t="s">
        <v>112</v>
      </c>
      <c r="G19" s="198">
        <v>1990</v>
      </c>
      <c r="H19" s="198"/>
      <c r="I19" s="198"/>
      <c r="J19" s="198"/>
    </row>
    <row r="20" spans="1:10" x14ac:dyDescent="0.3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98" t="s">
        <v>3290</v>
      </c>
      <c r="D20" s="198" t="s">
        <v>1228</v>
      </c>
      <c r="E20" s="198" t="s">
        <v>1233</v>
      </c>
      <c r="F20" s="198" t="s">
        <v>112</v>
      </c>
      <c r="G20" s="198">
        <v>144682</v>
      </c>
      <c r="H20" s="198"/>
      <c r="I20" s="198"/>
      <c r="J20" s="198"/>
    </row>
    <row r="21" spans="1:10" x14ac:dyDescent="0.3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98" t="s">
        <v>3291</v>
      </c>
      <c r="D21" s="198" t="s">
        <v>1068</v>
      </c>
      <c r="E21" s="198" t="s">
        <v>1234</v>
      </c>
      <c r="F21" s="198" t="s">
        <v>112</v>
      </c>
      <c r="G21" s="198">
        <v>304203</v>
      </c>
      <c r="H21" s="198"/>
      <c r="I21" s="198"/>
      <c r="J21" s="198"/>
    </row>
    <row r="22" spans="1:10" x14ac:dyDescent="0.3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98" t="s">
        <v>3292</v>
      </c>
      <c r="D22" s="198" t="s">
        <v>1235</v>
      </c>
      <c r="E22" s="198" t="s">
        <v>1236</v>
      </c>
      <c r="F22" s="198" t="s">
        <v>112</v>
      </c>
      <c r="G22" s="198">
        <v>241455</v>
      </c>
      <c r="H22" s="198"/>
      <c r="I22" s="198"/>
      <c r="J22" s="198"/>
    </row>
    <row r="23" spans="1:10" x14ac:dyDescent="0.3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98" t="s">
        <v>3293</v>
      </c>
      <c r="D23" s="198"/>
      <c r="E23" s="198"/>
      <c r="F23" s="198"/>
      <c r="G23" s="198"/>
      <c r="H23" s="198"/>
      <c r="I23" s="198"/>
      <c r="J23" s="198"/>
    </row>
    <row r="24" spans="1:10" x14ac:dyDescent="0.3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98" t="s">
        <v>3294</v>
      </c>
      <c r="D24" s="198"/>
      <c r="E24" s="198"/>
      <c r="F24" s="198"/>
      <c r="G24" s="198"/>
      <c r="H24" s="198"/>
      <c r="I24" s="198"/>
      <c r="J24" s="198"/>
    </row>
    <row r="25" spans="1:10" x14ac:dyDescent="0.3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98" t="s">
        <v>3295</v>
      </c>
      <c r="D25" s="198"/>
      <c r="E25" s="198"/>
      <c r="F25" s="198"/>
      <c r="G25" s="198"/>
      <c r="H25" s="198"/>
      <c r="I25" s="198"/>
      <c r="J25" s="198"/>
    </row>
    <row r="26" spans="1:10"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98" t="s">
        <v>112</v>
      </c>
      <c r="D26" s="198"/>
      <c r="E26" s="198"/>
      <c r="F26" s="198"/>
      <c r="G26" s="198"/>
      <c r="H26" s="198"/>
      <c r="I26" s="198"/>
      <c r="J26" s="198"/>
    </row>
    <row r="27" spans="1:10"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98" t="s">
        <v>195</v>
      </c>
      <c r="D27" s="198" t="s">
        <v>112</v>
      </c>
      <c r="E27" s="198" t="s">
        <v>196</v>
      </c>
      <c r="F27" s="198" t="s">
        <v>197</v>
      </c>
      <c r="G27" s="198" t="s">
        <v>198</v>
      </c>
      <c r="H27" s="198" t="s">
        <v>199</v>
      </c>
      <c r="I27" s="198" t="s">
        <v>200</v>
      </c>
      <c r="J27" s="198" t="s">
        <v>201</v>
      </c>
    </row>
    <row r="28" spans="1:10" x14ac:dyDescent="0.35">
      <c r="A28" s="1" t="str">
        <f t="shared" si="0"/>
        <v>1</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98" t="s">
        <v>3296</v>
      </c>
      <c r="D28" s="198" t="s">
        <v>112</v>
      </c>
      <c r="E28" s="198" t="s">
        <v>1237</v>
      </c>
      <c r="F28" s="198" t="s">
        <v>1238</v>
      </c>
      <c r="G28" s="198" t="s">
        <v>1239</v>
      </c>
      <c r="H28" s="198" t="s">
        <v>1240</v>
      </c>
      <c r="I28" s="198">
        <v>18</v>
      </c>
      <c r="J28" s="198">
        <v>24</v>
      </c>
    </row>
    <row r="29" spans="1:10"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98" t="s">
        <v>112</v>
      </c>
      <c r="D29" s="198"/>
      <c r="E29" s="198"/>
      <c r="F29" s="198"/>
      <c r="G29" s="198"/>
      <c r="H29" s="198"/>
      <c r="I29" s="198"/>
      <c r="J29" s="198"/>
    </row>
    <row r="30" spans="1:10"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98" t="s">
        <v>112</v>
      </c>
      <c r="D30" s="198"/>
      <c r="E30" s="198"/>
      <c r="F30" s="198"/>
      <c r="G30" s="198"/>
      <c r="H30" s="198"/>
      <c r="I30" s="198"/>
      <c r="J30" s="198"/>
    </row>
    <row r="31" spans="1:10"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98" t="s">
        <v>112</v>
      </c>
      <c r="D31" s="198"/>
      <c r="E31" s="198"/>
      <c r="F31" s="198"/>
      <c r="G31" s="198"/>
      <c r="H31" s="198"/>
      <c r="I31" s="198"/>
      <c r="J31" s="198"/>
    </row>
    <row r="32" spans="1:10"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98" t="s">
        <v>112</v>
      </c>
      <c r="D32" s="198"/>
      <c r="E32" s="198"/>
      <c r="F32" s="198"/>
      <c r="G32" s="198"/>
      <c r="H32" s="198"/>
      <c r="I32" s="198"/>
      <c r="J32" s="198"/>
    </row>
    <row r="33" spans="1:10"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98" t="s">
        <v>112</v>
      </c>
      <c r="D33" s="198"/>
      <c r="E33" s="198"/>
      <c r="F33" s="198"/>
      <c r="G33" s="198"/>
      <c r="H33" s="198"/>
      <c r="I33" s="198"/>
      <c r="J33" s="198"/>
    </row>
    <row r="34" spans="1:10"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98" t="s">
        <v>206</v>
      </c>
      <c r="D34" s="198" t="s">
        <v>110</v>
      </c>
      <c r="E34" s="198" t="s">
        <v>111</v>
      </c>
      <c r="F34" s="198" t="s">
        <v>112</v>
      </c>
      <c r="G34" s="198" t="s">
        <v>113</v>
      </c>
      <c r="H34" s="198"/>
      <c r="I34" s="198"/>
      <c r="J34" s="198"/>
    </row>
    <row r="35" spans="1:10" x14ac:dyDescent="0.35">
      <c r="A35" s="1" t="str">
        <f t="shared" si="0"/>
        <v>13</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98" t="s">
        <v>3297</v>
      </c>
      <c r="D35" s="198" t="s">
        <v>1241</v>
      </c>
      <c r="E35" s="198" t="s">
        <v>1242</v>
      </c>
      <c r="F35" s="198" t="s">
        <v>112</v>
      </c>
      <c r="G35" s="198">
        <v>1006590</v>
      </c>
      <c r="H35" s="198"/>
      <c r="I35" s="198"/>
      <c r="J35" s="198"/>
    </row>
    <row r="36" spans="1:10" x14ac:dyDescent="0.35">
      <c r="A36" s="1" t="str">
        <f t="shared" si="0"/>
        <v>13</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98" t="s">
        <v>3298</v>
      </c>
      <c r="D36" s="198" t="s">
        <v>1243</v>
      </c>
      <c r="E36" s="198" t="s">
        <v>1244</v>
      </c>
      <c r="F36" s="198" t="s">
        <v>112</v>
      </c>
      <c r="G36" s="198">
        <v>1131027</v>
      </c>
      <c r="H36" s="198"/>
      <c r="I36" s="198"/>
      <c r="J36" s="198"/>
    </row>
    <row r="37" spans="1:10" x14ac:dyDescent="0.35">
      <c r="A37" s="1" t="str">
        <f t="shared" si="0"/>
        <v>13</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98" t="s">
        <v>3299</v>
      </c>
      <c r="D37" s="198" t="s">
        <v>1245</v>
      </c>
      <c r="E37" s="198" t="s">
        <v>1246</v>
      </c>
      <c r="F37" s="198" t="s">
        <v>112</v>
      </c>
      <c r="G37" s="198">
        <v>1131027</v>
      </c>
      <c r="H37" s="198"/>
      <c r="I37" s="198"/>
      <c r="J37" s="198"/>
    </row>
    <row r="38" spans="1:10" x14ac:dyDescent="0.35">
      <c r="A38" s="1" t="str">
        <f t="shared" si="0"/>
        <v>13</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98" t="s">
        <v>3300</v>
      </c>
      <c r="D38" s="198" t="s">
        <v>1247</v>
      </c>
      <c r="E38" s="198" t="s">
        <v>1248</v>
      </c>
      <c r="F38" s="198" t="s">
        <v>112</v>
      </c>
      <c r="G38" s="198">
        <v>2509133</v>
      </c>
      <c r="H38" s="198"/>
      <c r="I38" s="198"/>
      <c r="J38" s="198"/>
    </row>
    <row r="39" spans="1:10" x14ac:dyDescent="0.35">
      <c r="A39" s="1" t="str">
        <f t="shared" si="0"/>
        <v>13</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98" t="s">
        <v>3301</v>
      </c>
      <c r="D39" s="198" t="s">
        <v>1249</v>
      </c>
      <c r="E39" s="198" t="s">
        <v>1250</v>
      </c>
      <c r="F39" s="198" t="s">
        <v>112</v>
      </c>
      <c r="G39" s="198">
        <v>2985769</v>
      </c>
      <c r="H39" s="198"/>
      <c r="I39" s="198"/>
      <c r="J39" s="198"/>
    </row>
    <row r="40" spans="1:10" x14ac:dyDescent="0.35">
      <c r="A40" s="1" t="str">
        <f t="shared" si="0"/>
        <v>13</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98" t="s">
        <v>3302</v>
      </c>
      <c r="D40" s="198" t="s">
        <v>1251</v>
      </c>
      <c r="E40" s="198" t="s">
        <v>1252</v>
      </c>
      <c r="F40" s="198" t="s">
        <v>112</v>
      </c>
      <c r="G40" s="198">
        <v>2573979</v>
      </c>
      <c r="H40" s="198"/>
      <c r="I40" s="198"/>
      <c r="J40" s="198"/>
    </row>
    <row r="41" spans="1:10" x14ac:dyDescent="0.35">
      <c r="A41" s="1" t="str">
        <f t="shared" si="0"/>
        <v>13</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98" t="s">
        <v>3303</v>
      </c>
      <c r="D41" s="198" t="s">
        <v>1253</v>
      </c>
      <c r="E41" s="198" t="s">
        <v>1254</v>
      </c>
      <c r="F41" s="198" t="s">
        <v>112</v>
      </c>
      <c r="G41" s="198">
        <v>558246</v>
      </c>
      <c r="H41" s="198"/>
      <c r="I41" s="198"/>
      <c r="J41" s="198"/>
    </row>
    <row r="42" spans="1:10" x14ac:dyDescent="0.35">
      <c r="A42" s="1" t="str">
        <f t="shared" si="0"/>
        <v>13</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98" t="s">
        <v>3304</v>
      </c>
      <c r="D42" s="198" t="s">
        <v>1255</v>
      </c>
      <c r="E42" s="198" t="s">
        <v>1256</v>
      </c>
      <c r="F42" s="198" t="s">
        <v>112</v>
      </c>
      <c r="G42" s="198">
        <v>224151</v>
      </c>
      <c r="H42" s="198"/>
      <c r="I42" s="198"/>
      <c r="J42" s="198"/>
    </row>
    <row r="43" spans="1:10" x14ac:dyDescent="0.35">
      <c r="A43" s="1" t="str">
        <f t="shared" si="0"/>
        <v>13</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98" t="s">
        <v>3305</v>
      </c>
      <c r="D43" s="198" t="s">
        <v>1257</v>
      </c>
      <c r="E43" s="198" t="s">
        <v>1258</v>
      </c>
      <c r="F43" s="198" t="s">
        <v>112</v>
      </c>
      <c r="G43" s="198">
        <v>427472</v>
      </c>
      <c r="H43" s="198"/>
      <c r="I43" s="198"/>
      <c r="J43" s="198"/>
    </row>
    <row r="44" spans="1:10" x14ac:dyDescent="0.3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98" t="s">
        <v>3306</v>
      </c>
      <c r="D44" s="198" t="s">
        <v>1259</v>
      </c>
      <c r="E44" s="198" t="s">
        <v>1260</v>
      </c>
      <c r="F44" s="198" t="s">
        <v>112</v>
      </c>
      <c r="G44" s="198">
        <v>1064667</v>
      </c>
      <c r="H44" s="198"/>
      <c r="I44" s="198"/>
      <c r="J44" s="198"/>
    </row>
    <row r="45" spans="1:10" x14ac:dyDescent="0.3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98" t="s">
        <v>3307</v>
      </c>
      <c r="D45" s="198" t="s">
        <v>562</v>
      </c>
      <c r="E45" s="198" t="s">
        <v>1261</v>
      </c>
      <c r="F45" s="198" t="s">
        <v>112</v>
      </c>
      <c r="G45" s="198">
        <v>1389483</v>
      </c>
      <c r="H45" s="198"/>
      <c r="I45" s="198"/>
      <c r="J45" s="198"/>
    </row>
    <row r="46" spans="1:10" x14ac:dyDescent="0.3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98" t="s">
        <v>3308</v>
      </c>
      <c r="D46" s="198" t="s">
        <v>1262</v>
      </c>
      <c r="E46" s="198" t="s">
        <v>1263</v>
      </c>
      <c r="F46" s="198" t="s">
        <v>112</v>
      </c>
      <c r="G46" s="198">
        <v>1036591</v>
      </c>
      <c r="H46" s="198"/>
      <c r="I46" s="198"/>
      <c r="J46" s="198"/>
    </row>
    <row r="47" spans="1:10" x14ac:dyDescent="0.3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98" t="s">
        <v>3309</v>
      </c>
      <c r="D47" s="198" t="s">
        <v>1264</v>
      </c>
      <c r="E47" s="198" t="s">
        <v>1265</v>
      </c>
      <c r="F47" s="198" t="s">
        <v>112</v>
      </c>
      <c r="G47" s="198">
        <v>1830257</v>
      </c>
      <c r="H47" s="198"/>
      <c r="I47" s="198"/>
      <c r="J47" s="198"/>
    </row>
    <row r="48" spans="1:10" x14ac:dyDescent="0.3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98" t="s">
        <v>3310</v>
      </c>
      <c r="D48" s="198" t="s">
        <v>1266</v>
      </c>
      <c r="E48" s="198" t="s">
        <v>1267</v>
      </c>
      <c r="F48" s="198" t="s">
        <v>112</v>
      </c>
      <c r="G48" s="198">
        <v>2748900</v>
      </c>
      <c r="H48" s="198"/>
      <c r="I48" s="198"/>
      <c r="J48" s="198"/>
    </row>
    <row r="49" spans="1:10" x14ac:dyDescent="0.3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98" t="s">
        <v>3311</v>
      </c>
      <c r="D49" s="198" t="s">
        <v>1268</v>
      </c>
      <c r="E49" s="198" t="s">
        <v>1269</v>
      </c>
      <c r="F49" s="198" t="s">
        <v>112</v>
      </c>
      <c r="G49" s="198">
        <v>2670427</v>
      </c>
      <c r="H49" s="198"/>
      <c r="I49" s="198"/>
      <c r="J49" s="198"/>
    </row>
    <row r="50" spans="1:10" x14ac:dyDescent="0.3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98" t="s">
        <v>3312</v>
      </c>
      <c r="D50" s="198" t="s">
        <v>1270</v>
      </c>
      <c r="E50" s="198" t="s">
        <v>1271</v>
      </c>
      <c r="F50" s="198" t="s">
        <v>112</v>
      </c>
      <c r="G50" s="198">
        <v>2957607</v>
      </c>
      <c r="H50" s="198"/>
      <c r="I50" s="198"/>
      <c r="J50" s="198"/>
    </row>
    <row r="51" spans="1:10" x14ac:dyDescent="0.3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98" t="s">
        <v>3313</v>
      </c>
      <c r="D51" s="198" t="s">
        <v>1272</v>
      </c>
      <c r="E51" s="198" t="s">
        <v>1273</v>
      </c>
      <c r="F51" s="198" t="s">
        <v>112</v>
      </c>
      <c r="G51" s="198">
        <v>2671833</v>
      </c>
      <c r="H51" s="198"/>
      <c r="I51" s="198"/>
      <c r="J51" s="198"/>
    </row>
    <row r="52" spans="1:10" x14ac:dyDescent="0.3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98" t="s">
        <v>3314</v>
      </c>
      <c r="D52" s="198" t="s">
        <v>1274</v>
      </c>
      <c r="E52" s="198" t="s">
        <v>1275</v>
      </c>
      <c r="F52" s="198" t="s">
        <v>112</v>
      </c>
      <c r="G52" s="198">
        <v>2453955</v>
      </c>
      <c r="H52" s="198"/>
      <c r="I52" s="198"/>
      <c r="J52" s="198"/>
    </row>
    <row r="53" spans="1:10" x14ac:dyDescent="0.3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98" t="s">
        <v>3315</v>
      </c>
      <c r="D53" s="198" t="s">
        <v>1276</v>
      </c>
      <c r="E53" s="198" t="s">
        <v>1277</v>
      </c>
      <c r="F53" s="198" t="s">
        <v>112</v>
      </c>
      <c r="G53" s="198">
        <v>1199616</v>
      </c>
      <c r="H53" s="198"/>
      <c r="I53" s="198"/>
      <c r="J53" s="198"/>
    </row>
    <row r="54" spans="1:10" x14ac:dyDescent="0.3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98" t="s">
        <v>3316</v>
      </c>
      <c r="D54" s="198" t="s">
        <v>1278</v>
      </c>
      <c r="E54" s="198" t="s">
        <v>1279</v>
      </c>
      <c r="F54" s="198" t="s">
        <v>112</v>
      </c>
      <c r="G54" s="198">
        <v>1508404</v>
      </c>
      <c r="H54" s="198"/>
      <c r="I54" s="198"/>
      <c r="J54" s="198"/>
    </row>
    <row r="55" spans="1:10" x14ac:dyDescent="0.3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98" t="s">
        <v>3317</v>
      </c>
      <c r="D55" s="198" t="s">
        <v>1280</v>
      </c>
      <c r="E55" s="198" t="s">
        <v>1281</v>
      </c>
      <c r="F55" s="198" t="s">
        <v>112</v>
      </c>
      <c r="G55" s="198">
        <v>1000534</v>
      </c>
      <c r="H55" s="198"/>
      <c r="I55" s="198"/>
      <c r="J55" s="198"/>
    </row>
    <row r="56" spans="1:10" x14ac:dyDescent="0.3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98" t="s">
        <v>3318</v>
      </c>
      <c r="D56" s="198" t="s">
        <v>219</v>
      </c>
      <c r="E56" s="198" t="s">
        <v>1282</v>
      </c>
      <c r="F56" s="198" t="s">
        <v>112</v>
      </c>
      <c r="G56" s="198">
        <v>150111</v>
      </c>
      <c r="H56" s="198"/>
      <c r="I56" s="198"/>
      <c r="J56" s="198"/>
    </row>
    <row r="57" spans="1:10" x14ac:dyDescent="0.3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98" t="s">
        <v>3319</v>
      </c>
      <c r="D57" s="198" t="s">
        <v>861</v>
      </c>
      <c r="E57" s="198" t="s">
        <v>1283</v>
      </c>
      <c r="F57" s="198" t="s">
        <v>112</v>
      </c>
      <c r="G57" s="198">
        <v>252637</v>
      </c>
      <c r="H57" s="198"/>
      <c r="I57" s="198"/>
      <c r="J57" s="198"/>
    </row>
    <row r="58" spans="1:10" x14ac:dyDescent="0.3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98" t="s">
        <v>3320</v>
      </c>
      <c r="D58" s="198" t="s">
        <v>1284</v>
      </c>
      <c r="E58" s="198" t="s">
        <v>1285</v>
      </c>
      <c r="F58" s="198" t="s">
        <v>112</v>
      </c>
      <c r="G58" s="198">
        <v>149225</v>
      </c>
      <c r="H58" s="198"/>
      <c r="I58" s="198"/>
      <c r="J58" s="198"/>
    </row>
    <row r="59" spans="1:10"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98" t="s">
        <v>112</v>
      </c>
      <c r="D59" s="198"/>
      <c r="E59" s="198"/>
      <c r="F59" s="198"/>
      <c r="G59" s="198"/>
      <c r="H59" s="198"/>
      <c r="I59" s="198"/>
      <c r="J59" s="198"/>
    </row>
    <row r="60" spans="1:10"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98" t="s">
        <v>195</v>
      </c>
      <c r="D60" s="198" t="s">
        <v>112</v>
      </c>
      <c r="E60" s="198" t="s">
        <v>196</v>
      </c>
      <c r="F60" s="198" t="s">
        <v>197</v>
      </c>
      <c r="G60" s="198" t="s">
        <v>198</v>
      </c>
      <c r="H60" s="198" t="s">
        <v>199</v>
      </c>
      <c r="I60" s="198" t="s">
        <v>200</v>
      </c>
      <c r="J60" s="198" t="s">
        <v>201</v>
      </c>
    </row>
    <row r="61" spans="1:10" x14ac:dyDescent="0.35">
      <c r="A61" s="1" t="str">
        <f t="shared" si="0"/>
        <v>13</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98" t="s">
        <v>3321</v>
      </c>
      <c r="D61" s="198" t="s">
        <v>112</v>
      </c>
      <c r="E61" s="198" t="s">
        <v>1286</v>
      </c>
      <c r="F61" s="198" t="s">
        <v>1287</v>
      </c>
      <c r="G61" s="198" t="s">
        <v>1288</v>
      </c>
      <c r="H61" s="198" t="s">
        <v>1289</v>
      </c>
      <c r="I61" s="198">
        <v>24</v>
      </c>
      <c r="J61" s="198">
        <v>24</v>
      </c>
    </row>
    <row r="62" spans="1:10"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98" t="s">
        <v>112</v>
      </c>
      <c r="D62" s="198"/>
      <c r="E62" s="198"/>
      <c r="F62" s="198"/>
      <c r="G62" s="198"/>
      <c r="H62" s="198"/>
      <c r="I62" s="198"/>
      <c r="J62" s="198"/>
    </row>
    <row r="63" spans="1:10"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98" t="s">
        <v>112</v>
      </c>
      <c r="D63" s="198"/>
      <c r="E63" s="198"/>
      <c r="F63" s="198"/>
      <c r="G63" s="198"/>
      <c r="H63" s="198"/>
      <c r="I63" s="198"/>
      <c r="J63" s="198"/>
    </row>
    <row r="64" spans="1:10"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98" t="s">
        <v>112</v>
      </c>
      <c r="D64" s="198"/>
      <c r="E64" s="198"/>
      <c r="F64" s="198"/>
      <c r="G64" s="198"/>
      <c r="H64" s="198"/>
      <c r="I64" s="198"/>
      <c r="J64" s="198"/>
    </row>
    <row r="65" spans="1:10"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98" t="s">
        <v>112</v>
      </c>
      <c r="D65" s="198"/>
      <c r="E65" s="198"/>
      <c r="F65" s="198"/>
      <c r="G65" s="198"/>
      <c r="H65" s="198"/>
      <c r="I65" s="198"/>
      <c r="J65" s="198"/>
    </row>
    <row r="66" spans="1:10"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98" t="s">
        <v>112</v>
      </c>
      <c r="D66" s="198"/>
      <c r="E66" s="198"/>
      <c r="F66" s="198"/>
      <c r="G66" s="198"/>
      <c r="H66" s="198"/>
      <c r="I66" s="198"/>
      <c r="J66" s="198"/>
    </row>
    <row r="67" spans="1:10"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98" t="s">
        <v>206</v>
      </c>
      <c r="D67" s="198" t="s">
        <v>110</v>
      </c>
      <c r="E67" s="198" t="s">
        <v>111</v>
      </c>
      <c r="F67" s="198" t="s">
        <v>112</v>
      </c>
      <c r="G67" s="198" t="s">
        <v>113</v>
      </c>
      <c r="H67" s="198"/>
      <c r="I67" s="198"/>
      <c r="J67" s="198"/>
    </row>
    <row r="68" spans="1:10" x14ac:dyDescent="0.35">
      <c r="A68" s="1" t="str">
        <f t="shared" si="1"/>
        <v>14</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98" t="s">
        <v>3322</v>
      </c>
      <c r="D68" s="198"/>
      <c r="E68" s="198"/>
      <c r="F68" s="198"/>
      <c r="G68" s="198"/>
      <c r="H68" s="198"/>
      <c r="I68" s="198"/>
      <c r="J68" s="198"/>
    </row>
    <row r="69" spans="1:10" x14ac:dyDescent="0.35">
      <c r="A69" s="1" t="str">
        <f t="shared" si="1"/>
        <v>14</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98" t="s">
        <v>3323</v>
      </c>
      <c r="D69" s="198"/>
      <c r="E69" s="198"/>
      <c r="F69" s="198"/>
      <c r="G69" s="198"/>
      <c r="H69" s="198"/>
      <c r="I69" s="198"/>
      <c r="J69" s="198"/>
    </row>
    <row r="70" spans="1:10" x14ac:dyDescent="0.35">
      <c r="A70" s="1" t="str">
        <f t="shared" si="1"/>
        <v>14</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98" t="s">
        <v>3324</v>
      </c>
      <c r="D70" s="198"/>
      <c r="E70" s="198"/>
      <c r="F70" s="198"/>
      <c r="G70" s="198"/>
      <c r="H70" s="198"/>
      <c r="I70" s="198"/>
      <c r="J70" s="198"/>
    </row>
    <row r="71" spans="1:10" x14ac:dyDescent="0.35">
      <c r="A71" s="1" t="str">
        <f t="shared" si="1"/>
        <v>14</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98" t="s">
        <v>3325</v>
      </c>
      <c r="D71" s="198" t="s">
        <v>1290</v>
      </c>
      <c r="E71" s="198" t="s">
        <v>1291</v>
      </c>
      <c r="F71" s="198" t="s">
        <v>112</v>
      </c>
      <c r="G71" s="198">
        <v>2739599</v>
      </c>
      <c r="H71" s="198"/>
      <c r="I71" s="198"/>
      <c r="J71" s="198"/>
    </row>
    <row r="72" spans="1:10" x14ac:dyDescent="0.35">
      <c r="A72" s="1" t="str">
        <f t="shared" si="1"/>
        <v>14</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98" t="s">
        <v>3326</v>
      </c>
      <c r="D72" s="198" t="s">
        <v>1292</v>
      </c>
      <c r="E72" s="198" t="s">
        <v>1293</v>
      </c>
      <c r="F72" s="198" t="s">
        <v>112</v>
      </c>
      <c r="G72" s="198">
        <v>2738020</v>
      </c>
      <c r="H72" s="198"/>
      <c r="I72" s="198"/>
      <c r="J72" s="198"/>
    </row>
    <row r="73" spans="1:10" x14ac:dyDescent="0.35">
      <c r="A73" s="1" t="str">
        <f t="shared" si="1"/>
        <v>14</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98" t="s">
        <v>3327</v>
      </c>
      <c r="D73" s="198" t="s">
        <v>1294</v>
      </c>
      <c r="E73" s="198" t="s">
        <v>1295</v>
      </c>
      <c r="F73" s="198" t="s">
        <v>112</v>
      </c>
      <c r="G73" s="198">
        <v>2972986</v>
      </c>
      <c r="H73" s="198"/>
      <c r="I73" s="198"/>
      <c r="J73" s="198"/>
    </row>
    <row r="74" spans="1:10" x14ac:dyDescent="0.35">
      <c r="A74" s="1" t="str">
        <f t="shared" si="1"/>
        <v>14</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98" t="s">
        <v>3328</v>
      </c>
      <c r="D74" s="198" t="s">
        <v>1296</v>
      </c>
      <c r="E74" s="198" t="s">
        <v>1297</v>
      </c>
      <c r="F74" s="198" t="s">
        <v>112</v>
      </c>
      <c r="G74" s="198">
        <v>1673959</v>
      </c>
      <c r="H74" s="198"/>
      <c r="I74" s="198"/>
      <c r="J74" s="198"/>
    </row>
    <row r="75" spans="1:10" x14ac:dyDescent="0.35">
      <c r="A75" s="1" t="str">
        <f t="shared" si="1"/>
        <v>14</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98" t="s">
        <v>3329</v>
      </c>
      <c r="D75" s="198" t="s">
        <v>358</v>
      </c>
      <c r="E75" s="198" t="s">
        <v>1298</v>
      </c>
      <c r="F75" s="198" t="s">
        <v>112</v>
      </c>
      <c r="G75" s="198">
        <v>1464625</v>
      </c>
      <c r="H75" s="198"/>
      <c r="I75" s="198"/>
      <c r="J75" s="198"/>
    </row>
    <row r="76" spans="1:10" x14ac:dyDescent="0.35">
      <c r="A76" s="1" t="str">
        <f t="shared" si="1"/>
        <v>14</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98" t="s">
        <v>3330</v>
      </c>
      <c r="D76" s="198" t="s">
        <v>1299</v>
      </c>
      <c r="E76" s="198" t="s">
        <v>1300</v>
      </c>
      <c r="F76" s="198" t="s">
        <v>112</v>
      </c>
      <c r="G76" s="198">
        <v>1907584</v>
      </c>
      <c r="H76" s="198"/>
      <c r="I76" s="198"/>
      <c r="J76" s="198"/>
    </row>
    <row r="77" spans="1:10" x14ac:dyDescent="0.35">
      <c r="A77" s="1" t="str">
        <f t="shared" si="1"/>
        <v>14</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98" t="s">
        <v>3331</v>
      </c>
      <c r="D77" s="198" t="s">
        <v>1301</v>
      </c>
      <c r="E77" s="198" t="s">
        <v>1302</v>
      </c>
      <c r="F77" s="198" t="s">
        <v>112</v>
      </c>
      <c r="G77" s="198">
        <v>3194584</v>
      </c>
      <c r="H77" s="198"/>
      <c r="I77" s="198"/>
      <c r="J77" s="198"/>
    </row>
    <row r="78" spans="1:10" x14ac:dyDescent="0.35">
      <c r="A78" s="1" t="str">
        <f t="shared" si="1"/>
        <v>14</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98" t="s">
        <v>3332</v>
      </c>
      <c r="D78" s="198" t="s">
        <v>1303</v>
      </c>
      <c r="E78" s="198" t="s">
        <v>1304</v>
      </c>
      <c r="F78" s="198" t="s">
        <v>112</v>
      </c>
      <c r="G78" s="198">
        <v>3334638</v>
      </c>
      <c r="H78" s="198"/>
      <c r="I78" s="198"/>
      <c r="J78" s="198"/>
    </row>
    <row r="79" spans="1:10" x14ac:dyDescent="0.35">
      <c r="A79" s="1" t="str">
        <f t="shared" si="1"/>
        <v>14</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98" t="s">
        <v>3333</v>
      </c>
      <c r="D79" s="198" t="s">
        <v>1305</v>
      </c>
      <c r="E79" s="198" t="s">
        <v>1306</v>
      </c>
      <c r="F79" s="198" t="s">
        <v>112</v>
      </c>
      <c r="G79" s="198">
        <v>3435108</v>
      </c>
      <c r="H79" s="198"/>
      <c r="I79" s="198"/>
      <c r="J79" s="198"/>
    </row>
    <row r="80" spans="1:10" x14ac:dyDescent="0.35">
      <c r="A80" s="1" t="str">
        <f t="shared" si="1"/>
        <v>14</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98" t="s">
        <v>3334</v>
      </c>
      <c r="D80" s="198" t="s">
        <v>429</v>
      </c>
      <c r="E80" s="198" t="s">
        <v>1307</v>
      </c>
      <c r="F80" s="198" t="s">
        <v>112</v>
      </c>
      <c r="G80" s="198">
        <v>72439</v>
      </c>
      <c r="H80" s="198"/>
      <c r="I80" s="198"/>
      <c r="J80" s="198"/>
    </row>
    <row r="81" spans="1:10" x14ac:dyDescent="0.35">
      <c r="A81" s="1" t="str">
        <f t="shared" si="1"/>
        <v>14</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98" t="s">
        <v>3335</v>
      </c>
      <c r="D81" s="198" t="s">
        <v>1308</v>
      </c>
      <c r="E81" s="198" t="s">
        <v>1309</v>
      </c>
      <c r="F81" s="198" t="s">
        <v>112</v>
      </c>
      <c r="G81" s="198">
        <v>208274</v>
      </c>
      <c r="H81" s="198"/>
      <c r="I81" s="198"/>
      <c r="J81" s="198"/>
    </row>
    <row r="82" spans="1:10" x14ac:dyDescent="0.35">
      <c r="A82" s="1" t="str">
        <f t="shared" si="1"/>
        <v>14</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98" t="s">
        <v>3336</v>
      </c>
      <c r="D82" s="198" t="s">
        <v>1310</v>
      </c>
      <c r="E82" s="198" t="s">
        <v>1311</v>
      </c>
      <c r="F82" s="198" t="s">
        <v>112</v>
      </c>
      <c r="G82" s="198">
        <v>19575</v>
      </c>
      <c r="H82" s="198"/>
      <c r="I82" s="198"/>
      <c r="J82" s="198"/>
    </row>
    <row r="83" spans="1:10" x14ac:dyDescent="0.35">
      <c r="A83" s="1" t="str">
        <f t="shared" si="1"/>
        <v>14</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98" t="s">
        <v>3337</v>
      </c>
      <c r="D83" s="198" t="s">
        <v>1312</v>
      </c>
      <c r="E83" s="198" t="s">
        <v>1313</v>
      </c>
      <c r="F83" s="198" t="s">
        <v>112</v>
      </c>
      <c r="G83" s="198">
        <v>1064148</v>
      </c>
      <c r="H83" s="198"/>
      <c r="I83" s="198"/>
      <c r="J83" s="198"/>
    </row>
    <row r="84" spans="1:10" x14ac:dyDescent="0.35">
      <c r="A84" s="1" t="str">
        <f t="shared" si="1"/>
        <v>14</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98" t="s">
        <v>3338</v>
      </c>
      <c r="D84" s="198" t="s">
        <v>594</v>
      </c>
      <c r="E84" s="198" t="s">
        <v>1314</v>
      </c>
      <c r="F84" s="198" t="s">
        <v>112</v>
      </c>
      <c r="G84" s="198">
        <v>841835</v>
      </c>
      <c r="H84" s="198"/>
      <c r="I84" s="198"/>
      <c r="J84" s="198"/>
    </row>
    <row r="85" spans="1:10" x14ac:dyDescent="0.3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98" t="s">
        <v>3339</v>
      </c>
      <c r="D85" s="198" t="s">
        <v>1315</v>
      </c>
      <c r="E85" s="198" t="s">
        <v>1316</v>
      </c>
      <c r="F85" s="198" t="s">
        <v>112</v>
      </c>
      <c r="G85" s="198">
        <v>765439</v>
      </c>
      <c r="H85" s="198"/>
      <c r="I85" s="198"/>
      <c r="J85" s="198"/>
    </row>
    <row r="86" spans="1:10" x14ac:dyDescent="0.3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98" t="s">
        <v>3340</v>
      </c>
      <c r="D86" s="198" t="s">
        <v>1317</v>
      </c>
      <c r="E86" s="198" t="s">
        <v>1318</v>
      </c>
      <c r="F86" s="198" t="s">
        <v>112</v>
      </c>
      <c r="G86" s="198">
        <v>292350</v>
      </c>
      <c r="H86" s="198"/>
      <c r="I86" s="198"/>
      <c r="J86" s="198"/>
    </row>
    <row r="87" spans="1:10" x14ac:dyDescent="0.3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98" t="s">
        <v>3341</v>
      </c>
      <c r="D87" s="198" t="s">
        <v>1319</v>
      </c>
      <c r="E87" s="198" t="s">
        <v>1320</v>
      </c>
      <c r="F87" s="198" t="s">
        <v>112</v>
      </c>
      <c r="G87" s="198">
        <v>169795</v>
      </c>
      <c r="H87" s="198"/>
      <c r="I87" s="198"/>
      <c r="J87" s="198"/>
    </row>
    <row r="88" spans="1:10" x14ac:dyDescent="0.3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98" t="s">
        <v>3342</v>
      </c>
      <c r="D88" s="198" t="s">
        <v>1321</v>
      </c>
      <c r="E88" s="198" t="s">
        <v>1322</v>
      </c>
      <c r="F88" s="198" t="s">
        <v>112</v>
      </c>
      <c r="G88" s="198">
        <v>294642</v>
      </c>
      <c r="H88" s="198"/>
      <c r="I88" s="198"/>
      <c r="J88" s="198"/>
    </row>
    <row r="89" spans="1:10" x14ac:dyDescent="0.3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98" t="s">
        <v>3343</v>
      </c>
      <c r="D89" s="198" t="s">
        <v>298</v>
      </c>
      <c r="E89" s="198" t="s">
        <v>1323</v>
      </c>
      <c r="F89" s="198" t="s">
        <v>112</v>
      </c>
      <c r="G89" s="198">
        <v>718567</v>
      </c>
      <c r="H89" s="198"/>
      <c r="I89" s="198"/>
      <c r="J89" s="198"/>
    </row>
    <row r="90" spans="1:10" x14ac:dyDescent="0.3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98" t="s">
        <v>3344</v>
      </c>
      <c r="D90" s="198" t="s">
        <v>1324</v>
      </c>
      <c r="E90" s="198" t="s">
        <v>1325</v>
      </c>
      <c r="F90" s="198" t="s">
        <v>112</v>
      </c>
      <c r="G90" s="198">
        <v>875600</v>
      </c>
      <c r="H90" s="198"/>
      <c r="I90" s="198"/>
      <c r="J90" s="198"/>
    </row>
    <row r="91" spans="1:10" x14ac:dyDescent="0.3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98" t="s">
        <v>3345</v>
      </c>
      <c r="D91" s="198" t="s">
        <v>1326</v>
      </c>
      <c r="E91" s="198" t="s">
        <v>1327</v>
      </c>
      <c r="F91" s="198" t="s">
        <v>112</v>
      </c>
      <c r="G91" s="198">
        <v>1089390</v>
      </c>
      <c r="H91" s="198"/>
      <c r="I91" s="198"/>
      <c r="J91" s="198"/>
    </row>
    <row r="92" spans="1:10"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98" t="s">
        <v>112</v>
      </c>
      <c r="D92" s="198"/>
      <c r="E92" s="198"/>
      <c r="F92" s="198"/>
      <c r="G92" s="198"/>
      <c r="H92" s="198"/>
      <c r="I92" s="198"/>
      <c r="J92" s="198"/>
    </row>
    <row r="93" spans="1:10"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98" t="s">
        <v>195</v>
      </c>
      <c r="D93" s="198" t="s">
        <v>112</v>
      </c>
      <c r="E93" s="198" t="s">
        <v>196</v>
      </c>
      <c r="F93" s="198" t="s">
        <v>197</v>
      </c>
      <c r="G93" s="198" t="s">
        <v>198</v>
      </c>
      <c r="H93" s="198" t="s">
        <v>199</v>
      </c>
      <c r="I93" s="198" t="s">
        <v>200</v>
      </c>
      <c r="J93" s="198" t="s">
        <v>201</v>
      </c>
    </row>
    <row r="94" spans="1:10" x14ac:dyDescent="0.35">
      <c r="A94" s="1" t="str">
        <f t="shared" si="1"/>
        <v>14</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98" t="s">
        <v>3346</v>
      </c>
      <c r="D94" s="198" t="s">
        <v>112</v>
      </c>
      <c r="E94" s="198" t="s">
        <v>1328</v>
      </c>
      <c r="F94" s="198" t="s">
        <v>1329</v>
      </c>
      <c r="G94" s="198" t="s">
        <v>1330</v>
      </c>
      <c r="H94" s="198" t="s">
        <v>1331</v>
      </c>
      <c r="I94" s="198">
        <v>24</v>
      </c>
      <c r="J94" s="198">
        <v>24</v>
      </c>
    </row>
    <row r="95" spans="1:10"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98" t="s">
        <v>112</v>
      </c>
      <c r="D95" s="198"/>
      <c r="E95" s="198"/>
      <c r="F95" s="198"/>
      <c r="G95" s="198"/>
      <c r="H95" s="198"/>
      <c r="I95" s="198"/>
      <c r="J95" s="198"/>
    </row>
    <row r="96" spans="1:10"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98" t="s">
        <v>112</v>
      </c>
      <c r="D96" s="198"/>
      <c r="E96" s="198"/>
      <c r="F96" s="198"/>
      <c r="G96" s="198"/>
      <c r="H96" s="198"/>
      <c r="I96" s="198"/>
      <c r="J96" s="198"/>
    </row>
    <row r="97" spans="1:10"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98" t="s">
        <v>112</v>
      </c>
      <c r="D97" s="198"/>
      <c r="E97" s="198"/>
      <c r="F97" s="198"/>
      <c r="G97" s="198"/>
      <c r="H97" s="198"/>
      <c r="I97" s="198"/>
      <c r="J97" s="198"/>
    </row>
    <row r="98" spans="1:10"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98" t="s">
        <v>112</v>
      </c>
      <c r="D98" s="198"/>
      <c r="E98" s="198"/>
      <c r="F98" s="198"/>
      <c r="G98" s="198"/>
      <c r="H98" s="198"/>
      <c r="I98" s="198"/>
      <c r="J98" s="198"/>
    </row>
    <row r="99" spans="1:10"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98" t="s">
        <v>112</v>
      </c>
      <c r="D99" s="198"/>
      <c r="E99" s="198"/>
      <c r="F99" s="198"/>
      <c r="G99" s="198"/>
      <c r="H99" s="198"/>
      <c r="I99" s="198"/>
      <c r="J99" s="198"/>
    </row>
    <row r="100" spans="1:10"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98" t="s">
        <v>206</v>
      </c>
      <c r="D100" s="198" t="s">
        <v>110</v>
      </c>
      <c r="E100" s="198" t="s">
        <v>111</v>
      </c>
      <c r="F100" s="198" t="s">
        <v>112</v>
      </c>
      <c r="G100" s="198" t="s">
        <v>113</v>
      </c>
      <c r="H100" s="198"/>
      <c r="I100" s="198"/>
      <c r="J100" s="198"/>
    </row>
    <row r="101" spans="1:10" x14ac:dyDescent="0.35">
      <c r="A101" s="1" t="str">
        <f t="shared" si="1"/>
        <v>15</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98" t="s">
        <v>3347</v>
      </c>
      <c r="D101" s="198" t="s">
        <v>1332</v>
      </c>
      <c r="E101" s="198" t="s">
        <v>1333</v>
      </c>
      <c r="F101" s="198" t="s">
        <v>112</v>
      </c>
      <c r="G101" s="198">
        <v>4775016</v>
      </c>
      <c r="H101" s="198"/>
      <c r="I101" s="198"/>
      <c r="J101" s="198"/>
    </row>
    <row r="102" spans="1:10" x14ac:dyDescent="0.35">
      <c r="A102" s="1" t="str">
        <f t="shared" si="1"/>
        <v>15</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98" t="s">
        <v>3348</v>
      </c>
      <c r="D102" s="198" t="s">
        <v>1334</v>
      </c>
      <c r="E102" s="198" t="s">
        <v>1335</v>
      </c>
      <c r="F102" s="198" t="s">
        <v>112</v>
      </c>
      <c r="G102" s="198">
        <v>4019721</v>
      </c>
      <c r="H102" s="198"/>
      <c r="I102" s="198"/>
      <c r="J102" s="198"/>
    </row>
    <row r="103" spans="1:10" x14ac:dyDescent="0.35">
      <c r="A103" s="1" t="str">
        <f t="shared" si="1"/>
        <v>15</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98" t="s">
        <v>3349</v>
      </c>
      <c r="D103" s="198" t="s">
        <v>1336</v>
      </c>
      <c r="E103" s="198" t="s">
        <v>1337</v>
      </c>
      <c r="F103" s="198" t="s">
        <v>112</v>
      </c>
      <c r="G103" s="198">
        <v>4101828</v>
      </c>
      <c r="H103" s="198"/>
      <c r="I103" s="198"/>
      <c r="J103" s="198"/>
    </row>
    <row r="104" spans="1:10" x14ac:dyDescent="0.35">
      <c r="A104" s="1" t="str">
        <f t="shared" si="1"/>
        <v>15</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98" t="s">
        <v>3350</v>
      </c>
      <c r="D104" s="198" t="s">
        <v>1338</v>
      </c>
      <c r="E104" s="198" t="s">
        <v>1339</v>
      </c>
      <c r="F104" s="198" t="s">
        <v>112</v>
      </c>
      <c r="G104" s="198">
        <v>2381884</v>
      </c>
      <c r="H104" s="198"/>
      <c r="I104" s="198"/>
      <c r="J104" s="198"/>
    </row>
    <row r="105" spans="1:10" x14ac:dyDescent="0.35">
      <c r="A105" s="1" t="str">
        <f t="shared" si="1"/>
        <v>15</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98" t="s">
        <v>3351</v>
      </c>
      <c r="D105" s="198" t="s">
        <v>1340</v>
      </c>
      <c r="E105" s="198" t="s">
        <v>1341</v>
      </c>
      <c r="F105" s="198" t="s">
        <v>112</v>
      </c>
      <c r="G105" s="198">
        <v>2375525</v>
      </c>
      <c r="H105" s="198"/>
      <c r="I105" s="198"/>
      <c r="J105" s="198"/>
    </row>
    <row r="106" spans="1:10" x14ac:dyDescent="0.35">
      <c r="A106" s="1" t="str">
        <f t="shared" si="1"/>
        <v>15</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98" t="s">
        <v>3352</v>
      </c>
      <c r="D106" s="198" t="s">
        <v>1342</v>
      </c>
      <c r="E106" s="198" t="s">
        <v>1343</v>
      </c>
      <c r="F106" s="198" t="s">
        <v>112</v>
      </c>
      <c r="G106" s="198">
        <v>2482074</v>
      </c>
      <c r="H106" s="198"/>
      <c r="I106" s="198"/>
      <c r="J106" s="198"/>
    </row>
    <row r="107" spans="1:10" x14ac:dyDescent="0.35">
      <c r="A107" s="1" t="str">
        <f t="shared" si="1"/>
        <v>15</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98" t="s">
        <v>3353</v>
      </c>
      <c r="D107" s="198" t="s">
        <v>1344</v>
      </c>
      <c r="E107" s="198" t="s">
        <v>1345</v>
      </c>
      <c r="F107" s="198" t="s">
        <v>112</v>
      </c>
      <c r="G107" s="198">
        <v>1623864</v>
      </c>
      <c r="H107" s="198"/>
      <c r="I107" s="198"/>
      <c r="J107" s="198"/>
    </row>
    <row r="108" spans="1:10" x14ac:dyDescent="0.35">
      <c r="A108" s="1" t="str">
        <f t="shared" si="1"/>
        <v>15</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98" t="s">
        <v>3354</v>
      </c>
      <c r="D108" s="198"/>
      <c r="E108" s="198"/>
      <c r="F108" s="198"/>
      <c r="G108" s="198"/>
      <c r="H108" s="198"/>
      <c r="I108" s="198"/>
      <c r="J108" s="198"/>
    </row>
    <row r="109" spans="1:10" x14ac:dyDescent="0.35">
      <c r="A109" s="1" t="str">
        <f t="shared" si="1"/>
        <v>15</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98" t="s">
        <v>3355</v>
      </c>
      <c r="D109" s="198"/>
      <c r="E109" s="198"/>
      <c r="F109" s="198"/>
      <c r="G109" s="198"/>
      <c r="H109" s="198"/>
      <c r="I109" s="198"/>
      <c r="J109" s="198"/>
    </row>
    <row r="110" spans="1:10" x14ac:dyDescent="0.35">
      <c r="A110" s="1" t="str">
        <f t="shared" si="1"/>
        <v>15</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98" t="s">
        <v>3356</v>
      </c>
      <c r="D110" s="198" t="s">
        <v>1346</v>
      </c>
      <c r="E110" s="198" t="s">
        <v>1347</v>
      </c>
      <c r="F110" s="198" t="s">
        <v>112</v>
      </c>
      <c r="G110" s="198">
        <v>2927347</v>
      </c>
      <c r="H110" s="198"/>
      <c r="I110" s="198"/>
      <c r="J110" s="198"/>
    </row>
    <row r="111" spans="1:10" x14ac:dyDescent="0.35">
      <c r="A111" s="1" t="str">
        <f t="shared" si="1"/>
        <v>15</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98" t="s">
        <v>3357</v>
      </c>
      <c r="D111" s="198" t="s">
        <v>684</v>
      </c>
      <c r="E111" s="198" t="s">
        <v>1348</v>
      </c>
      <c r="F111" s="198" t="s">
        <v>112</v>
      </c>
      <c r="G111" s="198">
        <v>2406542</v>
      </c>
      <c r="H111" s="198"/>
      <c r="I111" s="198"/>
      <c r="J111" s="198"/>
    </row>
    <row r="112" spans="1:10" x14ac:dyDescent="0.35">
      <c r="A112" s="1" t="str">
        <f t="shared" si="1"/>
        <v>15</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98" t="s">
        <v>3358</v>
      </c>
      <c r="D112" s="198" t="s">
        <v>1349</v>
      </c>
      <c r="E112" s="198" t="s">
        <v>1350</v>
      </c>
      <c r="F112" s="198" t="s">
        <v>112</v>
      </c>
      <c r="G112" s="198">
        <v>2771611</v>
      </c>
      <c r="H112" s="198"/>
      <c r="I112" s="198"/>
      <c r="J112" s="198"/>
    </row>
    <row r="113" spans="1:10" x14ac:dyDescent="0.35">
      <c r="A113" s="1" t="str">
        <f t="shared" si="1"/>
        <v>15</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98" t="s">
        <v>3359</v>
      </c>
      <c r="D113" s="198" t="s">
        <v>1351</v>
      </c>
      <c r="E113" s="198" t="s">
        <v>1352</v>
      </c>
      <c r="F113" s="198" t="s">
        <v>112</v>
      </c>
      <c r="G113" s="198">
        <v>5309685</v>
      </c>
      <c r="H113" s="198"/>
      <c r="I113" s="198"/>
      <c r="J113" s="198"/>
    </row>
    <row r="114" spans="1:10" x14ac:dyDescent="0.35">
      <c r="A114" s="1" t="str">
        <f t="shared" si="1"/>
        <v>15</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98" t="s">
        <v>3360</v>
      </c>
      <c r="D114" s="198" t="s">
        <v>1353</v>
      </c>
      <c r="E114" s="198" t="s">
        <v>1354</v>
      </c>
      <c r="F114" s="198" t="s">
        <v>112</v>
      </c>
      <c r="G114" s="198">
        <v>5245617</v>
      </c>
      <c r="H114" s="198"/>
      <c r="I114" s="198"/>
      <c r="J114" s="198"/>
    </row>
    <row r="115" spans="1:10" x14ac:dyDescent="0.35">
      <c r="A115" s="1" t="str">
        <f t="shared" si="1"/>
        <v>15</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98" t="s">
        <v>3361</v>
      </c>
      <c r="D115" s="198" t="s">
        <v>1355</v>
      </c>
      <c r="E115" s="198" t="s">
        <v>1356</v>
      </c>
      <c r="F115" s="198" t="s">
        <v>112</v>
      </c>
      <c r="G115" s="198">
        <v>5676766</v>
      </c>
      <c r="H115" s="198"/>
      <c r="I115" s="198"/>
      <c r="J115" s="198"/>
    </row>
    <row r="116" spans="1:10" x14ac:dyDescent="0.35">
      <c r="A116" s="1" t="str">
        <f t="shared" si="1"/>
        <v>15</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98" t="s">
        <v>3362</v>
      </c>
      <c r="D116" s="198" t="s">
        <v>1357</v>
      </c>
      <c r="E116" s="198" t="s">
        <v>1358</v>
      </c>
      <c r="F116" s="198" t="s">
        <v>112</v>
      </c>
      <c r="G116" s="198">
        <v>4233857</v>
      </c>
      <c r="H116" s="198"/>
      <c r="I116" s="198"/>
      <c r="J116" s="198"/>
    </row>
    <row r="117" spans="1:10" x14ac:dyDescent="0.35">
      <c r="A117" s="1" t="str">
        <f t="shared" si="1"/>
        <v>15</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98" t="s">
        <v>3363</v>
      </c>
      <c r="D117" s="198" t="s">
        <v>1359</v>
      </c>
      <c r="E117" s="198" t="s">
        <v>1360</v>
      </c>
      <c r="F117" s="198" t="s">
        <v>112</v>
      </c>
      <c r="G117" s="198">
        <v>4513229</v>
      </c>
      <c r="H117" s="198"/>
      <c r="I117" s="198"/>
      <c r="J117" s="198"/>
    </row>
    <row r="118" spans="1:10" x14ac:dyDescent="0.35">
      <c r="A118" s="1" t="str">
        <f t="shared" si="1"/>
        <v>15</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98" t="s">
        <v>3364</v>
      </c>
      <c r="D118" s="198" t="s">
        <v>1361</v>
      </c>
      <c r="E118" s="198" t="s">
        <v>1362</v>
      </c>
      <c r="F118" s="198" t="s">
        <v>112</v>
      </c>
      <c r="G118" s="198">
        <v>4079744</v>
      </c>
      <c r="H118" s="198"/>
      <c r="I118" s="198"/>
      <c r="J118" s="198"/>
    </row>
    <row r="119" spans="1:10" x14ac:dyDescent="0.35">
      <c r="A119" s="1" t="str">
        <f t="shared" si="1"/>
        <v>15</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98" t="s">
        <v>3365</v>
      </c>
      <c r="D119" s="198" t="s">
        <v>1363</v>
      </c>
      <c r="E119" s="198" t="s">
        <v>1364</v>
      </c>
      <c r="F119" s="198" t="s">
        <v>112</v>
      </c>
      <c r="G119" s="198">
        <v>3378654</v>
      </c>
      <c r="H119" s="198"/>
      <c r="I119" s="198"/>
      <c r="J119" s="198"/>
    </row>
    <row r="120" spans="1:10" x14ac:dyDescent="0.35">
      <c r="A120" s="1" t="str">
        <f t="shared" si="1"/>
        <v>15</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98" t="s">
        <v>3366</v>
      </c>
      <c r="D120" s="198" t="s">
        <v>1365</v>
      </c>
      <c r="E120" s="198" t="s">
        <v>1366</v>
      </c>
      <c r="F120" s="198" t="s">
        <v>112</v>
      </c>
      <c r="G120" s="198">
        <v>3620347</v>
      </c>
      <c r="H120" s="198"/>
      <c r="I120" s="198"/>
      <c r="J120" s="198"/>
    </row>
    <row r="121" spans="1:10" x14ac:dyDescent="0.35">
      <c r="A121" s="1" t="str">
        <f t="shared" si="1"/>
        <v>15</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98" t="s">
        <v>3367</v>
      </c>
      <c r="D121" s="198" t="s">
        <v>1367</v>
      </c>
      <c r="E121" s="198" t="s">
        <v>1368</v>
      </c>
      <c r="F121" s="198" t="s">
        <v>112</v>
      </c>
      <c r="G121" s="198">
        <v>2856682</v>
      </c>
      <c r="H121" s="198"/>
      <c r="I121" s="198"/>
      <c r="J121" s="198"/>
    </row>
    <row r="122" spans="1:10" x14ac:dyDescent="0.35">
      <c r="A122" s="1" t="str">
        <f t="shared" si="1"/>
        <v>15</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98" t="s">
        <v>3368</v>
      </c>
      <c r="D122" s="198" t="s">
        <v>1369</v>
      </c>
      <c r="E122" s="198" t="s">
        <v>1370</v>
      </c>
      <c r="F122" s="198" t="s">
        <v>112</v>
      </c>
      <c r="G122" s="198">
        <v>3742837</v>
      </c>
      <c r="H122" s="198"/>
      <c r="I122" s="198"/>
      <c r="J122" s="198"/>
    </row>
    <row r="123" spans="1:10" x14ac:dyDescent="0.35">
      <c r="A123" s="1" t="str">
        <f t="shared" si="1"/>
        <v>15</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98" t="s">
        <v>3369</v>
      </c>
      <c r="D123" s="198" t="s">
        <v>1371</v>
      </c>
      <c r="E123" s="198" t="s">
        <v>1372</v>
      </c>
      <c r="F123" s="198" t="s">
        <v>112</v>
      </c>
      <c r="G123" s="198">
        <v>4071741</v>
      </c>
      <c r="H123" s="198"/>
      <c r="I123" s="198"/>
      <c r="J123" s="198"/>
    </row>
    <row r="124" spans="1:10" x14ac:dyDescent="0.35">
      <c r="A124" s="1" t="str">
        <f t="shared" si="1"/>
        <v>15</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98" t="s">
        <v>3370</v>
      </c>
      <c r="D124" s="198" t="s">
        <v>1373</v>
      </c>
      <c r="E124" s="198" t="s">
        <v>1374</v>
      </c>
      <c r="F124" s="198" t="s">
        <v>112</v>
      </c>
      <c r="G124" s="198">
        <v>3509494</v>
      </c>
      <c r="H124" s="198"/>
      <c r="I124" s="198"/>
      <c r="J124" s="198"/>
    </row>
    <row r="125" spans="1:10"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98" t="s">
        <v>112</v>
      </c>
      <c r="D125" s="198"/>
      <c r="E125" s="198"/>
      <c r="F125" s="198"/>
      <c r="G125" s="198"/>
      <c r="H125" s="198"/>
      <c r="I125" s="198"/>
      <c r="J125" s="198"/>
    </row>
    <row r="126" spans="1:10"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98" t="s">
        <v>195</v>
      </c>
      <c r="D126" s="198" t="s">
        <v>112</v>
      </c>
      <c r="E126" s="198" t="s">
        <v>196</v>
      </c>
      <c r="F126" s="198" t="s">
        <v>197</v>
      </c>
      <c r="G126" s="198" t="s">
        <v>198</v>
      </c>
      <c r="H126" s="198" t="s">
        <v>199</v>
      </c>
      <c r="I126" s="198" t="s">
        <v>200</v>
      </c>
      <c r="J126" s="198" t="s">
        <v>201</v>
      </c>
    </row>
    <row r="127" spans="1:10" x14ac:dyDescent="0.35">
      <c r="A127" s="1" t="str">
        <f t="shared" si="1"/>
        <v>15</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98" t="s">
        <v>3371</v>
      </c>
      <c r="D127" s="198" t="s">
        <v>112</v>
      </c>
      <c r="E127" s="198" t="s">
        <v>1375</v>
      </c>
      <c r="F127" s="198" t="s">
        <v>1376</v>
      </c>
      <c r="G127" s="198" t="s">
        <v>1377</v>
      </c>
      <c r="H127" s="198" t="s">
        <v>1378</v>
      </c>
      <c r="I127" s="198">
        <v>24</v>
      </c>
      <c r="J127" s="198">
        <v>24</v>
      </c>
    </row>
    <row r="128" spans="1:10"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98" t="s">
        <v>112</v>
      </c>
      <c r="D128" s="198"/>
      <c r="E128" s="198"/>
      <c r="F128" s="198"/>
      <c r="G128" s="198"/>
      <c r="H128" s="198"/>
      <c r="I128" s="198"/>
      <c r="J128" s="198"/>
    </row>
    <row r="129" spans="1:10"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98" t="s">
        <v>112</v>
      </c>
      <c r="D129" s="198"/>
      <c r="E129" s="198"/>
      <c r="F129" s="198"/>
      <c r="G129" s="198"/>
      <c r="H129" s="198"/>
      <c r="I129" s="198"/>
      <c r="J129" s="198"/>
    </row>
    <row r="130" spans="1:10"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98" t="s">
        <v>112</v>
      </c>
      <c r="D130" s="198"/>
      <c r="E130" s="198"/>
      <c r="F130" s="198"/>
      <c r="G130" s="198"/>
      <c r="H130" s="198"/>
      <c r="I130" s="198"/>
      <c r="J130" s="198"/>
    </row>
    <row r="131" spans="1:10"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98" t="s">
        <v>112</v>
      </c>
      <c r="D131" s="198"/>
      <c r="E131" s="198"/>
      <c r="F131" s="198"/>
      <c r="G131" s="198"/>
      <c r="H131" s="198"/>
      <c r="I131" s="198"/>
      <c r="J131" s="198"/>
    </row>
    <row r="132" spans="1:10"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98" t="s">
        <v>112</v>
      </c>
      <c r="D132" s="198"/>
      <c r="E132" s="198"/>
      <c r="F132" s="198"/>
      <c r="G132" s="198"/>
      <c r="H132" s="198"/>
      <c r="I132" s="198"/>
      <c r="J132" s="198"/>
    </row>
    <row r="133" spans="1:10"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98" t="s">
        <v>206</v>
      </c>
      <c r="D133" s="198" t="s">
        <v>110</v>
      </c>
      <c r="E133" s="198" t="s">
        <v>111</v>
      </c>
      <c r="F133" s="198" t="s">
        <v>112</v>
      </c>
      <c r="G133" s="198" t="s">
        <v>113</v>
      </c>
      <c r="H133" s="198"/>
      <c r="I133" s="198"/>
      <c r="J133" s="198"/>
    </row>
    <row r="134" spans="1:10" x14ac:dyDescent="0.35">
      <c r="A134" s="1" t="str">
        <f t="shared" si="2"/>
        <v>16</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98" t="s">
        <v>3372</v>
      </c>
      <c r="D134" s="198" t="s">
        <v>1379</v>
      </c>
      <c r="E134" s="198" t="s">
        <v>1380</v>
      </c>
      <c r="F134" s="198" t="s">
        <v>112</v>
      </c>
      <c r="G134" s="198">
        <v>4110</v>
      </c>
      <c r="H134" s="198"/>
      <c r="I134" s="198"/>
      <c r="J134" s="198"/>
    </row>
    <row r="135" spans="1:10" x14ac:dyDescent="0.35">
      <c r="A135" s="1" t="str">
        <f t="shared" si="2"/>
        <v>16</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98" t="s">
        <v>3373</v>
      </c>
      <c r="D135" s="198" t="s">
        <v>1381</v>
      </c>
      <c r="E135" s="198" t="s">
        <v>1382</v>
      </c>
      <c r="F135" s="198" t="s">
        <v>112</v>
      </c>
      <c r="G135" s="198">
        <v>345343</v>
      </c>
      <c r="H135" s="198"/>
      <c r="I135" s="198"/>
      <c r="J135" s="198"/>
    </row>
    <row r="136" spans="1:10" x14ac:dyDescent="0.35">
      <c r="A136" s="1" t="str">
        <f t="shared" si="2"/>
        <v>16</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98" t="s">
        <v>3374</v>
      </c>
      <c r="D136" s="198" t="s">
        <v>217</v>
      </c>
      <c r="E136" s="198" t="s">
        <v>1383</v>
      </c>
      <c r="F136" s="198" t="s">
        <v>112</v>
      </c>
      <c r="G136" s="198">
        <v>262176</v>
      </c>
      <c r="H136" s="198"/>
      <c r="I136" s="198"/>
      <c r="J136" s="198"/>
    </row>
    <row r="137" spans="1:10" x14ac:dyDescent="0.35">
      <c r="A137" s="1" t="str">
        <f t="shared" si="2"/>
        <v>16</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98" t="s">
        <v>3375</v>
      </c>
      <c r="D137" s="198" t="s">
        <v>546</v>
      </c>
      <c r="E137" s="198" t="s">
        <v>1384</v>
      </c>
      <c r="F137" s="198" t="s">
        <v>112</v>
      </c>
      <c r="G137" s="198">
        <v>68091</v>
      </c>
      <c r="H137" s="198"/>
      <c r="I137" s="198"/>
      <c r="J137" s="198"/>
    </row>
    <row r="138" spans="1:10" x14ac:dyDescent="0.35">
      <c r="A138" s="1" t="str">
        <f t="shared" si="2"/>
        <v>16</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98" t="s">
        <v>3376</v>
      </c>
      <c r="D138" s="198" t="s">
        <v>1385</v>
      </c>
      <c r="E138" s="198" t="s">
        <v>1386</v>
      </c>
      <c r="F138" s="198" t="s">
        <v>112</v>
      </c>
      <c r="G138" s="198">
        <v>245932</v>
      </c>
      <c r="H138" s="198"/>
      <c r="I138" s="198"/>
      <c r="J138" s="198"/>
    </row>
    <row r="139" spans="1:10" x14ac:dyDescent="0.35">
      <c r="A139" s="1" t="str">
        <f t="shared" si="2"/>
        <v>16</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98" t="s">
        <v>3377</v>
      </c>
      <c r="D139" s="198" t="s">
        <v>1387</v>
      </c>
      <c r="E139" s="198" t="s">
        <v>1388</v>
      </c>
      <c r="F139" s="198" t="s">
        <v>112</v>
      </c>
      <c r="G139" s="198">
        <v>411530</v>
      </c>
      <c r="H139" s="198"/>
      <c r="I139" s="198"/>
      <c r="J139" s="198"/>
    </row>
    <row r="140" spans="1:10" x14ac:dyDescent="0.35">
      <c r="A140" s="1" t="str">
        <f t="shared" si="2"/>
        <v>16</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98" t="s">
        <v>3378</v>
      </c>
      <c r="D140" s="198" t="s">
        <v>1389</v>
      </c>
      <c r="E140" s="198" t="s">
        <v>1390</v>
      </c>
      <c r="F140" s="198" t="s">
        <v>112</v>
      </c>
      <c r="G140" s="198">
        <v>47218</v>
      </c>
      <c r="H140" s="198"/>
      <c r="I140" s="198"/>
      <c r="J140" s="198"/>
    </row>
    <row r="141" spans="1:10" x14ac:dyDescent="0.35">
      <c r="A141" s="1" t="str">
        <f t="shared" si="2"/>
        <v>16</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98" t="s">
        <v>3379</v>
      </c>
      <c r="D141" s="198" t="s">
        <v>1391</v>
      </c>
      <c r="E141" s="198" t="s">
        <v>1392</v>
      </c>
      <c r="F141" s="198" t="s">
        <v>112</v>
      </c>
      <c r="G141" s="198">
        <v>365437</v>
      </c>
      <c r="H141" s="198"/>
      <c r="I141" s="198"/>
      <c r="J141" s="198"/>
    </row>
    <row r="142" spans="1:10" x14ac:dyDescent="0.35">
      <c r="A142" s="1" t="str">
        <f t="shared" si="2"/>
        <v>16</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98" t="s">
        <v>3380</v>
      </c>
      <c r="D142" s="198" t="s">
        <v>1393</v>
      </c>
      <c r="E142" s="198" t="s">
        <v>1394</v>
      </c>
      <c r="F142" s="198" t="s">
        <v>112</v>
      </c>
      <c r="G142" s="198">
        <v>245478</v>
      </c>
      <c r="H142" s="198"/>
      <c r="I142" s="198"/>
      <c r="J142" s="198"/>
    </row>
    <row r="143" spans="1:10" x14ac:dyDescent="0.35">
      <c r="A143" s="1" t="str">
        <f t="shared" si="2"/>
        <v>16</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98" t="s">
        <v>3381</v>
      </c>
      <c r="D143" s="198" t="s">
        <v>747</v>
      </c>
      <c r="E143" s="198" t="s">
        <v>1395</v>
      </c>
      <c r="F143" s="198" t="s">
        <v>112</v>
      </c>
      <c r="G143" s="198">
        <v>11529</v>
      </c>
      <c r="H143" s="198"/>
      <c r="I143" s="198"/>
      <c r="J143" s="198"/>
    </row>
    <row r="144" spans="1:10" x14ac:dyDescent="0.35">
      <c r="A144" s="1" t="str">
        <f t="shared" si="2"/>
        <v>16</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98" t="s">
        <v>3382</v>
      </c>
      <c r="D144" s="198" t="s">
        <v>750</v>
      </c>
      <c r="E144" s="198" t="s">
        <v>225</v>
      </c>
      <c r="F144" s="198" t="s">
        <v>112</v>
      </c>
      <c r="G144" s="198">
        <v>8176</v>
      </c>
      <c r="H144" s="198"/>
      <c r="I144" s="198"/>
      <c r="J144" s="198"/>
    </row>
    <row r="145" spans="1:10" x14ac:dyDescent="0.35">
      <c r="A145" s="1" t="str">
        <f t="shared" si="2"/>
        <v>16</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98" t="s">
        <v>3383</v>
      </c>
      <c r="D145" s="198" t="s">
        <v>439</v>
      </c>
      <c r="E145" s="198" t="s">
        <v>1396</v>
      </c>
      <c r="F145" s="198" t="s">
        <v>112</v>
      </c>
      <c r="G145" s="198">
        <v>59331</v>
      </c>
      <c r="H145" s="198"/>
      <c r="I145" s="198"/>
      <c r="J145" s="198"/>
    </row>
    <row r="146" spans="1:10" x14ac:dyDescent="0.35">
      <c r="A146" s="1" t="str">
        <f t="shared" si="2"/>
        <v>16</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98" t="s">
        <v>3384</v>
      </c>
      <c r="D146" s="198" t="s">
        <v>461</v>
      </c>
      <c r="E146" s="198">
        <v>30</v>
      </c>
      <c r="F146" s="198" t="s">
        <v>112</v>
      </c>
      <c r="G146" s="198">
        <v>649</v>
      </c>
      <c r="H146" s="198"/>
      <c r="I146" s="198"/>
      <c r="J146" s="198"/>
    </row>
    <row r="147" spans="1:10" x14ac:dyDescent="0.35">
      <c r="A147" s="1" t="str">
        <f t="shared" si="2"/>
        <v>16</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98" t="s">
        <v>3385</v>
      </c>
      <c r="D147" s="198">
        <v>0</v>
      </c>
      <c r="E147" s="198">
        <v>0</v>
      </c>
      <c r="F147" s="198" t="s">
        <v>112</v>
      </c>
      <c r="G147" s="198">
        <v>0</v>
      </c>
      <c r="H147" s="198"/>
      <c r="I147" s="198"/>
      <c r="J147" s="198"/>
    </row>
    <row r="148" spans="1:10" x14ac:dyDescent="0.35">
      <c r="A148" s="1" t="str">
        <f t="shared" si="2"/>
        <v>16</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98" t="s">
        <v>3386</v>
      </c>
      <c r="D148" s="198" t="s">
        <v>1397</v>
      </c>
      <c r="E148" s="198" t="s">
        <v>1398</v>
      </c>
      <c r="F148" s="198" t="s">
        <v>112</v>
      </c>
      <c r="G148" s="198">
        <v>131899</v>
      </c>
      <c r="H148" s="198"/>
      <c r="I148" s="198"/>
      <c r="J148" s="198"/>
    </row>
    <row r="149" spans="1:10" x14ac:dyDescent="0.35">
      <c r="A149" s="1" t="str">
        <f t="shared" si="2"/>
        <v>16</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98" t="s">
        <v>3387</v>
      </c>
      <c r="D149" s="198" t="s">
        <v>211</v>
      </c>
      <c r="E149" s="198" t="s">
        <v>1399</v>
      </c>
      <c r="F149" s="198" t="s">
        <v>112</v>
      </c>
      <c r="G149" s="198">
        <v>409692</v>
      </c>
      <c r="H149" s="198"/>
      <c r="I149" s="198"/>
      <c r="J149" s="198"/>
    </row>
    <row r="150" spans="1:10" x14ac:dyDescent="0.35">
      <c r="A150" s="1" t="str">
        <f t="shared" si="2"/>
        <v>16</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98" t="s">
        <v>3388</v>
      </c>
      <c r="D150" s="198" t="s">
        <v>1400</v>
      </c>
      <c r="E150" s="198" t="s">
        <v>1401</v>
      </c>
      <c r="F150" s="198" t="s">
        <v>112</v>
      </c>
      <c r="G150" s="198">
        <v>262176</v>
      </c>
      <c r="H150" s="198"/>
      <c r="I150" s="198"/>
      <c r="J150" s="198"/>
    </row>
    <row r="151" spans="1:10" x14ac:dyDescent="0.35">
      <c r="A151" s="1" t="str">
        <f t="shared" si="2"/>
        <v>16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98" t="s">
        <v>3389</v>
      </c>
      <c r="D151" s="198" t="s">
        <v>1402</v>
      </c>
      <c r="E151" s="198" t="s">
        <v>1403</v>
      </c>
      <c r="F151" s="198" t="s">
        <v>112</v>
      </c>
      <c r="G151" s="198">
        <v>311060</v>
      </c>
      <c r="H151" s="198"/>
      <c r="I151" s="198"/>
      <c r="J151" s="198"/>
    </row>
    <row r="152" spans="1:10" x14ac:dyDescent="0.35">
      <c r="A152" s="1" t="str">
        <f t="shared" si="2"/>
        <v>16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98" t="s">
        <v>3390</v>
      </c>
      <c r="D152" s="198" t="s">
        <v>168</v>
      </c>
      <c r="E152" s="198" t="s">
        <v>1404</v>
      </c>
      <c r="F152" s="198" t="s">
        <v>112</v>
      </c>
      <c r="G152" s="198">
        <v>194691</v>
      </c>
      <c r="H152" s="198"/>
      <c r="I152" s="198"/>
      <c r="J152" s="198"/>
    </row>
    <row r="153" spans="1:10" x14ac:dyDescent="0.35">
      <c r="A153" s="1" t="str">
        <f t="shared" si="2"/>
        <v>16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98" t="s">
        <v>3391</v>
      </c>
      <c r="D153" s="198" t="s">
        <v>1405</v>
      </c>
      <c r="E153" s="198" t="s">
        <v>1406</v>
      </c>
      <c r="F153" s="198" t="s">
        <v>112</v>
      </c>
      <c r="G153" s="198">
        <v>153983</v>
      </c>
      <c r="H153" s="198"/>
      <c r="I153" s="198"/>
      <c r="J153" s="198"/>
    </row>
    <row r="154" spans="1:10" x14ac:dyDescent="0.35">
      <c r="A154" s="1" t="str">
        <f t="shared" si="2"/>
        <v>16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98" t="s">
        <v>3392</v>
      </c>
      <c r="D154" s="198" t="s">
        <v>1407</v>
      </c>
      <c r="E154" s="198" t="s">
        <v>1408</v>
      </c>
      <c r="F154" s="198" t="s">
        <v>112</v>
      </c>
      <c r="G154" s="198">
        <v>68026</v>
      </c>
      <c r="H154" s="198"/>
      <c r="I154" s="198"/>
      <c r="J154" s="198"/>
    </row>
    <row r="155" spans="1:10" x14ac:dyDescent="0.35">
      <c r="A155" s="1" t="str">
        <f t="shared" si="2"/>
        <v>16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98" t="s">
        <v>3393</v>
      </c>
      <c r="D155" s="198" t="s">
        <v>1409</v>
      </c>
      <c r="E155" s="198" t="s">
        <v>1410</v>
      </c>
      <c r="F155" s="198" t="s">
        <v>112</v>
      </c>
      <c r="G155" s="198">
        <v>229450</v>
      </c>
      <c r="H155" s="198"/>
      <c r="I155" s="198"/>
      <c r="J155" s="198"/>
    </row>
    <row r="156" spans="1:10" x14ac:dyDescent="0.35">
      <c r="A156" s="1" t="str">
        <f t="shared" si="2"/>
        <v>16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98" t="s">
        <v>3394</v>
      </c>
      <c r="D156" s="198" t="s">
        <v>1411</v>
      </c>
      <c r="E156" s="198" t="s">
        <v>1412</v>
      </c>
      <c r="F156" s="198" t="s">
        <v>112</v>
      </c>
      <c r="G156" s="198">
        <v>113124</v>
      </c>
      <c r="H156" s="198"/>
      <c r="I156" s="198"/>
      <c r="J156" s="198"/>
    </row>
    <row r="157" spans="1:10" x14ac:dyDescent="0.35">
      <c r="A157" s="1" t="str">
        <f t="shared" si="2"/>
        <v>16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98" t="s">
        <v>3395</v>
      </c>
      <c r="D157" s="198" t="s">
        <v>1405</v>
      </c>
      <c r="E157" s="198" t="s">
        <v>1413</v>
      </c>
      <c r="F157" s="198" t="s">
        <v>112</v>
      </c>
      <c r="G157" s="198">
        <v>162354</v>
      </c>
      <c r="H157" s="198"/>
      <c r="I157" s="198"/>
      <c r="J157" s="198"/>
    </row>
    <row r="158" spans="1:10"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98" t="s">
        <v>112</v>
      </c>
      <c r="D158" s="198"/>
      <c r="E158" s="198"/>
      <c r="F158" s="198"/>
      <c r="G158" s="198"/>
      <c r="H158" s="198"/>
      <c r="I158" s="198"/>
      <c r="J158" s="198"/>
    </row>
    <row r="159" spans="1:10"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98" t="s">
        <v>195</v>
      </c>
      <c r="D159" s="198" t="s">
        <v>112</v>
      </c>
      <c r="E159" s="198" t="s">
        <v>196</v>
      </c>
      <c r="F159" s="198" t="s">
        <v>197</v>
      </c>
      <c r="G159" s="198" t="s">
        <v>198</v>
      </c>
      <c r="H159" s="198" t="s">
        <v>199</v>
      </c>
      <c r="I159" s="198" t="s">
        <v>200</v>
      </c>
      <c r="J159" s="198" t="s">
        <v>201</v>
      </c>
    </row>
    <row r="160" spans="1:10" x14ac:dyDescent="0.35">
      <c r="A160" s="1" t="str">
        <f t="shared" si="2"/>
        <v>16</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98" t="s">
        <v>3396</v>
      </c>
      <c r="D160" s="198" t="s">
        <v>112</v>
      </c>
      <c r="E160" s="198" t="s">
        <v>1414</v>
      </c>
      <c r="F160" s="198" t="s">
        <v>1415</v>
      </c>
      <c r="G160" s="198" t="s">
        <v>1416</v>
      </c>
      <c r="H160" s="198" t="s">
        <v>1417</v>
      </c>
      <c r="I160" s="198">
        <v>23</v>
      </c>
      <c r="J160" s="198">
        <v>24</v>
      </c>
    </row>
    <row r="161" spans="1:10"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98" t="s">
        <v>112</v>
      </c>
      <c r="D161" s="198"/>
      <c r="E161" s="198"/>
      <c r="F161" s="198"/>
      <c r="G161" s="198"/>
      <c r="H161" s="198"/>
      <c r="I161" s="198"/>
      <c r="J161" s="198"/>
    </row>
    <row r="162" spans="1:10"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98" t="s">
        <v>112</v>
      </c>
      <c r="D162" s="198"/>
      <c r="E162" s="198"/>
      <c r="F162" s="198"/>
      <c r="G162" s="198"/>
      <c r="H162" s="198"/>
      <c r="I162" s="198"/>
      <c r="J162" s="198"/>
    </row>
    <row r="163" spans="1:10"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98" t="s">
        <v>112</v>
      </c>
      <c r="D163" s="198"/>
      <c r="E163" s="198"/>
      <c r="F163" s="198"/>
      <c r="G163" s="198"/>
      <c r="H163" s="198"/>
      <c r="I163" s="198"/>
      <c r="J163" s="198"/>
    </row>
    <row r="164" spans="1:10"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98" t="s">
        <v>112</v>
      </c>
      <c r="D164" s="198"/>
      <c r="E164" s="198"/>
      <c r="F164" s="198"/>
      <c r="G164" s="198"/>
      <c r="H164" s="198"/>
      <c r="I164" s="198"/>
      <c r="J164" s="198"/>
    </row>
    <row r="165" spans="1:10"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98" t="s">
        <v>112</v>
      </c>
      <c r="D165" s="198"/>
      <c r="E165" s="198"/>
      <c r="F165" s="198"/>
      <c r="G165" s="198"/>
      <c r="H165" s="198"/>
      <c r="I165" s="198"/>
      <c r="J165" s="198"/>
    </row>
    <row r="166" spans="1:10"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98" t="s">
        <v>206</v>
      </c>
      <c r="D166" s="198" t="s">
        <v>110</v>
      </c>
      <c r="E166" s="198" t="s">
        <v>111</v>
      </c>
      <c r="F166" s="198" t="s">
        <v>112</v>
      </c>
      <c r="G166" s="198" t="s">
        <v>113</v>
      </c>
      <c r="H166" s="198"/>
      <c r="I166" s="198"/>
      <c r="J166" s="198"/>
    </row>
    <row r="167" spans="1:10" x14ac:dyDescent="0.35">
      <c r="A167" s="1" t="str">
        <f t="shared" si="2"/>
        <v>2</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98" t="s">
        <v>3397</v>
      </c>
      <c r="D167" s="198"/>
      <c r="E167" s="198"/>
      <c r="F167" s="198"/>
      <c r="G167" s="198"/>
      <c r="H167" s="198"/>
      <c r="I167" s="198"/>
      <c r="J167" s="198"/>
    </row>
    <row r="168" spans="1:10" x14ac:dyDescent="0.35">
      <c r="A168" s="1" t="str">
        <f t="shared" si="2"/>
        <v>2</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98" t="s">
        <v>3398</v>
      </c>
      <c r="D168" s="198"/>
      <c r="E168" s="198"/>
      <c r="F168" s="198"/>
      <c r="G168" s="198"/>
      <c r="H168" s="198"/>
      <c r="I168" s="198"/>
      <c r="J168" s="198"/>
    </row>
    <row r="169" spans="1:10" x14ac:dyDescent="0.35">
      <c r="A169" s="1" t="str">
        <f t="shared" si="2"/>
        <v>2</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98" t="s">
        <v>3399</v>
      </c>
      <c r="D169" s="198"/>
      <c r="E169" s="198"/>
      <c r="F169" s="198"/>
      <c r="G169" s="198"/>
      <c r="H169" s="198"/>
      <c r="I169" s="198"/>
      <c r="J169" s="198"/>
    </row>
    <row r="170" spans="1:10" x14ac:dyDescent="0.35">
      <c r="A170" s="1" t="str">
        <f t="shared" si="2"/>
        <v>2</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98" t="s">
        <v>3400</v>
      </c>
      <c r="D170" s="198" t="s">
        <v>1418</v>
      </c>
      <c r="E170" s="198" t="s">
        <v>1419</v>
      </c>
      <c r="F170" s="198" t="s">
        <v>112</v>
      </c>
      <c r="G170" s="198">
        <v>177062</v>
      </c>
      <c r="H170" s="198"/>
      <c r="I170" s="198"/>
      <c r="J170" s="198"/>
    </row>
    <row r="171" spans="1:10" x14ac:dyDescent="0.35">
      <c r="A171" s="1" t="str">
        <f t="shared" si="2"/>
        <v>2</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98" t="s">
        <v>3401</v>
      </c>
      <c r="D171" s="198" t="s">
        <v>1420</v>
      </c>
      <c r="E171" s="198" t="s">
        <v>1421</v>
      </c>
      <c r="F171" s="198" t="s">
        <v>112</v>
      </c>
      <c r="G171" s="198">
        <v>120500</v>
      </c>
      <c r="H171" s="198"/>
      <c r="I171" s="198"/>
      <c r="J171" s="198"/>
    </row>
    <row r="172" spans="1:10" x14ac:dyDescent="0.35">
      <c r="A172" s="1" t="str">
        <f t="shared" si="2"/>
        <v>2</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98" t="s">
        <v>3402</v>
      </c>
      <c r="D172" s="198" t="s">
        <v>1422</v>
      </c>
      <c r="E172" s="198" t="s">
        <v>1423</v>
      </c>
      <c r="F172" s="198" t="s">
        <v>112</v>
      </c>
      <c r="G172" s="198">
        <v>114595</v>
      </c>
      <c r="H172" s="198"/>
      <c r="I172" s="198"/>
      <c r="J172" s="198"/>
    </row>
    <row r="173" spans="1:10" x14ac:dyDescent="0.35">
      <c r="A173" s="1" t="str">
        <f t="shared" si="2"/>
        <v>2</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98" t="s">
        <v>3403</v>
      </c>
      <c r="D173" s="198" t="s">
        <v>1424</v>
      </c>
      <c r="E173" s="198" t="s">
        <v>1425</v>
      </c>
      <c r="F173" s="198" t="s">
        <v>112</v>
      </c>
      <c r="G173" s="198">
        <v>351702</v>
      </c>
      <c r="H173" s="198"/>
      <c r="I173" s="198"/>
      <c r="J173" s="198"/>
    </row>
    <row r="174" spans="1:10" x14ac:dyDescent="0.35">
      <c r="A174" s="1" t="str">
        <f t="shared" si="2"/>
        <v>2</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98" t="s">
        <v>3404</v>
      </c>
      <c r="D174" s="198" t="s">
        <v>1426</v>
      </c>
      <c r="E174" s="198" t="s">
        <v>1427</v>
      </c>
      <c r="F174" s="198" t="s">
        <v>112</v>
      </c>
      <c r="G174" s="198">
        <v>101552</v>
      </c>
      <c r="H174" s="198"/>
      <c r="I174" s="198"/>
      <c r="J174" s="198"/>
    </row>
    <row r="175" spans="1:10" x14ac:dyDescent="0.35">
      <c r="A175" s="1" t="str">
        <f t="shared" si="2"/>
        <v>2</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98" t="s">
        <v>3405</v>
      </c>
      <c r="D175" s="198" t="s">
        <v>1428</v>
      </c>
      <c r="E175" s="198" t="s">
        <v>1429</v>
      </c>
      <c r="F175" s="198" t="s">
        <v>112</v>
      </c>
      <c r="G175" s="198">
        <v>184287</v>
      </c>
      <c r="H175" s="198"/>
      <c r="I175" s="198"/>
      <c r="J175" s="198"/>
    </row>
    <row r="176" spans="1:10" x14ac:dyDescent="0.35">
      <c r="A176" s="1" t="str">
        <f t="shared" si="2"/>
        <v>2</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98" t="s">
        <v>3406</v>
      </c>
      <c r="D176" s="198" t="s">
        <v>1430</v>
      </c>
      <c r="E176" s="198" t="s">
        <v>1431</v>
      </c>
      <c r="F176" s="198" t="s">
        <v>112</v>
      </c>
      <c r="G176" s="198">
        <v>285904</v>
      </c>
      <c r="H176" s="198"/>
      <c r="I176" s="198"/>
      <c r="J176" s="198"/>
    </row>
    <row r="177" spans="1:10" x14ac:dyDescent="0.35">
      <c r="A177" s="1" t="str">
        <f t="shared" si="2"/>
        <v>2</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98" t="s">
        <v>3407</v>
      </c>
      <c r="D177" s="198" t="s">
        <v>1432</v>
      </c>
      <c r="E177" s="198" t="s">
        <v>1433</v>
      </c>
      <c r="F177" s="198" t="s">
        <v>112</v>
      </c>
      <c r="G177" s="198">
        <v>226422</v>
      </c>
      <c r="H177" s="198"/>
      <c r="I177" s="198"/>
      <c r="J177" s="198"/>
    </row>
    <row r="178" spans="1:10" x14ac:dyDescent="0.35">
      <c r="A178" s="1" t="str">
        <f t="shared" si="2"/>
        <v>2</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98" t="s">
        <v>3408</v>
      </c>
      <c r="D178" s="198" t="s">
        <v>1155</v>
      </c>
      <c r="E178" s="198" t="s">
        <v>1434</v>
      </c>
      <c r="F178" s="198" t="s">
        <v>112</v>
      </c>
      <c r="G178" s="198">
        <v>37139</v>
      </c>
      <c r="H178" s="198"/>
      <c r="I178" s="198"/>
      <c r="J178" s="198"/>
    </row>
    <row r="179" spans="1:10" x14ac:dyDescent="0.35">
      <c r="A179" s="1" t="str">
        <f t="shared" si="2"/>
        <v>2</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98" t="s">
        <v>3409</v>
      </c>
      <c r="D179" s="198" t="s">
        <v>1435</v>
      </c>
      <c r="E179" s="198" t="s">
        <v>1436</v>
      </c>
      <c r="F179" s="198" t="s">
        <v>112</v>
      </c>
      <c r="G179" s="198">
        <v>603669</v>
      </c>
      <c r="H179" s="198"/>
      <c r="I179" s="198"/>
      <c r="J179" s="198"/>
    </row>
    <row r="180" spans="1:10" x14ac:dyDescent="0.35">
      <c r="A180" s="1" t="str">
        <f t="shared" si="2"/>
        <v>2</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98" t="s">
        <v>3410</v>
      </c>
      <c r="D180" s="198" t="s">
        <v>1437</v>
      </c>
      <c r="E180" s="198" t="s">
        <v>1438</v>
      </c>
      <c r="F180" s="198" t="s">
        <v>112</v>
      </c>
      <c r="G180" s="198">
        <v>7268</v>
      </c>
      <c r="H180" s="198"/>
      <c r="I180" s="198"/>
      <c r="J180" s="198"/>
    </row>
    <row r="181" spans="1:10" x14ac:dyDescent="0.35">
      <c r="A181" s="1" t="str">
        <f t="shared" si="2"/>
        <v>2</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98" t="s">
        <v>3411</v>
      </c>
      <c r="D181" s="198"/>
      <c r="E181" s="198"/>
      <c r="F181" s="198"/>
      <c r="G181" s="198"/>
      <c r="H181" s="198"/>
      <c r="I181" s="198"/>
      <c r="J181" s="198"/>
    </row>
    <row r="182" spans="1:10" x14ac:dyDescent="0.35">
      <c r="A182" s="1" t="str">
        <f t="shared" si="2"/>
        <v>2</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98" t="s">
        <v>3412</v>
      </c>
      <c r="D182" s="198">
        <v>0</v>
      </c>
      <c r="E182" s="198">
        <v>0</v>
      </c>
      <c r="F182" s="198" t="s">
        <v>112</v>
      </c>
      <c r="G182" s="198">
        <v>0</v>
      </c>
      <c r="H182" s="198"/>
      <c r="I182" s="198"/>
      <c r="J182" s="198"/>
    </row>
    <row r="183" spans="1:10" x14ac:dyDescent="0.35">
      <c r="A183" s="1" t="str">
        <f t="shared" si="2"/>
        <v>2</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98" t="s">
        <v>3413</v>
      </c>
      <c r="D183" s="198"/>
      <c r="E183" s="198"/>
      <c r="F183" s="198"/>
      <c r="G183" s="198"/>
      <c r="H183" s="198"/>
      <c r="I183" s="198"/>
      <c r="J183" s="198"/>
    </row>
    <row r="184" spans="1:10" x14ac:dyDescent="0.35">
      <c r="A184" s="1" t="str">
        <f t="shared" si="2"/>
        <v>2</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98" t="s">
        <v>3414</v>
      </c>
      <c r="D184" s="198"/>
      <c r="E184" s="198"/>
      <c r="F184" s="198"/>
      <c r="G184" s="198"/>
      <c r="H184" s="198"/>
      <c r="I184" s="198"/>
      <c r="J184" s="198"/>
    </row>
    <row r="185" spans="1:10" x14ac:dyDescent="0.35">
      <c r="A185" s="1" t="str">
        <f t="shared" si="2"/>
        <v>2</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98" t="s">
        <v>3415</v>
      </c>
      <c r="D185" s="198"/>
      <c r="E185" s="198"/>
      <c r="F185" s="198"/>
      <c r="G185" s="198"/>
      <c r="H185" s="198"/>
      <c r="I185" s="198"/>
      <c r="J185" s="198"/>
    </row>
    <row r="186" spans="1:10" x14ac:dyDescent="0.35">
      <c r="A186" s="1" t="str">
        <f t="shared" si="2"/>
        <v>2</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98" t="s">
        <v>3416</v>
      </c>
      <c r="D186" s="198" t="s">
        <v>1439</v>
      </c>
      <c r="E186" s="198" t="s">
        <v>1440</v>
      </c>
      <c r="F186" s="198" t="s">
        <v>112</v>
      </c>
      <c r="G186" s="198">
        <v>125237</v>
      </c>
      <c r="H186" s="198"/>
      <c r="I186" s="198"/>
      <c r="J186" s="198"/>
    </row>
    <row r="187" spans="1:10" x14ac:dyDescent="0.35">
      <c r="A187" s="1" t="str">
        <f t="shared" si="2"/>
        <v>2</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98" t="s">
        <v>3417</v>
      </c>
      <c r="D187" s="198">
        <v>0</v>
      </c>
      <c r="E187" s="198">
        <v>0</v>
      </c>
      <c r="F187" s="198" t="s">
        <v>112</v>
      </c>
      <c r="G187" s="198">
        <v>0</v>
      </c>
      <c r="H187" s="198"/>
      <c r="I187" s="198"/>
      <c r="J187" s="198"/>
    </row>
    <row r="188" spans="1:10" x14ac:dyDescent="0.35">
      <c r="A188" s="1" t="str">
        <f t="shared" si="2"/>
        <v>2</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98" t="s">
        <v>3418</v>
      </c>
      <c r="D188" s="198" t="s">
        <v>512</v>
      </c>
      <c r="E188" s="198" t="s">
        <v>1441</v>
      </c>
      <c r="F188" s="198" t="s">
        <v>112</v>
      </c>
      <c r="G188" s="198">
        <v>147754</v>
      </c>
      <c r="H188" s="198"/>
      <c r="I188" s="198"/>
      <c r="J188" s="198"/>
    </row>
    <row r="189" spans="1:10" x14ac:dyDescent="0.35">
      <c r="A189" s="1" t="str">
        <f t="shared" si="2"/>
        <v>2</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98" t="s">
        <v>3419</v>
      </c>
      <c r="D189" s="198" t="s">
        <v>1442</v>
      </c>
      <c r="E189" s="198" t="s">
        <v>1443</v>
      </c>
      <c r="F189" s="198" t="s">
        <v>112</v>
      </c>
      <c r="G189" s="198">
        <v>145959</v>
      </c>
      <c r="H189" s="198"/>
      <c r="I189" s="198"/>
      <c r="J189" s="198"/>
    </row>
    <row r="190" spans="1:10" x14ac:dyDescent="0.35">
      <c r="A190" s="1" t="str">
        <f t="shared" si="2"/>
        <v>2</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98" t="s">
        <v>3420</v>
      </c>
      <c r="D190" s="198" t="s">
        <v>468</v>
      </c>
      <c r="E190" s="198" t="s">
        <v>1444</v>
      </c>
      <c r="F190" s="198" t="s">
        <v>112</v>
      </c>
      <c r="G190" s="198">
        <v>134538</v>
      </c>
      <c r="H190" s="198"/>
      <c r="I190" s="198"/>
      <c r="J190" s="198"/>
    </row>
    <row r="191" spans="1:10"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98" t="s">
        <v>112</v>
      </c>
      <c r="D191" s="198"/>
      <c r="E191" s="198"/>
      <c r="F191" s="198"/>
      <c r="G191" s="198"/>
      <c r="H191" s="198"/>
      <c r="I191" s="198"/>
      <c r="J191" s="198"/>
    </row>
    <row r="192" spans="1:10"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98" t="s">
        <v>195</v>
      </c>
      <c r="D192" s="198" t="s">
        <v>112</v>
      </c>
      <c r="E192" s="198" t="s">
        <v>196</v>
      </c>
      <c r="F192" s="198" t="s">
        <v>197</v>
      </c>
      <c r="G192" s="198" t="s">
        <v>198</v>
      </c>
      <c r="H192" s="198" t="s">
        <v>199</v>
      </c>
      <c r="I192" s="198" t="s">
        <v>200</v>
      </c>
      <c r="J192" s="198" t="s">
        <v>201</v>
      </c>
    </row>
    <row r="193" spans="1:10" x14ac:dyDescent="0.35">
      <c r="A193" s="1" t="str">
        <f t="shared" si="2"/>
        <v>2</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98" t="s">
        <v>3421</v>
      </c>
      <c r="D193" s="198" t="s">
        <v>112</v>
      </c>
      <c r="E193" s="198" t="s">
        <v>1445</v>
      </c>
      <c r="F193" s="198" t="s">
        <v>1446</v>
      </c>
      <c r="G193" s="198" t="s">
        <v>1447</v>
      </c>
      <c r="H193" s="198" t="s">
        <v>1448</v>
      </c>
      <c r="I193" s="198">
        <v>21</v>
      </c>
      <c r="J193" s="198">
        <v>24</v>
      </c>
    </row>
    <row r="194" spans="1:10"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98" t="s">
        <v>112</v>
      </c>
      <c r="D194" s="198"/>
      <c r="E194" s="198"/>
      <c r="F194" s="198"/>
      <c r="G194" s="198"/>
      <c r="H194" s="198"/>
      <c r="I194" s="198"/>
      <c r="J194" s="198"/>
    </row>
    <row r="195" spans="1:10"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98" t="s">
        <v>112</v>
      </c>
      <c r="D195" s="198"/>
      <c r="E195" s="198"/>
      <c r="F195" s="198"/>
      <c r="G195" s="198"/>
      <c r="H195" s="198"/>
      <c r="I195" s="198"/>
      <c r="J195" s="198"/>
    </row>
    <row r="196" spans="1:10"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98" t="s">
        <v>112</v>
      </c>
      <c r="D196" s="198"/>
      <c r="E196" s="198"/>
      <c r="F196" s="198"/>
      <c r="G196" s="198"/>
      <c r="H196" s="198"/>
      <c r="I196" s="198"/>
      <c r="J196" s="198"/>
    </row>
    <row r="197" spans="1:10"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98" t="s">
        <v>112</v>
      </c>
      <c r="D197" s="198"/>
      <c r="E197" s="198"/>
      <c r="F197" s="198"/>
      <c r="G197" s="198"/>
      <c r="H197" s="198"/>
      <c r="I197" s="198"/>
      <c r="J197" s="198"/>
    </row>
    <row r="198" spans="1:10"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98" t="s">
        <v>112</v>
      </c>
      <c r="D198" s="198"/>
      <c r="E198" s="198"/>
      <c r="F198" s="198"/>
      <c r="G198" s="198"/>
      <c r="H198" s="198"/>
      <c r="I198" s="198"/>
      <c r="J198" s="198"/>
    </row>
    <row r="199" spans="1:10"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98" t="s">
        <v>206</v>
      </c>
      <c r="D199" s="198" t="s">
        <v>110</v>
      </c>
      <c r="E199" s="198" t="s">
        <v>111</v>
      </c>
      <c r="F199" s="198" t="s">
        <v>112</v>
      </c>
      <c r="G199" s="198" t="s">
        <v>113</v>
      </c>
      <c r="H199" s="198"/>
      <c r="I199" s="198"/>
      <c r="J199" s="198"/>
    </row>
    <row r="200" spans="1:10" x14ac:dyDescent="0.35">
      <c r="A200" s="1" t="str">
        <f t="shared" si="3"/>
        <v>3</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98" t="s">
        <v>3422</v>
      </c>
      <c r="D200" s="198" t="s">
        <v>1172</v>
      </c>
      <c r="E200" s="198" t="s">
        <v>1449</v>
      </c>
      <c r="F200" s="198" t="s">
        <v>112</v>
      </c>
      <c r="G200" s="198">
        <v>269552</v>
      </c>
      <c r="H200" s="198"/>
      <c r="I200" s="198"/>
      <c r="J200" s="198"/>
    </row>
    <row r="201" spans="1:10" x14ac:dyDescent="0.35">
      <c r="A201" s="1" t="str">
        <f t="shared" si="3"/>
        <v>3</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98" t="s">
        <v>3423</v>
      </c>
      <c r="D201" s="198" t="s">
        <v>1450</v>
      </c>
      <c r="E201" s="198" t="s">
        <v>1451</v>
      </c>
      <c r="F201" s="198" t="s">
        <v>112</v>
      </c>
      <c r="G201" s="198">
        <v>22690</v>
      </c>
      <c r="H201" s="198"/>
      <c r="I201" s="198"/>
      <c r="J201" s="198"/>
    </row>
    <row r="202" spans="1:10" x14ac:dyDescent="0.35">
      <c r="A202" s="1" t="str">
        <f t="shared" si="3"/>
        <v>3</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98" t="s">
        <v>3424</v>
      </c>
      <c r="D202" s="198" t="s">
        <v>1310</v>
      </c>
      <c r="E202" s="198" t="s">
        <v>1311</v>
      </c>
      <c r="F202" s="198" t="s">
        <v>112</v>
      </c>
      <c r="G202" s="198">
        <v>19575</v>
      </c>
      <c r="H202" s="198"/>
      <c r="I202" s="198"/>
      <c r="J202" s="198"/>
    </row>
    <row r="203" spans="1:10" x14ac:dyDescent="0.35">
      <c r="A203" s="1" t="str">
        <f t="shared" si="3"/>
        <v>3</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98" t="s">
        <v>3425</v>
      </c>
      <c r="D203" s="198" t="s">
        <v>256</v>
      </c>
      <c r="E203" s="198" t="s">
        <v>1452</v>
      </c>
      <c r="F203" s="198" t="s">
        <v>112</v>
      </c>
      <c r="G203" s="198">
        <v>35733</v>
      </c>
      <c r="H203" s="198"/>
      <c r="I203" s="198"/>
      <c r="J203" s="198"/>
    </row>
    <row r="204" spans="1:10" x14ac:dyDescent="0.35">
      <c r="A204" s="1" t="str">
        <f t="shared" si="3"/>
        <v>3</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98" t="s">
        <v>3426</v>
      </c>
      <c r="D204" s="198" t="s">
        <v>1310</v>
      </c>
      <c r="E204" s="198" t="s">
        <v>1453</v>
      </c>
      <c r="F204" s="198" t="s">
        <v>112</v>
      </c>
      <c r="G204" s="198">
        <v>20137</v>
      </c>
      <c r="H204" s="198"/>
      <c r="I204" s="198"/>
      <c r="J204" s="198"/>
    </row>
    <row r="205" spans="1:10" x14ac:dyDescent="0.35">
      <c r="A205" s="1" t="str">
        <f t="shared" si="3"/>
        <v>3</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98" t="s">
        <v>3427</v>
      </c>
      <c r="D205" s="198"/>
      <c r="E205" s="198"/>
      <c r="F205" s="198"/>
      <c r="G205" s="198"/>
      <c r="H205" s="198"/>
      <c r="I205" s="198"/>
      <c r="J205" s="198"/>
    </row>
    <row r="206" spans="1:10" x14ac:dyDescent="0.35">
      <c r="A206" s="1" t="str">
        <f t="shared" si="3"/>
        <v>3</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98" t="s">
        <v>3428</v>
      </c>
      <c r="D206" s="198" t="s">
        <v>1454</v>
      </c>
      <c r="E206" s="198" t="s">
        <v>1455</v>
      </c>
      <c r="F206" s="198" t="s">
        <v>112</v>
      </c>
      <c r="G206" s="198">
        <v>233105</v>
      </c>
      <c r="H206" s="198"/>
      <c r="I206" s="198"/>
      <c r="J206" s="198"/>
    </row>
    <row r="207" spans="1:10" x14ac:dyDescent="0.35">
      <c r="A207" s="1" t="str">
        <f t="shared" si="3"/>
        <v>3</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98" t="s">
        <v>3429</v>
      </c>
      <c r="D207" s="198"/>
      <c r="E207" s="198"/>
      <c r="F207" s="198"/>
      <c r="G207" s="198"/>
      <c r="H207" s="198"/>
      <c r="I207" s="198"/>
      <c r="J207" s="198"/>
    </row>
    <row r="208" spans="1:10" x14ac:dyDescent="0.35">
      <c r="A208" s="1" t="str">
        <f t="shared" si="3"/>
        <v>3</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98" t="s">
        <v>3430</v>
      </c>
      <c r="D208" s="198"/>
      <c r="E208" s="198"/>
      <c r="F208" s="198"/>
      <c r="G208" s="198"/>
      <c r="H208" s="198"/>
      <c r="I208" s="198"/>
      <c r="J208" s="198"/>
    </row>
    <row r="209" spans="1:10" x14ac:dyDescent="0.35">
      <c r="A209" s="1" t="str">
        <f t="shared" si="3"/>
        <v>3</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98" t="s">
        <v>3431</v>
      </c>
      <c r="D209" s="198" t="s">
        <v>1456</v>
      </c>
      <c r="E209" s="198" t="s">
        <v>1457</v>
      </c>
      <c r="F209" s="198" t="s">
        <v>112</v>
      </c>
      <c r="G209" s="198">
        <v>18234</v>
      </c>
      <c r="H209" s="198"/>
      <c r="I209" s="198"/>
      <c r="J209" s="198"/>
    </row>
    <row r="210" spans="1:10" x14ac:dyDescent="0.35">
      <c r="A210" s="1" t="str">
        <f t="shared" si="3"/>
        <v>3</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98" t="s">
        <v>3432</v>
      </c>
      <c r="D210" s="198" t="s">
        <v>439</v>
      </c>
      <c r="E210" s="198">
        <v>32</v>
      </c>
      <c r="F210" s="198" t="s">
        <v>112</v>
      </c>
      <c r="G210" s="198">
        <v>56757</v>
      </c>
      <c r="H210" s="198"/>
      <c r="I210" s="198"/>
      <c r="J210" s="198"/>
    </row>
    <row r="211" spans="1:10" x14ac:dyDescent="0.35">
      <c r="A211" s="1" t="str">
        <f t="shared" si="3"/>
        <v>3</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98" t="s">
        <v>3433</v>
      </c>
      <c r="D211" s="198" t="s">
        <v>431</v>
      </c>
      <c r="E211" s="198" t="s">
        <v>1458</v>
      </c>
      <c r="F211" s="198" t="s">
        <v>112</v>
      </c>
      <c r="G211" s="198">
        <v>98611</v>
      </c>
      <c r="H211" s="198"/>
      <c r="I211" s="198"/>
      <c r="J211" s="198"/>
    </row>
    <row r="212" spans="1:10" x14ac:dyDescent="0.35">
      <c r="A212" s="1" t="str">
        <f t="shared" si="3"/>
        <v>3</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98" t="s">
        <v>3434</v>
      </c>
      <c r="D212" s="198" t="s">
        <v>1459</v>
      </c>
      <c r="E212" s="198" t="s">
        <v>1460</v>
      </c>
      <c r="F212" s="198" t="s">
        <v>112</v>
      </c>
      <c r="G212" s="198">
        <v>217186</v>
      </c>
      <c r="H212" s="198"/>
      <c r="I212" s="198"/>
      <c r="J212" s="198"/>
    </row>
    <row r="213" spans="1:10" x14ac:dyDescent="0.35">
      <c r="A213" s="1" t="str">
        <f t="shared" si="3"/>
        <v>3</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98" t="s">
        <v>3435</v>
      </c>
      <c r="D213" s="198" t="s">
        <v>1405</v>
      </c>
      <c r="E213" s="198" t="s">
        <v>1461</v>
      </c>
      <c r="F213" s="198" t="s">
        <v>112</v>
      </c>
      <c r="G213" s="198">
        <v>165945</v>
      </c>
      <c r="H213" s="198"/>
      <c r="I213" s="198"/>
      <c r="J213" s="198"/>
    </row>
    <row r="214" spans="1:10" x14ac:dyDescent="0.35">
      <c r="A214" s="1" t="str">
        <f t="shared" si="3"/>
        <v>3</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98" t="s">
        <v>3436</v>
      </c>
      <c r="D214" s="198" t="s">
        <v>1462</v>
      </c>
      <c r="E214" s="198" t="s">
        <v>1463</v>
      </c>
      <c r="F214" s="198" t="s">
        <v>112</v>
      </c>
      <c r="G214" s="198">
        <v>188829</v>
      </c>
      <c r="H214" s="198"/>
      <c r="I214" s="198"/>
      <c r="J214" s="198"/>
    </row>
    <row r="215" spans="1:10" x14ac:dyDescent="0.35">
      <c r="A215" s="1" t="str">
        <f t="shared" si="3"/>
        <v>3</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98" t="s">
        <v>3437</v>
      </c>
      <c r="D215" s="198">
        <v>0</v>
      </c>
      <c r="E215" s="198">
        <v>0</v>
      </c>
      <c r="F215" s="198" t="s">
        <v>112</v>
      </c>
      <c r="G215" s="198">
        <v>0</v>
      </c>
      <c r="H215" s="198"/>
      <c r="I215" s="198"/>
      <c r="J215" s="198"/>
    </row>
    <row r="216" spans="1:10" x14ac:dyDescent="0.35">
      <c r="A216" s="1" t="str">
        <f t="shared" si="3"/>
        <v>3</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98" t="s">
        <v>3438</v>
      </c>
      <c r="D216" s="198" t="s">
        <v>1464</v>
      </c>
      <c r="E216" s="198" t="s">
        <v>1465</v>
      </c>
      <c r="F216" s="198" t="s">
        <v>112</v>
      </c>
      <c r="G216" s="198">
        <v>216429</v>
      </c>
      <c r="H216" s="198"/>
      <c r="I216" s="198"/>
      <c r="J216" s="198"/>
    </row>
    <row r="217" spans="1:10" x14ac:dyDescent="0.35">
      <c r="A217" s="1" t="str">
        <f t="shared" si="3"/>
        <v>3</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98" t="s">
        <v>3439</v>
      </c>
      <c r="D217" s="198" t="s">
        <v>151</v>
      </c>
      <c r="E217" s="198" t="s">
        <v>1466</v>
      </c>
      <c r="F217" s="198" t="s">
        <v>112</v>
      </c>
      <c r="G217" s="198">
        <v>138972</v>
      </c>
      <c r="H217" s="198"/>
      <c r="I217" s="198"/>
      <c r="J217" s="198"/>
    </row>
    <row r="218" spans="1:10" x14ac:dyDescent="0.35">
      <c r="A218" s="1" t="str">
        <f t="shared" si="3"/>
        <v>3</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98" t="s">
        <v>3440</v>
      </c>
      <c r="D218" s="198" t="s">
        <v>538</v>
      </c>
      <c r="E218" s="198">
        <v>32</v>
      </c>
      <c r="F218" s="198" t="s">
        <v>112</v>
      </c>
      <c r="G218" s="198">
        <v>1384</v>
      </c>
      <c r="H218" s="198"/>
      <c r="I218" s="198"/>
      <c r="J218" s="198"/>
    </row>
    <row r="219" spans="1:10" x14ac:dyDescent="0.35">
      <c r="A219" s="1" t="str">
        <f t="shared" si="3"/>
        <v>3</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98" t="s">
        <v>3441</v>
      </c>
      <c r="D219" s="198" t="s">
        <v>209</v>
      </c>
      <c r="E219" s="198" t="s">
        <v>1467</v>
      </c>
      <c r="F219" s="198" t="s">
        <v>112</v>
      </c>
      <c r="G219" s="198">
        <v>212990</v>
      </c>
      <c r="H219" s="198"/>
      <c r="I219" s="198"/>
      <c r="J219" s="198"/>
    </row>
    <row r="220" spans="1:10" x14ac:dyDescent="0.35">
      <c r="A220" s="1" t="str">
        <f t="shared" si="3"/>
        <v>3</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98" t="s">
        <v>3442</v>
      </c>
      <c r="D220" s="198" t="s">
        <v>768</v>
      </c>
      <c r="E220" s="198" t="s">
        <v>1468</v>
      </c>
      <c r="F220" s="198" t="s">
        <v>112</v>
      </c>
      <c r="G220" s="198">
        <v>219068</v>
      </c>
      <c r="H220" s="198"/>
      <c r="I220" s="198"/>
      <c r="J220" s="198"/>
    </row>
    <row r="221" spans="1:10" x14ac:dyDescent="0.35">
      <c r="A221" s="1" t="str">
        <f t="shared" si="3"/>
        <v>3</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98" t="s">
        <v>3443</v>
      </c>
      <c r="D221" s="198">
        <v>0</v>
      </c>
      <c r="E221" s="198">
        <v>0</v>
      </c>
      <c r="F221" s="198" t="s">
        <v>112</v>
      </c>
      <c r="G221" s="198">
        <v>0</v>
      </c>
      <c r="H221" s="198"/>
      <c r="I221" s="198"/>
      <c r="J221" s="198"/>
    </row>
    <row r="222" spans="1:10" x14ac:dyDescent="0.35">
      <c r="A222" s="1" t="str">
        <f t="shared" si="3"/>
        <v>3</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98" t="s">
        <v>3444</v>
      </c>
      <c r="D222" s="198" t="s">
        <v>1437</v>
      </c>
      <c r="E222" s="198" t="s">
        <v>1469</v>
      </c>
      <c r="F222" s="198" t="s">
        <v>112</v>
      </c>
      <c r="G222" s="198">
        <v>7051</v>
      </c>
      <c r="H222" s="198"/>
      <c r="I222" s="198"/>
      <c r="J222" s="198"/>
    </row>
    <row r="223" spans="1:10" x14ac:dyDescent="0.35">
      <c r="A223" s="1" t="str">
        <f t="shared" si="3"/>
        <v>3</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98" t="s">
        <v>3445</v>
      </c>
      <c r="D223" s="198" t="s">
        <v>1456</v>
      </c>
      <c r="E223" s="198" t="s">
        <v>1470</v>
      </c>
      <c r="F223" s="198" t="s">
        <v>112</v>
      </c>
      <c r="G223" s="198">
        <v>18645</v>
      </c>
      <c r="H223" s="198"/>
      <c r="I223" s="198"/>
      <c r="J223" s="198"/>
    </row>
    <row r="224" spans="1:10"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98" t="s">
        <v>112</v>
      </c>
      <c r="D224" s="198"/>
      <c r="E224" s="198"/>
      <c r="F224" s="198"/>
      <c r="G224" s="198"/>
      <c r="H224" s="198"/>
      <c r="I224" s="198"/>
      <c r="J224" s="198"/>
    </row>
    <row r="225" spans="1:10"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98" t="s">
        <v>195</v>
      </c>
      <c r="D225" s="198" t="s">
        <v>112</v>
      </c>
      <c r="E225" s="198" t="s">
        <v>196</v>
      </c>
      <c r="F225" s="198" t="s">
        <v>197</v>
      </c>
      <c r="G225" s="198" t="s">
        <v>198</v>
      </c>
      <c r="H225" s="198" t="s">
        <v>199</v>
      </c>
      <c r="I225" s="198" t="s">
        <v>200</v>
      </c>
      <c r="J225" s="198" t="s">
        <v>201</v>
      </c>
    </row>
    <row r="226" spans="1:10" x14ac:dyDescent="0.35">
      <c r="A226" s="1" t="str">
        <f t="shared" si="3"/>
        <v>3</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98" t="s">
        <v>3446</v>
      </c>
      <c r="D226" s="198" t="s">
        <v>112</v>
      </c>
      <c r="E226" s="198" t="s">
        <v>1471</v>
      </c>
      <c r="F226" s="198" t="s">
        <v>1472</v>
      </c>
      <c r="G226" s="198" t="s">
        <v>1473</v>
      </c>
      <c r="H226" s="198" t="s">
        <v>1474</v>
      </c>
      <c r="I226" s="198">
        <v>21</v>
      </c>
      <c r="J226" s="198">
        <v>24</v>
      </c>
    </row>
    <row r="227" spans="1:10"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98" t="s">
        <v>112</v>
      </c>
      <c r="D227" s="198"/>
      <c r="E227" s="198"/>
      <c r="F227" s="198"/>
      <c r="G227" s="198"/>
      <c r="H227" s="198"/>
      <c r="I227" s="198"/>
      <c r="J227" s="198"/>
    </row>
    <row r="228" spans="1:10"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98" t="s">
        <v>112</v>
      </c>
      <c r="D228" s="198"/>
      <c r="E228" s="198"/>
      <c r="F228" s="198"/>
      <c r="G228" s="198"/>
      <c r="H228" s="198"/>
      <c r="I228" s="198"/>
      <c r="J228" s="198"/>
    </row>
    <row r="229" spans="1:10"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98" t="s">
        <v>112</v>
      </c>
      <c r="D229" s="198"/>
      <c r="E229" s="198"/>
      <c r="F229" s="198"/>
      <c r="G229" s="198"/>
      <c r="H229" s="198"/>
      <c r="I229" s="198"/>
      <c r="J229" s="198"/>
    </row>
    <row r="230" spans="1:10"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98" t="s">
        <v>112</v>
      </c>
      <c r="D230" s="198"/>
      <c r="E230" s="198"/>
      <c r="F230" s="198"/>
      <c r="G230" s="198"/>
      <c r="H230" s="198"/>
      <c r="I230" s="198"/>
      <c r="J230" s="198"/>
    </row>
    <row r="231" spans="1:10"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98" t="s">
        <v>112</v>
      </c>
      <c r="D231" s="198"/>
      <c r="E231" s="198"/>
      <c r="F231" s="198"/>
      <c r="G231" s="198"/>
      <c r="H231" s="198"/>
      <c r="I231" s="198"/>
      <c r="J231" s="198"/>
    </row>
    <row r="232" spans="1:10"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98" t="s">
        <v>206</v>
      </c>
      <c r="D232" s="198" t="s">
        <v>110</v>
      </c>
      <c r="E232" s="198" t="s">
        <v>111</v>
      </c>
      <c r="F232" s="198" t="s">
        <v>112</v>
      </c>
      <c r="G232" s="198" t="s">
        <v>113</v>
      </c>
      <c r="H232" s="198"/>
      <c r="I232" s="198"/>
      <c r="J232" s="198"/>
    </row>
    <row r="233" spans="1:10" x14ac:dyDescent="0.35">
      <c r="A233" s="1" t="str">
        <f t="shared" si="3"/>
        <v>4</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98" t="s">
        <v>3447</v>
      </c>
      <c r="D233" s="198" t="s">
        <v>1169</v>
      </c>
      <c r="E233" s="198" t="s">
        <v>1475</v>
      </c>
      <c r="F233" s="198" t="s">
        <v>112</v>
      </c>
      <c r="G233" s="198">
        <v>3374</v>
      </c>
      <c r="H233" s="198"/>
      <c r="I233" s="198"/>
      <c r="J233" s="198"/>
    </row>
    <row r="234" spans="1:10" x14ac:dyDescent="0.35">
      <c r="A234" s="1" t="str">
        <f t="shared" si="3"/>
        <v>4</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98" t="s">
        <v>3448</v>
      </c>
      <c r="D234" s="198" t="s">
        <v>1476</v>
      </c>
      <c r="E234" s="198" t="s">
        <v>1477</v>
      </c>
      <c r="F234" s="198" t="s">
        <v>112</v>
      </c>
      <c r="G234" s="198">
        <v>39626</v>
      </c>
      <c r="H234" s="198"/>
      <c r="I234" s="198"/>
      <c r="J234" s="198"/>
    </row>
    <row r="235" spans="1:10" x14ac:dyDescent="0.35">
      <c r="A235" s="1" t="str">
        <f t="shared" si="3"/>
        <v>4</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98" t="s">
        <v>3449</v>
      </c>
      <c r="D235" s="198"/>
      <c r="E235" s="198"/>
      <c r="F235" s="198"/>
      <c r="G235" s="198"/>
      <c r="H235" s="198"/>
      <c r="I235" s="198"/>
      <c r="J235" s="198"/>
    </row>
    <row r="236" spans="1:10" x14ac:dyDescent="0.35">
      <c r="A236" s="1" t="str">
        <f t="shared" si="3"/>
        <v>4</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98" t="s">
        <v>3450</v>
      </c>
      <c r="D236" s="198" t="s">
        <v>1478</v>
      </c>
      <c r="E236" s="198" t="s">
        <v>1479</v>
      </c>
      <c r="F236" s="198" t="s">
        <v>112</v>
      </c>
      <c r="G236" s="198">
        <v>73563</v>
      </c>
      <c r="H236" s="198"/>
      <c r="I236" s="198"/>
      <c r="J236" s="198"/>
    </row>
    <row r="237" spans="1:10" x14ac:dyDescent="0.35">
      <c r="A237" s="1" t="str">
        <f t="shared" si="3"/>
        <v>4</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98" t="s">
        <v>3451</v>
      </c>
      <c r="D237" s="198" t="s">
        <v>1089</v>
      </c>
      <c r="E237" s="198" t="s">
        <v>1480</v>
      </c>
      <c r="F237" s="198" t="s">
        <v>112</v>
      </c>
      <c r="G237" s="198">
        <v>44752</v>
      </c>
      <c r="H237" s="198"/>
      <c r="I237" s="198"/>
      <c r="J237" s="198"/>
    </row>
    <row r="238" spans="1:10" x14ac:dyDescent="0.35">
      <c r="A238" s="1" t="str">
        <f t="shared" si="3"/>
        <v>4</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98" t="s">
        <v>3452</v>
      </c>
      <c r="D238" s="198" t="s">
        <v>1426</v>
      </c>
      <c r="E238" s="198" t="s">
        <v>1481</v>
      </c>
      <c r="F238" s="198" t="s">
        <v>112</v>
      </c>
      <c r="G238" s="198">
        <v>110961</v>
      </c>
      <c r="H238" s="198"/>
      <c r="I238" s="198"/>
      <c r="J238" s="198"/>
    </row>
    <row r="239" spans="1:10" x14ac:dyDescent="0.35">
      <c r="A239" s="1" t="str">
        <f t="shared" si="3"/>
        <v>4</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98" t="s">
        <v>3453</v>
      </c>
      <c r="D239" s="198"/>
      <c r="E239" s="198"/>
      <c r="F239" s="198"/>
      <c r="G239" s="198"/>
      <c r="H239" s="198"/>
      <c r="I239" s="198"/>
      <c r="J239" s="198"/>
    </row>
    <row r="240" spans="1:10" x14ac:dyDescent="0.35">
      <c r="A240" s="1" t="str">
        <f t="shared" si="3"/>
        <v>4</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98" t="s">
        <v>3454</v>
      </c>
      <c r="D240" s="198"/>
      <c r="E240" s="198"/>
      <c r="F240" s="198"/>
      <c r="G240" s="198"/>
      <c r="H240" s="198"/>
      <c r="I240" s="198"/>
      <c r="J240" s="198"/>
    </row>
    <row r="241" spans="1:10" x14ac:dyDescent="0.35">
      <c r="A241" s="1" t="str">
        <f t="shared" si="3"/>
        <v>4</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98" t="s">
        <v>3455</v>
      </c>
      <c r="D241" s="198"/>
      <c r="E241" s="198"/>
      <c r="F241" s="198"/>
      <c r="G241" s="198"/>
      <c r="H241" s="198"/>
      <c r="I241" s="198"/>
      <c r="J241" s="198"/>
    </row>
    <row r="242" spans="1:10" x14ac:dyDescent="0.35">
      <c r="A242" s="1" t="str">
        <f t="shared" si="3"/>
        <v>4</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98" t="s">
        <v>3456</v>
      </c>
      <c r="D242" s="198" t="s">
        <v>262</v>
      </c>
      <c r="E242" s="198" t="s">
        <v>1482</v>
      </c>
      <c r="F242" s="198" t="s">
        <v>112</v>
      </c>
      <c r="G242" s="198">
        <v>5321</v>
      </c>
      <c r="H242" s="198"/>
      <c r="I242" s="198"/>
      <c r="J242" s="198"/>
    </row>
    <row r="243" spans="1:10" x14ac:dyDescent="0.35">
      <c r="A243" s="1" t="str">
        <f t="shared" si="3"/>
        <v>4</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98" t="s">
        <v>3457</v>
      </c>
      <c r="D243" s="198" t="s">
        <v>219</v>
      </c>
      <c r="E243" s="198" t="s">
        <v>1483</v>
      </c>
      <c r="F243" s="198" t="s">
        <v>112</v>
      </c>
      <c r="G243" s="198">
        <v>161943</v>
      </c>
      <c r="H243" s="198"/>
      <c r="I243" s="198"/>
      <c r="J243" s="198"/>
    </row>
    <row r="244" spans="1:10" x14ac:dyDescent="0.35">
      <c r="A244" s="1" t="str">
        <f t="shared" si="3"/>
        <v>4</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98" t="s">
        <v>3458</v>
      </c>
      <c r="D244" s="198" t="s">
        <v>516</v>
      </c>
      <c r="E244" s="198" t="s">
        <v>1484</v>
      </c>
      <c r="F244" s="198" t="s">
        <v>112</v>
      </c>
      <c r="G244" s="198">
        <v>144315</v>
      </c>
      <c r="H244" s="198"/>
      <c r="I244" s="198"/>
      <c r="J244" s="198"/>
    </row>
    <row r="245" spans="1:10" x14ac:dyDescent="0.35">
      <c r="A245" s="1" t="str">
        <f t="shared" si="3"/>
        <v>4</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98" t="s">
        <v>3459</v>
      </c>
      <c r="D245" s="198" t="s">
        <v>168</v>
      </c>
      <c r="E245" s="198" t="s">
        <v>1485</v>
      </c>
      <c r="F245" s="198" t="s">
        <v>112</v>
      </c>
      <c r="G245" s="198">
        <v>195599</v>
      </c>
      <c r="H245" s="198"/>
      <c r="I245" s="198"/>
      <c r="J245" s="198"/>
    </row>
    <row r="246" spans="1:10" x14ac:dyDescent="0.35">
      <c r="A246" s="1" t="str">
        <f t="shared" si="3"/>
        <v>4</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98" t="s">
        <v>3460</v>
      </c>
      <c r="D246" s="198" t="s">
        <v>1486</v>
      </c>
      <c r="E246" s="198" t="s">
        <v>1487</v>
      </c>
      <c r="F246" s="198" t="s">
        <v>112</v>
      </c>
      <c r="G246" s="198">
        <v>9496</v>
      </c>
      <c r="H246" s="198"/>
      <c r="I246" s="198"/>
      <c r="J246" s="198"/>
    </row>
    <row r="247" spans="1:10" x14ac:dyDescent="0.35">
      <c r="A247" s="1" t="str">
        <f t="shared" si="3"/>
        <v>4</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98" t="s">
        <v>3461</v>
      </c>
      <c r="D247" s="198" t="s">
        <v>1488</v>
      </c>
      <c r="E247" s="198" t="s">
        <v>1489</v>
      </c>
      <c r="F247" s="198" t="s">
        <v>112</v>
      </c>
      <c r="G247" s="198">
        <v>216299</v>
      </c>
      <c r="H247" s="198"/>
      <c r="I247" s="198"/>
      <c r="J247" s="198"/>
    </row>
    <row r="248" spans="1:10" x14ac:dyDescent="0.35">
      <c r="A248" s="1" t="str">
        <f t="shared" si="3"/>
        <v>4</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98" t="s">
        <v>3462</v>
      </c>
      <c r="D248" s="198" t="s">
        <v>1490</v>
      </c>
      <c r="E248" s="198" t="s">
        <v>1491</v>
      </c>
      <c r="F248" s="198" t="s">
        <v>112</v>
      </c>
      <c r="G248" s="198">
        <v>233387</v>
      </c>
      <c r="H248" s="198"/>
      <c r="I248" s="198"/>
      <c r="J248" s="198"/>
    </row>
    <row r="249" spans="1:10" x14ac:dyDescent="0.35">
      <c r="A249" s="1" t="str">
        <f t="shared" si="3"/>
        <v>4</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98" t="s">
        <v>3463</v>
      </c>
      <c r="D249" s="198" t="s">
        <v>176</v>
      </c>
      <c r="E249" s="198" t="s">
        <v>1492</v>
      </c>
      <c r="F249" s="198" t="s">
        <v>112</v>
      </c>
      <c r="G249" s="198">
        <v>160169</v>
      </c>
      <c r="H249" s="198"/>
      <c r="I249" s="198"/>
      <c r="J249" s="198"/>
    </row>
    <row r="250" spans="1:10" x14ac:dyDescent="0.35">
      <c r="A250" s="1" t="str">
        <f t="shared" si="3"/>
        <v>4</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98" t="s">
        <v>3464</v>
      </c>
      <c r="D250" s="198" t="s">
        <v>1493</v>
      </c>
      <c r="E250" s="198" t="s">
        <v>1494</v>
      </c>
      <c r="F250" s="198" t="s">
        <v>112</v>
      </c>
      <c r="G250" s="198">
        <v>154156</v>
      </c>
      <c r="H250" s="198"/>
      <c r="I250" s="198"/>
      <c r="J250" s="198"/>
    </row>
    <row r="251" spans="1:10" x14ac:dyDescent="0.35">
      <c r="A251" s="1" t="str">
        <f t="shared" si="3"/>
        <v>4</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98" t="s">
        <v>3465</v>
      </c>
      <c r="D251" s="198" t="s">
        <v>1495</v>
      </c>
      <c r="E251" s="198" t="s">
        <v>1496</v>
      </c>
      <c r="F251" s="198" t="s">
        <v>112</v>
      </c>
      <c r="G251" s="198">
        <v>496795</v>
      </c>
      <c r="H251" s="198"/>
      <c r="I251" s="198"/>
      <c r="J251" s="198"/>
    </row>
    <row r="252" spans="1:10" x14ac:dyDescent="0.35">
      <c r="A252" s="1" t="str">
        <f t="shared" si="3"/>
        <v>4</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98" t="s">
        <v>3466</v>
      </c>
      <c r="D252" s="198" t="s">
        <v>756</v>
      </c>
      <c r="E252" s="198" t="s">
        <v>1497</v>
      </c>
      <c r="F252" s="198" t="s">
        <v>112</v>
      </c>
      <c r="G252" s="198">
        <v>455482</v>
      </c>
      <c r="H252" s="198"/>
      <c r="I252" s="198"/>
      <c r="J252" s="198"/>
    </row>
    <row r="253" spans="1:10" x14ac:dyDescent="0.35">
      <c r="A253" s="1" t="str">
        <f t="shared" si="3"/>
        <v>4</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98" t="s">
        <v>3467</v>
      </c>
      <c r="D253" s="198"/>
      <c r="E253" s="198"/>
      <c r="F253" s="198"/>
      <c r="G253" s="198"/>
      <c r="H253" s="198"/>
      <c r="I253" s="198"/>
      <c r="J253" s="198"/>
    </row>
    <row r="254" spans="1:10" x14ac:dyDescent="0.35">
      <c r="A254" s="1" t="str">
        <f t="shared" si="3"/>
        <v>4</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98" t="s">
        <v>3468</v>
      </c>
      <c r="D254" s="198" t="s">
        <v>1498</v>
      </c>
      <c r="E254" s="198" t="s">
        <v>1499</v>
      </c>
      <c r="F254" s="198" t="s">
        <v>112</v>
      </c>
      <c r="G254" s="198">
        <v>142801</v>
      </c>
      <c r="H254" s="198"/>
      <c r="I254" s="198"/>
      <c r="J254" s="198"/>
    </row>
    <row r="255" spans="1:10" x14ac:dyDescent="0.35">
      <c r="A255" s="1" t="str">
        <f t="shared" si="3"/>
        <v>4</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98" t="s">
        <v>3469</v>
      </c>
      <c r="D255" s="198" t="s">
        <v>207</v>
      </c>
      <c r="E255" s="198" t="s">
        <v>1500</v>
      </c>
      <c r="F255" s="198" t="s">
        <v>112</v>
      </c>
      <c r="G255" s="198">
        <v>95691</v>
      </c>
      <c r="H255" s="198"/>
      <c r="I255" s="198"/>
      <c r="J255" s="198"/>
    </row>
    <row r="256" spans="1:10" x14ac:dyDescent="0.35">
      <c r="A256" s="1" t="str">
        <f t="shared" si="3"/>
        <v>4</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98" t="s">
        <v>3470</v>
      </c>
      <c r="D256" s="198" t="s">
        <v>1501</v>
      </c>
      <c r="E256" s="198" t="s">
        <v>1502</v>
      </c>
      <c r="F256" s="198" t="s">
        <v>112</v>
      </c>
      <c r="G256" s="198">
        <v>359943</v>
      </c>
      <c r="H256" s="198"/>
      <c r="I256" s="198"/>
      <c r="J256" s="198"/>
    </row>
    <row r="257" spans="1:10"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98" t="s">
        <v>112</v>
      </c>
      <c r="D257" s="198"/>
      <c r="E257" s="198"/>
      <c r="F257" s="198"/>
      <c r="G257" s="198"/>
      <c r="H257" s="198"/>
      <c r="I257" s="198"/>
      <c r="J257" s="198"/>
    </row>
    <row r="258" spans="1:10"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98" t="s">
        <v>195</v>
      </c>
      <c r="D258" s="198" t="s">
        <v>112</v>
      </c>
      <c r="E258" s="198" t="s">
        <v>196</v>
      </c>
      <c r="F258" s="198" t="s">
        <v>197</v>
      </c>
      <c r="G258" s="198" t="s">
        <v>198</v>
      </c>
      <c r="H258" s="198" t="s">
        <v>199</v>
      </c>
      <c r="I258" s="198" t="s">
        <v>200</v>
      </c>
      <c r="J258" s="198" t="s">
        <v>201</v>
      </c>
    </row>
    <row r="259" spans="1:10" x14ac:dyDescent="0.35">
      <c r="A259" s="1" t="str">
        <f t="shared" si="4"/>
        <v>4</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98" t="s">
        <v>3471</v>
      </c>
      <c r="D259" s="198" t="s">
        <v>112</v>
      </c>
      <c r="E259" s="198" t="s">
        <v>1503</v>
      </c>
      <c r="F259" s="198" t="s">
        <v>1504</v>
      </c>
      <c r="G259" s="198" t="s">
        <v>1505</v>
      </c>
      <c r="H259" s="198" t="s">
        <v>1506</v>
      </c>
      <c r="I259" s="198">
        <v>22</v>
      </c>
      <c r="J259" s="198">
        <v>24</v>
      </c>
    </row>
    <row r="260" spans="1:10"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98" t="s">
        <v>112</v>
      </c>
      <c r="D260" s="198"/>
      <c r="E260" s="198"/>
      <c r="F260" s="198"/>
      <c r="G260" s="198"/>
      <c r="H260" s="198"/>
      <c r="I260" s="198"/>
      <c r="J260" s="198"/>
    </row>
    <row r="261" spans="1:10"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98" t="s">
        <v>112</v>
      </c>
      <c r="D261" s="198"/>
      <c r="E261" s="198"/>
      <c r="F261" s="198"/>
      <c r="G261" s="198"/>
      <c r="H261" s="198"/>
      <c r="I261" s="198"/>
      <c r="J261" s="198"/>
    </row>
    <row r="262" spans="1:10"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98" t="s">
        <v>112</v>
      </c>
      <c r="D262" s="198"/>
      <c r="E262" s="198"/>
      <c r="F262" s="198"/>
      <c r="G262" s="198"/>
      <c r="H262" s="198"/>
      <c r="I262" s="198"/>
      <c r="J262" s="198"/>
    </row>
    <row r="263" spans="1:10"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98" t="s">
        <v>112</v>
      </c>
      <c r="D263" s="198"/>
      <c r="E263" s="198"/>
      <c r="F263" s="198"/>
      <c r="G263" s="198"/>
      <c r="H263" s="198"/>
      <c r="I263" s="198"/>
      <c r="J263" s="198"/>
    </row>
    <row r="264" spans="1:10"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98" t="s">
        <v>112</v>
      </c>
      <c r="D264" s="198"/>
      <c r="E264" s="198"/>
      <c r="F264" s="198"/>
      <c r="G264" s="198"/>
      <c r="H264" s="198"/>
      <c r="I264" s="198"/>
      <c r="J264" s="198"/>
    </row>
    <row r="265" spans="1:10"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98" t="s">
        <v>206</v>
      </c>
      <c r="D265" s="198" t="s">
        <v>110</v>
      </c>
      <c r="E265" s="198" t="s">
        <v>111</v>
      </c>
      <c r="F265" s="198" t="s">
        <v>112</v>
      </c>
      <c r="G265" s="198" t="s">
        <v>113</v>
      </c>
      <c r="H265" s="198"/>
      <c r="I265" s="198"/>
      <c r="J265" s="198"/>
    </row>
    <row r="266" spans="1:10" x14ac:dyDescent="0.35">
      <c r="A266" s="1" t="str">
        <f t="shared" si="4"/>
        <v>5</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98" t="s">
        <v>3472</v>
      </c>
      <c r="D266" s="198" t="s">
        <v>538</v>
      </c>
      <c r="E266" s="198" t="s">
        <v>225</v>
      </c>
      <c r="F266" s="198" t="s">
        <v>112</v>
      </c>
      <c r="G266" s="198">
        <v>1363</v>
      </c>
      <c r="H266" s="198"/>
      <c r="I266" s="198"/>
      <c r="J266" s="198"/>
    </row>
    <row r="267" spans="1:10" x14ac:dyDescent="0.35">
      <c r="A267" s="1" t="str">
        <f t="shared" si="4"/>
        <v>5</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98" t="s">
        <v>3473</v>
      </c>
      <c r="D267" s="198">
        <v>0</v>
      </c>
      <c r="E267" s="198">
        <v>0</v>
      </c>
      <c r="F267" s="198" t="s">
        <v>112</v>
      </c>
      <c r="G267" s="198">
        <v>0</v>
      </c>
      <c r="H267" s="198"/>
      <c r="I267" s="198"/>
      <c r="J267" s="198"/>
    </row>
    <row r="268" spans="1:10" x14ac:dyDescent="0.35">
      <c r="A268" s="1" t="str">
        <f t="shared" si="4"/>
        <v>5</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98" t="s">
        <v>3474</v>
      </c>
      <c r="D268" s="198"/>
      <c r="E268" s="198"/>
      <c r="F268" s="198"/>
      <c r="G268" s="198"/>
      <c r="H268" s="198"/>
      <c r="I268" s="198"/>
      <c r="J268" s="198"/>
    </row>
    <row r="269" spans="1:10" x14ac:dyDescent="0.35">
      <c r="A269" s="1" t="str">
        <f t="shared" si="4"/>
        <v>5</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98" t="s">
        <v>3475</v>
      </c>
      <c r="D269" s="198" t="s">
        <v>1507</v>
      </c>
      <c r="E269" s="198" t="s">
        <v>1508</v>
      </c>
      <c r="F269" s="198" t="s">
        <v>112</v>
      </c>
      <c r="G269" s="198">
        <v>846097</v>
      </c>
      <c r="H269" s="198"/>
      <c r="I269" s="198"/>
      <c r="J269" s="198"/>
    </row>
    <row r="270" spans="1:10" x14ac:dyDescent="0.35">
      <c r="A270" s="1" t="str">
        <f t="shared" si="4"/>
        <v>5</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98" t="s">
        <v>3476</v>
      </c>
      <c r="D270" s="198" t="s">
        <v>1509</v>
      </c>
      <c r="E270" s="198" t="s">
        <v>1510</v>
      </c>
      <c r="F270" s="198" t="s">
        <v>112</v>
      </c>
      <c r="G270" s="198">
        <v>1385243</v>
      </c>
      <c r="H270" s="198"/>
      <c r="I270" s="198"/>
      <c r="J270" s="198"/>
    </row>
    <row r="271" spans="1:10" x14ac:dyDescent="0.35">
      <c r="A271" s="1" t="str">
        <f t="shared" si="4"/>
        <v>5</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98" t="s">
        <v>3477</v>
      </c>
      <c r="D271" s="198" t="s">
        <v>1511</v>
      </c>
      <c r="E271" s="198" t="s">
        <v>1512</v>
      </c>
      <c r="F271" s="198" t="s">
        <v>112</v>
      </c>
      <c r="G271" s="198">
        <v>1202492</v>
      </c>
      <c r="H271" s="198"/>
      <c r="I271" s="198"/>
      <c r="J271" s="198"/>
    </row>
    <row r="272" spans="1:10" x14ac:dyDescent="0.35">
      <c r="A272" s="1" t="str">
        <f t="shared" si="4"/>
        <v>5</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98" t="s">
        <v>3478</v>
      </c>
      <c r="D272" s="198" t="s">
        <v>1513</v>
      </c>
      <c r="E272" s="198" t="s">
        <v>1514</v>
      </c>
      <c r="F272" s="198" t="s">
        <v>112</v>
      </c>
      <c r="G272" s="198">
        <v>68653</v>
      </c>
      <c r="H272" s="198"/>
      <c r="I272" s="198"/>
      <c r="J272" s="198"/>
    </row>
    <row r="273" spans="1:10" x14ac:dyDescent="0.35">
      <c r="A273" s="1" t="str">
        <f t="shared" si="4"/>
        <v>5</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98" t="s">
        <v>3479</v>
      </c>
      <c r="D273" s="198" t="s">
        <v>1450</v>
      </c>
      <c r="E273" s="198" t="s">
        <v>1515</v>
      </c>
      <c r="F273" s="198" t="s">
        <v>112</v>
      </c>
      <c r="G273" s="198">
        <v>21781</v>
      </c>
      <c r="H273" s="198"/>
      <c r="I273" s="198"/>
      <c r="J273" s="198"/>
    </row>
    <row r="274" spans="1:10" x14ac:dyDescent="0.35">
      <c r="A274" s="1" t="str">
        <f t="shared" si="4"/>
        <v>5</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98" t="s">
        <v>3480</v>
      </c>
      <c r="D274" s="198">
        <v>0</v>
      </c>
      <c r="E274" s="198">
        <v>0</v>
      </c>
      <c r="F274" s="198" t="s">
        <v>112</v>
      </c>
      <c r="G274" s="198">
        <v>0</v>
      </c>
      <c r="H274" s="198"/>
      <c r="I274" s="198"/>
      <c r="J274" s="198"/>
    </row>
    <row r="275" spans="1:10" x14ac:dyDescent="0.35">
      <c r="A275" s="1" t="str">
        <f t="shared" si="4"/>
        <v>5</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98" t="s">
        <v>3481</v>
      </c>
      <c r="D275" s="198">
        <v>0</v>
      </c>
      <c r="E275" s="198">
        <v>0</v>
      </c>
      <c r="F275" s="198" t="s">
        <v>112</v>
      </c>
      <c r="G275" s="198">
        <v>0</v>
      </c>
      <c r="H275" s="198"/>
      <c r="I275" s="198"/>
      <c r="J275" s="198"/>
    </row>
    <row r="276" spans="1:10" x14ac:dyDescent="0.35">
      <c r="A276" s="1" t="str">
        <f t="shared" si="4"/>
        <v>5</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98" t="s">
        <v>3482</v>
      </c>
      <c r="D276" s="198"/>
      <c r="E276" s="198"/>
      <c r="F276" s="198"/>
      <c r="G276" s="198"/>
      <c r="H276" s="198"/>
      <c r="I276" s="198"/>
      <c r="J276" s="198"/>
    </row>
    <row r="277" spans="1:10" x14ac:dyDescent="0.35">
      <c r="A277" s="1" t="str">
        <f t="shared" si="4"/>
        <v>5</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98" t="s">
        <v>3483</v>
      </c>
      <c r="D277" s="198">
        <v>0</v>
      </c>
      <c r="E277" s="198">
        <v>0</v>
      </c>
      <c r="F277" s="198" t="s">
        <v>112</v>
      </c>
      <c r="G277" s="198">
        <v>0</v>
      </c>
      <c r="H277" s="198"/>
      <c r="I277" s="198"/>
      <c r="J277" s="198"/>
    </row>
    <row r="278" spans="1:10" x14ac:dyDescent="0.35">
      <c r="A278" s="1" t="str">
        <f t="shared" si="4"/>
        <v>5</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98" t="s">
        <v>3484</v>
      </c>
      <c r="D278" s="198" t="s">
        <v>1516</v>
      </c>
      <c r="E278" s="198" t="s">
        <v>1517</v>
      </c>
      <c r="F278" s="198" t="s">
        <v>112</v>
      </c>
      <c r="G278" s="198">
        <v>977260</v>
      </c>
      <c r="H278" s="198"/>
      <c r="I278" s="198"/>
      <c r="J278" s="198"/>
    </row>
    <row r="279" spans="1:10" x14ac:dyDescent="0.35">
      <c r="A279" s="1" t="str">
        <f t="shared" si="4"/>
        <v>5</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98" t="s">
        <v>3485</v>
      </c>
      <c r="D279" s="198" t="s">
        <v>1518</v>
      </c>
      <c r="E279" s="198" t="s">
        <v>1519</v>
      </c>
      <c r="F279" s="198" t="s">
        <v>112</v>
      </c>
      <c r="G279" s="198">
        <v>110680</v>
      </c>
      <c r="H279" s="198"/>
      <c r="I279" s="198"/>
      <c r="J279" s="198"/>
    </row>
    <row r="280" spans="1:10" x14ac:dyDescent="0.35">
      <c r="A280" s="1" t="str">
        <f t="shared" si="4"/>
        <v>5</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98" t="s">
        <v>3486</v>
      </c>
      <c r="D280" s="198" t="s">
        <v>1520</v>
      </c>
      <c r="E280" s="198" t="s">
        <v>1521</v>
      </c>
      <c r="F280" s="198" t="s">
        <v>112</v>
      </c>
      <c r="G280" s="198">
        <v>448388</v>
      </c>
      <c r="H280" s="198"/>
      <c r="I280" s="198"/>
      <c r="J280" s="198"/>
    </row>
    <row r="281" spans="1:10" x14ac:dyDescent="0.35">
      <c r="A281" s="1" t="str">
        <f t="shared" si="4"/>
        <v>5</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98" t="s">
        <v>3487</v>
      </c>
      <c r="D281" s="198">
        <v>0</v>
      </c>
      <c r="E281" s="198">
        <v>0</v>
      </c>
      <c r="F281" s="198" t="s">
        <v>112</v>
      </c>
      <c r="G281" s="198">
        <v>0</v>
      </c>
      <c r="H281" s="198"/>
      <c r="I281" s="198"/>
      <c r="J281" s="198"/>
    </row>
    <row r="282" spans="1:10" x14ac:dyDescent="0.35">
      <c r="A282" s="1" t="str">
        <f t="shared" si="4"/>
        <v>5</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98" t="s">
        <v>3488</v>
      </c>
      <c r="D282" s="198" t="s">
        <v>1522</v>
      </c>
      <c r="E282" s="198" t="s">
        <v>1523</v>
      </c>
      <c r="F282" s="198" t="s">
        <v>112</v>
      </c>
      <c r="G282" s="198">
        <v>22236</v>
      </c>
      <c r="H282" s="198"/>
      <c r="I282" s="198"/>
      <c r="J282" s="198"/>
    </row>
    <row r="283" spans="1:10" x14ac:dyDescent="0.35">
      <c r="A283" s="1" t="str">
        <f t="shared" si="4"/>
        <v>5</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98" t="s">
        <v>3489</v>
      </c>
      <c r="D283" s="198">
        <v>0</v>
      </c>
      <c r="E283" s="198">
        <v>0</v>
      </c>
      <c r="F283" s="198" t="s">
        <v>112</v>
      </c>
      <c r="G283" s="198">
        <v>0</v>
      </c>
      <c r="H283" s="198"/>
      <c r="I283" s="198"/>
      <c r="J283" s="198"/>
    </row>
    <row r="284" spans="1:10" x14ac:dyDescent="0.35">
      <c r="A284" s="1" t="str">
        <f t="shared" si="4"/>
        <v>5</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98" t="s">
        <v>3490</v>
      </c>
      <c r="D284" s="198" t="s">
        <v>1524</v>
      </c>
      <c r="E284" s="198" t="s">
        <v>1525</v>
      </c>
      <c r="F284" s="198" t="s">
        <v>112</v>
      </c>
      <c r="G284" s="198">
        <v>259040</v>
      </c>
      <c r="H284" s="198"/>
      <c r="I284" s="198"/>
      <c r="J284" s="198"/>
    </row>
    <row r="285" spans="1:10" x14ac:dyDescent="0.35">
      <c r="A285" s="1" t="str">
        <f t="shared" si="4"/>
        <v>5</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98" t="s">
        <v>3491</v>
      </c>
      <c r="D285" s="198" t="s">
        <v>1526</v>
      </c>
      <c r="E285" s="198" t="s">
        <v>1527</v>
      </c>
      <c r="F285" s="198" t="s">
        <v>112</v>
      </c>
      <c r="G285" s="198">
        <v>144509</v>
      </c>
      <c r="H285" s="198"/>
      <c r="I285" s="198"/>
      <c r="J285" s="198"/>
    </row>
    <row r="286" spans="1:10" x14ac:dyDescent="0.35">
      <c r="A286" s="1" t="str">
        <f t="shared" si="4"/>
        <v>5</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98" t="s">
        <v>3492</v>
      </c>
      <c r="D286" s="198" t="s">
        <v>1528</v>
      </c>
      <c r="E286" s="198" t="s">
        <v>1529</v>
      </c>
      <c r="F286" s="198" t="s">
        <v>112</v>
      </c>
      <c r="G286" s="198">
        <v>132721</v>
      </c>
      <c r="H286" s="198"/>
      <c r="I286" s="198"/>
      <c r="J286" s="198"/>
    </row>
    <row r="287" spans="1:10" x14ac:dyDescent="0.35">
      <c r="A287" s="1" t="str">
        <f t="shared" si="4"/>
        <v>5</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98" t="s">
        <v>3493</v>
      </c>
      <c r="D287" s="198" t="s">
        <v>1530</v>
      </c>
      <c r="E287" s="198" t="s">
        <v>1531</v>
      </c>
      <c r="F287" s="198" t="s">
        <v>112</v>
      </c>
      <c r="G287" s="198">
        <v>90781</v>
      </c>
      <c r="H287" s="198"/>
      <c r="I287" s="198"/>
      <c r="J287" s="198"/>
    </row>
    <row r="288" spans="1:10" x14ac:dyDescent="0.35">
      <c r="A288" s="1" t="str">
        <f t="shared" si="4"/>
        <v>5</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98" t="s">
        <v>3494</v>
      </c>
      <c r="D288" s="198" t="s">
        <v>1532</v>
      </c>
      <c r="E288" s="198" t="s">
        <v>1533</v>
      </c>
      <c r="F288" s="198" t="s">
        <v>112</v>
      </c>
      <c r="G288" s="198">
        <v>219327</v>
      </c>
      <c r="H288" s="198"/>
      <c r="I288" s="198"/>
      <c r="J288" s="198"/>
    </row>
    <row r="289" spans="1:10" x14ac:dyDescent="0.35">
      <c r="A289" s="1" t="str">
        <f t="shared" si="4"/>
        <v>5</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98" t="s">
        <v>3495</v>
      </c>
      <c r="D289" s="198" t="s">
        <v>1534</v>
      </c>
      <c r="E289" s="198" t="s">
        <v>1535</v>
      </c>
      <c r="F289" s="198" t="s">
        <v>112</v>
      </c>
      <c r="G289" s="198">
        <v>83600</v>
      </c>
      <c r="H289" s="198"/>
      <c r="I289" s="198"/>
      <c r="J289" s="198"/>
    </row>
    <row r="290" spans="1:10"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98" t="s">
        <v>112</v>
      </c>
      <c r="D290" s="198"/>
      <c r="E290" s="198"/>
      <c r="F290" s="198"/>
      <c r="G290" s="198"/>
      <c r="H290" s="198"/>
      <c r="I290" s="198"/>
      <c r="J290" s="198"/>
    </row>
    <row r="291" spans="1:10"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98" t="s">
        <v>195</v>
      </c>
      <c r="D291" s="198" t="s">
        <v>112</v>
      </c>
      <c r="E291" s="198" t="s">
        <v>196</v>
      </c>
      <c r="F291" s="198" t="s">
        <v>197</v>
      </c>
      <c r="G291" s="198" t="s">
        <v>198</v>
      </c>
      <c r="H291" s="198" t="s">
        <v>199</v>
      </c>
      <c r="I291" s="198" t="s">
        <v>200</v>
      </c>
      <c r="J291" s="198" t="s">
        <v>201</v>
      </c>
    </row>
    <row r="292" spans="1:10" x14ac:dyDescent="0.35">
      <c r="A292" s="1" t="str">
        <f t="shared" si="4"/>
        <v>5</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98" t="s">
        <v>3496</v>
      </c>
      <c r="D292" s="198" t="s">
        <v>112</v>
      </c>
      <c r="E292" s="198" t="s">
        <v>1536</v>
      </c>
      <c r="F292" s="198" t="s">
        <v>1537</v>
      </c>
      <c r="G292" s="198" t="s">
        <v>1538</v>
      </c>
      <c r="H292" s="198" t="s">
        <v>1539</v>
      </c>
      <c r="I292" s="198">
        <v>17</v>
      </c>
      <c r="J292" s="198">
        <v>24</v>
      </c>
    </row>
    <row r="293" spans="1:10"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98" t="s">
        <v>112</v>
      </c>
      <c r="D293" s="198"/>
      <c r="E293" s="198"/>
      <c r="F293" s="198"/>
      <c r="G293" s="198"/>
      <c r="H293" s="198"/>
      <c r="I293" s="198"/>
      <c r="J293" s="198"/>
    </row>
    <row r="294" spans="1:10"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98" t="s">
        <v>112</v>
      </c>
      <c r="D294" s="198"/>
      <c r="E294" s="198"/>
      <c r="F294" s="198"/>
      <c r="G294" s="198"/>
      <c r="H294" s="198"/>
      <c r="I294" s="198"/>
      <c r="J294" s="198"/>
    </row>
    <row r="295" spans="1:10"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98" t="s">
        <v>112</v>
      </c>
      <c r="D295" s="198"/>
      <c r="E295" s="198"/>
      <c r="F295" s="198"/>
      <c r="G295" s="198"/>
      <c r="H295" s="198"/>
      <c r="I295" s="198"/>
      <c r="J295" s="198"/>
    </row>
    <row r="296" spans="1:10"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98" t="s">
        <v>112</v>
      </c>
      <c r="D296" s="198"/>
      <c r="E296" s="198"/>
      <c r="F296" s="198"/>
      <c r="G296" s="198"/>
      <c r="H296" s="198"/>
      <c r="I296" s="198"/>
      <c r="J296" s="198"/>
    </row>
    <row r="297" spans="1:10"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98" t="s">
        <v>112</v>
      </c>
      <c r="D297" s="198"/>
      <c r="E297" s="198"/>
      <c r="F297" s="198"/>
      <c r="G297" s="198"/>
      <c r="H297" s="198"/>
      <c r="I297" s="198"/>
      <c r="J297" s="198"/>
    </row>
    <row r="298" spans="1:10"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98" t="s">
        <v>206</v>
      </c>
      <c r="D298" s="198" t="s">
        <v>110</v>
      </c>
      <c r="E298" s="198" t="s">
        <v>111</v>
      </c>
      <c r="F298" s="198" t="s">
        <v>112</v>
      </c>
      <c r="G298" s="198" t="s">
        <v>113</v>
      </c>
      <c r="H298" s="198"/>
      <c r="I298" s="198"/>
      <c r="J298" s="198"/>
    </row>
    <row r="299" spans="1:10" x14ac:dyDescent="0.35">
      <c r="A299" s="1" t="str">
        <f t="shared" si="4"/>
        <v>6</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98" t="s">
        <v>3497</v>
      </c>
      <c r="D299" s="198" t="s">
        <v>1540</v>
      </c>
      <c r="E299" s="198" t="s">
        <v>1541</v>
      </c>
      <c r="F299" s="198" t="s">
        <v>112</v>
      </c>
      <c r="G299" s="198">
        <v>2138980</v>
      </c>
      <c r="H299" s="198"/>
      <c r="I299" s="198"/>
      <c r="J299" s="198"/>
    </row>
    <row r="300" spans="1:10" x14ac:dyDescent="0.35">
      <c r="A300" s="1" t="str">
        <f t="shared" si="4"/>
        <v>6</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98" t="s">
        <v>3498</v>
      </c>
      <c r="D300" s="198" t="s">
        <v>1542</v>
      </c>
      <c r="E300" s="198" t="s">
        <v>1543</v>
      </c>
      <c r="F300" s="198" t="s">
        <v>112</v>
      </c>
      <c r="G300" s="198">
        <v>2197013</v>
      </c>
      <c r="H300" s="198"/>
      <c r="I300" s="198"/>
      <c r="J300" s="198"/>
    </row>
    <row r="301" spans="1:10" x14ac:dyDescent="0.35">
      <c r="A301" s="1" t="str">
        <f t="shared" si="4"/>
        <v>6</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98" t="s">
        <v>3499</v>
      </c>
      <c r="D301" s="198" t="s">
        <v>1544</v>
      </c>
      <c r="E301" s="198" t="s">
        <v>1545</v>
      </c>
      <c r="F301" s="198" t="s">
        <v>112</v>
      </c>
      <c r="G301" s="198">
        <v>2777516</v>
      </c>
      <c r="H301" s="198"/>
      <c r="I301" s="198"/>
      <c r="J301" s="198"/>
    </row>
    <row r="302" spans="1:10" x14ac:dyDescent="0.35">
      <c r="A302" s="1" t="str">
        <f t="shared" si="4"/>
        <v>6</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98" t="s">
        <v>3500</v>
      </c>
      <c r="D302" s="198" t="s">
        <v>1016</v>
      </c>
      <c r="E302" s="198" t="s">
        <v>1546</v>
      </c>
      <c r="F302" s="198" t="s">
        <v>112</v>
      </c>
      <c r="G302" s="198">
        <v>2349180</v>
      </c>
      <c r="H302" s="198"/>
      <c r="I302" s="198"/>
      <c r="J302" s="198"/>
    </row>
    <row r="303" spans="1:10" x14ac:dyDescent="0.35">
      <c r="A303" s="1" t="str">
        <f t="shared" si="4"/>
        <v>6</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98" t="s">
        <v>3501</v>
      </c>
      <c r="D303" s="198" t="s">
        <v>1547</v>
      </c>
      <c r="E303" s="198" t="s">
        <v>1548</v>
      </c>
      <c r="F303" s="198" t="s">
        <v>112</v>
      </c>
      <c r="G303" s="198">
        <v>2259762</v>
      </c>
      <c r="H303" s="198"/>
      <c r="I303" s="198"/>
      <c r="J303" s="198"/>
    </row>
    <row r="304" spans="1:10" x14ac:dyDescent="0.35">
      <c r="A304" s="1" t="str">
        <f t="shared" si="4"/>
        <v>6</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98" t="s">
        <v>3502</v>
      </c>
      <c r="D304" s="198" t="s">
        <v>1549</v>
      </c>
      <c r="E304" s="198" t="s">
        <v>1550</v>
      </c>
      <c r="F304" s="198" t="s">
        <v>112</v>
      </c>
      <c r="G304" s="198">
        <v>2153126</v>
      </c>
      <c r="H304" s="198"/>
      <c r="I304" s="198"/>
      <c r="J304" s="198"/>
    </row>
    <row r="305" spans="1:10" x14ac:dyDescent="0.35">
      <c r="A305" s="1" t="str">
        <f t="shared" si="4"/>
        <v>6</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98" t="s">
        <v>3503</v>
      </c>
      <c r="D305" s="198" t="s">
        <v>1551</v>
      </c>
      <c r="E305" s="198" t="s">
        <v>1552</v>
      </c>
      <c r="F305" s="198" t="s">
        <v>112</v>
      </c>
      <c r="G305" s="198">
        <v>2835376</v>
      </c>
      <c r="H305" s="198"/>
      <c r="I305" s="198"/>
      <c r="J305" s="198"/>
    </row>
    <row r="306" spans="1:10" x14ac:dyDescent="0.35">
      <c r="A306" s="1" t="str">
        <f t="shared" si="4"/>
        <v>6</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98" t="s">
        <v>3504</v>
      </c>
      <c r="D306" s="198" t="s">
        <v>1553</v>
      </c>
      <c r="E306" s="198" t="s">
        <v>1554</v>
      </c>
      <c r="F306" s="198" t="s">
        <v>112</v>
      </c>
      <c r="G306" s="198">
        <v>2890230</v>
      </c>
      <c r="H306" s="198"/>
      <c r="I306" s="198"/>
      <c r="J306" s="198"/>
    </row>
    <row r="307" spans="1:10" x14ac:dyDescent="0.35">
      <c r="A307" s="1" t="str">
        <f t="shared" si="4"/>
        <v>6</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98" t="s">
        <v>3505</v>
      </c>
      <c r="D307" s="198" t="s">
        <v>1555</v>
      </c>
      <c r="E307" s="198" t="s">
        <v>1556</v>
      </c>
      <c r="F307" s="198" t="s">
        <v>112</v>
      </c>
      <c r="G307" s="198">
        <v>2985207</v>
      </c>
      <c r="H307" s="198"/>
      <c r="I307" s="198"/>
      <c r="J307" s="198"/>
    </row>
    <row r="308" spans="1:10" x14ac:dyDescent="0.35">
      <c r="A308" s="1" t="str">
        <f t="shared" si="4"/>
        <v>6</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98" t="s">
        <v>3506</v>
      </c>
      <c r="D308" s="198"/>
      <c r="E308" s="198"/>
      <c r="F308" s="198"/>
      <c r="G308" s="198"/>
      <c r="H308" s="198"/>
      <c r="I308" s="198"/>
      <c r="J308" s="198"/>
    </row>
    <row r="309" spans="1:10" x14ac:dyDescent="0.35">
      <c r="A309" s="1" t="str">
        <f t="shared" si="4"/>
        <v>6</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98" t="s">
        <v>3507</v>
      </c>
      <c r="D309" s="198"/>
      <c r="E309" s="198"/>
      <c r="F309" s="198"/>
      <c r="G309" s="198"/>
      <c r="H309" s="198"/>
      <c r="I309" s="198"/>
      <c r="J309" s="198"/>
    </row>
    <row r="310" spans="1:10" x14ac:dyDescent="0.35">
      <c r="A310" s="1" t="str">
        <f t="shared" si="4"/>
        <v>6</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98" t="s">
        <v>3508</v>
      </c>
      <c r="D310" s="198"/>
      <c r="E310" s="198"/>
      <c r="F310" s="198"/>
      <c r="G310" s="198"/>
      <c r="H310" s="198"/>
      <c r="I310" s="198"/>
      <c r="J310" s="198"/>
    </row>
    <row r="311" spans="1:10" x14ac:dyDescent="0.35">
      <c r="A311" s="1" t="str">
        <f t="shared" si="4"/>
        <v>6</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98" t="s">
        <v>3509</v>
      </c>
      <c r="D311" s="198" t="s">
        <v>1557</v>
      </c>
      <c r="E311" s="198" t="s">
        <v>1558</v>
      </c>
      <c r="F311" s="198" t="s">
        <v>112</v>
      </c>
      <c r="G311" s="198">
        <v>4977017</v>
      </c>
      <c r="H311" s="198"/>
      <c r="I311" s="198"/>
      <c r="J311" s="198"/>
    </row>
    <row r="312" spans="1:10" x14ac:dyDescent="0.35">
      <c r="A312" s="1" t="str">
        <f t="shared" si="4"/>
        <v>6</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98" t="s">
        <v>3510</v>
      </c>
      <c r="D312" s="198" t="s">
        <v>1559</v>
      </c>
      <c r="E312" s="198" t="s">
        <v>1560</v>
      </c>
      <c r="F312" s="198" t="s">
        <v>112</v>
      </c>
      <c r="G312" s="198">
        <v>4680039</v>
      </c>
      <c r="H312" s="198"/>
      <c r="I312" s="198"/>
      <c r="J312" s="198"/>
    </row>
    <row r="313" spans="1:10" x14ac:dyDescent="0.35">
      <c r="A313" s="1" t="str">
        <f t="shared" si="4"/>
        <v>6</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98" t="s">
        <v>3511</v>
      </c>
      <c r="D313" s="198" t="s">
        <v>1561</v>
      </c>
      <c r="E313" s="198" t="s">
        <v>1562</v>
      </c>
      <c r="F313" s="198" t="s">
        <v>112</v>
      </c>
      <c r="G313" s="198">
        <v>4240714</v>
      </c>
      <c r="H313" s="198"/>
      <c r="I313" s="198"/>
      <c r="J313" s="198"/>
    </row>
    <row r="314" spans="1:10" x14ac:dyDescent="0.35">
      <c r="A314" s="1" t="str">
        <f t="shared" si="4"/>
        <v>6</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98" t="s">
        <v>3512</v>
      </c>
      <c r="D314" s="198" t="s">
        <v>400</v>
      </c>
      <c r="E314" s="198" t="s">
        <v>1563</v>
      </c>
      <c r="F314" s="198" t="s">
        <v>112</v>
      </c>
      <c r="G314" s="198">
        <v>2138050</v>
      </c>
      <c r="H314" s="198"/>
      <c r="I314" s="198"/>
      <c r="J314" s="198"/>
    </row>
    <row r="315" spans="1:10" x14ac:dyDescent="0.35">
      <c r="A315" s="1" t="str">
        <f t="shared" si="4"/>
        <v>6</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98" t="s">
        <v>3513</v>
      </c>
      <c r="D315" s="198" t="s">
        <v>1564</v>
      </c>
      <c r="E315" s="198" t="s">
        <v>1565</v>
      </c>
      <c r="F315" s="198" t="s">
        <v>112</v>
      </c>
      <c r="G315" s="198">
        <v>2138353</v>
      </c>
      <c r="H315" s="198"/>
      <c r="I315" s="198"/>
      <c r="J315" s="198"/>
    </row>
    <row r="316" spans="1:10" x14ac:dyDescent="0.35">
      <c r="A316" s="1" t="str">
        <f t="shared" si="4"/>
        <v>6</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98" t="s">
        <v>3514</v>
      </c>
      <c r="D316" s="198" t="s">
        <v>1566</v>
      </c>
      <c r="E316" s="198" t="s">
        <v>1567</v>
      </c>
      <c r="F316" s="198" t="s">
        <v>112</v>
      </c>
      <c r="G316" s="198">
        <v>2449888</v>
      </c>
      <c r="H316" s="198"/>
      <c r="I316" s="198"/>
      <c r="J316" s="198"/>
    </row>
    <row r="317" spans="1:10" x14ac:dyDescent="0.35">
      <c r="A317" s="1" t="str">
        <f t="shared" si="4"/>
        <v>6</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98" t="s">
        <v>3515</v>
      </c>
      <c r="D317" s="198" t="s">
        <v>1568</v>
      </c>
      <c r="E317" s="198" t="s">
        <v>1569</v>
      </c>
      <c r="F317" s="198" t="s">
        <v>112</v>
      </c>
      <c r="G317" s="198">
        <v>2931262</v>
      </c>
      <c r="H317" s="198"/>
      <c r="I317" s="198"/>
      <c r="J317" s="198"/>
    </row>
    <row r="318" spans="1:10" x14ac:dyDescent="0.35">
      <c r="A318" s="1" t="str">
        <f t="shared" si="4"/>
        <v>6</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98" t="s">
        <v>3516</v>
      </c>
      <c r="D318" s="198" t="s">
        <v>1570</v>
      </c>
      <c r="E318" s="198" t="s">
        <v>1571</v>
      </c>
      <c r="F318" s="198" t="s">
        <v>112</v>
      </c>
      <c r="G318" s="198">
        <v>2709079</v>
      </c>
      <c r="H318" s="198"/>
      <c r="I318" s="198"/>
      <c r="J318" s="198"/>
    </row>
    <row r="319" spans="1:10" x14ac:dyDescent="0.35">
      <c r="A319" s="1" t="str">
        <f t="shared" si="4"/>
        <v>6</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98" t="s">
        <v>3517</v>
      </c>
      <c r="D319" s="198" t="s">
        <v>1572</v>
      </c>
      <c r="E319" s="198" t="s">
        <v>1573</v>
      </c>
      <c r="F319" s="198" t="s">
        <v>112</v>
      </c>
      <c r="G319" s="198">
        <v>2310159</v>
      </c>
      <c r="H319" s="198"/>
      <c r="I319" s="198"/>
      <c r="J319" s="198"/>
    </row>
    <row r="320" spans="1:10" x14ac:dyDescent="0.35">
      <c r="A320" s="1" t="str">
        <f t="shared" si="4"/>
        <v>6</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98" t="s">
        <v>3518</v>
      </c>
      <c r="D320" s="198" t="s">
        <v>618</v>
      </c>
      <c r="E320" s="198" t="s">
        <v>1574</v>
      </c>
      <c r="F320" s="198" t="s">
        <v>112</v>
      </c>
      <c r="G320" s="198">
        <v>2920577</v>
      </c>
      <c r="H320" s="198"/>
      <c r="I320" s="198"/>
      <c r="J320" s="198"/>
    </row>
    <row r="321" spans="1:10" x14ac:dyDescent="0.35">
      <c r="A321" s="1" t="str">
        <f t="shared" si="4"/>
        <v>6</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98" t="s">
        <v>3519</v>
      </c>
      <c r="D321" s="198" t="s">
        <v>1575</v>
      </c>
      <c r="E321" s="198" t="s">
        <v>1576</v>
      </c>
      <c r="F321" s="198" t="s">
        <v>112</v>
      </c>
      <c r="G321" s="198">
        <v>2517222</v>
      </c>
      <c r="H321" s="198"/>
      <c r="I321" s="198"/>
      <c r="J321" s="198"/>
    </row>
    <row r="322" spans="1:10" x14ac:dyDescent="0.35">
      <c r="A322" s="1" t="str">
        <f t="shared" ref="A322:A385" si="5">IFERROR(LEFT(RIGHT(C322,LEN(C322)-SEARCH("@",C322)),SEARCH("/",RIGHT(C322,LEN(C322)-SEARCH("@",C322)-1))),"")</f>
        <v>6</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98" t="s">
        <v>3520</v>
      </c>
      <c r="D322" s="198" t="s">
        <v>1577</v>
      </c>
      <c r="E322" s="198" t="s">
        <v>1578</v>
      </c>
      <c r="F322" s="198" t="s">
        <v>112</v>
      </c>
      <c r="G322" s="198">
        <v>2506169</v>
      </c>
      <c r="H322" s="198"/>
      <c r="I322" s="198"/>
      <c r="J322" s="198"/>
    </row>
    <row r="323" spans="1:10"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98" t="s">
        <v>112</v>
      </c>
      <c r="D323" s="198"/>
      <c r="E323" s="198"/>
      <c r="F323" s="198"/>
      <c r="G323" s="198"/>
      <c r="H323" s="198"/>
      <c r="I323" s="198"/>
      <c r="J323" s="198"/>
    </row>
    <row r="324" spans="1:10"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98" t="s">
        <v>195</v>
      </c>
      <c r="D324" s="198" t="s">
        <v>112</v>
      </c>
      <c r="E324" s="198" t="s">
        <v>196</v>
      </c>
      <c r="F324" s="198" t="s">
        <v>197</v>
      </c>
      <c r="G324" s="198" t="s">
        <v>198</v>
      </c>
      <c r="H324" s="198" t="s">
        <v>199</v>
      </c>
      <c r="I324" s="198" t="s">
        <v>200</v>
      </c>
      <c r="J324" s="198" t="s">
        <v>201</v>
      </c>
    </row>
    <row r="325" spans="1:10" x14ac:dyDescent="0.35">
      <c r="A325" s="1" t="str">
        <f t="shared" si="5"/>
        <v>6</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98" t="s">
        <v>3521</v>
      </c>
      <c r="D325" s="198" t="s">
        <v>112</v>
      </c>
      <c r="E325" s="198" t="s">
        <v>1579</v>
      </c>
      <c r="F325" s="198" t="s">
        <v>1580</v>
      </c>
      <c r="G325" s="198" t="s">
        <v>1581</v>
      </c>
      <c r="H325" s="198" t="s">
        <v>1582</v>
      </c>
      <c r="I325" s="198">
        <v>24</v>
      </c>
      <c r="J325" s="198">
        <v>24</v>
      </c>
    </row>
    <row r="326" spans="1:10"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98" t="s">
        <v>112</v>
      </c>
      <c r="D326" s="198"/>
      <c r="E326" s="198"/>
      <c r="F326" s="198"/>
      <c r="G326" s="198"/>
      <c r="H326" s="198"/>
      <c r="I326" s="198"/>
      <c r="J326" s="198"/>
    </row>
    <row r="327" spans="1:10"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98" t="s">
        <v>112</v>
      </c>
      <c r="D327" s="198"/>
      <c r="E327" s="198"/>
      <c r="F327" s="198"/>
      <c r="G327" s="198"/>
      <c r="H327" s="198"/>
      <c r="I327" s="198"/>
      <c r="J327" s="198"/>
    </row>
    <row r="328" spans="1:10"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98" t="s">
        <v>112</v>
      </c>
      <c r="D328" s="198"/>
      <c r="E328" s="198"/>
      <c r="F328" s="198"/>
      <c r="G328" s="198"/>
      <c r="H328" s="198"/>
      <c r="I328" s="198"/>
      <c r="J328" s="198"/>
    </row>
    <row r="329" spans="1:10"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98" t="s">
        <v>112</v>
      </c>
      <c r="D329" s="198"/>
      <c r="E329" s="198"/>
      <c r="F329" s="198"/>
      <c r="G329" s="198"/>
      <c r="H329" s="198"/>
      <c r="I329" s="198"/>
      <c r="J329" s="198"/>
    </row>
    <row r="330" spans="1:10"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98" t="s">
        <v>112</v>
      </c>
      <c r="D330" s="198"/>
      <c r="E330" s="198"/>
      <c r="F330" s="198"/>
      <c r="G330" s="198"/>
      <c r="H330" s="198"/>
      <c r="I330" s="198"/>
      <c r="J330" s="198"/>
    </row>
    <row r="331" spans="1:10"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98" t="s">
        <v>206</v>
      </c>
      <c r="D331" s="198" t="s">
        <v>110</v>
      </c>
      <c r="E331" s="198" t="s">
        <v>111</v>
      </c>
      <c r="F331" s="198" t="s">
        <v>112</v>
      </c>
      <c r="G331" s="198" t="s">
        <v>113</v>
      </c>
      <c r="H331" s="198"/>
      <c r="I331" s="198"/>
      <c r="J331" s="198"/>
    </row>
    <row r="332" spans="1:10" x14ac:dyDescent="0.35">
      <c r="A332" s="1" t="str">
        <f t="shared" si="5"/>
        <v>7</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98" t="s">
        <v>3522</v>
      </c>
      <c r="D332" s="198" t="s">
        <v>1583</v>
      </c>
      <c r="E332" s="198" t="s">
        <v>1584</v>
      </c>
      <c r="F332" s="198" t="s">
        <v>112</v>
      </c>
      <c r="G332" s="198">
        <v>4757019</v>
      </c>
      <c r="H332" s="198"/>
      <c r="I332" s="198"/>
      <c r="J332" s="198"/>
    </row>
    <row r="333" spans="1:10" x14ac:dyDescent="0.35">
      <c r="A333" s="1" t="str">
        <f t="shared" si="5"/>
        <v>7</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98" t="s">
        <v>3523</v>
      </c>
      <c r="D333" s="198" t="s">
        <v>1585</v>
      </c>
      <c r="E333" s="198" t="s">
        <v>1586</v>
      </c>
      <c r="F333" s="198" t="s">
        <v>112</v>
      </c>
      <c r="G333" s="198">
        <v>4845940</v>
      </c>
      <c r="H333" s="198"/>
      <c r="I333" s="198"/>
      <c r="J333" s="198"/>
    </row>
    <row r="334" spans="1:10" x14ac:dyDescent="0.35">
      <c r="A334" s="1" t="str">
        <f t="shared" si="5"/>
        <v>7</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98" t="s">
        <v>3524</v>
      </c>
      <c r="D334" s="198" t="s">
        <v>1587</v>
      </c>
      <c r="E334" s="198" t="s">
        <v>1588</v>
      </c>
      <c r="F334" s="198" t="s">
        <v>112</v>
      </c>
      <c r="G334" s="198">
        <v>5114432</v>
      </c>
      <c r="H334" s="198"/>
      <c r="I334" s="198"/>
      <c r="J334" s="198"/>
    </row>
    <row r="335" spans="1:10" x14ac:dyDescent="0.35">
      <c r="A335" s="1" t="str">
        <f t="shared" si="5"/>
        <v>7</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98" t="s">
        <v>3525</v>
      </c>
      <c r="D335" s="198" t="s">
        <v>1589</v>
      </c>
      <c r="E335" s="198" t="s">
        <v>1590</v>
      </c>
      <c r="F335" s="198" t="s">
        <v>112</v>
      </c>
      <c r="G335" s="198">
        <v>3660881</v>
      </c>
      <c r="H335" s="198"/>
      <c r="I335" s="198"/>
      <c r="J335" s="198"/>
    </row>
    <row r="336" spans="1:10" x14ac:dyDescent="0.35">
      <c r="A336" s="1" t="str">
        <f t="shared" si="5"/>
        <v>7</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98" t="s">
        <v>3526</v>
      </c>
      <c r="D336" s="198" t="s">
        <v>1591</v>
      </c>
      <c r="E336" s="198" t="s">
        <v>1592</v>
      </c>
      <c r="F336" s="198" t="s">
        <v>112</v>
      </c>
      <c r="G336" s="198">
        <v>3654674</v>
      </c>
      <c r="H336" s="198"/>
      <c r="I336" s="198"/>
      <c r="J336" s="198"/>
    </row>
    <row r="337" spans="1:10" x14ac:dyDescent="0.35">
      <c r="A337" s="1" t="str">
        <f t="shared" si="5"/>
        <v>7</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98" t="s">
        <v>3527</v>
      </c>
      <c r="D337" s="198" t="s">
        <v>1593</v>
      </c>
      <c r="E337" s="198" t="s">
        <v>1594</v>
      </c>
      <c r="F337" s="198" t="s">
        <v>112</v>
      </c>
      <c r="G337" s="198">
        <v>3621537</v>
      </c>
      <c r="H337" s="198"/>
      <c r="I337" s="198"/>
      <c r="J337" s="198"/>
    </row>
    <row r="338" spans="1:10" x14ac:dyDescent="0.35">
      <c r="A338" s="1" t="str">
        <f t="shared" si="5"/>
        <v>7</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98" t="s">
        <v>3528</v>
      </c>
      <c r="D338" s="198" t="s">
        <v>1595</v>
      </c>
      <c r="E338" s="198" t="s">
        <v>1596</v>
      </c>
      <c r="F338" s="198" t="s">
        <v>112</v>
      </c>
      <c r="G338" s="198">
        <v>4894326</v>
      </c>
      <c r="H338" s="198"/>
      <c r="I338" s="198"/>
      <c r="J338" s="198"/>
    </row>
    <row r="339" spans="1:10" x14ac:dyDescent="0.35">
      <c r="A339" s="1" t="str">
        <f t="shared" si="5"/>
        <v>7</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98" t="s">
        <v>3529</v>
      </c>
      <c r="D339" s="198" t="s">
        <v>1597</v>
      </c>
      <c r="E339" s="198" t="s">
        <v>1598</v>
      </c>
      <c r="F339" s="198" t="s">
        <v>112</v>
      </c>
      <c r="G339" s="198">
        <v>4358078</v>
      </c>
      <c r="H339" s="198"/>
      <c r="I339" s="198"/>
      <c r="J339" s="198"/>
    </row>
    <row r="340" spans="1:10" x14ac:dyDescent="0.35">
      <c r="A340" s="1" t="str">
        <f t="shared" si="5"/>
        <v>7</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98" t="s">
        <v>3530</v>
      </c>
      <c r="D340" s="198" t="s">
        <v>1599</v>
      </c>
      <c r="E340" s="198" t="s">
        <v>1600</v>
      </c>
      <c r="F340" s="198" t="s">
        <v>112</v>
      </c>
      <c r="G340" s="198">
        <v>4561031</v>
      </c>
      <c r="H340" s="198"/>
      <c r="I340" s="198"/>
      <c r="J340" s="198"/>
    </row>
    <row r="341" spans="1:10" x14ac:dyDescent="0.35">
      <c r="A341" s="1" t="str">
        <f t="shared" si="5"/>
        <v>7</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98" t="s">
        <v>3531</v>
      </c>
      <c r="D341" s="198" t="s">
        <v>1601</v>
      </c>
      <c r="E341" s="198" t="s">
        <v>1602</v>
      </c>
      <c r="F341" s="198" t="s">
        <v>112</v>
      </c>
      <c r="G341" s="198">
        <v>4334999</v>
      </c>
      <c r="H341" s="198"/>
      <c r="I341" s="198"/>
      <c r="J341" s="198"/>
    </row>
    <row r="342" spans="1:10" x14ac:dyDescent="0.35">
      <c r="A342" s="1" t="str">
        <f t="shared" si="5"/>
        <v>7</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98" t="s">
        <v>3532</v>
      </c>
      <c r="D342" s="198" t="s">
        <v>1603</v>
      </c>
      <c r="E342" s="198" t="s">
        <v>1604</v>
      </c>
      <c r="F342" s="198" t="s">
        <v>112</v>
      </c>
      <c r="G342" s="198">
        <v>4601976</v>
      </c>
      <c r="H342" s="198"/>
      <c r="I342" s="198"/>
      <c r="J342" s="198"/>
    </row>
    <row r="343" spans="1:10" x14ac:dyDescent="0.35">
      <c r="A343" s="1" t="str">
        <f t="shared" si="5"/>
        <v>7</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98" t="s">
        <v>3533</v>
      </c>
      <c r="D343" s="198" t="s">
        <v>414</v>
      </c>
      <c r="E343" s="198" t="s">
        <v>1605</v>
      </c>
      <c r="F343" s="198" t="s">
        <v>112</v>
      </c>
      <c r="G343" s="198">
        <v>4267146</v>
      </c>
      <c r="H343" s="198"/>
      <c r="I343" s="198"/>
      <c r="J343" s="198"/>
    </row>
    <row r="344" spans="1:10" x14ac:dyDescent="0.35">
      <c r="A344" s="1" t="str">
        <f t="shared" si="5"/>
        <v>7</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98" t="s">
        <v>3534</v>
      </c>
      <c r="D344" s="198"/>
      <c r="E344" s="198"/>
      <c r="F344" s="198"/>
      <c r="G344" s="198"/>
      <c r="H344" s="198"/>
      <c r="I344" s="198"/>
      <c r="J344" s="198"/>
    </row>
    <row r="345" spans="1:10" x14ac:dyDescent="0.35">
      <c r="A345" s="1" t="str">
        <f t="shared" si="5"/>
        <v>7</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98" t="s">
        <v>3535</v>
      </c>
      <c r="D345" s="198" t="s">
        <v>1606</v>
      </c>
      <c r="E345" s="198" t="s">
        <v>1607</v>
      </c>
      <c r="F345" s="198" t="s">
        <v>112</v>
      </c>
      <c r="G345" s="198">
        <v>3895566</v>
      </c>
      <c r="H345" s="198"/>
      <c r="I345" s="198"/>
      <c r="J345" s="198"/>
    </row>
    <row r="346" spans="1:10" x14ac:dyDescent="0.35">
      <c r="A346" s="1" t="str">
        <f t="shared" si="5"/>
        <v>7</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98" t="s">
        <v>3536</v>
      </c>
      <c r="D346" s="198"/>
      <c r="E346" s="198"/>
      <c r="F346" s="198"/>
      <c r="G346" s="198"/>
      <c r="H346" s="198"/>
      <c r="I346" s="198"/>
      <c r="J346" s="198"/>
    </row>
    <row r="347" spans="1:10" x14ac:dyDescent="0.35">
      <c r="A347" s="1" t="str">
        <f t="shared" si="5"/>
        <v>7</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98" t="s">
        <v>3537</v>
      </c>
      <c r="D347" s="198" t="s">
        <v>1608</v>
      </c>
      <c r="E347" s="198" t="s">
        <v>1609</v>
      </c>
      <c r="F347" s="198" t="s">
        <v>112</v>
      </c>
      <c r="G347" s="198">
        <v>4292604</v>
      </c>
      <c r="H347" s="198"/>
      <c r="I347" s="198"/>
      <c r="J347" s="198"/>
    </row>
    <row r="348" spans="1:10" x14ac:dyDescent="0.35">
      <c r="A348" s="1" t="str">
        <f t="shared" si="5"/>
        <v>7</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98" t="s">
        <v>3538</v>
      </c>
      <c r="D348" s="198" t="s">
        <v>1610</v>
      </c>
      <c r="E348" s="198" t="s">
        <v>1611</v>
      </c>
      <c r="F348" s="198" t="s">
        <v>112</v>
      </c>
      <c r="G348" s="198">
        <v>3729967</v>
      </c>
      <c r="H348" s="198"/>
      <c r="I348" s="198"/>
      <c r="J348" s="198"/>
    </row>
    <row r="349" spans="1:10" x14ac:dyDescent="0.35">
      <c r="A349" s="1" t="str">
        <f t="shared" si="5"/>
        <v>7</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98" t="s">
        <v>3539</v>
      </c>
      <c r="D349" s="198" t="s">
        <v>1612</v>
      </c>
      <c r="E349" s="198" t="s">
        <v>1613</v>
      </c>
      <c r="F349" s="198" t="s">
        <v>112</v>
      </c>
      <c r="G349" s="198">
        <v>3660687</v>
      </c>
      <c r="H349" s="198"/>
      <c r="I349" s="198"/>
      <c r="J349" s="198"/>
    </row>
    <row r="350" spans="1:10" x14ac:dyDescent="0.35">
      <c r="A350" s="1" t="str">
        <f t="shared" si="5"/>
        <v>7</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98" t="s">
        <v>3540</v>
      </c>
      <c r="D350" s="198" t="s">
        <v>949</v>
      </c>
      <c r="E350" s="198" t="s">
        <v>1614</v>
      </c>
      <c r="F350" s="198" t="s">
        <v>112</v>
      </c>
      <c r="G350" s="198">
        <v>4579092</v>
      </c>
      <c r="H350" s="198"/>
      <c r="I350" s="198"/>
      <c r="J350" s="198"/>
    </row>
    <row r="351" spans="1:10" x14ac:dyDescent="0.35">
      <c r="A351" s="1" t="str">
        <f t="shared" si="5"/>
        <v>7</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98" t="s">
        <v>3541</v>
      </c>
      <c r="D351" s="198" t="s">
        <v>979</v>
      </c>
      <c r="E351" s="198" t="s">
        <v>1615</v>
      </c>
      <c r="F351" s="198" t="s">
        <v>112</v>
      </c>
      <c r="G351" s="198">
        <v>4708071</v>
      </c>
      <c r="H351" s="198"/>
      <c r="I351" s="198"/>
      <c r="J351" s="198"/>
    </row>
    <row r="352" spans="1:10" x14ac:dyDescent="0.35">
      <c r="A352" s="1" t="str">
        <f t="shared" si="5"/>
        <v>7</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98" t="s">
        <v>3542</v>
      </c>
      <c r="D352" s="198" t="s">
        <v>1616</v>
      </c>
      <c r="E352" s="198" t="s">
        <v>1617</v>
      </c>
      <c r="F352" s="198" t="s">
        <v>112</v>
      </c>
      <c r="G352" s="198">
        <v>4313066</v>
      </c>
      <c r="H352" s="198"/>
      <c r="I352" s="198"/>
      <c r="J352" s="198"/>
    </row>
    <row r="353" spans="1:10" x14ac:dyDescent="0.35">
      <c r="A353" s="1" t="str">
        <f t="shared" si="5"/>
        <v>7</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98" t="s">
        <v>3543</v>
      </c>
      <c r="D353" s="198" t="s">
        <v>1618</v>
      </c>
      <c r="E353" s="198" t="s">
        <v>1619</v>
      </c>
      <c r="F353" s="198" t="s">
        <v>112</v>
      </c>
      <c r="G353" s="198">
        <v>5612936</v>
      </c>
      <c r="H353" s="198"/>
      <c r="I353" s="198"/>
      <c r="J353" s="198"/>
    </row>
    <row r="354" spans="1:10" x14ac:dyDescent="0.35">
      <c r="A354" s="1" t="str">
        <f t="shared" si="5"/>
        <v>7</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98" t="s">
        <v>3544</v>
      </c>
      <c r="D354" s="198" t="s">
        <v>1620</v>
      </c>
      <c r="E354" s="198" t="s">
        <v>1621</v>
      </c>
      <c r="F354" s="198" t="s">
        <v>112</v>
      </c>
      <c r="G354" s="198">
        <v>4688799</v>
      </c>
      <c r="H354" s="198"/>
      <c r="I354" s="198"/>
      <c r="J354" s="198"/>
    </row>
    <row r="355" spans="1:10" x14ac:dyDescent="0.35">
      <c r="A355" s="1" t="str">
        <f t="shared" si="5"/>
        <v>7</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98" t="s">
        <v>3545</v>
      </c>
      <c r="D355" s="198" t="s">
        <v>1622</v>
      </c>
      <c r="E355" s="198" t="s">
        <v>1623</v>
      </c>
      <c r="F355" s="198" t="s">
        <v>112</v>
      </c>
      <c r="G355" s="198">
        <v>4876070</v>
      </c>
      <c r="H355" s="198"/>
      <c r="I355" s="198"/>
      <c r="J355" s="198"/>
    </row>
    <row r="356" spans="1:10"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98" t="s">
        <v>112</v>
      </c>
      <c r="D356" s="198"/>
      <c r="E356" s="198"/>
      <c r="F356" s="198"/>
      <c r="G356" s="198"/>
      <c r="H356" s="198"/>
      <c r="I356" s="198"/>
      <c r="J356" s="198"/>
    </row>
    <row r="357" spans="1:10"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98" t="s">
        <v>195</v>
      </c>
      <c r="D357" s="198" t="s">
        <v>112</v>
      </c>
      <c r="E357" s="198" t="s">
        <v>196</v>
      </c>
      <c r="F357" s="198" t="s">
        <v>197</v>
      </c>
      <c r="G357" s="198" t="s">
        <v>198</v>
      </c>
      <c r="H357" s="198" t="s">
        <v>199</v>
      </c>
      <c r="I357" s="198" t="s">
        <v>200</v>
      </c>
      <c r="J357" s="198" t="s">
        <v>201</v>
      </c>
    </row>
    <row r="358" spans="1:10" x14ac:dyDescent="0.35">
      <c r="A358" s="1" t="str">
        <f t="shared" si="5"/>
        <v>7</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98" t="s">
        <v>3546</v>
      </c>
      <c r="D358" s="198" t="s">
        <v>112</v>
      </c>
      <c r="E358" s="198" t="s">
        <v>1624</v>
      </c>
      <c r="F358" s="198" t="s">
        <v>1625</v>
      </c>
      <c r="G358" s="198" t="s">
        <v>1626</v>
      </c>
      <c r="H358" s="198" t="s">
        <v>1627</v>
      </c>
      <c r="I358" s="198">
        <v>24</v>
      </c>
      <c r="J358" s="198">
        <v>24</v>
      </c>
    </row>
    <row r="359" spans="1:10"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98" t="s">
        <v>112</v>
      </c>
      <c r="D359" s="198"/>
      <c r="E359" s="198"/>
      <c r="F359" s="198"/>
      <c r="G359" s="198"/>
      <c r="H359" s="198"/>
      <c r="I359" s="198"/>
      <c r="J359" s="198"/>
    </row>
    <row r="360" spans="1:10"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98" t="s">
        <v>112</v>
      </c>
      <c r="D360" s="198"/>
      <c r="E360" s="198"/>
      <c r="F360" s="198"/>
      <c r="G360" s="198"/>
      <c r="H360" s="198"/>
      <c r="I360" s="198"/>
      <c r="J360" s="198"/>
    </row>
    <row r="361" spans="1:10"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98" t="s">
        <v>112</v>
      </c>
      <c r="D361" s="198"/>
      <c r="E361" s="198"/>
      <c r="F361" s="198"/>
      <c r="G361" s="198"/>
      <c r="H361" s="198"/>
      <c r="I361" s="198"/>
      <c r="J361" s="198"/>
    </row>
    <row r="362" spans="1:10"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98" t="s">
        <v>112</v>
      </c>
      <c r="D362" s="198"/>
      <c r="E362" s="198"/>
      <c r="F362" s="198"/>
      <c r="G362" s="198"/>
      <c r="H362" s="198"/>
      <c r="I362" s="198"/>
      <c r="J362" s="198"/>
    </row>
    <row r="363" spans="1:10"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98" t="s">
        <v>112</v>
      </c>
      <c r="D363" s="198"/>
      <c r="E363" s="198"/>
      <c r="F363" s="198"/>
      <c r="G363" s="198"/>
      <c r="H363" s="198"/>
      <c r="I363" s="198"/>
      <c r="J363" s="198"/>
    </row>
    <row r="364" spans="1:10"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98" t="s">
        <v>206</v>
      </c>
      <c r="D364" s="198" t="s">
        <v>110</v>
      </c>
      <c r="E364" s="198" t="s">
        <v>111</v>
      </c>
      <c r="F364" s="198" t="s">
        <v>112</v>
      </c>
      <c r="G364" s="198" t="s">
        <v>113</v>
      </c>
      <c r="H364" s="198"/>
      <c r="I364" s="198"/>
      <c r="J364" s="198"/>
    </row>
    <row r="365" spans="1:10" x14ac:dyDescent="0.35">
      <c r="A365" s="1" t="str">
        <f t="shared" si="5"/>
        <v>10</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98" t="s">
        <v>3547</v>
      </c>
      <c r="D365" s="198" t="s">
        <v>1428</v>
      </c>
      <c r="E365" s="198" t="s">
        <v>1628</v>
      </c>
      <c r="F365" s="198" t="s">
        <v>112</v>
      </c>
      <c r="G365" s="198">
        <v>187704</v>
      </c>
      <c r="H365" s="198"/>
      <c r="I365" s="198"/>
      <c r="J365" s="198"/>
    </row>
    <row r="366" spans="1:10" x14ac:dyDescent="0.35">
      <c r="A366" s="1" t="str">
        <f t="shared" si="5"/>
        <v>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98" t="s">
        <v>3548</v>
      </c>
      <c r="D366" s="198" t="s">
        <v>1629</v>
      </c>
      <c r="E366" s="198" t="s">
        <v>1630</v>
      </c>
      <c r="F366" s="198" t="s">
        <v>112</v>
      </c>
      <c r="G366" s="198">
        <v>253913</v>
      </c>
      <c r="H366" s="198"/>
      <c r="I366" s="198"/>
      <c r="J366" s="198"/>
    </row>
    <row r="367" spans="1:10" x14ac:dyDescent="0.35">
      <c r="A367" s="1" t="str">
        <f t="shared" si="5"/>
        <v>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7" s="198" t="s">
        <v>3549</v>
      </c>
      <c r="D367" s="198"/>
      <c r="E367" s="198"/>
      <c r="F367" s="198"/>
      <c r="G367" s="198"/>
      <c r="H367" s="198"/>
      <c r="I367" s="198"/>
      <c r="J367" s="198"/>
    </row>
    <row r="368" spans="1:10" x14ac:dyDescent="0.35">
      <c r="A368" s="1" t="str">
        <f t="shared" si="5"/>
        <v>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98" t="s">
        <v>3550</v>
      </c>
      <c r="D368" s="198"/>
      <c r="E368" s="198"/>
      <c r="F368" s="198"/>
      <c r="G368" s="198"/>
      <c r="H368" s="198"/>
      <c r="I368" s="198"/>
      <c r="J368" s="198"/>
    </row>
    <row r="369" spans="1:10" x14ac:dyDescent="0.35">
      <c r="A369" s="1" t="str">
        <f t="shared" si="5"/>
        <v>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69" s="198" t="s">
        <v>3551</v>
      </c>
      <c r="D369" s="198" t="s">
        <v>1631</v>
      </c>
      <c r="E369" s="198" t="s">
        <v>1632</v>
      </c>
      <c r="F369" s="198" t="s">
        <v>112</v>
      </c>
      <c r="G369" s="198">
        <v>90413</v>
      </c>
      <c r="H369" s="198"/>
      <c r="I369" s="198"/>
      <c r="J369" s="198"/>
    </row>
    <row r="370" spans="1:10" x14ac:dyDescent="0.35">
      <c r="A370" s="1" t="str">
        <f t="shared" si="5"/>
        <v>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0" s="198" t="s">
        <v>3552</v>
      </c>
      <c r="D370" s="198" t="s">
        <v>1633</v>
      </c>
      <c r="E370" s="198" t="s">
        <v>1634</v>
      </c>
      <c r="F370" s="198" t="s">
        <v>112</v>
      </c>
      <c r="G370" s="198">
        <v>43606</v>
      </c>
      <c r="H370" s="198"/>
      <c r="I370" s="198"/>
      <c r="J370" s="198"/>
    </row>
    <row r="371" spans="1:10" x14ac:dyDescent="0.35">
      <c r="A371" s="1" t="str">
        <f t="shared" si="5"/>
        <v>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1" s="198" t="s">
        <v>3553</v>
      </c>
      <c r="D371" s="198" t="s">
        <v>215</v>
      </c>
      <c r="E371" s="198" t="s">
        <v>1635</v>
      </c>
      <c r="F371" s="198" t="s">
        <v>112</v>
      </c>
      <c r="G371" s="198">
        <v>290727</v>
      </c>
      <c r="H371" s="198"/>
      <c r="I371" s="198"/>
      <c r="J371" s="198"/>
    </row>
    <row r="372" spans="1:10" x14ac:dyDescent="0.35">
      <c r="A372" s="1" t="str">
        <f t="shared" si="5"/>
        <v>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2" s="198" t="s">
        <v>3554</v>
      </c>
      <c r="D372" s="198" t="s">
        <v>1079</v>
      </c>
      <c r="E372" s="198" t="s">
        <v>1636</v>
      </c>
      <c r="F372" s="198" t="s">
        <v>112</v>
      </c>
      <c r="G372" s="198">
        <v>224735</v>
      </c>
      <c r="H372" s="198"/>
      <c r="I372" s="198"/>
      <c r="J372" s="198"/>
    </row>
    <row r="373" spans="1:10" x14ac:dyDescent="0.35">
      <c r="A373" s="1" t="str">
        <f t="shared" si="5"/>
        <v>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3" s="198" t="s">
        <v>3555</v>
      </c>
      <c r="D373" s="198" t="s">
        <v>1637</v>
      </c>
      <c r="E373" s="198" t="s">
        <v>1638</v>
      </c>
      <c r="F373" s="198" t="s">
        <v>112</v>
      </c>
      <c r="G373" s="198">
        <v>167653</v>
      </c>
      <c r="H373" s="198"/>
      <c r="I373" s="198"/>
      <c r="J373" s="198"/>
    </row>
    <row r="374" spans="1:10" x14ac:dyDescent="0.35">
      <c r="A374" s="1" t="str">
        <f t="shared" si="5"/>
        <v>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4" s="198" t="s">
        <v>3556</v>
      </c>
      <c r="D374" s="198" t="s">
        <v>1409</v>
      </c>
      <c r="E374" s="198" t="s">
        <v>1639</v>
      </c>
      <c r="F374" s="198" t="s">
        <v>112</v>
      </c>
      <c r="G374" s="198">
        <v>237064</v>
      </c>
      <c r="H374" s="198"/>
      <c r="I374" s="198"/>
      <c r="J374" s="198"/>
    </row>
    <row r="375" spans="1:10" x14ac:dyDescent="0.35">
      <c r="A375" s="1" t="str">
        <f t="shared" si="5"/>
        <v>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75" s="198" t="s">
        <v>3557</v>
      </c>
      <c r="D375" s="198" t="s">
        <v>538</v>
      </c>
      <c r="E375" s="198">
        <v>30</v>
      </c>
      <c r="F375" s="198" t="s">
        <v>112</v>
      </c>
      <c r="G375" s="198">
        <v>1298</v>
      </c>
      <c r="H375" s="198"/>
      <c r="I375" s="198"/>
      <c r="J375" s="198"/>
    </row>
    <row r="376" spans="1:10" x14ac:dyDescent="0.35">
      <c r="A376" s="1" t="str">
        <f t="shared" si="5"/>
        <v>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76" s="198" t="s">
        <v>3558</v>
      </c>
      <c r="D376" s="198" t="s">
        <v>762</v>
      </c>
      <c r="E376" s="198" t="s">
        <v>1640</v>
      </c>
      <c r="F376" s="198" t="s">
        <v>112</v>
      </c>
      <c r="G376" s="198">
        <v>142454</v>
      </c>
      <c r="H376" s="198"/>
      <c r="I376" s="198"/>
      <c r="J376" s="198"/>
    </row>
    <row r="377" spans="1:10" x14ac:dyDescent="0.35">
      <c r="A377" s="1" t="str">
        <f t="shared" si="5"/>
        <v>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77" s="198" t="s">
        <v>3559</v>
      </c>
      <c r="D377" s="198" t="s">
        <v>245</v>
      </c>
      <c r="E377" s="198">
        <v>31</v>
      </c>
      <c r="F377" s="198" t="s">
        <v>112</v>
      </c>
      <c r="G377" s="198">
        <v>2012</v>
      </c>
      <c r="H377" s="198"/>
      <c r="I377" s="198"/>
      <c r="J377" s="198"/>
    </row>
    <row r="378" spans="1:10" x14ac:dyDescent="0.35">
      <c r="A378" s="1" t="str">
        <f t="shared" si="5"/>
        <v>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78" s="198" t="s">
        <v>3560</v>
      </c>
      <c r="D378" s="198" t="s">
        <v>1083</v>
      </c>
      <c r="E378" s="198" t="s">
        <v>1641</v>
      </c>
      <c r="F378" s="198" t="s">
        <v>112</v>
      </c>
      <c r="G378" s="198">
        <v>140832</v>
      </c>
      <c r="H378" s="198"/>
      <c r="I378" s="198"/>
      <c r="J378" s="198"/>
    </row>
    <row r="379" spans="1:10" x14ac:dyDescent="0.35">
      <c r="A379" s="1" t="str">
        <f t="shared" si="5"/>
        <v>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79" s="198" t="s">
        <v>3561</v>
      </c>
      <c r="D379" s="198" t="s">
        <v>1642</v>
      </c>
      <c r="E379" s="198" t="s">
        <v>1643</v>
      </c>
      <c r="F379" s="198" t="s">
        <v>112</v>
      </c>
      <c r="G379" s="198">
        <v>10880</v>
      </c>
      <c r="H379" s="198"/>
      <c r="I379" s="198"/>
      <c r="J379" s="198"/>
    </row>
    <row r="380" spans="1:10" x14ac:dyDescent="0.35">
      <c r="A380" s="1" t="str">
        <f t="shared" si="5"/>
        <v>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0" s="198" t="s">
        <v>3562</v>
      </c>
      <c r="D380" s="198" t="s">
        <v>1644</v>
      </c>
      <c r="E380" s="198" t="s">
        <v>1645</v>
      </c>
      <c r="F380" s="198" t="s">
        <v>112</v>
      </c>
      <c r="G380" s="198">
        <v>234122</v>
      </c>
      <c r="H380" s="198"/>
      <c r="I380" s="198"/>
      <c r="J380" s="198"/>
    </row>
    <row r="381" spans="1:10" x14ac:dyDescent="0.35">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1" s="198" t="s">
        <v>112</v>
      </c>
      <c r="D381" s="198"/>
      <c r="E381" s="198"/>
      <c r="F381" s="198"/>
      <c r="G381" s="198"/>
      <c r="H381" s="198"/>
      <c r="I381" s="198"/>
      <c r="J381" s="198"/>
    </row>
    <row r="382" spans="1:10" x14ac:dyDescent="0.35">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2" s="198" t="s">
        <v>195</v>
      </c>
      <c r="D382" s="198" t="s">
        <v>112</v>
      </c>
      <c r="E382" s="198" t="s">
        <v>196</v>
      </c>
      <c r="F382" s="198" t="s">
        <v>197</v>
      </c>
      <c r="G382" s="198" t="s">
        <v>198</v>
      </c>
      <c r="H382" s="198" t="s">
        <v>199</v>
      </c>
      <c r="I382" s="198" t="s">
        <v>200</v>
      </c>
      <c r="J382" s="198" t="s">
        <v>201</v>
      </c>
    </row>
    <row r="383" spans="1:10" x14ac:dyDescent="0.35">
      <c r="A383" s="1" t="str">
        <f t="shared" si="5"/>
        <v>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83" s="198" t="s">
        <v>3563</v>
      </c>
      <c r="D383" s="198" t="s">
        <v>112</v>
      </c>
      <c r="E383" s="198" t="s">
        <v>1646</v>
      </c>
      <c r="F383" s="198" t="s">
        <v>1647</v>
      </c>
      <c r="G383" s="198" t="s">
        <v>1648</v>
      </c>
      <c r="H383" s="198" t="s">
        <v>1649</v>
      </c>
      <c r="I383" s="198">
        <v>16</v>
      </c>
      <c r="J383" s="198">
        <v>16</v>
      </c>
    </row>
    <row r="384" spans="1:10" x14ac:dyDescent="0.35">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4" s="198" t="s">
        <v>112</v>
      </c>
      <c r="D384" s="198"/>
      <c r="E384" s="198"/>
      <c r="F384" s="198"/>
      <c r="G384" s="198"/>
      <c r="H384" s="198"/>
      <c r="I384" s="198"/>
      <c r="J384" s="198"/>
    </row>
    <row r="385" spans="1:10" x14ac:dyDescent="0.35">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5" s="198" t="s">
        <v>112</v>
      </c>
      <c r="D385" s="198"/>
      <c r="E385" s="198"/>
      <c r="F385" s="198"/>
      <c r="G385" s="198"/>
      <c r="H385" s="198"/>
      <c r="I385" s="198"/>
      <c r="J385" s="198"/>
    </row>
    <row r="386" spans="1:10" x14ac:dyDescent="0.35">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6" s="198" t="s">
        <v>112</v>
      </c>
      <c r="D386" s="198"/>
      <c r="E386" s="198"/>
      <c r="F386" s="198"/>
      <c r="G386" s="198"/>
      <c r="H386" s="198"/>
      <c r="I386" s="198"/>
      <c r="J386" s="198"/>
    </row>
    <row r="387" spans="1:10" x14ac:dyDescent="0.35">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7" s="198" t="s">
        <v>112</v>
      </c>
      <c r="D387" s="198"/>
      <c r="E387" s="198"/>
      <c r="F387" s="198"/>
      <c r="G387" s="198"/>
      <c r="H387" s="198"/>
      <c r="I387" s="198"/>
      <c r="J387" s="198"/>
    </row>
    <row r="388" spans="1:10" x14ac:dyDescent="0.35">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8" s="198" t="s">
        <v>112</v>
      </c>
      <c r="D388" s="198"/>
      <c r="E388" s="198"/>
      <c r="F388" s="198"/>
      <c r="G388" s="198"/>
      <c r="H388" s="198"/>
      <c r="I388" s="198"/>
      <c r="J388" s="198"/>
    </row>
    <row r="389" spans="1:10"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98" t="s">
        <v>206</v>
      </c>
      <c r="D389" s="198" t="s">
        <v>110</v>
      </c>
      <c r="E389" s="198" t="s">
        <v>111</v>
      </c>
      <c r="F389" s="198" t="s">
        <v>112</v>
      </c>
      <c r="G389" s="198" t="s">
        <v>113</v>
      </c>
      <c r="H389" s="198"/>
      <c r="I389" s="198"/>
      <c r="J389" s="198"/>
    </row>
    <row r="390" spans="1:10" x14ac:dyDescent="0.35">
      <c r="A390" s="1" t="str">
        <f t="shared" si="6"/>
        <v>11</v>
      </c>
      <c r="B3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0" s="198" t="s">
        <v>3564</v>
      </c>
      <c r="D390" s="198" t="s">
        <v>1650</v>
      </c>
      <c r="E390" s="198" t="s">
        <v>1651</v>
      </c>
      <c r="F390" s="198" t="s">
        <v>112</v>
      </c>
      <c r="G390" s="198">
        <v>439303</v>
      </c>
      <c r="H390" s="198"/>
      <c r="I390" s="198"/>
      <c r="J390" s="198"/>
    </row>
    <row r="391" spans="1:10" x14ac:dyDescent="0.35">
      <c r="A391" s="1" t="str">
        <f t="shared" si="6"/>
        <v>11</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1" s="198" t="s">
        <v>3565</v>
      </c>
      <c r="D391" s="198" t="s">
        <v>1652</v>
      </c>
      <c r="E391" s="198" t="s">
        <v>1653</v>
      </c>
      <c r="F391" s="198" t="s">
        <v>112</v>
      </c>
      <c r="G391" s="198">
        <v>466968</v>
      </c>
      <c r="H391" s="198"/>
      <c r="I391" s="198"/>
      <c r="J391" s="198"/>
    </row>
    <row r="392" spans="1:10" x14ac:dyDescent="0.35">
      <c r="A392" s="1" t="str">
        <f t="shared" si="6"/>
        <v>11</v>
      </c>
      <c r="B3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2" s="198" t="s">
        <v>3566</v>
      </c>
      <c r="D392" s="198" t="s">
        <v>1654</v>
      </c>
      <c r="E392" s="198" t="s">
        <v>1655</v>
      </c>
      <c r="F392" s="198" t="s">
        <v>112</v>
      </c>
      <c r="G392" s="198">
        <v>507394</v>
      </c>
      <c r="H392" s="198"/>
      <c r="I392" s="198"/>
      <c r="J392" s="198"/>
    </row>
    <row r="393" spans="1:10" x14ac:dyDescent="0.35">
      <c r="A393" s="1" t="str">
        <f t="shared" si="6"/>
        <v>11</v>
      </c>
      <c r="B3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3" s="198" t="s">
        <v>3567</v>
      </c>
      <c r="D393" s="198" t="s">
        <v>1656</v>
      </c>
      <c r="E393" s="198" t="s">
        <v>1657</v>
      </c>
      <c r="F393" s="198" t="s">
        <v>112</v>
      </c>
      <c r="G393" s="198">
        <v>746231</v>
      </c>
      <c r="H393" s="198"/>
      <c r="I393" s="198"/>
      <c r="J393" s="198"/>
    </row>
    <row r="394" spans="1:10" x14ac:dyDescent="0.35">
      <c r="A394" s="1" t="str">
        <f t="shared" si="6"/>
        <v>11</v>
      </c>
      <c r="B3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94" s="198" t="s">
        <v>3568</v>
      </c>
      <c r="D394" s="198"/>
      <c r="E394" s="198"/>
      <c r="F394" s="198"/>
      <c r="G394" s="198"/>
      <c r="H394" s="198"/>
      <c r="I394" s="198"/>
      <c r="J394" s="198"/>
    </row>
    <row r="395" spans="1:10" x14ac:dyDescent="0.35">
      <c r="A395" s="1" t="str">
        <f t="shared" si="6"/>
        <v>11</v>
      </c>
      <c r="B3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95" s="198" t="s">
        <v>3569</v>
      </c>
      <c r="D395" s="198"/>
      <c r="E395" s="198"/>
      <c r="F395" s="198"/>
      <c r="G395" s="198"/>
      <c r="H395" s="198"/>
      <c r="I395" s="198"/>
      <c r="J395" s="198"/>
    </row>
    <row r="396" spans="1:10" x14ac:dyDescent="0.35">
      <c r="A396" s="1" t="str">
        <f t="shared" si="6"/>
        <v>11</v>
      </c>
      <c r="B3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96" s="198" t="s">
        <v>3570</v>
      </c>
      <c r="D396" s="198" t="s">
        <v>1658</v>
      </c>
      <c r="E396" s="198" t="s">
        <v>1659</v>
      </c>
      <c r="F396" s="198" t="s">
        <v>112</v>
      </c>
      <c r="G396" s="198">
        <v>363620</v>
      </c>
      <c r="H396" s="198"/>
      <c r="I396" s="198"/>
      <c r="J396" s="198"/>
    </row>
    <row r="397" spans="1:10" x14ac:dyDescent="0.35">
      <c r="A397" s="1" t="str">
        <f t="shared" si="6"/>
        <v>11</v>
      </c>
      <c r="B3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97" s="198" t="s">
        <v>3571</v>
      </c>
      <c r="D397" s="198" t="s">
        <v>1660</v>
      </c>
      <c r="E397" s="198" t="s">
        <v>1661</v>
      </c>
      <c r="F397" s="198" t="s">
        <v>112</v>
      </c>
      <c r="G397" s="198">
        <v>594238</v>
      </c>
      <c r="H397" s="198"/>
      <c r="I397" s="198"/>
      <c r="J397" s="198"/>
    </row>
    <row r="398" spans="1:10" x14ac:dyDescent="0.35">
      <c r="A398" s="1" t="str">
        <f t="shared" si="6"/>
        <v>11</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98" s="198" t="s">
        <v>3572</v>
      </c>
      <c r="D398" s="198" t="s">
        <v>1662</v>
      </c>
      <c r="E398" s="198" t="s">
        <v>1663</v>
      </c>
      <c r="F398" s="198" t="s">
        <v>112</v>
      </c>
      <c r="G398" s="198">
        <v>1712331</v>
      </c>
      <c r="H398" s="198"/>
      <c r="I398" s="198"/>
      <c r="J398" s="198"/>
    </row>
    <row r="399" spans="1:10" x14ac:dyDescent="0.35">
      <c r="A399" s="1" t="str">
        <f t="shared" si="6"/>
        <v>11</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99" s="198" t="s">
        <v>3573</v>
      </c>
      <c r="D399" s="198" t="s">
        <v>1664</v>
      </c>
      <c r="E399" s="198" t="s">
        <v>1665</v>
      </c>
      <c r="F399" s="198" t="s">
        <v>112</v>
      </c>
      <c r="G399" s="198">
        <v>1457941</v>
      </c>
      <c r="H399" s="198"/>
      <c r="I399" s="198"/>
      <c r="J399" s="198"/>
    </row>
    <row r="400" spans="1:10" x14ac:dyDescent="0.35">
      <c r="A400" s="1" t="str">
        <f t="shared" si="6"/>
        <v>11</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00" s="198" t="s">
        <v>3574</v>
      </c>
      <c r="D400" s="198" t="s">
        <v>1666</v>
      </c>
      <c r="E400" s="198" t="s">
        <v>1667</v>
      </c>
      <c r="F400" s="198" t="s">
        <v>112</v>
      </c>
      <c r="G400" s="198">
        <v>701631</v>
      </c>
      <c r="H400" s="198"/>
      <c r="I400" s="198"/>
      <c r="J400" s="198"/>
    </row>
    <row r="401" spans="1:10" x14ac:dyDescent="0.35">
      <c r="A401" s="1" t="str">
        <f t="shared" si="6"/>
        <v>11</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01" s="198" t="s">
        <v>3575</v>
      </c>
      <c r="D401" s="198" t="s">
        <v>481</v>
      </c>
      <c r="E401" s="198" t="s">
        <v>1668</v>
      </c>
      <c r="F401" s="198" t="s">
        <v>112</v>
      </c>
      <c r="G401" s="198">
        <v>453730</v>
      </c>
      <c r="H401" s="198"/>
      <c r="I401" s="198"/>
      <c r="J401" s="198"/>
    </row>
    <row r="402" spans="1:10" x14ac:dyDescent="0.35">
      <c r="A402" s="1" t="str">
        <f t="shared" si="6"/>
        <v>11</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02" s="198" t="s">
        <v>3576</v>
      </c>
      <c r="D402" s="198" t="s">
        <v>1669</v>
      </c>
      <c r="E402" s="198" t="s">
        <v>1670</v>
      </c>
      <c r="F402" s="198" t="s">
        <v>112</v>
      </c>
      <c r="G402" s="198">
        <v>2645661</v>
      </c>
      <c r="H402" s="198"/>
      <c r="I402" s="198"/>
      <c r="J402" s="198"/>
    </row>
    <row r="403" spans="1:10" x14ac:dyDescent="0.35">
      <c r="A403" s="1" t="str">
        <f t="shared" si="6"/>
        <v>11</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03" s="198" t="s">
        <v>3577</v>
      </c>
      <c r="D403" s="198" t="s">
        <v>1671</v>
      </c>
      <c r="E403" s="198" t="s">
        <v>1672</v>
      </c>
      <c r="F403" s="198" t="s">
        <v>112</v>
      </c>
      <c r="G403" s="198">
        <v>3111698</v>
      </c>
      <c r="H403" s="198"/>
      <c r="I403" s="198"/>
      <c r="J403" s="198"/>
    </row>
    <row r="404" spans="1:10" x14ac:dyDescent="0.35">
      <c r="A404" s="1" t="str">
        <f t="shared" si="6"/>
        <v>11</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04" s="198" t="s">
        <v>3578</v>
      </c>
      <c r="D404" s="198" t="s">
        <v>1673</v>
      </c>
      <c r="E404" s="198" t="s">
        <v>1674</v>
      </c>
      <c r="F404" s="198" t="s">
        <v>112</v>
      </c>
      <c r="G404" s="198">
        <v>506572</v>
      </c>
      <c r="H404" s="198"/>
      <c r="I404" s="198"/>
      <c r="J404" s="198"/>
    </row>
    <row r="405" spans="1:10" x14ac:dyDescent="0.35">
      <c r="A405" s="1" t="str">
        <f t="shared" si="6"/>
        <v>11</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05" s="198" t="s">
        <v>3579</v>
      </c>
      <c r="D405" s="198" t="s">
        <v>784</v>
      </c>
      <c r="E405" s="198" t="s">
        <v>1675</v>
      </c>
      <c r="F405" s="198" t="s">
        <v>112</v>
      </c>
      <c r="G405" s="198">
        <v>10166</v>
      </c>
      <c r="H405" s="198"/>
      <c r="I405" s="198"/>
      <c r="J405" s="198"/>
    </row>
    <row r="406" spans="1:10" x14ac:dyDescent="0.35">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06" s="198" t="s">
        <v>112</v>
      </c>
      <c r="D406" s="198"/>
      <c r="E406" s="198"/>
      <c r="F406" s="198"/>
      <c r="G406" s="198"/>
      <c r="H406" s="198"/>
      <c r="I406" s="198"/>
      <c r="J406" s="198"/>
    </row>
    <row r="407" spans="1:10" x14ac:dyDescent="0.35">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07" s="198" t="s">
        <v>195</v>
      </c>
      <c r="D407" s="198" t="s">
        <v>112</v>
      </c>
      <c r="E407" s="198" t="s">
        <v>196</v>
      </c>
      <c r="F407" s="198" t="s">
        <v>197</v>
      </c>
      <c r="G407" s="198" t="s">
        <v>198</v>
      </c>
      <c r="H407" s="198" t="s">
        <v>199</v>
      </c>
      <c r="I407" s="198" t="s">
        <v>200</v>
      </c>
      <c r="J407" s="198" t="s">
        <v>201</v>
      </c>
    </row>
    <row r="408" spans="1:10" x14ac:dyDescent="0.35">
      <c r="A408" s="1" t="str">
        <f t="shared" si="6"/>
        <v>11</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08" s="198" t="s">
        <v>3580</v>
      </c>
      <c r="D408" s="198" t="s">
        <v>112</v>
      </c>
      <c r="E408" s="198" t="s">
        <v>1676</v>
      </c>
      <c r="F408" s="198" t="s">
        <v>1677</v>
      </c>
      <c r="G408" s="198" t="s">
        <v>1678</v>
      </c>
      <c r="H408" s="198" t="s">
        <v>1679</v>
      </c>
      <c r="I408" s="198">
        <v>16</v>
      </c>
      <c r="J408" s="198">
        <v>16</v>
      </c>
    </row>
    <row r="409" spans="1:10" x14ac:dyDescent="0.35">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09" s="198" t="s">
        <v>112</v>
      </c>
      <c r="D409" s="198"/>
      <c r="E409" s="198"/>
      <c r="F409" s="198"/>
      <c r="G409" s="198"/>
      <c r="H409" s="198"/>
      <c r="I409" s="198"/>
      <c r="J409" s="198"/>
    </row>
    <row r="410" spans="1:10" x14ac:dyDescent="0.35">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10" s="198" t="s">
        <v>112</v>
      </c>
      <c r="D410" s="198"/>
      <c r="E410" s="198"/>
      <c r="F410" s="198"/>
      <c r="G410" s="198"/>
      <c r="H410" s="198"/>
      <c r="I410" s="198"/>
      <c r="J410" s="198"/>
    </row>
    <row r="411" spans="1:10" x14ac:dyDescent="0.35">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11" s="198" t="s">
        <v>112</v>
      </c>
      <c r="D411" s="198"/>
      <c r="E411" s="198"/>
      <c r="F411" s="198"/>
      <c r="G411" s="198"/>
      <c r="H411" s="198"/>
      <c r="I411" s="198"/>
      <c r="J411" s="198"/>
    </row>
    <row r="412" spans="1:10" x14ac:dyDescent="0.35">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12" s="198" t="s">
        <v>112</v>
      </c>
      <c r="D412" s="198"/>
      <c r="E412" s="198"/>
      <c r="F412" s="198"/>
      <c r="G412" s="198"/>
      <c r="H412" s="198"/>
      <c r="I412" s="198"/>
      <c r="J412" s="198"/>
    </row>
    <row r="413" spans="1:10" x14ac:dyDescent="0.35">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13" s="198" t="s">
        <v>112</v>
      </c>
      <c r="D413" s="198"/>
      <c r="E413" s="198"/>
      <c r="F413" s="198"/>
      <c r="G413" s="198"/>
      <c r="H413" s="198"/>
      <c r="I413" s="198"/>
      <c r="J413" s="198"/>
    </row>
    <row r="414" spans="1:10" x14ac:dyDescent="0.35">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14" s="198" t="s">
        <v>206</v>
      </c>
      <c r="D414" s="198" t="s">
        <v>110</v>
      </c>
      <c r="E414" s="198" t="s">
        <v>111</v>
      </c>
      <c r="F414" s="198" t="s">
        <v>112</v>
      </c>
      <c r="G414" s="198" t="s">
        <v>113</v>
      </c>
      <c r="H414" s="198"/>
      <c r="I414" s="198"/>
      <c r="J414" s="198"/>
    </row>
    <row r="415" spans="1:10" x14ac:dyDescent="0.35">
      <c r="A415" s="1" t="str">
        <f t="shared" si="6"/>
        <v>12</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15" s="198" t="s">
        <v>3581</v>
      </c>
      <c r="D415" s="198" t="s">
        <v>1610</v>
      </c>
      <c r="E415" s="198" t="s">
        <v>1680</v>
      </c>
      <c r="F415" s="198" t="s">
        <v>112</v>
      </c>
      <c r="G415" s="198">
        <v>2232486</v>
      </c>
      <c r="H415" s="198"/>
      <c r="I415" s="198"/>
      <c r="J415" s="198"/>
    </row>
    <row r="416" spans="1:10" x14ac:dyDescent="0.35">
      <c r="A416" s="1" t="str">
        <f t="shared" si="6"/>
        <v>12</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16" s="198" t="s">
        <v>3582</v>
      </c>
      <c r="D416" s="198" t="s">
        <v>1681</v>
      </c>
      <c r="E416" s="198" t="s">
        <v>1682</v>
      </c>
      <c r="F416" s="198" t="s">
        <v>112</v>
      </c>
      <c r="G416" s="198">
        <v>2507597</v>
      </c>
      <c r="H416" s="198"/>
      <c r="I416" s="198"/>
      <c r="J416" s="198"/>
    </row>
    <row r="417" spans="1:10" x14ac:dyDescent="0.35">
      <c r="A417" s="1" t="str">
        <f t="shared" si="6"/>
        <v>12</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7" s="198" t="s">
        <v>3583</v>
      </c>
      <c r="D417" s="198" t="s">
        <v>1683</v>
      </c>
      <c r="E417" s="198" t="s">
        <v>1684</v>
      </c>
      <c r="F417" s="198" t="s">
        <v>112</v>
      </c>
      <c r="G417" s="198">
        <v>1557028</v>
      </c>
      <c r="H417" s="198"/>
      <c r="I417" s="198"/>
      <c r="J417" s="198"/>
    </row>
    <row r="418" spans="1:10" x14ac:dyDescent="0.35">
      <c r="A418" s="1" t="str">
        <f t="shared" si="6"/>
        <v>12</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8" s="198" t="s">
        <v>3584</v>
      </c>
      <c r="D418" s="198" t="s">
        <v>1685</v>
      </c>
      <c r="E418" s="198" t="s">
        <v>1686</v>
      </c>
      <c r="F418" s="198" t="s">
        <v>112</v>
      </c>
      <c r="G418" s="198">
        <v>1218736</v>
      </c>
      <c r="H418" s="198"/>
      <c r="I418" s="198"/>
      <c r="J418" s="198"/>
    </row>
    <row r="419" spans="1:10" x14ac:dyDescent="0.35">
      <c r="A419" s="1" t="str">
        <f t="shared" si="6"/>
        <v>12</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9" s="198" t="s">
        <v>3585</v>
      </c>
      <c r="D419" s="198" t="s">
        <v>1687</v>
      </c>
      <c r="E419" s="198" t="s">
        <v>1688</v>
      </c>
      <c r="F419" s="198" t="s">
        <v>112</v>
      </c>
      <c r="G419" s="198">
        <v>2523711</v>
      </c>
      <c r="H419" s="198"/>
      <c r="I419" s="198"/>
      <c r="J419" s="198"/>
    </row>
    <row r="420" spans="1:10" x14ac:dyDescent="0.35">
      <c r="A420" s="1" t="str">
        <f t="shared" si="6"/>
        <v>12</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0" s="198" t="s">
        <v>3586</v>
      </c>
      <c r="D420" s="198" t="s">
        <v>1689</v>
      </c>
      <c r="E420" s="198" t="s">
        <v>1690</v>
      </c>
      <c r="F420" s="198" t="s">
        <v>112</v>
      </c>
      <c r="G420" s="198">
        <v>2391098</v>
      </c>
      <c r="H420" s="198"/>
      <c r="I420" s="198"/>
      <c r="J420" s="198"/>
    </row>
    <row r="421" spans="1:10" x14ac:dyDescent="0.35">
      <c r="A421" s="1" t="str">
        <f t="shared" si="6"/>
        <v>12</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21" s="198" t="s">
        <v>3587</v>
      </c>
      <c r="D421" s="198" t="s">
        <v>1691</v>
      </c>
      <c r="E421" s="198" t="s">
        <v>1692</v>
      </c>
      <c r="F421" s="198" t="s">
        <v>112</v>
      </c>
      <c r="G421" s="198">
        <v>866753</v>
      </c>
      <c r="H421" s="198"/>
      <c r="I421" s="198"/>
      <c r="J421" s="198"/>
    </row>
    <row r="422" spans="1:10" x14ac:dyDescent="0.35">
      <c r="A422" s="1" t="str">
        <f t="shared" si="6"/>
        <v>12</v>
      </c>
      <c r="B4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22" s="198" t="s">
        <v>3588</v>
      </c>
      <c r="D422" s="198" t="s">
        <v>1693</v>
      </c>
      <c r="E422" s="198" t="s">
        <v>1694</v>
      </c>
      <c r="F422" s="198" t="s">
        <v>112</v>
      </c>
      <c r="G422" s="198">
        <v>1475981</v>
      </c>
      <c r="H422" s="198"/>
      <c r="I422" s="198"/>
      <c r="J422" s="198"/>
    </row>
    <row r="423" spans="1:10" x14ac:dyDescent="0.35">
      <c r="A423" s="1" t="str">
        <f t="shared" si="6"/>
        <v>12</v>
      </c>
      <c r="B4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23" s="198" t="s">
        <v>3589</v>
      </c>
      <c r="D423" s="198" t="s">
        <v>1695</v>
      </c>
      <c r="E423" s="198" t="s">
        <v>1696</v>
      </c>
      <c r="F423" s="198" t="s">
        <v>112</v>
      </c>
      <c r="G423" s="198">
        <v>3232134</v>
      </c>
      <c r="H423" s="198"/>
      <c r="I423" s="198"/>
      <c r="J423" s="198"/>
    </row>
    <row r="424" spans="1:10" x14ac:dyDescent="0.35">
      <c r="A424" s="1" t="str">
        <f t="shared" si="6"/>
        <v>12</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24" s="198" t="s">
        <v>3590</v>
      </c>
      <c r="D424" s="198" t="s">
        <v>1697</v>
      </c>
      <c r="E424" s="198" t="s">
        <v>1698</v>
      </c>
      <c r="F424" s="198" t="s">
        <v>112</v>
      </c>
      <c r="G424" s="198">
        <v>4016390</v>
      </c>
      <c r="H424" s="198"/>
      <c r="I424" s="198"/>
      <c r="J424" s="198"/>
    </row>
    <row r="425" spans="1:10" x14ac:dyDescent="0.35">
      <c r="A425" s="1" t="str">
        <f t="shared" si="6"/>
        <v>12</v>
      </c>
      <c r="B4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25" s="198" t="s">
        <v>3591</v>
      </c>
      <c r="D425" s="198" t="s">
        <v>1699</v>
      </c>
      <c r="E425" s="198" t="s">
        <v>1700</v>
      </c>
      <c r="F425" s="198" t="s">
        <v>112</v>
      </c>
      <c r="G425" s="198">
        <v>1452923</v>
      </c>
      <c r="H425" s="198"/>
      <c r="I425" s="198"/>
      <c r="J425" s="198"/>
    </row>
    <row r="426" spans="1:10" x14ac:dyDescent="0.35">
      <c r="A426" s="1" t="str">
        <f t="shared" si="6"/>
        <v>12</v>
      </c>
      <c r="B4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26" s="198" t="s">
        <v>3592</v>
      </c>
      <c r="D426" s="198" t="s">
        <v>1701</v>
      </c>
      <c r="E426" s="198" t="s">
        <v>1702</v>
      </c>
      <c r="F426" s="198" t="s">
        <v>112</v>
      </c>
      <c r="G426" s="198">
        <v>1724249</v>
      </c>
      <c r="H426" s="198"/>
      <c r="I426" s="198"/>
      <c r="J426" s="198"/>
    </row>
    <row r="427" spans="1:10" x14ac:dyDescent="0.35">
      <c r="A427" s="1" t="str">
        <f t="shared" si="6"/>
        <v>12</v>
      </c>
      <c r="B4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27" s="198" t="s">
        <v>3593</v>
      </c>
      <c r="D427" s="198" t="s">
        <v>1703</v>
      </c>
      <c r="E427" s="198" t="s">
        <v>1704</v>
      </c>
      <c r="F427" s="198" t="s">
        <v>112</v>
      </c>
      <c r="G427" s="198">
        <v>1667600</v>
      </c>
      <c r="H427" s="198"/>
      <c r="I427" s="198"/>
      <c r="J427" s="198"/>
    </row>
    <row r="428" spans="1:10" x14ac:dyDescent="0.35">
      <c r="A428" s="1" t="str">
        <f t="shared" si="6"/>
        <v>12</v>
      </c>
      <c r="B4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28" s="198" t="s">
        <v>3594</v>
      </c>
      <c r="D428" s="198" t="s">
        <v>1705</v>
      </c>
      <c r="E428" s="198" t="s">
        <v>1706</v>
      </c>
      <c r="F428" s="198" t="s">
        <v>112</v>
      </c>
      <c r="G428" s="198">
        <v>1989388</v>
      </c>
      <c r="H428" s="198"/>
      <c r="I428" s="198"/>
      <c r="J428" s="198"/>
    </row>
    <row r="429" spans="1:10" x14ac:dyDescent="0.35">
      <c r="A429" s="1" t="str">
        <f t="shared" si="6"/>
        <v>12</v>
      </c>
      <c r="B4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9" s="198" t="s">
        <v>3595</v>
      </c>
      <c r="D429" s="198" t="s">
        <v>1707</v>
      </c>
      <c r="E429" s="198" t="s">
        <v>1708</v>
      </c>
      <c r="F429" s="198" t="s">
        <v>112</v>
      </c>
      <c r="G429" s="198">
        <v>3691055</v>
      </c>
      <c r="H429" s="198"/>
      <c r="I429" s="198"/>
      <c r="J429" s="198"/>
    </row>
    <row r="430" spans="1:10" x14ac:dyDescent="0.35">
      <c r="A430" s="1" t="str">
        <f t="shared" si="6"/>
        <v>12</v>
      </c>
      <c r="B4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30" s="198" t="s">
        <v>3596</v>
      </c>
      <c r="D430" s="198" t="s">
        <v>1709</v>
      </c>
      <c r="E430" s="198" t="s">
        <v>1710</v>
      </c>
      <c r="F430" s="198" t="s">
        <v>112</v>
      </c>
      <c r="G430" s="198">
        <v>3918493</v>
      </c>
      <c r="H430" s="198"/>
      <c r="I430" s="198"/>
      <c r="J430" s="198"/>
    </row>
    <row r="431" spans="1:10"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1" s="198" t="s">
        <v>112</v>
      </c>
      <c r="D431" s="198"/>
      <c r="E431" s="198"/>
      <c r="F431" s="198"/>
      <c r="G431" s="198"/>
      <c r="H431" s="198"/>
      <c r="I431" s="198"/>
      <c r="J431" s="198"/>
    </row>
    <row r="432" spans="1:10" x14ac:dyDescent="0.35">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2" s="198" t="s">
        <v>195</v>
      </c>
      <c r="D432" s="198" t="s">
        <v>112</v>
      </c>
      <c r="E432" s="198" t="s">
        <v>196</v>
      </c>
      <c r="F432" s="198" t="s">
        <v>197</v>
      </c>
      <c r="G432" s="198" t="s">
        <v>198</v>
      </c>
      <c r="H432" s="198" t="s">
        <v>199</v>
      </c>
      <c r="I432" s="198" t="s">
        <v>200</v>
      </c>
      <c r="J432" s="198" t="s">
        <v>201</v>
      </c>
    </row>
    <row r="433" spans="1:10" x14ac:dyDescent="0.35">
      <c r="A433" s="1" t="str">
        <f t="shared" si="6"/>
        <v>12</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33" s="198" t="s">
        <v>3597</v>
      </c>
      <c r="D433" s="198" t="s">
        <v>112</v>
      </c>
      <c r="E433" s="198" t="s">
        <v>1711</v>
      </c>
      <c r="F433" s="198" t="s">
        <v>1712</v>
      </c>
      <c r="G433" s="198" t="s">
        <v>1713</v>
      </c>
      <c r="H433" s="198" t="s">
        <v>1714</v>
      </c>
      <c r="I433" s="198">
        <v>16</v>
      </c>
      <c r="J433" s="198">
        <v>16</v>
      </c>
    </row>
    <row r="434" spans="1:10" x14ac:dyDescent="0.35">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4" s="198" t="s">
        <v>112</v>
      </c>
      <c r="D434" s="198"/>
      <c r="E434" s="198"/>
      <c r="F434" s="198"/>
      <c r="G434" s="198"/>
      <c r="H434" s="198"/>
      <c r="I434" s="198"/>
      <c r="J434" s="198"/>
    </row>
    <row r="435" spans="1:10" x14ac:dyDescent="0.35">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5" s="198" t="s">
        <v>112</v>
      </c>
      <c r="D435" s="198"/>
      <c r="E435" s="198"/>
      <c r="F435" s="198"/>
      <c r="G435" s="198"/>
      <c r="H435" s="198"/>
      <c r="I435" s="198"/>
      <c r="J435" s="198"/>
    </row>
    <row r="436" spans="1:10" x14ac:dyDescent="0.35">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6" s="198" t="s">
        <v>112</v>
      </c>
      <c r="D436" s="198"/>
      <c r="E436" s="198"/>
      <c r="F436" s="198"/>
      <c r="G436" s="198"/>
      <c r="H436" s="198"/>
      <c r="I436" s="198"/>
      <c r="J436" s="198"/>
    </row>
    <row r="437" spans="1:10" x14ac:dyDescent="0.35">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7" s="198" t="s">
        <v>112</v>
      </c>
      <c r="D437" s="198"/>
      <c r="E437" s="198"/>
      <c r="F437" s="198"/>
      <c r="G437" s="198"/>
      <c r="H437" s="198"/>
      <c r="I437" s="198"/>
      <c r="J437" s="198"/>
    </row>
    <row r="438" spans="1:10" x14ac:dyDescent="0.35">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8" s="198" t="s">
        <v>112</v>
      </c>
      <c r="D438" s="198"/>
      <c r="E438" s="198"/>
      <c r="F438" s="198"/>
      <c r="G438" s="198"/>
      <c r="H438" s="198"/>
      <c r="I438" s="198"/>
      <c r="J438" s="198"/>
    </row>
    <row r="439" spans="1:10" x14ac:dyDescent="0.35">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9" s="198" t="s">
        <v>206</v>
      </c>
      <c r="D439" s="198" t="s">
        <v>110</v>
      </c>
      <c r="E439" s="198" t="s">
        <v>111</v>
      </c>
      <c r="F439" s="198" t="s">
        <v>112</v>
      </c>
      <c r="G439" s="198" t="s">
        <v>113</v>
      </c>
      <c r="H439" s="198"/>
      <c r="I439" s="198"/>
      <c r="J439" s="198"/>
    </row>
    <row r="440" spans="1:10" x14ac:dyDescent="0.35">
      <c r="A440" s="1" t="str">
        <f t="shared" si="6"/>
        <v>17</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40" s="198" t="s">
        <v>3598</v>
      </c>
      <c r="D440" s="198" t="s">
        <v>634</v>
      </c>
      <c r="E440" s="198" t="s">
        <v>1715</v>
      </c>
      <c r="F440" s="198" t="s">
        <v>112</v>
      </c>
      <c r="G440" s="198">
        <v>2138353</v>
      </c>
      <c r="H440" s="198"/>
      <c r="I440" s="198"/>
      <c r="J440" s="198"/>
    </row>
    <row r="441" spans="1:10" x14ac:dyDescent="0.35">
      <c r="A441" s="1" t="str">
        <f t="shared" si="6"/>
        <v>17</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41" s="198" t="s">
        <v>3599</v>
      </c>
      <c r="D441" s="198" t="s">
        <v>1716</v>
      </c>
      <c r="E441" s="198" t="s">
        <v>1717</v>
      </c>
      <c r="F441" s="198" t="s">
        <v>112</v>
      </c>
      <c r="G441" s="198">
        <v>2037385</v>
      </c>
      <c r="H441" s="198"/>
      <c r="I441" s="198"/>
      <c r="J441" s="198"/>
    </row>
    <row r="442" spans="1:10" x14ac:dyDescent="0.35">
      <c r="A442" s="1" t="str">
        <f t="shared" si="6"/>
        <v>17</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42" s="198" t="s">
        <v>3600</v>
      </c>
      <c r="D442" s="198" t="s">
        <v>1718</v>
      </c>
      <c r="E442" s="198" t="s">
        <v>1719</v>
      </c>
      <c r="F442" s="198" t="s">
        <v>112</v>
      </c>
      <c r="G442" s="198">
        <v>929566</v>
      </c>
      <c r="H442" s="198"/>
      <c r="I442" s="198"/>
      <c r="J442" s="198"/>
    </row>
    <row r="443" spans="1:10" x14ac:dyDescent="0.35">
      <c r="A443" s="1" t="str">
        <f t="shared" si="6"/>
        <v>17</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43" s="198" t="s">
        <v>3601</v>
      </c>
      <c r="D443" s="198" t="s">
        <v>1720</v>
      </c>
      <c r="E443" s="198" t="s">
        <v>1721</v>
      </c>
      <c r="F443" s="198" t="s">
        <v>112</v>
      </c>
      <c r="G443" s="198">
        <v>923337</v>
      </c>
      <c r="H443" s="198"/>
      <c r="I443" s="198"/>
      <c r="J443" s="198"/>
    </row>
    <row r="444" spans="1:10" x14ac:dyDescent="0.35">
      <c r="A444" s="1" t="str">
        <f t="shared" si="6"/>
        <v>17</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4" s="198" t="s">
        <v>3602</v>
      </c>
      <c r="D444" s="198" t="s">
        <v>1722</v>
      </c>
      <c r="E444" s="198" t="s">
        <v>1723</v>
      </c>
      <c r="F444" s="198" t="s">
        <v>112</v>
      </c>
      <c r="G444" s="198">
        <v>1039316</v>
      </c>
      <c r="H444" s="198"/>
      <c r="I444" s="198"/>
      <c r="J444" s="198"/>
    </row>
    <row r="445" spans="1:10" x14ac:dyDescent="0.35">
      <c r="A445" s="1" t="str">
        <f t="shared" si="6"/>
        <v>17</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5" s="198" t="s">
        <v>3603</v>
      </c>
      <c r="D445" s="198" t="s">
        <v>1724</v>
      </c>
      <c r="E445" s="198" t="s">
        <v>1725</v>
      </c>
      <c r="F445" s="198" t="s">
        <v>112</v>
      </c>
      <c r="G445" s="198">
        <v>1292840</v>
      </c>
      <c r="H445" s="198"/>
      <c r="I445" s="198"/>
      <c r="J445" s="198"/>
    </row>
    <row r="446" spans="1:10" x14ac:dyDescent="0.35">
      <c r="A446" s="1" t="str">
        <f t="shared" si="6"/>
        <v>17</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6" s="198" t="s">
        <v>3604</v>
      </c>
      <c r="D446" s="198" t="s">
        <v>1726</v>
      </c>
      <c r="E446" s="198" t="s">
        <v>1727</v>
      </c>
      <c r="F446" s="198" t="s">
        <v>112</v>
      </c>
      <c r="G446" s="198">
        <v>3534844</v>
      </c>
      <c r="H446" s="198"/>
      <c r="I446" s="198"/>
      <c r="J446" s="198"/>
    </row>
    <row r="447" spans="1:10" x14ac:dyDescent="0.35">
      <c r="A447" s="1" t="str">
        <f t="shared" si="6"/>
        <v>17</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7" s="198" t="s">
        <v>3605</v>
      </c>
      <c r="D447" s="198" t="s">
        <v>1728</v>
      </c>
      <c r="E447" s="198" t="s">
        <v>1729</v>
      </c>
      <c r="F447" s="198" t="s">
        <v>112</v>
      </c>
      <c r="G447" s="198">
        <v>3665813</v>
      </c>
      <c r="H447" s="198"/>
      <c r="I447" s="198"/>
      <c r="J447" s="198"/>
    </row>
    <row r="448" spans="1:10" x14ac:dyDescent="0.35">
      <c r="A448" s="1" t="str">
        <f t="shared" si="6"/>
        <v>17</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8" s="198" t="s">
        <v>3606</v>
      </c>
      <c r="D448" s="198" t="s">
        <v>1730</v>
      </c>
      <c r="E448" s="198" t="s">
        <v>1731</v>
      </c>
      <c r="F448" s="198" t="s">
        <v>112</v>
      </c>
      <c r="G448" s="198">
        <v>1847496</v>
      </c>
      <c r="H448" s="198"/>
      <c r="I448" s="198"/>
      <c r="J448" s="198"/>
    </row>
    <row r="449" spans="1:10" x14ac:dyDescent="0.35">
      <c r="A449" s="1" t="str">
        <f t="shared" si="6"/>
        <v>17</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9" s="198" t="s">
        <v>3607</v>
      </c>
      <c r="D449" s="198" t="s">
        <v>1732</v>
      </c>
      <c r="E449" s="198" t="s">
        <v>1733</v>
      </c>
      <c r="F449" s="198" t="s">
        <v>112</v>
      </c>
      <c r="G449" s="198">
        <v>1924131</v>
      </c>
      <c r="H449" s="198"/>
      <c r="I449" s="198"/>
      <c r="J449" s="198"/>
    </row>
    <row r="450" spans="1:10" x14ac:dyDescent="0.35">
      <c r="A450" s="1" t="str">
        <f t="shared" ref="A450:A513" si="7">IFERROR(LEFT(RIGHT(C450,LEN(C450)-SEARCH("@",C450)),SEARCH("/",RIGHT(C450,LEN(C450)-SEARCH("@",C450)-1))),"")</f>
        <v>17</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50" s="198" t="s">
        <v>3608</v>
      </c>
      <c r="D450" s="198" t="s">
        <v>1734</v>
      </c>
      <c r="E450" s="198" t="s">
        <v>1735</v>
      </c>
      <c r="F450" s="198" t="s">
        <v>112</v>
      </c>
      <c r="G450" s="198">
        <v>1040917</v>
      </c>
      <c r="H450" s="198"/>
      <c r="I450" s="198"/>
      <c r="J450" s="198"/>
    </row>
    <row r="451" spans="1:10" x14ac:dyDescent="0.35">
      <c r="A451" s="1" t="str">
        <f t="shared" si="7"/>
        <v>17</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51" s="198" t="s">
        <v>3609</v>
      </c>
      <c r="D451" s="198" t="s">
        <v>1736</v>
      </c>
      <c r="E451" s="198" t="s">
        <v>1737</v>
      </c>
      <c r="F451" s="198" t="s">
        <v>112</v>
      </c>
      <c r="G451" s="198">
        <v>1127891</v>
      </c>
      <c r="H451" s="198"/>
      <c r="I451" s="198"/>
      <c r="J451" s="198"/>
    </row>
    <row r="452" spans="1:10" x14ac:dyDescent="0.35">
      <c r="A452" s="1" t="str">
        <f t="shared" si="7"/>
        <v>17</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2" s="198" t="s">
        <v>3610</v>
      </c>
      <c r="D452" s="198" t="s">
        <v>1738</v>
      </c>
      <c r="E452" s="198" t="s">
        <v>1739</v>
      </c>
      <c r="F452" s="198" t="s">
        <v>112</v>
      </c>
      <c r="G452" s="198">
        <v>2015560</v>
      </c>
      <c r="H452" s="198"/>
      <c r="I452" s="198"/>
      <c r="J452" s="198"/>
    </row>
    <row r="453" spans="1:10" x14ac:dyDescent="0.35">
      <c r="A453" s="1" t="str">
        <f t="shared" si="7"/>
        <v>17</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3" s="198" t="s">
        <v>3611</v>
      </c>
      <c r="D453" s="198" t="s">
        <v>1740</v>
      </c>
      <c r="E453" s="198" t="s">
        <v>1741</v>
      </c>
      <c r="F453" s="198" t="s">
        <v>112</v>
      </c>
      <c r="G453" s="198">
        <v>2650203</v>
      </c>
      <c r="H453" s="198"/>
      <c r="I453" s="198"/>
      <c r="J453" s="198"/>
    </row>
    <row r="454" spans="1:10" x14ac:dyDescent="0.35">
      <c r="A454" s="1" t="str">
        <f t="shared" si="7"/>
        <v>17</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98" t="s">
        <v>3612</v>
      </c>
      <c r="D454" s="198" t="s">
        <v>1742</v>
      </c>
      <c r="E454" s="198" t="s">
        <v>1743</v>
      </c>
      <c r="F454" s="198" t="s">
        <v>112</v>
      </c>
      <c r="G454" s="198">
        <v>3092426</v>
      </c>
      <c r="H454" s="198"/>
      <c r="I454" s="198"/>
      <c r="J454" s="198"/>
    </row>
    <row r="455" spans="1:10" x14ac:dyDescent="0.35">
      <c r="A455" s="1" t="str">
        <f t="shared" si="7"/>
        <v>17</v>
      </c>
      <c r="B4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5" s="198" t="s">
        <v>3613</v>
      </c>
      <c r="D455" s="198" t="s">
        <v>1744</v>
      </c>
      <c r="E455" s="198" t="s">
        <v>1745</v>
      </c>
      <c r="F455" s="198" t="s">
        <v>112</v>
      </c>
      <c r="G455" s="198">
        <v>2611009</v>
      </c>
      <c r="H455" s="198"/>
      <c r="I455" s="198"/>
      <c r="J455" s="198"/>
    </row>
    <row r="456" spans="1:10"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98" t="s">
        <v>112</v>
      </c>
      <c r="D456" s="198"/>
      <c r="E456" s="198"/>
      <c r="F456" s="198"/>
      <c r="G456" s="198"/>
      <c r="H456" s="198"/>
      <c r="I456" s="198"/>
      <c r="J456" s="198"/>
    </row>
    <row r="457" spans="1:10"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7" s="198" t="s">
        <v>195</v>
      </c>
      <c r="D457" s="198" t="s">
        <v>112</v>
      </c>
      <c r="E457" s="198" t="s">
        <v>196</v>
      </c>
      <c r="F457" s="198" t="s">
        <v>197</v>
      </c>
      <c r="G457" s="198" t="s">
        <v>198</v>
      </c>
      <c r="H457" s="198" t="s">
        <v>199</v>
      </c>
      <c r="I457" s="198" t="s">
        <v>200</v>
      </c>
      <c r="J457" s="198" t="s">
        <v>201</v>
      </c>
    </row>
    <row r="458" spans="1:10" x14ac:dyDescent="0.35">
      <c r="A458" s="1" t="str">
        <f t="shared" si="7"/>
        <v>17</v>
      </c>
      <c r="B4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8" s="198" t="s">
        <v>3614</v>
      </c>
      <c r="D458" s="198" t="s">
        <v>112</v>
      </c>
      <c r="E458" s="198" t="s">
        <v>1746</v>
      </c>
      <c r="F458" s="198" t="s">
        <v>1747</v>
      </c>
      <c r="G458" s="198" t="s">
        <v>1748</v>
      </c>
      <c r="H458" s="198" t="s">
        <v>1749</v>
      </c>
      <c r="I458" s="198">
        <v>16</v>
      </c>
      <c r="J458" s="198">
        <v>16</v>
      </c>
    </row>
    <row r="459" spans="1:10"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98" t="s">
        <v>112</v>
      </c>
      <c r="D459" s="198"/>
      <c r="E459" s="198"/>
      <c r="F459" s="198"/>
      <c r="G459" s="198"/>
      <c r="H459" s="198"/>
      <c r="I459" s="198"/>
      <c r="J459" s="198"/>
    </row>
    <row r="460" spans="1:10"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98" t="s">
        <v>112</v>
      </c>
      <c r="D460" s="198"/>
      <c r="E460" s="198"/>
      <c r="F460" s="198"/>
      <c r="G460" s="198"/>
      <c r="H460" s="198"/>
      <c r="I460" s="198"/>
      <c r="J460" s="198"/>
    </row>
    <row r="461" spans="1:10"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98" t="s">
        <v>112</v>
      </c>
      <c r="D461" s="198"/>
      <c r="E461" s="198"/>
      <c r="F461" s="198"/>
      <c r="G461" s="198"/>
      <c r="H461" s="198"/>
      <c r="I461" s="198"/>
      <c r="J461" s="198"/>
    </row>
    <row r="462" spans="1:10"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98" t="s">
        <v>112</v>
      </c>
      <c r="D462" s="198"/>
      <c r="E462" s="198"/>
      <c r="F462" s="198"/>
      <c r="G462" s="198"/>
      <c r="H462" s="198"/>
      <c r="I462" s="198"/>
      <c r="J462" s="198"/>
    </row>
    <row r="463" spans="1:10"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98" t="s">
        <v>112</v>
      </c>
      <c r="D463" s="198"/>
      <c r="E463" s="198"/>
      <c r="F463" s="198"/>
      <c r="G463" s="198"/>
      <c r="H463" s="198"/>
      <c r="I463" s="198"/>
      <c r="J463" s="198"/>
    </row>
    <row r="464" spans="1:10"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4" s="198" t="s">
        <v>206</v>
      </c>
      <c r="D464" s="198" t="s">
        <v>110</v>
      </c>
      <c r="E464" s="198" t="s">
        <v>111</v>
      </c>
      <c r="F464" s="198" t="s">
        <v>112</v>
      </c>
      <c r="G464" s="198" t="s">
        <v>113</v>
      </c>
      <c r="H464" s="198"/>
      <c r="I464" s="198"/>
      <c r="J464" s="198"/>
    </row>
    <row r="465" spans="1:10" x14ac:dyDescent="0.35">
      <c r="A465" s="1" t="str">
        <f t="shared" si="7"/>
        <v>18</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98" t="s">
        <v>3615</v>
      </c>
      <c r="D465" s="198" t="s">
        <v>346</v>
      </c>
      <c r="E465" s="198" t="s">
        <v>1750</v>
      </c>
      <c r="F465" s="198" t="s">
        <v>112</v>
      </c>
      <c r="G465" s="198">
        <v>2733456</v>
      </c>
      <c r="H465" s="198"/>
      <c r="I465" s="198"/>
      <c r="J465" s="198"/>
    </row>
    <row r="466" spans="1:10" x14ac:dyDescent="0.35">
      <c r="A466" s="1" t="str">
        <f t="shared" si="7"/>
        <v>18</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98" t="s">
        <v>3616</v>
      </c>
      <c r="D466" s="198" t="s">
        <v>1751</v>
      </c>
      <c r="E466" s="198" t="s">
        <v>1752</v>
      </c>
      <c r="F466" s="198" t="s">
        <v>112</v>
      </c>
      <c r="G466" s="198">
        <v>2527994</v>
      </c>
      <c r="H466" s="198"/>
      <c r="I466" s="198"/>
      <c r="J466" s="198"/>
    </row>
    <row r="467" spans="1:10" x14ac:dyDescent="0.35">
      <c r="A467" s="1" t="str">
        <f t="shared" si="7"/>
        <v>18</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98" t="s">
        <v>3617</v>
      </c>
      <c r="D467" s="198" t="s">
        <v>881</v>
      </c>
      <c r="E467" s="198" t="s">
        <v>1753</v>
      </c>
      <c r="F467" s="198" t="s">
        <v>112</v>
      </c>
      <c r="G467" s="198">
        <v>3033723</v>
      </c>
      <c r="H467" s="198"/>
      <c r="I467" s="198"/>
      <c r="J467" s="198"/>
    </row>
    <row r="468" spans="1:10" x14ac:dyDescent="0.35">
      <c r="A468" s="1" t="str">
        <f t="shared" si="7"/>
        <v>18</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98" t="s">
        <v>3618</v>
      </c>
      <c r="D468" s="198" t="s">
        <v>1754</v>
      </c>
      <c r="E468" s="198" t="s">
        <v>1755</v>
      </c>
      <c r="F468" s="198" t="s">
        <v>112</v>
      </c>
      <c r="G468" s="198">
        <v>2254073</v>
      </c>
      <c r="H468" s="198"/>
      <c r="I468" s="198"/>
      <c r="J468" s="198"/>
    </row>
    <row r="469" spans="1:10" x14ac:dyDescent="0.35">
      <c r="A469" s="1" t="str">
        <f t="shared" si="7"/>
        <v>18</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69" s="198" t="s">
        <v>3619</v>
      </c>
      <c r="D469" s="198" t="s">
        <v>1756</v>
      </c>
      <c r="E469" s="198" t="s">
        <v>1757</v>
      </c>
      <c r="F469" s="198" t="s">
        <v>112</v>
      </c>
      <c r="G469" s="198">
        <v>3091669</v>
      </c>
      <c r="H469" s="198"/>
      <c r="I469" s="198"/>
      <c r="J469" s="198"/>
    </row>
    <row r="470" spans="1:10" x14ac:dyDescent="0.35">
      <c r="A470" s="1" t="str">
        <f t="shared" si="7"/>
        <v>18</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98" t="s">
        <v>3620</v>
      </c>
      <c r="D470" s="198" t="s">
        <v>1758</v>
      </c>
      <c r="E470" s="198" t="s">
        <v>1759</v>
      </c>
      <c r="F470" s="198" t="s">
        <v>112</v>
      </c>
      <c r="G470" s="198">
        <v>2652279</v>
      </c>
      <c r="H470" s="198"/>
      <c r="I470" s="198"/>
      <c r="J470" s="198"/>
    </row>
    <row r="471" spans="1:10" x14ac:dyDescent="0.35">
      <c r="A471" s="1" t="str">
        <f t="shared" si="7"/>
        <v>18</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1" s="198" t="s">
        <v>3621</v>
      </c>
      <c r="D471" s="198" t="s">
        <v>1760</v>
      </c>
      <c r="E471" s="198" t="s">
        <v>1761</v>
      </c>
      <c r="F471" s="198" t="s">
        <v>112</v>
      </c>
      <c r="G471" s="198">
        <v>2348120</v>
      </c>
      <c r="H471" s="198"/>
      <c r="I471" s="198"/>
      <c r="J471" s="198"/>
    </row>
    <row r="472" spans="1:10" x14ac:dyDescent="0.35">
      <c r="A472" s="1" t="str">
        <f t="shared" si="7"/>
        <v>18</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2" s="198" t="s">
        <v>3622</v>
      </c>
      <c r="D472" s="198" t="s">
        <v>1762</v>
      </c>
      <c r="E472" s="198" t="s">
        <v>1763</v>
      </c>
      <c r="F472" s="198" t="s">
        <v>112</v>
      </c>
      <c r="G472" s="198">
        <v>2816169</v>
      </c>
      <c r="H472" s="198"/>
      <c r="I472" s="198"/>
      <c r="J472" s="198"/>
    </row>
    <row r="473" spans="1:10" x14ac:dyDescent="0.35">
      <c r="A473" s="1" t="str">
        <f t="shared" si="7"/>
        <v>18</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3" s="198" t="s">
        <v>3623</v>
      </c>
      <c r="D473" s="198" t="s">
        <v>1764</v>
      </c>
      <c r="E473" s="198" t="s">
        <v>1765</v>
      </c>
      <c r="F473" s="198" t="s">
        <v>112</v>
      </c>
      <c r="G473" s="198">
        <v>3653743</v>
      </c>
      <c r="H473" s="198"/>
      <c r="I473" s="198"/>
      <c r="J473" s="198"/>
    </row>
    <row r="474" spans="1:10" x14ac:dyDescent="0.35">
      <c r="A474" s="1" t="str">
        <f t="shared" si="7"/>
        <v>18</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4" s="198" t="s">
        <v>3624</v>
      </c>
      <c r="D474" s="198" t="s">
        <v>1766</v>
      </c>
      <c r="E474" s="198" t="s">
        <v>1767</v>
      </c>
      <c r="F474" s="198" t="s">
        <v>112</v>
      </c>
      <c r="G474" s="198">
        <v>3238363</v>
      </c>
      <c r="H474" s="198"/>
      <c r="I474" s="198"/>
      <c r="J474" s="198"/>
    </row>
    <row r="475" spans="1:10" x14ac:dyDescent="0.35">
      <c r="A475" s="1" t="str">
        <f t="shared" si="7"/>
        <v>18</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5" s="198" t="s">
        <v>3625</v>
      </c>
      <c r="D475" s="198" t="s">
        <v>1768</v>
      </c>
      <c r="E475" s="198" t="s">
        <v>1769</v>
      </c>
      <c r="F475" s="198" t="s">
        <v>112</v>
      </c>
      <c r="G475" s="198">
        <v>3245890</v>
      </c>
      <c r="H475" s="198"/>
      <c r="I475" s="198"/>
      <c r="J475" s="198"/>
    </row>
    <row r="476" spans="1:10" x14ac:dyDescent="0.35">
      <c r="A476" s="1" t="str">
        <f t="shared" si="7"/>
        <v>18</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6" s="198" t="s">
        <v>3626</v>
      </c>
      <c r="D476" s="198" t="s">
        <v>1770</v>
      </c>
      <c r="E476" s="198" t="s">
        <v>1771</v>
      </c>
      <c r="F476" s="198" t="s">
        <v>112</v>
      </c>
      <c r="G476" s="198">
        <v>2976598</v>
      </c>
      <c r="H476" s="198"/>
      <c r="I476" s="198"/>
      <c r="J476" s="198"/>
    </row>
    <row r="477" spans="1:10" x14ac:dyDescent="0.35">
      <c r="A477" s="1" t="str">
        <f t="shared" si="7"/>
        <v>18</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77" s="198" t="s">
        <v>3627</v>
      </c>
      <c r="D477" s="198" t="s">
        <v>1754</v>
      </c>
      <c r="E477" s="198" t="s">
        <v>1772</v>
      </c>
      <c r="F477" s="198" t="s">
        <v>112</v>
      </c>
      <c r="G477" s="198">
        <v>2277844</v>
      </c>
      <c r="H477" s="198"/>
      <c r="I477" s="198"/>
      <c r="J477" s="198"/>
    </row>
    <row r="478" spans="1:10" x14ac:dyDescent="0.35">
      <c r="A478" s="1" t="str">
        <f t="shared" si="7"/>
        <v>18</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78" s="198" t="s">
        <v>3628</v>
      </c>
      <c r="D478" s="198" t="s">
        <v>1773</v>
      </c>
      <c r="E478" s="198" t="s">
        <v>1774</v>
      </c>
      <c r="F478" s="198" t="s">
        <v>112</v>
      </c>
      <c r="G478" s="198">
        <v>2018588</v>
      </c>
      <c r="H478" s="198"/>
      <c r="I478" s="198"/>
      <c r="J478" s="198"/>
    </row>
    <row r="479" spans="1:10" x14ac:dyDescent="0.35">
      <c r="A479" s="1" t="str">
        <f t="shared" si="7"/>
        <v>18</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79" s="198" t="s">
        <v>3629</v>
      </c>
      <c r="D479" s="198" t="s">
        <v>1775</v>
      </c>
      <c r="E479" s="198" t="s">
        <v>1776</v>
      </c>
      <c r="F479" s="198" t="s">
        <v>112</v>
      </c>
      <c r="G479" s="198">
        <v>2737804</v>
      </c>
      <c r="H479" s="198"/>
      <c r="I479" s="198"/>
      <c r="J479" s="198"/>
    </row>
    <row r="480" spans="1:10" x14ac:dyDescent="0.35">
      <c r="A480" s="1" t="str">
        <f t="shared" si="7"/>
        <v>18</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0" s="198" t="s">
        <v>3630</v>
      </c>
      <c r="D480" s="198" t="s">
        <v>1777</v>
      </c>
      <c r="E480" s="198" t="s">
        <v>1778</v>
      </c>
      <c r="F480" s="198" t="s">
        <v>112</v>
      </c>
      <c r="G480" s="198">
        <v>2314593</v>
      </c>
      <c r="H480" s="198"/>
      <c r="I480" s="198"/>
      <c r="J480" s="198"/>
    </row>
    <row r="481" spans="1:10" x14ac:dyDescent="0.35">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1" s="198" t="s">
        <v>112</v>
      </c>
      <c r="D481" s="198"/>
      <c r="E481" s="198"/>
      <c r="F481" s="198"/>
      <c r="G481" s="198"/>
      <c r="H481" s="198"/>
      <c r="I481" s="198"/>
      <c r="J481" s="198"/>
    </row>
    <row r="482" spans="1:10" x14ac:dyDescent="0.35">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2" s="198" t="s">
        <v>195</v>
      </c>
      <c r="D482" s="198" t="s">
        <v>112</v>
      </c>
      <c r="E482" s="198" t="s">
        <v>196</v>
      </c>
      <c r="F482" s="198" t="s">
        <v>197</v>
      </c>
      <c r="G482" s="198" t="s">
        <v>198</v>
      </c>
      <c r="H482" s="198" t="s">
        <v>199</v>
      </c>
      <c r="I482" s="198" t="s">
        <v>200</v>
      </c>
      <c r="J482" s="198" t="s">
        <v>201</v>
      </c>
    </row>
    <row r="483" spans="1:10" x14ac:dyDescent="0.35">
      <c r="A483" s="1" t="str">
        <f t="shared" si="7"/>
        <v>18</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83" s="198" t="s">
        <v>3631</v>
      </c>
      <c r="D483" s="198" t="s">
        <v>112</v>
      </c>
      <c r="E483" s="198" t="s">
        <v>1779</v>
      </c>
      <c r="F483" s="198" t="s">
        <v>1780</v>
      </c>
      <c r="G483" s="198" t="s">
        <v>1781</v>
      </c>
      <c r="H483" s="198" t="s">
        <v>1782</v>
      </c>
      <c r="I483" s="198">
        <v>16</v>
      </c>
      <c r="J483" s="198">
        <v>16</v>
      </c>
    </row>
    <row r="484" spans="1:10" x14ac:dyDescent="0.35">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4" s="198" t="s">
        <v>112</v>
      </c>
      <c r="D484" s="198"/>
      <c r="E484" s="198"/>
      <c r="F484" s="198"/>
      <c r="G484" s="198"/>
      <c r="H484" s="198"/>
      <c r="I484" s="198"/>
      <c r="J484" s="198"/>
    </row>
    <row r="485" spans="1:10" x14ac:dyDescent="0.35">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5" s="198" t="s">
        <v>112</v>
      </c>
      <c r="D485" s="198"/>
      <c r="E485" s="198"/>
      <c r="F485" s="198"/>
      <c r="G485" s="198"/>
      <c r="H485" s="198"/>
      <c r="I485" s="198"/>
      <c r="J485" s="198"/>
    </row>
    <row r="486" spans="1:10" x14ac:dyDescent="0.35">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6" s="198" t="s">
        <v>112</v>
      </c>
      <c r="D486" s="198"/>
      <c r="E486" s="198"/>
      <c r="F486" s="198"/>
      <c r="G486" s="198"/>
      <c r="H486" s="198"/>
      <c r="I486" s="198"/>
      <c r="J486" s="198"/>
    </row>
    <row r="487" spans="1:10" x14ac:dyDescent="0.35">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7" s="198" t="s">
        <v>112</v>
      </c>
      <c r="D487" s="198"/>
      <c r="E487" s="198"/>
      <c r="F487" s="198"/>
      <c r="G487" s="198"/>
      <c r="H487" s="198"/>
      <c r="I487" s="198"/>
      <c r="J487" s="198"/>
    </row>
    <row r="488" spans="1:10"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98" t="s">
        <v>112</v>
      </c>
      <c r="D488" s="198"/>
      <c r="E488" s="198"/>
      <c r="F488" s="198"/>
      <c r="G488" s="198"/>
      <c r="H488" s="198"/>
      <c r="I488" s="198"/>
      <c r="J488" s="198"/>
    </row>
    <row r="489" spans="1:10"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98" t="s">
        <v>206</v>
      </c>
      <c r="D489" s="198" t="s">
        <v>110</v>
      </c>
      <c r="E489" s="198" t="s">
        <v>111</v>
      </c>
      <c r="F489" s="198" t="s">
        <v>112</v>
      </c>
      <c r="G489" s="198" t="s">
        <v>113</v>
      </c>
      <c r="H489" s="198"/>
      <c r="I489" s="198"/>
      <c r="J489" s="198"/>
    </row>
    <row r="490" spans="1:10" x14ac:dyDescent="0.35">
      <c r="A490" s="1" t="str">
        <f t="shared" si="7"/>
        <v>19</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0" s="198" t="s">
        <v>3632</v>
      </c>
      <c r="D490" s="198" t="s">
        <v>1783</v>
      </c>
      <c r="E490" s="198" t="s">
        <v>1784</v>
      </c>
      <c r="F490" s="198" t="s">
        <v>112</v>
      </c>
      <c r="G490" s="198">
        <v>1701559</v>
      </c>
      <c r="H490" s="198"/>
      <c r="I490" s="198"/>
      <c r="J490" s="198"/>
    </row>
    <row r="491" spans="1:10" x14ac:dyDescent="0.35">
      <c r="A491" s="1" t="str">
        <f t="shared" si="7"/>
        <v>19</v>
      </c>
      <c r="B4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1" s="198" t="s">
        <v>3633</v>
      </c>
      <c r="D491" s="198" t="s">
        <v>1785</v>
      </c>
      <c r="E491" s="198" t="s">
        <v>1786</v>
      </c>
      <c r="F491" s="198" t="s">
        <v>112</v>
      </c>
      <c r="G491" s="198">
        <v>1498173</v>
      </c>
      <c r="H491" s="198"/>
      <c r="I491" s="198"/>
      <c r="J491" s="198"/>
    </row>
    <row r="492" spans="1:10" x14ac:dyDescent="0.35">
      <c r="A492" s="1" t="str">
        <f t="shared" si="7"/>
        <v>19</v>
      </c>
      <c r="B4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92" s="198" t="s">
        <v>3634</v>
      </c>
      <c r="D492" s="198" t="s">
        <v>1787</v>
      </c>
      <c r="E492" s="198" t="s">
        <v>1788</v>
      </c>
      <c r="F492" s="198" t="s">
        <v>112</v>
      </c>
      <c r="G492" s="198">
        <v>5297897</v>
      </c>
      <c r="H492" s="198"/>
      <c r="I492" s="198"/>
      <c r="J492" s="198"/>
    </row>
    <row r="493" spans="1:10" x14ac:dyDescent="0.35">
      <c r="A493" s="1" t="str">
        <f t="shared" si="7"/>
        <v>19</v>
      </c>
      <c r="B4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93" s="198" t="s">
        <v>3635</v>
      </c>
      <c r="D493" s="198" t="s">
        <v>1789</v>
      </c>
      <c r="E493" s="198" t="s">
        <v>1790</v>
      </c>
      <c r="F493" s="198" t="s">
        <v>112</v>
      </c>
      <c r="G493" s="198">
        <v>4503085</v>
      </c>
      <c r="H493" s="198"/>
      <c r="I493" s="198"/>
      <c r="J493" s="198"/>
    </row>
    <row r="494" spans="1:10" x14ac:dyDescent="0.35">
      <c r="A494" s="1" t="str">
        <f t="shared" si="7"/>
        <v>19</v>
      </c>
      <c r="B4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94" s="198" t="s">
        <v>3636</v>
      </c>
      <c r="D494" s="198" t="s">
        <v>1791</v>
      </c>
      <c r="E494" s="198" t="s">
        <v>1792</v>
      </c>
      <c r="F494" s="198" t="s">
        <v>112</v>
      </c>
      <c r="G494" s="198">
        <v>2930223</v>
      </c>
      <c r="H494" s="198"/>
      <c r="I494" s="198"/>
      <c r="J494" s="198"/>
    </row>
    <row r="495" spans="1:10" x14ac:dyDescent="0.35">
      <c r="A495" s="1" t="str">
        <f t="shared" si="7"/>
        <v>19</v>
      </c>
      <c r="B4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95" s="198" t="s">
        <v>3637</v>
      </c>
      <c r="D495" s="198" t="s">
        <v>1793</v>
      </c>
      <c r="E495" s="198" t="s">
        <v>1794</v>
      </c>
      <c r="F495" s="198" t="s">
        <v>112</v>
      </c>
      <c r="G495" s="198">
        <v>2934874</v>
      </c>
      <c r="H495" s="198"/>
      <c r="I495" s="198"/>
      <c r="J495" s="198"/>
    </row>
    <row r="496" spans="1:10" x14ac:dyDescent="0.35">
      <c r="A496" s="1" t="str">
        <f t="shared" si="7"/>
        <v>19</v>
      </c>
      <c r="B4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96" s="198" t="s">
        <v>3638</v>
      </c>
      <c r="D496" s="198" t="s">
        <v>1795</v>
      </c>
      <c r="E496" s="198" t="s">
        <v>1796</v>
      </c>
      <c r="F496" s="198" t="s">
        <v>112</v>
      </c>
      <c r="G496" s="198">
        <v>2979540</v>
      </c>
      <c r="H496" s="198"/>
      <c r="I496" s="198"/>
      <c r="J496" s="198"/>
    </row>
    <row r="497" spans="1:10" x14ac:dyDescent="0.35">
      <c r="A497" s="1" t="str">
        <f t="shared" si="7"/>
        <v>19</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97" s="198" t="s">
        <v>3639</v>
      </c>
      <c r="D497" s="198" t="s">
        <v>1797</v>
      </c>
      <c r="E497" s="198" t="s">
        <v>1798</v>
      </c>
      <c r="F497" s="198" t="s">
        <v>112</v>
      </c>
      <c r="G497" s="198">
        <v>2704862</v>
      </c>
      <c r="H497" s="198"/>
      <c r="I497" s="198"/>
      <c r="J497" s="198"/>
    </row>
    <row r="498" spans="1:10" x14ac:dyDescent="0.35">
      <c r="A498" s="1" t="str">
        <f t="shared" si="7"/>
        <v>19</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8" s="198" t="s">
        <v>3640</v>
      </c>
      <c r="D498" s="198" t="s">
        <v>1799</v>
      </c>
      <c r="E498" s="198" t="s">
        <v>1800</v>
      </c>
      <c r="F498" s="198" t="s">
        <v>112</v>
      </c>
      <c r="G498" s="198">
        <v>3607693</v>
      </c>
      <c r="H498" s="198"/>
      <c r="I498" s="198"/>
      <c r="J498" s="198"/>
    </row>
    <row r="499" spans="1:10" x14ac:dyDescent="0.35">
      <c r="A499" s="1" t="str">
        <f t="shared" si="7"/>
        <v>19</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9" s="198" t="s">
        <v>3641</v>
      </c>
      <c r="D499" s="198" t="s">
        <v>1801</v>
      </c>
      <c r="E499" s="198" t="s">
        <v>1802</v>
      </c>
      <c r="F499" s="198" t="s">
        <v>112</v>
      </c>
      <c r="G499" s="198">
        <v>3263367</v>
      </c>
      <c r="H499" s="198"/>
      <c r="I499" s="198"/>
      <c r="J499" s="198"/>
    </row>
    <row r="500" spans="1:10" x14ac:dyDescent="0.35">
      <c r="A500" s="1" t="str">
        <f t="shared" si="7"/>
        <v>19</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0" s="198" t="s">
        <v>3642</v>
      </c>
      <c r="D500" s="198" t="s">
        <v>1803</v>
      </c>
      <c r="E500" s="198" t="s">
        <v>1804</v>
      </c>
      <c r="F500" s="198" t="s">
        <v>112</v>
      </c>
      <c r="G500" s="198">
        <v>3209574</v>
      </c>
      <c r="H500" s="198"/>
      <c r="I500" s="198"/>
      <c r="J500" s="198"/>
    </row>
    <row r="501" spans="1:10" x14ac:dyDescent="0.35">
      <c r="A501" s="1" t="str">
        <f t="shared" si="7"/>
        <v>19</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1" s="198" t="s">
        <v>3643</v>
      </c>
      <c r="D501" s="198" t="s">
        <v>1805</v>
      </c>
      <c r="E501" s="198" t="s">
        <v>1806</v>
      </c>
      <c r="F501" s="198" t="s">
        <v>112</v>
      </c>
      <c r="G501" s="198">
        <v>3117517</v>
      </c>
      <c r="H501" s="198"/>
      <c r="I501" s="198"/>
      <c r="J501" s="198"/>
    </row>
    <row r="502" spans="1:10" x14ac:dyDescent="0.35">
      <c r="A502" s="1" t="str">
        <f t="shared" si="7"/>
        <v>19</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02" s="198" t="s">
        <v>3644</v>
      </c>
      <c r="D502" s="198" t="s">
        <v>1807</v>
      </c>
      <c r="E502" s="198" t="s">
        <v>1808</v>
      </c>
      <c r="F502" s="198" t="s">
        <v>112</v>
      </c>
      <c r="G502" s="198">
        <v>3196012</v>
      </c>
      <c r="H502" s="198"/>
      <c r="I502" s="198"/>
      <c r="J502" s="198"/>
    </row>
    <row r="503" spans="1:10" x14ac:dyDescent="0.35">
      <c r="A503" s="1" t="str">
        <f t="shared" si="7"/>
        <v>19</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03" s="198" t="s">
        <v>3645</v>
      </c>
      <c r="D503" s="198" t="s">
        <v>1809</v>
      </c>
      <c r="E503" s="198" t="s">
        <v>1810</v>
      </c>
      <c r="F503" s="198" t="s">
        <v>112</v>
      </c>
      <c r="G503" s="198">
        <v>2937837</v>
      </c>
      <c r="H503" s="198"/>
      <c r="I503" s="198"/>
      <c r="J503" s="198"/>
    </row>
    <row r="504" spans="1:10" x14ac:dyDescent="0.35">
      <c r="A504" s="1" t="str">
        <f t="shared" si="7"/>
        <v>19</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04" s="198" t="s">
        <v>3646</v>
      </c>
      <c r="D504" s="198" t="s">
        <v>1762</v>
      </c>
      <c r="E504" s="198" t="s">
        <v>1811</v>
      </c>
      <c r="F504" s="198" t="s">
        <v>112</v>
      </c>
      <c r="G504" s="198">
        <v>2212262</v>
      </c>
      <c r="H504" s="198"/>
      <c r="I504" s="198"/>
      <c r="J504" s="198"/>
    </row>
    <row r="505" spans="1:10" x14ac:dyDescent="0.35">
      <c r="A505" s="1" t="str">
        <f t="shared" si="7"/>
        <v>19</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05" s="198" t="s">
        <v>3647</v>
      </c>
      <c r="D505" s="198" t="s">
        <v>1812</v>
      </c>
      <c r="E505" s="198" t="s">
        <v>1813</v>
      </c>
      <c r="F505" s="198" t="s">
        <v>112</v>
      </c>
      <c r="G505" s="198">
        <v>2088539</v>
      </c>
      <c r="H505" s="198"/>
      <c r="I505" s="198"/>
      <c r="J505" s="198"/>
    </row>
    <row r="506" spans="1:10" x14ac:dyDescent="0.35">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06" s="198" t="s">
        <v>112</v>
      </c>
      <c r="D506" s="198"/>
      <c r="E506" s="198"/>
      <c r="F506" s="198"/>
      <c r="G506" s="198"/>
      <c r="H506" s="198"/>
      <c r="I506" s="198"/>
      <c r="J506" s="198"/>
    </row>
    <row r="507" spans="1:10" x14ac:dyDescent="0.35">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07" s="198" t="s">
        <v>195</v>
      </c>
      <c r="D507" s="198" t="s">
        <v>112</v>
      </c>
      <c r="E507" s="198" t="s">
        <v>196</v>
      </c>
      <c r="F507" s="198" t="s">
        <v>197</v>
      </c>
      <c r="G507" s="198" t="s">
        <v>198</v>
      </c>
      <c r="H507" s="198" t="s">
        <v>199</v>
      </c>
      <c r="I507" s="198" t="s">
        <v>200</v>
      </c>
      <c r="J507" s="198" t="s">
        <v>201</v>
      </c>
    </row>
    <row r="508" spans="1:10" x14ac:dyDescent="0.35">
      <c r="A508" s="1" t="str">
        <f t="shared" si="7"/>
        <v>19</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08" s="198" t="s">
        <v>3648</v>
      </c>
      <c r="D508" s="198" t="s">
        <v>112</v>
      </c>
      <c r="E508" s="198" t="s">
        <v>1814</v>
      </c>
      <c r="F508" s="198" t="s">
        <v>1815</v>
      </c>
      <c r="G508" s="198" t="s">
        <v>1816</v>
      </c>
      <c r="H508" s="198" t="s">
        <v>1817</v>
      </c>
      <c r="I508" s="198">
        <v>16</v>
      </c>
      <c r="J508" s="198">
        <v>16</v>
      </c>
    </row>
    <row r="509" spans="1:10" x14ac:dyDescent="0.35">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09" s="198" t="s">
        <v>112</v>
      </c>
      <c r="D509" s="198"/>
      <c r="E509" s="198"/>
      <c r="F509" s="198"/>
      <c r="G509" s="198"/>
      <c r="H509" s="198"/>
      <c r="I509" s="198"/>
      <c r="J509" s="198"/>
    </row>
    <row r="510" spans="1:10" x14ac:dyDescent="0.35">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10" s="198" t="s">
        <v>112</v>
      </c>
      <c r="D510" s="198"/>
      <c r="E510" s="198"/>
      <c r="F510" s="198"/>
      <c r="G510" s="198"/>
      <c r="H510" s="198"/>
      <c r="I510" s="198"/>
      <c r="J510" s="198"/>
    </row>
    <row r="511" spans="1:10" x14ac:dyDescent="0.35">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11" s="198" t="s">
        <v>112</v>
      </c>
      <c r="D511" s="198"/>
      <c r="E511" s="198"/>
      <c r="F511" s="198"/>
      <c r="G511" s="198"/>
      <c r="H511" s="198"/>
      <c r="I511" s="198"/>
      <c r="J511" s="198"/>
    </row>
    <row r="512" spans="1:10" x14ac:dyDescent="0.35">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12" s="198" t="s">
        <v>112</v>
      </c>
      <c r="D512" s="198"/>
      <c r="E512" s="198"/>
      <c r="F512" s="198"/>
      <c r="G512" s="198"/>
      <c r="H512" s="198"/>
      <c r="I512" s="198"/>
      <c r="J512" s="198"/>
    </row>
    <row r="513" spans="1:10" x14ac:dyDescent="0.35">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13" s="198" t="s">
        <v>112</v>
      </c>
      <c r="D513" s="198"/>
      <c r="E513" s="198"/>
      <c r="F513" s="198"/>
      <c r="G513" s="198"/>
      <c r="H513" s="198"/>
      <c r="I513" s="198"/>
      <c r="J513" s="198"/>
    </row>
    <row r="514" spans="1:10" x14ac:dyDescent="0.35">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14" s="198" t="s">
        <v>206</v>
      </c>
      <c r="D514" s="198" t="s">
        <v>110</v>
      </c>
      <c r="E514" s="198" t="s">
        <v>111</v>
      </c>
      <c r="F514" s="198" t="s">
        <v>112</v>
      </c>
      <c r="G514" s="198" t="s">
        <v>113</v>
      </c>
      <c r="H514" s="198"/>
      <c r="I514" s="198"/>
      <c r="J514" s="198"/>
    </row>
    <row r="515" spans="1:10" x14ac:dyDescent="0.35">
      <c r="A515" s="1" t="str">
        <f t="shared" si="8"/>
        <v>20</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15" s="198" t="s">
        <v>3649</v>
      </c>
      <c r="D515" s="198" t="s">
        <v>1818</v>
      </c>
      <c r="E515" s="198" t="s">
        <v>1819</v>
      </c>
      <c r="F515" s="198" t="s">
        <v>112</v>
      </c>
      <c r="G515" s="198">
        <v>3801043</v>
      </c>
      <c r="H515" s="198"/>
      <c r="I515" s="198"/>
      <c r="J515" s="198"/>
    </row>
    <row r="516" spans="1:10" x14ac:dyDescent="0.35">
      <c r="A516" s="1" t="str">
        <f t="shared" si="8"/>
        <v>20</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16" s="198" t="s">
        <v>3650</v>
      </c>
      <c r="D516" s="198" t="s">
        <v>1820</v>
      </c>
      <c r="E516" s="198" t="s">
        <v>1821</v>
      </c>
      <c r="F516" s="198" t="s">
        <v>112</v>
      </c>
      <c r="G516" s="198">
        <v>4834044</v>
      </c>
      <c r="H516" s="198"/>
      <c r="I516" s="198"/>
      <c r="J516" s="198"/>
    </row>
    <row r="517" spans="1:10" x14ac:dyDescent="0.35">
      <c r="A517" s="1" t="str">
        <f t="shared" si="8"/>
        <v>20</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17" s="198" t="s">
        <v>3651</v>
      </c>
      <c r="D517" s="198"/>
      <c r="E517" s="198"/>
      <c r="F517" s="198"/>
      <c r="G517" s="198"/>
      <c r="H517" s="198"/>
      <c r="I517" s="198"/>
      <c r="J517" s="198"/>
    </row>
    <row r="518" spans="1:10" x14ac:dyDescent="0.35">
      <c r="A518" s="1" t="str">
        <f t="shared" si="8"/>
        <v>20</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18" s="198" t="s">
        <v>3652</v>
      </c>
      <c r="D518" s="198"/>
      <c r="E518" s="198"/>
      <c r="F518" s="198"/>
      <c r="G518" s="198"/>
      <c r="H518" s="198"/>
      <c r="I518" s="198"/>
      <c r="J518" s="198"/>
    </row>
    <row r="519" spans="1:10" x14ac:dyDescent="0.35">
      <c r="A519" s="1" t="str">
        <f t="shared" si="8"/>
        <v>20</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19" s="198" t="s">
        <v>3653</v>
      </c>
      <c r="D519" s="198" t="s">
        <v>1822</v>
      </c>
      <c r="E519" s="198" t="s">
        <v>1823</v>
      </c>
      <c r="F519" s="198" t="s">
        <v>112</v>
      </c>
      <c r="G519" s="198">
        <v>3188787</v>
      </c>
      <c r="H519" s="198"/>
      <c r="I519" s="198"/>
      <c r="J519" s="198"/>
    </row>
    <row r="520" spans="1:10" x14ac:dyDescent="0.35">
      <c r="A520" s="1" t="str">
        <f t="shared" si="8"/>
        <v>20</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20" s="198" t="s">
        <v>3654</v>
      </c>
      <c r="D520" s="198" t="s">
        <v>1824</v>
      </c>
      <c r="E520" s="198" t="s">
        <v>1825</v>
      </c>
      <c r="F520" s="198" t="s">
        <v>112</v>
      </c>
      <c r="G520" s="198">
        <v>2725259</v>
      </c>
      <c r="H520" s="198"/>
      <c r="I520" s="198"/>
      <c r="J520" s="198"/>
    </row>
    <row r="521" spans="1:10" x14ac:dyDescent="0.35">
      <c r="A521" s="1" t="str">
        <f t="shared" si="8"/>
        <v>20</v>
      </c>
      <c r="B5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21" s="198" t="s">
        <v>3655</v>
      </c>
      <c r="D521" s="198" t="s">
        <v>1826</v>
      </c>
      <c r="E521" s="198" t="s">
        <v>1827</v>
      </c>
      <c r="F521" s="198" t="s">
        <v>112</v>
      </c>
      <c r="G521" s="198">
        <v>3962618</v>
      </c>
      <c r="H521" s="198"/>
      <c r="I521" s="198"/>
      <c r="J521" s="198"/>
    </row>
    <row r="522" spans="1:10" x14ac:dyDescent="0.35">
      <c r="A522" s="1" t="str">
        <f t="shared" si="8"/>
        <v>20</v>
      </c>
      <c r="B5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22" s="198" t="s">
        <v>3656</v>
      </c>
      <c r="D522" s="198" t="s">
        <v>1828</v>
      </c>
      <c r="E522" s="198" t="s">
        <v>1829</v>
      </c>
      <c r="F522" s="198" t="s">
        <v>112</v>
      </c>
      <c r="G522" s="198">
        <v>4861124</v>
      </c>
      <c r="H522" s="198"/>
      <c r="I522" s="198"/>
      <c r="J522" s="198"/>
    </row>
    <row r="523" spans="1:10" x14ac:dyDescent="0.35">
      <c r="A523" s="1" t="str">
        <f t="shared" si="8"/>
        <v>20</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23" s="198" t="s">
        <v>3657</v>
      </c>
      <c r="D523" s="198" t="s">
        <v>1830</v>
      </c>
      <c r="E523" s="198" t="s">
        <v>1831</v>
      </c>
      <c r="F523" s="198" t="s">
        <v>112</v>
      </c>
      <c r="G523" s="198">
        <v>4767618</v>
      </c>
      <c r="H523" s="198"/>
      <c r="I523" s="198"/>
      <c r="J523" s="198"/>
    </row>
    <row r="524" spans="1:10" x14ac:dyDescent="0.35">
      <c r="A524" s="1" t="str">
        <f t="shared" si="8"/>
        <v>20</v>
      </c>
      <c r="B5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24" s="198" t="s">
        <v>3658</v>
      </c>
      <c r="D524" s="198" t="s">
        <v>1033</v>
      </c>
      <c r="E524" s="198" t="s">
        <v>1832</v>
      </c>
      <c r="F524" s="198" t="s">
        <v>112</v>
      </c>
      <c r="G524" s="198">
        <v>5361899</v>
      </c>
      <c r="H524" s="198"/>
      <c r="I524" s="198"/>
      <c r="J524" s="198"/>
    </row>
    <row r="525" spans="1:10" x14ac:dyDescent="0.35">
      <c r="A525" s="1" t="str">
        <f t="shared" si="8"/>
        <v>20</v>
      </c>
      <c r="B5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5" s="198" t="s">
        <v>3659</v>
      </c>
      <c r="D525" s="198" t="s">
        <v>646</v>
      </c>
      <c r="E525" s="198" t="s">
        <v>1833</v>
      </c>
      <c r="F525" s="198" t="s">
        <v>112</v>
      </c>
      <c r="G525" s="198">
        <v>2597988</v>
      </c>
      <c r="H525" s="198"/>
      <c r="I525" s="198"/>
      <c r="J525" s="198"/>
    </row>
    <row r="526" spans="1:10" x14ac:dyDescent="0.35">
      <c r="A526" s="1" t="str">
        <f t="shared" si="8"/>
        <v>20</v>
      </c>
      <c r="B5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6" s="198" t="s">
        <v>3660</v>
      </c>
      <c r="D526" s="198" t="s">
        <v>1834</v>
      </c>
      <c r="E526" s="198" t="s">
        <v>1835</v>
      </c>
      <c r="F526" s="198" t="s">
        <v>112</v>
      </c>
      <c r="G526" s="198">
        <v>2623879</v>
      </c>
      <c r="H526" s="198"/>
      <c r="I526" s="198"/>
      <c r="J526" s="198"/>
    </row>
    <row r="527" spans="1:10" x14ac:dyDescent="0.35">
      <c r="A527" s="1" t="str">
        <f t="shared" si="8"/>
        <v>20</v>
      </c>
      <c r="B5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27" s="198" t="s">
        <v>3661</v>
      </c>
      <c r="D527" s="198" t="s">
        <v>1836</v>
      </c>
      <c r="E527" s="198" t="s">
        <v>1837</v>
      </c>
      <c r="F527" s="198" t="s">
        <v>112</v>
      </c>
      <c r="G527" s="198">
        <v>4103840</v>
      </c>
      <c r="H527" s="198"/>
      <c r="I527" s="198"/>
      <c r="J527" s="198"/>
    </row>
    <row r="528" spans="1:10" x14ac:dyDescent="0.35">
      <c r="A528" s="1" t="str">
        <f t="shared" si="8"/>
        <v>20</v>
      </c>
      <c r="B5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28" s="198" t="s">
        <v>3662</v>
      </c>
      <c r="D528" s="198" t="s">
        <v>1838</v>
      </c>
      <c r="E528" s="198" t="s">
        <v>1839</v>
      </c>
      <c r="F528" s="198" t="s">
        <v>112</v>
      </c>
      <c r="G528" s="198">
        <v>3983513</v>
      </c>
      <c r="H528" s="198"/>
      <c r="I528" s="198"/>
      <c r="J528" s="198"/>
    </row>
    <row r="529" spans="1:10" x14ac:dyDescent="0.35">
      <c r="A529" s="1" t="str">
        <f t="shared" si="8"/>
        <v>20</v>
      </c>
      <c r="B5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9" s="198" t="s">
        <v>3663</v>
      </c>
      <c r="D529" s="198" t="s">
        <v>1840</v>
      </c>
      <c r="E529" s="198" t="s">
        <v>1841</v>
      </c>
      <c r="F529" s="198" t="s">
        <v>112</v>
      </c>
      <c r="G529" s="198">
        <v>4137042</v>
      </c>
      <c r="H529" s="198"/>
      <c r="I529" s="198"/>
      <c r="J529" s="198"/>
    </row>
    <row r="530" spans="1:10" x14ac:dyDescent="0.35">
      <c r="A530" s="1" t="str">
        <f t="shared" si="8"/>
        <v>20</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30" s="198" t="s">
        <v>3664</v>
      </c>
      <c r="D530" s="198" t="s">
        <v>1842</v>
      </c>
      <c r="E530" s="198" t="s">
        <v>1843</v>
      </c>
      <c r="F530" s="198" t="s">
        <v>112</v>
      </c>
      <c r="G530" s="198">
        <v>3836754</v>
      </c>
      <c r="H530" s="198"/>
      <c r="I530" s="198"/>
      <c r="J530" s="198"/>
    </row>
    <row r="531" spans="1:10" x14ac:dyDescent="0.35">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1" s="198" t="s">
        <v>112</v>
      </c>
      <c r="D531" s="198"/>
      <c r="E531" s="198"/>
      <c r="F531" s="198"/>
      <c r="G531" s="198"/>
      <c r="H531" s="198"/>
      <c r="I531" s="198"/>
      <c r="J531" s="198"/>
    </row>
    <row r="532" spans="1:10" x14ac:dyDescent="0.35">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2" s="198" t="s">
        <v>195</v>
      </c>
      <c r="D532" s="198" t="s">
        <v>112</v>
      </c>
      <c r="E532" s="198" t="s">
        <v>196</v>
      </c>
      <c r="F532" s="198" t="s">
        <v>197</v>
      </c>
      <c r="G532" s="198" t="s">
        <v>198</v>
      </c>
      <c r="H532" s="198" t="s">
        <v>199</v>
      </c>
      <c r="I532" s="198" t="s">
        <v>200</v>
      </c>
      <c r="J532" s="198" t="s">
        <v>201</v>
      </c>
    </row>
    <row r="533" spans="1:10" x14ac:dyDescent="0.35">
      <c r="A533" s="1" t="str">
        <f t="shared" si="8"/>
        <v>20</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33" s="198" t="s">
        <v>3665</v>
      </c>
      <c r="D533" s="198" t="s">
        <v>112</v>
      </c>
      <c r="E533" s="198" t="s">
        <v>1844</v>
      </c>
      <c r="F533" s="198" t="s">
        <v>1845</v>
      </c>
      <c r="G533" s="198" t="s">
        <v>1846</v>
      </c>
      <c r="H533" s="198" t="s">
        <v>1847</v>
      </c>
      <c r="I533" s="198">
        <v>16</v>
      </c>
      <c r="J533" s="198">
        <v>16</v>
      </c>
    </row>
    <row r="534" spans="1:10" x14ac:dyDescent="0.35">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4" s="198" t="s">
        <v>112</v>
      </c>
      <c r="D534" s="198"/>
      <c r="E534" s="198"/>
      <c r="F534" s="198"/>
      <c r="G534" s="198"/>
      <c r="H534" s="198"/>
      <c r="I534" s="198"/>
      <c r="J534" s="198"/>
    </row>
    <row r="535" spans="1:10" x14ac:dyDescent="0.35">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5" s="198" t="s">
        <v>112</v>
      </c>
      <c r="D535" s="198"/>
      <c r="E535" s="198"/>
      <c r="F535" s="198"/>
      <c r="G535" s="198"/>
      <c r="H535" s="198"/>
      <c r="I535" s="198"/>
      <c r="J535" s="198"/>
    </row>
    <row r="536" spans="1:10" x14ac:dyDescent="0.35">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6" s="198" t="s">
        <v>112</v>
      </c>
      <c r="D536" s="198"/>
      <c r="E536" s="198"/>
      <c r="F536" s="198"/>
      <c r="G536" s="198"/>
      <c r="H536" s="198"/>
      <c r="I536" s="198"/>
      <c r="J536" s="198"/>
    </row>
    <row r="537" spans="1:10" x14ac:dyDescent="0.35">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7" s="198" t="s">
        <v>112</v>
      </c>
      <c r="D537" s="198"/>
      <c r="E537" s="198"/>
      <c r="F537" s="198"/>
      <c r="G537" s="198"/>
      <c r="H537" s="198"/>
      <c r="I537" s="198"/>
      <c r="J537" s="198"/>
    </row>
    <row r="538" spans="1:10" x14ac:dyDescent="0.35">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8" s="198" t="s">
        <v>112</v>
      </c>
      <c r="D538" s="198"/>
      <c r="E538" s="198"/>
      <c r="F538" s="198"/>
      <c r="G538" s="198"/>
      <c r="H538" s="198"/>
      <c r="I538" s="198"/>
      <c r="J538" s="198"/>
    </row>
    <row r="539" spans="1:10" x14ac:dyDescent="0.35">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9" s="198" t="s">
        <v>206</v>
      </c>
      <c r="D539" s="198" t="s">
        <v>110</v>
      </c>
      <c r="E539" s="198" t="s">
        <v>111</v>
      </c>
      <c r="F539" s="198" t="s">
        <v>112</v>
      </c>
      <c r="G539" s="198" t="s">
        <v>113</v>
      </c>
      <c r="H539" s="198"/>
      <c r="I539" s="198"/>
      <c r="J539" s="198"/>
    </row>
    <row r="540" spans="1:10" x14ac:dyDescent="0.35">
      <c r="A540" s="1" t="str">
        <f t="shared" si="8"/>
        <v>21</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40" s="198" t="s">
        <v>3666</v>
      </c>
      <c r="D540" s="198" t="s">
        <v>1848</v>
      </c>
      <c r="E540" s="198" t="s">
        <v>1849</v>
      </c>
      <c r="F540" s="198" t="s">
        <v>112</v>
      </c>
      <c r="G540" s="198">
        <v>3255040</v>
      </c>
      <c r="H540" s="198"/>
      <c r="I540" s="198"/>
      <c r="J540" s="198"/>
    </row>
    <row r="541" spans="1:10" x14ac:dyDescent="0.35">
      <c r="A541" s="1" t="str">
        <f t="shared" si="8"/>
        <v>21</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41" s="198" t="s">
        <v>3667</v>
      </c>
      <c r="D541" s="198" t="s">
        <v>1850</v>
      </c>
      <c r="E541" s="198" t="s">
        <v>1851</v>
      </c>
      <c r="F541" s="198" t="s">
        <v>112</v>
      </c>
      <c r="G541" s="198">
        <v>3202587</v>
      </c>
      <c r="H541" s="198"/>
      <c r="I541" s="198"/>
      <c r="J541" s="198"/>
    </row>
    <row r="542" spans="1:10" x14ac:dyDescent="0.35">
      <c r="A542" s="1" t="str">
        <f t="shared" si="8"/>
        <v>21</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42" s="198" t="s">
        <v>3668</v>
      </c>
      <c r="D542" s="198" t="s">
        <v>1852</v>
      </c>
      <c r="E542" s="198" t="s">
        <v>1853</v>
      </c>
      <c r="F542" s="198" t="s">
        <v>112</v>
      </c>
      <c r="G542" s="198">
        <v>3374610</v>
      </c>
      <c r="H542" s="198"/>
      <c r="I542" s="198"/>
      <c r="J542" s="198"/>
    </row>
    <row r="543" spans="1:10" x14ac:dyDescent="0.35">
      <c r="A543" s="1" t="str">
        <f t="shared" si="8"/>
        <v>21</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43" s="198" t="s">
        <v>3669</v>
      </c>
      <c r="D543" s="198" t="s">
        <v>1854</v>
      </c>
      <c r="E543" s="198" t="s">
        <v>1855</v>
      </c>
      <c r="F543" s="198" t="s">
        <v>112</v>
      </c>
      <c r="G543" s="198">
        <v>3424012</v>
      </c>
      <c r="H543" s="198"/>
      <c r="I543" s="198"/>
      <c r="J543" s="198"/>
    </row>
    <row r="544" spans="1:10" x14ac:dyDescent="0.35">
      <c r="A544" s="1" t="str">
        <f t="shared" si="8"/>
        <v>21</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44" s="198" t="s">
        <v>3670</v>
      </c>
      <c r="D544" s="198" t="s">
        <v>1856</v>
      </c>
      <c r="E544" s="198" t="s">
        <v>1857</v>
      </c>
      <c r="F544" s="198" t="s">
        <v>112</v>
      </c>
      <c r="G544" s="198">
        <v>2829991</v>
      </c>
      <c r="H544" s="198"/>
      <c r="I544" s="198"/>
      <c r="J544" s="198"/>
    </row>
    <row r="545" spans="1:10" x14ac:dyDescent="0.35">
      <c r="A545" s="1" t="str">
        <f t="shared" si="8"/>
        <v>21</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45" s="198" t="s">
        <v>3671</v>
      </c>
      <c r="D545" s="198" t="s">
        <v>1858</v>
      </c>
      <c r="E545" s="198" t="s">
        <v>1859</v>
      </c>
      <c r="F545" s="198" t="s">
        <v>112</v>
      </c>
      <c r="G545" s="198">
        <v>3252314</v>
      </c>
      <c r="H545" s="198"/>
      <c r="I545" s="198"/>
      <c r="J545" s="198"/>
    </row>
    <row r="546" spans="1:10" x14ac:dyDescent="0.35">
      <c r="A546" s="1" t="str">
        <f t="shared" si="8"/>
        <v>21</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6" s="198" t="s">
        <v>3672</v>
      </c>
      <c r="D546" s="198" t="s">
        <v>1860</v>
      </c>
      <c r="E546" s="198" t="s">
        <v>1861</v>
      </c>
      <c r="F546" s="198" t="s">
        <v>112</v>
      </c>
      <c r="G546" s="198">
        <v>4463696</v>
      </c>
      <c r="H546" s="198"/>
      <c r="I546" s="198"/>
      <c r="J546" s="198"/>
    </row>
    <row r="547" spans="1:10" x14ac:dyDescent="0.35">
      <c r="A547" s="1" t="str">
        <f t="shared" si="8"/>
        <v>21</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7" s="198" t="s">
        <v>3673</v>
      </c>
      <c r="D547" s="198" t="s">
        <v>1862</v>
      </c>
      <c r="E547" s="198" t="s">
        <v>1863</v>
      </c>
      <c r="F547" s="198" t="s">
        <v>112</v>
      </c>
      <c r="G547" s="198">
        <v>4153437</v>
      </c>
      <c r="H547" s="198"/>
      <c r="I547" s="198"/>
      <c r="J547" s="198"/>
    </row>
    <row r="548" spans="1:10" x14ac:dyDescent="0.35">
      <c r="A548" s="1" t="str">
        <f t="shared" si="8"/>
        <v>21</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8" s="198" t="s">
        <v>3674</v>
      </c>
      <c r="D548" s="198" t="s">
        <v>1864</v>
      </c>
      <c r="E548" s="198" t="s">
        <v>1865</v>
      </c>
      <c r="F548" s="198" t="s">
        <v>112</v>
      </c>
      <c r="G548" s="198">
        <v>3046354</v>
      </c>
      <c r="H548" s="198"/>
      <c r="I548" s="198"/>
      <c r="J548" s="198"/>
    </row>
    <row r="549" spans="1:10" x14ac:dyDescent="0.35">
      <c r="A549" s="1" t="str">
        <f t="shared" si="8"/>
        <v>21</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9" s="198" t="s">
        <v>3675</v>
      </c>
      <c r="D549" s="198"/>
      <c r="E549" s="198"/>
      <c r="F549" s="198"/>
      <c r="G549" s="198"/>
      <c r="H549" s="198"/>
      <c r="I549" s="198"/>
      <c r="J549" s="198"/>
    </row>
    <row r="550" spans="1:10" x14ac:dyDescent="0.35">
      <c r="A550" s="1" t="str">
        <f t="shared" si="8"/>
        <v>21</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50" s="198" t="s">
        <v>3676</v>
      </c>
      <c r="D550" s="198" t="s">
        <v>1866</v>
      </c>
      <c r="E550" s="198" t="s">
        <v>1867</v>
      </c>
      <c r="F550" s="198" t="s">
        <v>112</v>
      </c>
      <c r="G550" s="198">
        <v>4841181</v>
      </c>
      <c r="H550" s="198"/>
      <c r="I550" s="198"/>
      <c r="J550" s="198"/>
    </row>
    <row r="551" spans="1:10" x14ac:dyDescent="0.35">
      <c r="A551" s="1" t="str">
        <f t="shared" si="8"/>
        <v>21</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51" s="198" t="s">
        <v>3677</v>
      </c>
      <c r="D551" s="198" t="s">
        <v>1868</v>
      </c>
      <c r="E551" s="198" t="s">
        <v>1869</v>
      </c>
      <c r="F551" s="198" t="s">
        <v>112</v>
      </c>
      <c r="G551" s="198">
        <v>4342915</v>
      </c>
      <c r="H551" s="198"/>
      <c r="I551" s="198"/>
      <c r="J551" s="198"/>
    </row>
    <row r="552" spans="1:10" x14ac:dyDescent="0.35">
      <c r="A552" s="1" t="str">
        <f t="shared" si="8"/>
        <v>21</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2" s="198" t="s">
        <v>3678</v>
      </c>
      <c r="D552" s="198" t="s">
        <v>1589</v>
      </c>
      <c r="E552" s="198" t="s">
        <v>1870</v>
      </c>
      <c r="F552" s="198" t="s">
        <v>112</v>
      </c>
      <c r="G552" s="198">
        <v>3310131</v>
      </c>
      <c r="H552" s="198"/>
      <c r="I552" s="198"/>
      <c r="J552" s="198"/>
    </row>
    <row r="553" spans="1:10" x14ac:dyDescent="0.35">
      <c r="A553" s="1" t="str">
        <f t="shared" si="8"/>
        <v>21</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3" s="198" t="s">
        <v>3679</v>
      </c>
      <c r="D553" s="198" t="s">
        <v>1871</v>
      </c>
      <c r="E553" s="198" t="s">
        <v>1872</v>
      </c>
      <c r="F553" s="198" t="s">
        <v>112</v>
      </c>
      <c r="G553" s="198">
        <v>3480250</v>
      </c>
      <c r="H553" s="198"/>
      <c r="I553" s="198"/>
      <c r="J553" s="198"/>
    </row>
    <row r="554" spans="1:10" x14ac:dyDescent="0.35">
      <c r="A554" s="1" t="str">
        <f t="shared" si="8"/>
        <v>21</v>
      </c>
      <c r="B5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4" s="198" t="s">
        <v>3680</v>
      </c>
      <c r="D554" s="198" t="s">
        <v>1873</v>
      </c>
      <c r="E554" s="198" t="s">
        <v>1874</v>
      </c>
      <c r="F554" s="198" t="s">
        <v>112</v>
      </c>
      <c r="G554" s="198">
        <v>4245581</v>
      </c>
      <c r="H554" s="198"/>
      <c r="I554" s="198"/>
      <c r="J554" s="198"/>
    </row>
    <row r="555" spans="1:10" x14ac:dyDescent="0.35">
      <c r="A555" s="1" t="str">
        <f t="shared" si="8"/>
        <v>21</v>
      </c>
      <c r="B5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5" s="198" t="s">
        <v>3681</v>
      </c>
      <c r="D555" s="198" t="s">
        <v>1875</v>
      </c>
      <c r="E555" s="198" t="s">
        <v>1876</v>
      </c>
      <c r="F555" s="198" t="s">
        <v>112</v>
      </c>
      <c r="G555" s="198">
        <v>4439341</v>
      </c>
      <c r="H555" s="198"/>
      <c r="I555" s="198"/>
      <c r="J555" s="198"/>
    </row>
    <row r="556" spans="1:10"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6" s="198" t="s">
        <v>112</v>
      </c>
      <c r="D556" s="198"/>
      <c r="E556" s="198"/>
      <c r="F556" s="198"/>
      <c r="G556" s="198"/>
      <c r="H556" s="198"/>
      <c r="I556" s="198"/>
      <c r="J556" s="198"/>
    </row>
    <row r="557" spans="1:10"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98" t="s">
        <v>195</v>
      </c>
      <c r="D557" s="198" t="s">
        <v>112</v>
      </c>
      <c r="E557" s="198" t="s">
        <v>196</v>
      </c>
      <c r="F557" s="198" t="s">
        <v>197</v>
      </c>
      <c r="G557" s="198" t="s">
        <v>198</v>
      </c>
      <c r="H557" s="198" t="s">
        <v>199</v>
      </c>
      <c r="I557" s="198" t="s">
        <v>200</v>
      </c>
      <c r="J557" s="198" t="s">
        <v>201</v>
      </c>
    </row>
    <row r="558" spans="1:10" x14ac:dyDescent="0.35">
      <c r="A558" s="1" t="str">
        <f t="shared" si="8"/>
        <v>21</v>
      </c>
      <c r="B5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8" s="198" t="s">
        <v>3682</v>
      </c>
      <c r="D558" s="198" t="s">
        <v>112</v>
      </c>
      <c r="E558" s="198" t="s">
        <v>1877</v>
      </c>
      <c r="F558" s="198" t="s">
        <v>1878</v>
      </c>
      <c r="G558" s="198" t="s">
        <v>1879</v>
      </c>
      <c r="H558" s="198" t="s">
        <v>1880</v>
      </c>
      <c r="I558" s="198">
        <v>16</v>
      </c>
      <c r="J558" s="198">
        <v>16</v>
      </c>
    </row>
    <row r="559" spans="1:10"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98" t="s">
        <v>112</v>
      </c>
      <c r="D559" s="198"/>
      <c r="E559" s="198"/>
      <c r="F559" s="198"/>
      <c r="G559" s="198"/>
      <c r="H559" s="198"/>
      <c r="I559" s="198"/>
      <c r="J559" s="198"/>
    </row>
    <row r="560" spans="1:10"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98" t="s">
        <v>112</v>
      </c>
      <c r="D560" s="198"/>
      <c r="E560" s="198"/>
      <c r="F560" s="198"/>
      <c r="G560" s="198"/>
      <c r="H560" s="198"/>
      <c r="I560" s="198"/>
      <c r="J560" s="198"/>
    </row>
    <row r="561" spans="1:10"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98" t="s">
        <v>112</v>
      </c>
      <c r="D561" s="198"/>
      <c r="E561" s="198"/>
      <c r="F561" s="198"/>
      <c r="G561" s="198"/>
      <c r="H561" s="198"/>
      <c r="I561" s="198"/>
      <c r="J561" s="198"/>
    </row>
    <row r="562" spans="1:10"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98" t="s">
        <v>112</v>
      </c>
      <c r="D562" s="198"/>
      <c r="E562" s="198"/>
      <c r="F562" s="198"/>
      <c r="G562" s="198"/>
      <c r="H562" s="198"/>
      <c r="I562" s="198"/>
      <c r="J562" s="198"/>
    </row>
    <row r="563" spans="1:10"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3" s="198" t="s">
        <v>112</v>
      </c>
      <c r="D563" s="198"/>
      <c r="E563" s="198"/>
      <c r="F563" s="198"/>
      <c r="G563" s="198"/>
      <c r="H563" s="198"/>
      <c r="I563" s="198"/>
      <c r="J563" s="198"/>
    </row>
    <row r="564" spans="1:10" x14ac:dyDescent="0.35">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4" s="198" t="s">
        <v>206</v>
      </c>
      <c r="D564" s="198" t="s">
        <v>110</v>
      </c>
      <c r="E564" s="198" t="s">
        <v>111</v>
      </c>
      <c r="F564" s="198" t="s">
        <v>112</v>
      </c>
      <c r="G564" s="198" t="s">
        <v>113</v>
      </c>
      <c r="H564" s="198"/>
      <c r="I564" s="198"/>
      <c r="J564" s="198"/>
    </row>
    <row r="565" spans="1:10" x14ac:dyDescent="0.35">
      <c r="A565" s="1" t="str">
        <f t="shared" si="8"/>
        <v>8</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98" t="s">
        <v>3683</v>
      </c>
      <c r="D565" s="198" t="s">
        <v>166</v>
      </c>
      <c r="E565" s="198" t="s">
        <v>167</v>
      </c>
      <c r="F565" s="198" t="s">
        <v>112</v>
      </c>
      <c r="G565" s="198">
        <v>172758</v>
      </c>
      <c r="H565" s="198"/>
      <c r="I565" s="198"/>
      <c r="J565" s="198"/>
    </row>
    <row r="566" spans="1:10" x14ac:dyDescent="0.35">
      <c r="A566" s="1" t="str">
        <f t="shared" si="8"/>
        <v>8</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6" s="198" t="s">
        <v>3684</v>
      </c>
      <c r="D566" s="198" t="s">
        <v>168</v>
      </c>
      <c r="E566" s="198" t="s">
        <v>169</v>
      </c>
      <c r="F566" s="198" t="s">
        <v>112</v>
      </c>
      <c r="G566" s="198">
        <v>187315</v>
      </c>
      <c r="H566" s="198"/>
      <c r="I566" s="198"/>
      <c r="J566" s="198"/>
    </row>
    <row r="567" spans="1:10" x14ac:dyDescent="0.35">
      <c r="A567" s="1" t="str">
        <f t="shared" si="8"/>
        <v>8</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98" t="s">
        <v>3685</v>
      </c>
      <c r="D567" s="198" t="s">
        <v>170</v>
      </c>
      <c r="E567" s="198" t="s">
        <v>171</v>
      </c>
      <c r="F567" s="198" t="s">
        <v>112</v>
      </c>
      <c r="G567" s="198">
        <v>430478</v>
      </c>
      <c r="H567" s="198"/>
      <c r="I567" s="198"/>
      <c r="J567" s="198"/>
    </row>
    <row r="568" spans="1:10" x14ac:dyDescent="0.35">
      <c r="A568" s="1" t="str">
        <f t="shared" si="8"/>
        <v>8</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98" t="s">
        <v>3686</v>
      </c>
      <c r="D568" s="198" t="s">
        <v>172</v>
      </c>
      <c r="E568" s="198" t="s">
        <v>173</v>
      </c>
      <c r="F568" s="198" t="s">
        <v>112</v>
      </c>
      <c r="G568" s="198">
        <v>417565</v>
      </c>
      <c r="H568" s="198"/>
      <c r="I568" s="198"/>
      <c r="J568" s="198"/>
    </row>
    <row r="569" spans="1:10" x14ac:dyDescent="0.35">
      <c r="A569" s="1" t="str">
        <f t="shared" si="8"/>
        <v>8</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98" t="s">
        <v>3687</v>
      </c>
      <c r="D569" s="198" t="s">
        <v>174</v>
      </c>
      <c r="E569" s="198" t="s">
        <v>175</v>
      </c>
      <c r="F569" s="198" t="s">
        <v>112</v>
      </c>
      <c r="G569" s="198">
        <v>185044</v>
      </c>
      <c r="H569" s="198"/>
      <c r="I569" s="198"/>
      <c r="J569" s="198"/>
    </row>
    <row r="570" spans="1:10" x14ac:dyDescent="0.35">
      <c r="A570" s="1" t="str">
        <f t="shared" si="8"/>
        <v>8</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98" t="s">
        <v>3688</v>
      </c>
      <c r="D570" s="198" t="s">
        <v>176</v>
      </c>
      <c r="E570" s="198" t="s">
        <v>177</v>
      </c>
      <c r="F570" s="198" t="s">
        <v>112</v>
      </c>
      <c r="G570" s="198">
        <v>153702</v>
      </c>
      <c r="H570" s="198"/>
      <c r="I570" s="198"/>
      <c r="J570" s="198"/>
    </row>
    <row r="571" spans="1:10" x14ac:dyDescent="0.35">
      <c r="A571" s="1" t="str">
        <f t="shared" si="8"/>
        <v>8</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1" s="198" t="s">
        <v>3689</v>
      </c>
      <c r="D571" s="198" t="s">
        <v>178</v>
      </c>
      <c r="E571" s="198" t="s">
        <v>179</v>
      </c>
      <c r="F571" s="198" t="s">
        <v>112</v>
      </c>
      <c r="G571" s="198">
        <v>122879</v>
      </c>
      <c r="H571" s="198"/>
      <c r="I571" s="198"/>
      <c r="J571" s="198"/>
    </row>
    <row r="572" spans="1:10" x14ac:dyDescent="0.35">
      <c r="A572" s="1" t="str">
        <f t="shared" si="8"/>
        <v>8</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98" t="s">
        <v>3690</v>
      </c>
      <c r="D572" s="198" t="s">
        <v>180</v>
      </c>
      <c r="E572" s="198" t="s">
        <v>181</v>
      </c>
      <c r="F572" s="198" t="s">
        <v>112</v>
      </c>
      <c r="G572" s="198">
        <v>252486</v>
      </c>
      <c r="H572" s="198"/>
      <c r="I572" s="198"/>
      <c r="J572" s="198"/>
    </row>
    <row r="573" spans="1:10" x14ac:dyDescent="0.35">
      <c r="A573" s="1" t="str">
        <f t="shared" si="8"/>
        <v>8</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3" s="198" t="s">
        <v>3691</v>
      </c>
      <c r="D573" s="198">
        <v>0</v>
      </c>
      <c r="E573" s="198">
        <v>0</v>
      </c>
      <c r="F573" s="198" t="s">
        <v>112</v>
      </c>
      <c r="G573" s="198">
        <v>0</v>
      </c>
      <c r="H573" s="198"/>
      <c r="I573" s="198"/>
      <c r="J573" s="198"/>
    </row>
    <row r="574" spans="1:10" x14ac:dyDescent="0.35">
      <c r="A574" s="1" t="str">
        <f t="shared" si="8"/>
        <v>8</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4" s="198" t="s">
        <v>3692</v>
      </c>
      <c r="D574" s="198" t="s">
        <v>182</v>
      </c>
      <c r="E574" s="198" t="s">
        <v>183</v>
      </c>
      <c r="F574" s="198" t="s">
        <v>112</v>
      </c>
      <c r="G574" s="198">
        <v>7484</v>
      </c>
      <c r="H574" s="198"/>
      <c r="I574" s="198"/>
      <c r="J574" s="198"/>
    </row>
    <row r="575" spans="1:10" x14ac:dyDescent="0.35">
      <c r="A575" s="1" t="str">
        <f t="shared" si="8"/>
        <v>8</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5" s="198" t="s">
        <v>3693</v>
      </c>
      <c r="D575" s="198" t="s">
        <v>184</v>
      </c>
      <c r="E575" s="198" t="s">
        <v>185</v>
      </c>
      <c r="F575" s="198" t="s">
        <v>112</v>
      </c>
      <c r="G575" s="198">
        <v>409086</v>
      </c>
      <c r="H575" s="198"/>
      <c r="I575" s="198"/>
      <c r="J575" s="198"/>
    </row>
    <row r="576" spans="1:10" x14ac:dyDescent="0.35">
      <c r="A576" s="1" t="str">
        <f t="shared" si="8"/>
        <v>8</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6" s="198" t="s">
        <v>3694</v>
      </c>
      <c r="D576" s="198" t="s">
        <v>186</v>
      </c>
      <c r="E576" s="198" t="s">
        <v>187</v>
      </c>
      <c r="F576" s="198" t="s">
        <v>112</v>
      </c>
      <c r="G576" s="198">
        <v>452779</v>
      </c>
      <c r="H576" s="198"/>
      <c r="I576" s="198"/>
      <c r="J576" s="198"/>
    </row>
    <row r="577" spans="1:10" x14ac:dyDescent="0.35">
      <c r="A577" s="1" t="str">
        <f t="shared" si="8"/>
        <v>8</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77" s="198" t="s">
        <v>3695</v>
      </c>
      <c r="D577" s="198" t="s">
        <v>188</v>
      </c>
      <c r="E577" s="198" t="s">
        <v>189</v>
      </c>
      <c r="F577" s="198" t="s">
        <v>112</v>
      </c>
      <c r="G577" s="198">
        <v>193458</v>
      </c>
      <c r="H577" s="198"/>
      <c r="I577" s="198"/>
      <c r="J577" s="198"/>
    </row>
    <row r="578" spans="1:10" x14ac:dyDescent="0.35">
      <c r="A578" s="1" t="str">
        <f t="shared" ref="A578:A613" si="9">IFERROR(LEFT(RIGHT(C578,LEN(C578)-SEARCH("@",C578)),SEARCH("/",RIGHT(C578,LEN(C578)-SEARCH("@",C578)-1))),"")</f>
        <v>8</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78" s="198" t="s">
        <v>3696</v>
      </c>
      <c r="D578" s="198" t="s">
        <v>190</v>
      </c>
      <c r="E578" s="198" t="s">
        <v>191</v>
      </c>
      <c r="F578" s="198" t="s">
        <v>112</v>
      </c>
      <c r="G578" s="198">
        <v>291030</v>
      </c>
      <c r="H578" s="198"/>
      <c r="I578" s="198"/>
      <c r="J578" s="198"/>
    </row>
    <row r="579" spans="1:10" x14ac:dyDescent="0.35">
      <c r="A579" s="1" t="str">
        <f t="shared" si="9"/>
        <v>8</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9" s="198" t="s">
        <v>3697</v>
      </c>
      <c r="D579" s="198" t="s">
        <v>149</v>
      </c>
      <c r="E579" s="198" t="s">
        <v>192</v>
      </c>
      <c r="F579" s="198" t="s">
        <v>112</v>
      </c>
      <c r="G579" s="198">
        <v>186493</v>
      </c>
      <c r="H579" s="198"/>
      <c r="I579" s="198"/>
      <c r="J579" s="198"/>
    </row>
    <row r="580" spans="1:10" x14ac:dyDescent="0.35">
      <c r="A580" s="1" t="str">
        <f t="shared" si="9"/>
        <v>8</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0" s="198" t="s">
        <v>3698</v>
      </c>
      <c r="D580" s="198" t="s">
        <v>193</v>
      </c>
      <c r="E580" s="198" t="s">
        <v>194</v>
      </c>
      <c r="F580" s="198" t="s">
        <v>112</v>
      </c>
      <c r="G580" s="198">
        <v>97161</v>
      </c>
      <c r="H580" s="198"/>
      <c r="I580" s="198"/>
      <c r="J580" s="198"/>
    </row>
    <row r="581" spans="1:10" x14ac:dyDescent="0.35">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1" s="198" t="s">
        <v>112</v>
      </c>
      <c r="D581" s="198"/>
      <c r="E581" s="198"/>
      <c r="F581" s="198"/>
      <c r="G581" s="198"/>
      <c r="H581" s="198"/>
      <c r="I581" s="198"/>
      <c r="J581" s="198"/>
    </row>
    <row r="582" spans="1:10" x14ac:dyDescent="0.35">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2" s="198" t="s">
        <v>195</v>
      </c>
      <c r="D582" s="198" t="s">
        <v>112</v>
      </c>
      <c r="E582" s="198" t="s">
        <v>196</v>
      </c>
      <c r="F582" s="198" t="s">
        <v>197</v>
      </c>
      <c r="G582" s="198" t="s">
        <v>198</v>
      </c>
      <c r="H582" s="198" t="s">
        <v>199</v>
      </c>
      <c r="I582" s="198" t="s">
        <v>200</v>
      </c>
      <c r="J582" s="198" t="s">
        <v>201</v>
      </c>
    </row>
    <row r="583" spans="1:10" x14ac:dyDescent="0.35">
      <c r="A583" s="1" t="str">
        <f t="shared" si="9"/>
        <v>8</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3" s="198" t="s">
        <v>3699</v>
      </c>
      <c r="D583" s="198" t="s">
        <v>112</v>
      </c>
      <c r="E583" s="198" t="s">
        <v>202</v>
      </c>
      <c r="F583" s="198" t="s">
        <v>203</v>
      </c>
      <c r="G583" s="198" t="s">
        <v>204</v>
      </c>
      <c r="H583" s="198" t="s">
        <v>205</v>
      </c>
      <c r="I583" s="198">
        <v>15</v>
      </c>
      <c r="J583" s="198">
        <v>16</v>
      </c>
    </row>
    <row r="584" spans="1:10" x14ac:dyDescent="0.35">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4" s="198" t="s">
        <v>112</v>
      </c>
      <c r="D584" s="198"/>
      <c r="E584" s="198"/>
      <c r="F584" s="198"/>
      <c r="G584" s="198"/>
      <c r="H584" s="198"/>
      <c r="I584" s="198"/>
      <c r="J584" s="198"/>
    </row>
    <row r="585" spans="1:10" x14ac:dyDescent="0.35">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5" s="198" t="s">
        <v>112</v>
      </c>
      <c r="D585" s="198"/>
      <c r="E585" s="198"/>
      <c r="F585" s="198"/>
      <c r="G585" s="198"/>
      <c r="H585" s="198"/>
      <c r="I585" s="198"/>
      <c r="J585" s="198"/>
    </row>
    <row r="586" spans="1:10" x14ac:dyDescent="0.35">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6" s="198" t="s">
        <v>112</v>
      </c>
      <c r="D586" s="198"/>
      <c r="E586" s="198"/>
      <c r="F586" s="198"/>
      <c r="G586" s="198"/>
      <c r="H586" s="198"/>
      <c r="I586" s="198"/>
      <c r="J586" s="198"/>
    </row>
    <row r="587" spans="1:10"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98" t="s">
        <v>112</v>
      </c>
      <c r="D587" s="198"/>
      <c r="E587" s="198"/>
      <c r="F587" s="198"/>
      <c r="G587" s="198"/>
      <c r="H587" s="198"/>
      <c r="I587" s="198"/>
      <c r="J587" s="198"/>
    </row>
    <row r="588" spans="1:10"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98" t="s">
        <v>112</v>
      </c>
      <c r="D588" s="198"/>
      <c r="E588" s="198"/>
      <c r="F588" s="198"/>
      <c r="G588" s="198"/>
      <c r="H588" s="198"/>
      <c r="I588" s="198"/>
      <c r="J588" s="198"/>
    </row>
    <row r="589" spans="1:10"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9" s="198" t="s">
        <v>206</v>
      </c>
      <c r="D589" s="198" t="s">
        <v>110</v>
      </c>
      <c r="E589" s="198" t="s">
        <v>111</v>
      </c>
      <c r="F589" s="198" t="s">
        <v>112</v>
      </c>
      <c r="G589" s="198" t="s">
        <v>113</v>
      </c>
      <c r="H589" s="198"/>
      <c r="I589" s="198"/>
      <c r="J589" s="198"/>
    </row>
    <row r="590" spans="1:10" x14ac:dyDescent="0.35">
      <c r="A590" s="1" t="str">
        <f t="shared" si="9"/>
        <v>9</v>
      </c>
      <c r="B5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0" s="198" t="s">
        <v>3700</v>
      </c>
      <c r="D590" s="198" t="s">
        <v>207</v>
      </c>
      <c r="E590" s="198" t="s">
        <v>208</v>
      </c>
      <c r="F590" s="198" t="s">
        <v>112</v>
      </c>
      <c r="G590" s="198">
        <v>84248</v>
      </c>
      <c r="H590" s="198"/>
      <c r="I590" s="198"/>
      <c r="J590" s="198"/>
    </row>
    <row r="591" spans="1:10" x14ac:dyDescent="0.35">
      <c r="A591" s="1" t="str">
        <f t="shared" si="9"/>
        <v>9</v>
      </c>
      <c r="B5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1" s="198" t="s">
        <v>3701</v>
      </c>
      <c r="D591" s="198" t="s">
        <v>209</v>
      </c>
      <c r="E591" s="198" t="s">
        <v>210</v>
      </c>
      <c r="F591" s="198" t="s">
        <v>112</v>
      </c>
      <c r="G591" s="198">
        <v>213314</v>
      </c>
      <c r="H591" s="198"/>
      <c r="I591" s="198"/>
      <c r="J591" s="198"/>
    </row>
    <row r="592" spans="1:10" x14ac:dyDescent="0.35">
      <c r="A592" s="1" t="str">
        <f t="shared" si="9"/>
        <v>9</v>
      </c>
      <c r="B5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2" s="198" t="s">
        <v>3702</v>
      </c>
      <c r="D592" s="198" t="s">
        <v>211</v>
      </c>
      <c r="E592" s="198" t="s">
        <v>212</v>
      </c>
      <c r="F592" s="198" t="s">
        <v>112</v>
      </c>
      <c r="G592" s="198">
        <v>457234</v>
      </c>
      <c r="H592" s="198"/>
      <c r="I592" s="198"/>
      <c r="J592" s="198"/>
    </row>
    <row r="593" spans="1:10" x14ac:dyDescent="0.35">
      <c r="A593" s="1" t="str">
        <f t="shared" si="9"/>
        <v>9</v>
      </c>
      <c r="B5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3" s="198" t="s">
        <v>3703</v>
      </c>
      <c r="D593" s="198" t="s">
        <v>213</v>
      </c>
      <c r="E593" s="198" t="s">
        <v>214</v>
      </c>
      <c r="F593" s="198" t="s">
        <v>112</v>
      </c>
      <c r="G593" s="198">
        <v>401797</v>
      </c>
      <c r="H593" s="198"/>
      <c r="I593" s="198"/>
      <c r="J593" s="198"/>
    </row>
    <row r="594" spans="1:10" x14ac:dyDescent="0.35">
      <c r="A594" s="1" t="str">
        <f t="shared" si="9"/>
        <v>9</v>
      </c>
      <c r="B5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94" s="198" t="s">
        <v>3704</v>
      </c>
      <c r="D594" s="198" t="s">
        <v>215</v>
      </c>
      <c r="E594" s="198" t="s">
        <v>216</v>
      </c>
      <c r="F594" s="198" t="s">
        <v>112</v>
      </c>
      <c r="G594" s="198">
        <v>306517</v>
      </c>
      <c r="H594" s="198"/>
      <c r="I594" s="198"/>
      <c r="J594" s="198"/>
    </row>
    <row r="595" spans="1:10" x14ac:dyDescent="0.35">
      <c r="A595" s="1" t="str">
        <f t="shared" si="9"/>
        <v>9</v>
      </c>
      <c r="B5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95" s="198" t="s">
        <v>3705</v>
      </c>
      <c r="D595" s="198" t="s">
        <v>217</v>
      </c>
      <c r="E595" s="198" t="s">
        <v>218</v>
      </c>
      <c r="F595" s="198" t="s">
        <v>112</v>
      </c>
      <c r="G595" s="198">
        <v>280864</v>
      </c>
      <c r="H595" s="198"/>
      <c r="I595" s="198"/>
      <c r="J595" s="198"/>
    </row>
    <row r="596" spans="1:10" x14ac:dyDescent="0.35">
      <c r="A596" s="1" t="str">
        <f t="shared" si="9"/>
        <v>9</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96" s="198" t="s">
        <v>3706</v>
      </c>
      <c r="D596" s="198" t="s">
        <v>219</v>
      </c>
      <c r="E596" s="198" t="s">
        <v>220</v>
      </c>
      <c r="F596" s="198" t="s">
        <v>112</v>
      </c>
      <c r="G596" s="198">
        <v>182167</v>
      </c>
      <c r="H596" s="198"/>
      <c r="I596" s="198"/>
      <c r="J596" s="198"/>
    </row>
    <row r="597" spans="1:10" x14ac:dyDescent="0.35">
      <c r="A597" s="1" t="str">
        <f t="shared" si="9"/>
        <v>9</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97" s="198" t="s">
        <v>3707</v>
      </c>
      <c r="D597" s="198" t="s">
        <v>221</v>
      </c>
      <c r="E597" s="198" t="s">
        <v>222</v>
      </c>
      <c r="F597" s="198" t="s">
        <v>112</v>
      </c>
      <c r="G597" s="198">
        <v>239573</v>
      </c>
      <c r="H597" s="198"/>
      <c r="I597" s="198"/>
      <c r="J597" s="198"/>
    </row>
    <row r="598" spans="1:10" x14ac:dyDescent="0.35">
      <c r="A598" s="1" t="str">
        <f t="shared" si="9"/>
        <v>9</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98" s="198" t="s">
        <v>3708</v>
      </c>
      <c r="D598" s="198" t="s">
        <v>151</v>
      </c>
      <c r="E598" s="198" t="s">
        <v>223</v>
      </c>
      <c r="F598" s="198" t="s">
        <v>112</v>
      </c>
      <c r="G598" s="198">
        <v>120046</v>
      </c>
      <c r="H598" s="198"/>
      <c r="I598" s="198"/>
      <c r="J598" s="198"/>
    </row>
    <row r="599" spans="1:10" x14ac:dyDescent="0.35">
      <c r="A599" s="1" t="str">
        <f t="shared" si="9"/>
        <v>9</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99" s="198" t="s">
        <v>3709</v>
      </c>
      <c r="D599" s="198" t="s">
        <v>224</v>
      </c>
      <c r="E599" s="198" t="s">
        <v>225</v>
      </c>
      <c r="F599" s="198" t="s">
        <v>112</v>
      </c>
      <c r="G599" s="198">
        <v>20440</v>
      </c>
      <c r="H599" s="198"/>
      <c r="I599" s="198"/>
      <c r="J599" s="198"/>
    </row>
    <row r="600" spans="1:10" x14ac:dyDescent="0.35">
      <c r="A600" s="1" t="str">
        <f t="shared" si="9"/>
        <v>9</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00" s="198" t="s">
        <v>3710</v>
      </c>
      <c r="D600" s="198" t="s">
        <v>226</v>
      </c>
      <c r="E600" s="198" t="s">
        <v>227</v>
      </c>
      <c r="F600" s="198" t="s">
        <v>112</v>
      </c>
      <c r="G600" s="198">
        <v>35127</v>
      </c>
      <c r="H600" s="198"/>
      <c r="I600" s="198"/>
      <c r="J600" s="198"/>
    </row>
    <row r="601" spans="1:10" x14ac:dyDescent="0.35">
      <c r="A601" s="1" t="str">
        <f t="shared" si="9"/>
        <v>9</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01" s="198" t="s">
        <v>3711</v>
      </c>
      <c r="D601" s="198" t="s">
        <v>228</v>
      </c>
      <c r="E601" s="198" t="s">
        <v>225</v>
      </c>
      <c r="F601" s="198" t="s">
        <v>112</v>
      </c>
      <c r="G601" s="198">
        <v>12264</v>
      </c>
      <c r="H601" s="198"/>
      <c r="I601" s="198"/>
      <c r="J601" s="198"/>
    </row>
    <row r="602" spans="1:10" x14ac:dyDescent="0.35">
      <c r="A602" s="1" t="str">
        <f t="shared" si="9"/>
        <v>9</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02" s="198" t="s">
        <v>3712</v>
      </c>
      <c r="D602" s="198" t="s">
        <v>229</v>
      </c>
      <c r="E602" s="198" t="s">
        <v>230</v>
      </c>
      <c r="F602" s="198" t="s">
        <v>112</v>
      </c>
      <c r="G602" s="198">
        <v>298060</v>
      </c>
      <c r="H602" s="198"/>
      <c r="I602" s="198"/>
      <c r="J602" s="198"/>
    </row>
    <row r="603" spans="1:10" x14ac:dyDescent="0.35">
      <c r="A603" s="1" t="str">
        <f t="shared" si="9"/>
        <v>9</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03" s="198" t="s">
        <v>3713</v>
      </c>
      <c r="D603" s="198" t="s">
        <v>231</v>
      </c>
      <c r="E603" s="198" t="s">
        <v>232</v>
      </c>
      <c r="F603" s="198" t="s">
        <v>112</v>
      </c>
      <c r="G603" s="198">
        <v>418625</v>
      </c>
      <c r="H603" s="198"/>
      <c r="I603" s="198"/>
      <c r="J603" s="198"/>
    </row>
    <row r="604" spans="1:10" x14ac:dyDescent="0.35">
      <c r="A604" s="1" t="str">
        <f t="shared" si="9"/>
        <v>9</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04" s="198" t="s">
        <v>3714</v>
      </c>
      <c r="D604" s="198" t="s">
        <v>233</v>
      </c>
      <c r="E604" s="198" t="s">
        <v>234</v>
      </c>
      <c r="F604" s="198" t="s">
        <v>112</v>
      </c>
      <c r="G604" s="198">
        <v>166485</v>
      </c>
      <c r="H604" s="198"/>
      <c r="I604" s="198"/>
      <c r="J604" s="198"/>
    </row>
    <row r="605" spans="1:10" x14ac:dyDescent="0.35">
      <c r="A605" s="1" t="str">
        <f t="shared" si="9"/>
        <v>9</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05" s="198" t="s">
        <v>3715</v>
      </c>
      <c r="D605" s="198" t="s">
        <v>235</v>
      </c>
      <c r="E605" s="198" t="s">
        <v>236</v>
      </c>
      <c r="F605" s="198" t="s">
        <v>112</v>
      </c>
      <c r="G605" s="198">
        <v>243358</v>
      </c>
      <c r="H605" s="198"/>
      <c r="I605" s="198"/>
      <c r="J605" s="198"/>
    </row>
    <row r="606" spans="1:10" x14ac:dyDescent="0.35">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6" s="198" t="s">
        <v>112</v>
      </c>
      <c r="D606" s="198"/>
      <c r="E606" s="198"/>
      <c r="F606" s="198"/>
      <c r="G606" s="198"/>
      <c r="H606" s="198"/>
      <c r="I606" s="198"/>
      <c r="J606" s="198"/>
    </row>
    <row r="607" spans="1:10" x14ac:dyDescent="0.35">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7" s="198" t="s">
        <v>195</v>
      </c>
      <c r="D607" s="198" t="s">
        <v>112</v>
      </c>
      <c r="E607" s="198" t="s">
        <v>196</v>
      </c>
      <c r="F607" s="198" t="s">
        <v>197</v>
      </c>
      <c r="G607" s="198" t="s">
        <v>198</v>
      </c>
      <c r="H607" s="198" t="s">
        <v>199</v>
      </c>
      <c r="I607" s="198" t="s">
        <v>200</v>
      </c>
      <c r="J607" s="198" t="s">
        <v>201</v>
      </c>
    </row>
    <row r="608" spans="1:10" x14ac:dyDescent="0.35">
      <c r="A608" s="1" t="str">
        <f t="shared" si="9"/>
        <v>9</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08" s="198" t="s">
        <v>3716</v>
      </c>
      <c r="D608" s="198" t="s">
        <v>112</v>
      </c>
      <c r="E608" s="198" t="s">
        <v>237</v>
      </c>
      <c r="F608" s="198" t="s">
        <v>238</v>
      </c>
      <c r="G608" s="198" t="s">
        <v>239</v>
      </c>
      <c r="H608" s="198" t="s">
        <v>240</v>
      </c>
      <c r="I608" s="198">
        <v>16</v>
      </c>
      <c r="J608" s="198">
        <v>16</v>
      </c>
    </row>
    <row r="609" spans="1:10" x14ac:dyDescent="0.35">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9" s="198" t="s">
        <v>112</v>
      </c>
      <c r="D609" s="198"/>
      <c r="E609" s="198"/>
      <c r="F609" s="198"/>
      <c r="G609" s="198"/>
      <c r="H609" s="198"/>
      <c r="I609" s="198"/>
      <c r="J609" s="198"/>
    </row>
    <row r="610" spans="1:10" x14ac:dyDescent="0.35">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0" s="198" t="s">
        <v>112</v>
      </c>
      <c r="D610" s="198"/>
      <c r="E610" s="198"/>
      <c r="F610" s="198"/>
      <c r="G610" s="198"/>
      <c r="H610" s="198"/>
      <c r="I610" s="198"/>
    </row>
    <row r="611" spans="1:10" x14ac:dyDescent="0.35">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1" s="198" t="s">
        <v>112</v>
      </c>
      <c r="D611" s="198"/>
      <c r="E611" s="198"/>
      <c r="F611" s="198"/>
      <c r="G611" s="198"/>
      <c r="H611" s="198"/>
      <c r="I611" s="198"/>
    </row>
    <row r="612" spans="1:10" x14ac:dyDescent="0.35">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2" s="198" t="s">
        <v>112</v>
      </c>
      <c r="D612" s="198"/>
      <c r="E612" s="198"/>
      <c r="F612" s="198"/>
      <c r="G612" s="198"/>
      <c r="H612" s="198"/>
      <c r="I612" s="198"/>
    </row>
    <row r="613" spans="1:10" x14ac:dyDescent="0.35">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3" s="198" t="s">
        <v>112</v>
      </c>
      <c r="D613" s="198"/>
      <c r="E613" s="198"/>
      <c r="F613" s="198"/>
      <c r="G613" s="198"/>
      <c r="H613" s="198"/>
      <c r="I613" s="198"/>
    </row>
    <row r="614" spans="1:10" x14ac:dyDescent="0.35">
      <c r="C614" s="198"/>
      <c r="D614" s="198"/>
      <c r="E614" s="198"/>
      <c r="F614" s="198"/>
      <c r="G614" s="198"/>
      <c r="H614" s="198"/>
      <c r="I614" s="198"/>
    </row>
    <row r="615" spans="1:10" x14ac:dyDescent="0.35">
      <c r="C615" s="198"/>
      <c r="D615" s="198"/>
      <c r="E615" s="198"/>
      <c r="F615" s="198"/>
      <c r="G615" s="198"/>
      <c r="H615" s="198"/>
      <c r="I615" s="198"/>
    </row>
    <row r="616" spans="1:10" x14ac:dyDescent="0.35">
      <c r="C616" s="198"/>
      <c r="D616" s="198"/>
      <c r="E616" s="198"/>
      <c r="F616" s="198"/>
      <c r="G616" s="198"/>
      <c r="H616" s="198"/>
      <c r="I616" s="198"/>
    </row>
    <row r="617" spans="1:10" x14ac:dyDescent="0.35">
      <c r="C617" s="198"/>
      <c r="D617" s="198"/>
      <c r="E617" s="198"/>
      <c r="F617" s="198"/>
      <c r="G617" s="198"/>
      <c r="H617" s="198"/>
      <c r="I617" s="198"/>
    </row>
    <row r="618" spans="1:10" x14ac:dyDescent="0.35">
      <c r="C618" s="198"/>
      <c r="D618" s="198"/>
      <c r="E618" s="198"/>
      <c r="F618" s="198"/>
      <c r="G618" s="198"/>
      <c r="H618" s="198"/>
      <c r="I618" s="198"/>
    </row>
    <row r="619" spans="1:10" x14ac:dyDescent="0.35">
      <c r="C619" s="198"/>
      <c r="D619" s="198"/>
      <c r="E619" s="198"/>
      <c r="F619" s="198"/>
      <c r="G619" s="198"/>
      <c r="H619" s="198"/>
      <c r="I619" s="198"/>
    </row>
    <row r="620" spans="1:10" x14ac:dyDescent="0.35">
      <c r="C620" s="198"/>
      <c r="D620" s="198"/>
      <c r="E620" s="198"/>
      <c r="F620" s="198"/>
      <c r="G620" s="198"/>
      <c r="H620" s="198"/>
      <c r="I620" s="198"/>
    </row>
    <row r="621" spans="1:10" x14ac:dyDescent="0.35">
      <c r="C621" s="198"/>
      <c r="D621" s="198"/>
      <c r="E621" s="198"/>
      <c r="F621" s="198"/>
      <c r="G621" s="198"/>
      <c r="H621" s="198"/>
      <c r="I621" s="198"/>
    </row>
    <row r="622" spans="1:10" x14ac:dyDescent="0.35">
      <c r="C622" s="198"/>
      <c r="D622" s="198"/>
      <c r="E622" s="198"/>
      <c r="F622" s="198"/>
      <c r="G622" s="198"/>
      <c r="H622" s="198"/>
      <c r="I622" s="198"/>
    </row>
    <row r="623" spans="1:10" x14ac:dyDescent="0.35">
      <c r="C623" s="198"/>
      <c r="D623" s="198"/>
      <c r="E623" s="198"/>
      <c r="F623" s="198"/>
      <c r="G623" s="198"/>
      <c r="H623" s="198"/>
      <c r="I623" s="198"/>
    </row>
    <row r="624" spans="1:10" x14ac:dyDescent="0.35">
      <c r="C624" s="198"/>
      <c r="D624" s="198"/>
      <c r="E624" s="198"/>
      <c r="F624" s="198"/>
      <c r="G624" s="198"/>
      <c r="H624" s="198"/>
      <c r="I624" s="198"/>
    </row>
    <row r="625" spans="3:9" x14ac:dyDescent="0.35">
      <c r="C625" s="198"/>
      <c r="D625" s="198"/>
      <c r="E625" s="198"/>
      <c r="F625" s="198"/>
      <c r="G625" s="198"/>
      <c r="H625" s="198"/>
      <c r="I625" s="198"/>
    </row>
    <row r="626" spans="3:9" x14ac:dyDescent="0.35">
      <c r="C626" s="198"/>
      <c r="D626" s="198"/>
      <c r="E626" s="198"/>
      <c r="F626" s="198"/>
      <c r="G626" s="198"/>
      <c r="H626" s="198"/>
      <c r="I626" s="198"/>
    </row>
    <row r="627" spans="3:9" x14ac:dyDescent="0.35">
      <c r="C627" s="198"/>
      <c r="D627" s="198"/>
      <c r="E627" s="198"/>
      <c r="F627" s="198"/>
      <c r="G627" s="198"/>
      <c r="H627" s="198"/>
      <c r="I627" s="198"/>
    </row>
    <row r="628" spans="3:9" x14ac:dyDescent="0.35">
      <c r="C628" s="198"/>
      <c r="D628" s="198"/>
      <c r="E628" s="198"/>
      <c r="F628" s="198"/>
      <c r="G628" s="198"/>
      <c r="H628" s="198"/>
      <c r="I628" s="198"/>
    </row>
    <row r="629" spans="3:9" x14ac:dyDescent="0.35">
      <c r="C629" s="198"/>
      <c r="D629" s="198"/>
      <c r="E629" s="198"/>
      <c r="F629" s="198"/>
      <c r="G629" s="198"/>
      <c r="H629" s="198"/>
      <c r="I629" s="198"/>
    </row>
    <row r="630" spans="3:9" x14ac:dyDescent="0.35">
      <c r="C630" s="198"/>
      <c r="D630" s="198"/>
      <c r="E630" s="198"/>
      <c r="F630" s="198"/>
      <c r="G630" s="198"/>
      <c r="H630" s="198"/>
      <c r="I630" s="198"/>
    </row>
    <row r="631" spans="3:9" x14ac:dyDescent="0.35">
      <c r="C631" s="198"/>
      <c r="D631" s="198"/>
      <c r="E631" s="198"/>
      <c r="F631" s="198"/>
      <c r="G631" s="198"/>
      <c r="H631" s="198"/>
      <c r="I631" s="198"/>
    </row>
    <row r="632" spans="3:9" x14ac:dyDescent="0.35">
      <c r="C632" s="198"/>
      <c r="D632" s="198"/>
      <c r="E632" s="198"/>
      <c r="F632" s="198"/>
      <c r="G632" s="198"/>
      <c r="H632" s="198"/>
      <c r="I632" s="198"/>
    </row>
    <row r="633" spans="3:9" x14ac:dyDescent="0.35">
      <c r="C633" s="198"/>
      <c r="D633" s="198"/>
      <c r="E633" s="198"/>
      <c r="F633" s="198"/>
      <c r="G633" s="198"/>
      <c r="H633" s="198"/>
      <c r="I633" s="198"/>
    </row>
    <row r="634" spans="3:9" x14ac:dyDescent="0.35">
      <c r="C634" s="198"/>
      <c r="D634" s="198"/>
      <c r="E634" s="198"/>
      <c r="F634" s="198"/>
      <c r="G634" s="198"/>
      <c r="H634" s="198"/>
      <c r="I634" s="198"/>
    </row>
    <row r="635" spans="3:9" x14ac:dyDescent="0.35">
      <c r="C635" s="198"/>
      <c r="D635" s="198"/>
      <c r="E635" s="198"/>
      <c r="F635" s="198"/>
      <c r="G635" s="198"/>
      <c r="H635" s="198"/>
      <c r="I635" s="198"/>
    </row>
    <row r="636" spans="3:9" x14ac:dyDescent="0.35">
      <c r="C636" s="198"/>
      <c r="D636" s="198"/>
      <c r="E636" s="198"/>
      <c r="F636" s="198"/>
      <c r="G636" s="198"/>
      <c r="H636" s="198"/>
      <c r="I636" s="198"/>
    </row>
    <row r="637" spans="3:9" x14ac:dyDescent="0.35">
      <c r="C637" s="198"/>
      <c r="D637" s="198"/>
      <c r="E637" s="198"/>
      <c r="F637" s="198"/>
      <c r="G637" s="198"/>
      <c r="H637" s="198"/>
      <c r="I637" s="198"/>
    </row>
    <row r="638" spans="3:9" x14ac:dyDescent="0.35">
      <c r="C638" s="198"/>
      <c r="D638" s="198"/>
      <c r="E638" s="198"/>
      <c r="F638" s="198"/>
      <c r="G638" s="198"/>
      <c r="H638" s="198"/>
      <c r="I638" s="198"/>
    </row>
    <row r="639" spans="3:9" x14ac:dyDescent="0.35">
      <c r="C639" s="198"/>
      <c r="D639" s="198"/>
      <c r="E639" s="198"/>
      <c r="F639" s="198"/>
      <c r="G639" s="198"/>
      <c r="H639" s="198"/>
      <c r="I639" s="198"/>
    </row>
    <row r="640" spans="3:9" x14ac:dyDescent="0.35">
      <c r="C640" s="198"/>
      <c r="D640" s="198"/>
      <c r="E640" s="198"/>
      <c r="F640" s="198"/>
      <c r="G640" s="198"/>
      <c r="H640" s="198"/>
      <c r="I640" s="198"/>
    </row>
    <row r="641" spans="3:9" x14ac:dyDescent="0.35">
      <c r="C641" s="198"/>
      <c r="D641" s="198"/>
      <c r="E641" s="198"/>
      <c r="F641" s="198"/>
      <c r="G641" s="198"/>
      <c r="H641" s="198"/>
      <c r="I641" s="198"/>
    </row>
    <row r="688" spans="1:2" x14ac:dyDescent="0.35">
      <c r="A688" s="1" t="str">
        <f t="shared" ref="A688:A705" si="10">IFERROR(LEFT(RIGHT(C688,LEN(C688)-SEARCH("@",C688)),SEARCH("/",RIGHT(C688,LEN(C688)-SEARCH("@",C688)-1))),"")</f>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F13:XFD14 AG11:XFD12">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V1" zoomScale="70" zoomScaleNormal="70" zoomScaleSheetLayoutView="40" zoomScalePageLayoutView="30" workbookViewId="0">
      <selection activeCell="W2" sqref="W1:W1048576"/>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25" t="s">
        <v>43</v>
      </c>
      <c r="B1" s="226"/>
      <c r="C1" s="226"/>
      <c r="D1" s="226"/>
      <c r="E1" s="226"/>
      <c r="F1" s="226"/>
      <c r="G1" s="226"/>
      <c r="H1" s="226"/>
      <c r="I1" s="226"/>
      <c r="J1" s="226"/>
      <c r="K1" s="226"/>
      <c r="L1" s="226"/>
      <c r="M1" s="226"/>
      <c r="N1" s="226"/>
      <c r="O1" s="226"/>
      <c r="P1" s="226"/>
      <c r="Q1" s="226"/>
      <c r="R1" s="226"/>
      <c r="S1" s="226"/>
      <c r="T1" s="226"/>
      <c r="U1" s="226"/>
      <c r="V1" s="226"/>
    </row>
    <row r="2" spans="1:22" customFormat="1" ht="15" thickBot="1" x14ac:dyDescent="0.4"/>
    <row r="3" spans="1:22" ht="15" thickBot="1" x14ac:dyDescent="0.4">
      <c r="A3" s="51" t="s">
        <v>18</v>
      </c>
      <c r="B3" s="233" t="s">
        <v>6</v>
      </c>
      <c r="C3" s="234"/>
      <c r="D3" s="234"/>
      <c r="E3" s="234"/>
      <c r="F3" s="234"/>
      <c r="G3" s="234"/>
      <c r="H3" s="234"/>
      <c r="I3" s="234"/>
      <c r="J3" s="234"/>
      <c r="K3" s="234"/>
      <c r="L3" s="234"/>
      <c r="M3" s="234"/>
      <c r="O3" s="233" t="s">
        <v>3</v>
      </c>
      <c r="P3" s="234"/>
      <c r="Q3" s="234"/>
      <c r="R3" s="234"/>
      <c r="S3" s="234"/>
      <c r="T3" s="234"/>
      <c r="U3" s="234"/>
      <c r="V3" s="234"/>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199" t="s">
        <v>1208</v>
      </c>
      <c r="J4" s="199" t="s">
        <v>1209</v>
      </c>
      <c r="K4" s="199" t="s">
        <v>1210</v>
      </c>
      <c r="L4" s="199" t="s">
        <v>1211</v>
      </c>
      <c r="M4" s="199" t="s">
        <v>1212</v>
      </c>
      <c r="N4" s="3"/>
      <c r="O4" s="36" t="str">
        <f>'Page de garde'!A36</f>
        <v>Testo -30µg/L</v>
      </c>
      <c r="P4" s="36" t="str">
        <f>'Page de garde'!A37</f>
        <v>Testo 30µg/L + EE2 -64ng/L</v>
      </c>
      <c r="Q4" s="36" t="str">
        <f>'Page de garde'!A38</f>
        <v>Testo 30µg/L + FAD-10mg/L</v>
      </c>
      <c r="R4" s="36" t="str">
        <f>'Page de garde'!A39</f>
        <v>BPA-1mg/L + Testostérone</v>
      </c>
      <c r="S4" s="36" t="str">
        <f>'Page de garde'!A40</f>
        <v>BPA-2mg/L + Testostérone</v>
      </c>
      <c r="T4" s="36" t="str">
        <f>'Page de garde'!A41</f>
        <v>BPA-3mg/L + Testostérone</v>
      </c>
      <c r="U4" s="36" t="str">
        <f>'Page de garde'!A42</f>
        <v>BPA-4mg/L + Testostérone</v>
      </c>
      <c r="V4" s="36" t="str">
        <f>'Page de garde'!A43</f>
        <v>BPA-5mg/L + Testostérone</v>
      </c>
    </row>
    <row r="5" spans="1:22" x14ac:dyDescent="0.35">
      <c r="A5" s="235" t="s">
        <v>33</v>
      </c>
      <c r="B5" s="196">
        <v>15501.333333333334</v>
      </c>
      <c r="C5" s="196"/>
      <c r="D5" s="196">
        <v>103939</v>
      </c>
      <c r="E5" s="196">
        <v>21500</v>
      </c>
      <c r="F5" s="196">
        <v>681.5</v>
      </c>
      <c r="G5" s="196">
        <v>2371169.6666666665</v>
      </c>
      <c r="H5" s="196">
        <v>4905797</v>
      </c>
      <c r="I5" s="196">
        <v>180036.5</v>
      </c>
      <c r="J5" s="196">
        <v>148781</v>
      </c>
      <c r="K5" s="196">
        <v>220808.5</v>
      </c>
      <c r="L5" s="196">
        <v>453135.5</v>
      </c>
      <c r="M5" s="196">
        <v>2370041.5</v>
      </c>
      <c r="N5" s="3"/>
      <c r="O5" s="196">
        <v>1089548</v>
      </c>
      <c r="P5" s="196">
        <v>4298855</v>
      </c>
      <c r="Q5" s="196">
        <v>203876.33333333334</v>
      </c>
      <c r="R5" s="196">
        <v>2087869</v>
      </c>
      <c r="S5" s="196">
        <v>2630725</v>
      </c>
      <c r="T5" s="196">
        <v>1599866</v>
      </c>
      <c r="U5" s="196">
        <v>4317543.5</v>
      </c>
      <c r="V5" s="196">
        <v>3228813.5</v>
      </c>
    </row>
    <row r="6" spans="1:22" x14ac:dyDescent="0.35">
      <c r="A6" s="235"/>
      <c r="B6" s="196">
        <v>147826</v>
      </c>
      <c r="C6" s="196">
        <v>137385.66666666666</v>
      </c>
      <c r="D6" s="196">
        <v>27935</v>
      </c>
      <c r="E6" s="196">
        <v>76425.333333333328</v>
      </c>
      <c r="F6" s="196">
        <v>1144610.6666666667</v>
      </c>
      <c r="G6" s="196">
        <v>2254022.6666666665</v>
      </c>
      <c r="H6" s="196">
        <v>3645697.3333333335</v>
      </c>
      <c r="I6" s="196">
        <v>424021.5</v>
      </c>
      <c r="J6" s="196">
        <v>429515.5</v>
      </c>
      <c r="K6" s="196"/>
      <c r="L6" s="196">
        <v>626812.5</v>
      </c>
      <c r="M6" s="196">
        <v>1387882</v>
      </c>
      <c r="N6" s="3"/>
      <c r="O6" s="196">
        <v>2689627</v>
      </c>
      <c r="P6" s="196">
        <v>2413161</v>
      </c>
      <c r="Q6" s="196">
        <v>241851</v>
      </c>
      <c r="R6" s="196">
        <v>926451.5</v>
      </c>
      <c r="S6" s="196">
        <v>2643898</v>
      </c>
      <c r="T6" s="196">
        <v>4900491</v>
      </c>
      <c r="U6" s="196"/>
      <c r="V6" s="196">
        <v>3399311</v>
      </c>
    </row>
    <row r="7" spans="1:22" x14ac:dyDescent="0.35">
      <c r="A7" s="235"/>
      <c r="B7" s="196">
        <v>92294.666666666672</v>
      </c>
      <c r="C7" s="196">
        <v>212513.66666666666</v>
      </c>
      <c r="D7" s="196">
        <v>233105</v>
      </c>
      <c r="E7" s="196"/>
      <c r="F7" s="196">
        <v>30144.666666666668</v>
      </c>
      <c r="G7" s="196">
        <v>2903604.3333333335</v>
      </c>
      <c r="H7" s="196">
        <v>4604478.333333333</v>
      </c>
      <c r="I7" s="196">
        <v>169373</v>
      </c>
      <c r="J7" s="196">
        <v>293690.5</v>
      </c>
      <c r="K7" s="196">
        <v>67009.5</v>
      </c>
      <c r="L7" s="196"/>
      <c r="M7" s="196">
        <v>2457404.5</v>
      </c>
      <c r="N7" s="3"/>
      <c r="O7" s="196">
        <v>403289.66666666669</v>
      </c>
      <c r="P7" s="196">
        <v>1623864</v>
      </c>
      <c r="Q7" s="196">
        <v>219377.66666666666</v>
      </c>
      <c r="R7" s="196">
        <v>1166078</v>
      </c>
      <c r="S7" s="196">
        <v>2871974</v>
      </c>
      <c r="T7" s="196">
        <v>2932548.5</v>
      </c>
      <c r="U7" s="196">
        <v>2957023</v>
      </c>
      <c r="V7" s="196">
        <v>3041152.5</v>
      </c>
    </row>
    <row r="8" spans="1:22" x14ac:dyDescent="0.35">
      <c r="A8" s="235"/>
      <c r="B8" s="196">
        <v>162750.66666666666</v>
      </c>
      <c r="C8" s="196">
        <v>183155</v>
      </c>
      <c r="D8" s="196">
        <v>57867.333333333336</v>
      </c>
      <c r="E8" s="196">
        <v>103859.66666666667</v>
      </c>
      <c r="F8" s="196">
        <v>0</v>
      </c>
      <c r="G8" s="196"/>
      <c r="H8" s="196">
        <v>4401373.666666667</v>
      </c>
      <c r="I8" s="196">
        <v>187682.5</v>
      </c>
      <c r="J8" s="196">
        <v>210870</v>
      </c>
      <c r="K8" s="196">
        <v>257731</v>
      </c>
      <c r="L8" s="196">
        <v>478929</v>
      </c>
      <c r="M8" s="196">
        <v>1171367</v>
      </c>
      <c r="N8" s="3"/>
      <c r="O8" s="196">
        <v>1163580.3333333333</v>
      </c>
      <c r="P8" s="196">
        <v>2701833.3333333335</v>
      </c>
      <c r="Q8" s="196">
        <v>26345.333333333332</v>
      </c>
      <c r="R8" s="196">
        <v>3600328.5</v>
      </c>
      <c r="S8" s="196">
        <v>2582144.5</v>
      </c>
      <c r="T8" s="196">
        <v>2842201</v>
      </c>
      <c r="U8" s="196">
        <v>4411871</v>
      </c>
      <c r="V8" s="196">
        <v>4308566.5</v>
      </c>
    </row>
    <row r="9" spans="1:22" x14ac:dyDescent="0.35">
      <c r="A9" s="235"/>
      <c r="B9" s="196">
        <v>119656.33333333333</v>
      </c>
      <c r="C9" s="196">
        <v>305468.5</v>
      </c>
      <c r="D9" s="196">
        <v>190653.33333333334</v>
      </c>
      <c r="E9" s="196">
        <v>140464.66666666666</v>
      </c>
      <c r="F9" s="196">
        <v>512109.33333333331</v>
      </c>
      <c r="G9" s="196">
        <v>4632590</v>
      </c>
      <c r="H9" s="196">
        <v>3895566</v>
      </c>
      <c r="I9" s="196">
        <v>3742</v>
      </c>
      <c r="J9" s="196">
        <v>70243</v>
      </c>
      <c r="K9" s="196">
        <v>202358.5</v>
      </c>
      <c r="L9" s="196">
        <v>1585136</v>
      </c>
      <c r="M9" s="196">
        <v>3624262</v>
      </c>
      <c r="N9" s="3"/>
      <c r="O9" s="196">
        <v>2416528</v>
      </c>
      <c r="P9" s="196">
        <v>5410689.333333333</v>
      </c>
      <c r="Q9" s="196">
        <v>44182.666666666664</v>
      </c>
      <c r="R9" s="196">
        <v>1885813.5</v>
      </c>
      <c r="S9" s="196">
        <v>3446053</v>
      </c>
      <c r="T9" s="196">
        <v>3435530</v>
      </c>
      <c r="U9" s="196">
        <v>5064758.5</v>
      </c>
      <c r="V9" s="196">
        <v>3046354</v>
      </c>
    </row>
    <row r="10" spans="1:22" x14ac:dyDescent="0.35">
      <c r="A10" s="235"/>
      <c r="B10" s="196">
        <v>879.66666666666663</v>
      </c>
      <c r="C10" s="196">
        <v>0</v>
      </c>
      <c r="D10" s="196">
        <v>118467</v>
      </c>
      <c r="E10" s="196">
        <v>182570.66666666666</v>
      </c>
      <c r="F10" s="196">
        <v>7412</v>
      </c>
      <c r="G10" s="196">
        <v>2242097</v>
      </c>
      <c r="H10" s="196">
        <v>3894419.3333333335</v>
      </c>
      <c r="I10" s="196">
        <v>430932.5</v>
      </c>
      <c r="J10" s="196">
        <v>23695.5</v>
      </c>
      <c r="K10" s="196">
        <v>71876</v>
      </c>
      <c r="L10" s="196">
        <v>577680.5</v>
      </c>
      <c r="M10" s="196">
        <v>1588586</v>
      </c>
      <c r="N10" s="3"/>
      <c r="O10" s="196">
        <v>2694465</v>
      </c>
      <c r="P10" s="196">
        <v>4275610</v>
      </c>
      <c r="Q10" s="196">
        <v>327642.66666666669</v>
      </c>
      <c r="R10" s="196">
        <v>1084404</v>
      </c>
      <c r="S10" s="196">
        <v>3111244</v>
      </c>
      <c r="T10" s="196">
        <v>3163545.5</v>
      </c>
      <c r="U10" s="196">
        <v>2610933.5</v>
      </c>
      <c r="V10" s="196">
        <v>4592048</v>
      </c>
    </row>
    <row r="11" spans="1:22" x14ac:dyDescent="0.35">
      <c r="A11" s="235"/>
      <c r="B11" s="196">
        <v>230113.33333333334</v>
      </c>
      <c r="C11" s="196">
        <v>62618.5</v>
      </c>
      <c r="D11" s="196">
        <v>144480.66666666666</v>
      </c>
      <c r="E11" s="196">
        <v>476138.5</v>
      </c>
      <c r="F11" s="196">
        <v>178756.66666666666</v>
      </c>
      <c r="G11" s="196">
        <v>2650166.6666666665</v>
      </c>
      <c r="H11" s="196">
        <v>4533409.666666667</v>
      </c>
      <c r="I11" s="196">
        <v>242244</v>
      </c>
      <c r="J11" s="196">
        <v>358342.5</v>
      </c>
      <c r="K11" s="196">
        <v>71422</v>
      </c>
      <c r="L11" s="196">
        <v>2878679.5</v>
      </c>
      <c r="M11" s="196">
        <v>1828494</v>
      </c>
      <c r="N11" s="3"/>
      <c r="O11" s="196">
        <v>1236184.6666666667</v>
      </c>
      <c r="P11" s="196">
        <v>3285227.6666666665</v>
      </c>
      <c r="Q11" s="196">
        <v>138900</v>
      </c>
      <c r="R11" s="196">
        <v>2332881.5</v>
      </c>
      <c r="S11" s="196">
        <v>2148216</v>
      </c>
      <c r="T11" s="196">
        <v>3066924.5</v>
      </c>
      <c r="U11" s="196">
        <v>4043676.5</v>
      </c>
      <c r="V11" s="196">
        <v>3395190.5</v>
      </c>
    </row>
    <row r="12" spans="1:22" x14ac:dyDescent="0.35">
      <c r="A12" s="235"/>
      <c r="B12" s="196"/>
      <c r="C12" s="196">
        <v>142750.33333333334</v>
      </c>
      <c r="D12" s="196">
        <v>8565.3333333333339</v>
      </c>
      <c r="E12" s="196">
        <v>199478.33333333334</v>
      </c>
      <c r="F12" s="196">
        <v>131236</v>
      </c>
      <c r="G12" s="196">
        <v>2647989.3333333335</v>
      </c>
      <c r="H12" s="196">
        <v>5059268.333333333</v>
      </c>
      <c r="I12" s="196">
        <v>141827</v>
      </c>
      <c r="J12" s="196">
        <v>204921.5</v>
      </c>
      <c r="K12" s="196">
        <v>122501</v>
      </c>
      <c r="L12" s="196">
        <v>258369</v>
      </c>
      <c r="M12" s="196">
        <v>3804774</v>
      </c>
      <c r="N12" s="3"/>
      <c r="O12" s="196">
        <v>183991</v>
      </c>
      <c r="P12" s="196">
        <v>3774690.6666666665</v>
      </c>
      <c r="Q12" s="196">
        <v>168309.33333333334</v>
      </c>
      <c r="R12" s="196">
        <v>2851717.5</v>
      </c>
      <c r="S12" s="196">
        <v>2526198.5</v>
      </c>
      <c r="T12" s="196">
        <v>2150400.5</v>
      </c>
      <c r="U12" s="196">
        <v>3986898</v>
      </c>
      <c r="V12" s="196">
        <v>4342461</v>
      </c>
    </row>
    <row r="13" spans="1:22" ht="16.5" x14ac:dyDescent="0.35">
      <c r="A13" s="235"/>
      <c r="B13" s="14"/>
      <c r="C13" s="13"/>
      <c r="D13" s="32"/>
      <c r="E13" s="32"/>
      <c r="F13" s="32"/>
      <c r="G13" s="32"/>
      <c r="H13" s="32"/>
      <c r="I13" s="32"/>
      <c r="J13" s="32"/>
      <c r="K13" s="13"/>
      <c r="L13" s="13"/>
      <c r="M13" s="13"/>
      <c r="N13" s="3"/>
      <c r="O13" s="196"/>
      <c r="P13" s="13"/>
      <c r="Q13" s="13"/>
      <c r="R13" s="32"/>
      <c r="S13" s="32"/>
      <c r="T13" s="32"/>
      <c r="U13" s="32"/>
      <c r="V13" s="32"/>
    </row>
    <row r="14" spans="1:22" ht="16.5" x14ac:dyDescent="0.35">
      <c r="A14" s="235"/>
      <c r="B14" s="14"/>
      <c r="C14" s="32"/>
      <c r="D14" s="32"/>
      <c r="E14" s="32"/>
      <c r="F14" s="32"/>
      <c r="G14" s="32"/>
      <c r="H14" s="32"/>
      <c r="I14" s="32"/>
      <c r="J14" s="32"/>
      <c r="K14" s="13"/>
      <c r="L14" s="13"/>
      <c r="M14" s="13"/>
      <c r="N14" s="3"/>
      <c r="O14" s="196">
        <v>2816868.3333333335</v>
      </c>
      <c r="P14" s="13"/>
      <c r="Q14" s="13"/>
      <c r="R14" s="32"/>
      <c r="S14" s="32"/>
      <c r="T14" s="32"/>
      <c r="U14" s="32"/>
      <c r="V14" s="32"/>
    </row>
    <row r="15" spans="1:22" ht="16.5" x14ac:dyDescent="0.35">
      <c r="A15" s="235"/>
      <c r="B15" s="14"/>
      <c r="C15" s="32"/>
      <c r="D15" s="32"/>
      <c r="E15" s="32"/>
      <c r="F15" s="32"/>
      <c r="G15" s="32"/>
      <c r="H15" s="32"/>
      <c r="I15" s="32"/>
      <c r="J15" s="32"/>
      <c r="K15" s="13"/>
      <c r="L15" s="13"/>
      <c r="M15" s="13"/>
      <c r="N15" s="3"/>
      <c r="O15" s="196">
        <v>1682056</v>
      </c>
      <c r="P15" s="13"/>
      <c r="Q15" s="13"/>
      <c r="R15" s="32"/>
      <c r="S15" s="32"/>
      <c r="T15" s="32"/>
      <c r="U15" s="32"/>
      <c r="V15" s="32"/>
    </row>
    <row r="16" spans="1:22" ht="16.5" x14ac:dyDescent="0.35">
      <c r="A16" s="235"/>
      <c r="B16" s="14"/>
      <c r="C16" s="32"/>
      <c r="D16" s="32"/>
      <c r="E16" s="32"/>
      <c r="F16" s="32"/>
      <c r="G16" s="32"/>
      <c r="H16" s="32"/>
      <c r="I16" s="32"/>
      <c r="J16" s="32"/>
      <c r="K16" s="13"/>
      <c r="L16" s="13"/>
      <c r="M16" s="13"/>
      <c r="N16" s="3"/>
      <c r="O16" s="196">
        <v>3321443.3333333335</v>
      </c>
      <c r="P16" s="13"/>
      <c r="Q16" s="13"/>
      <c r="R16" s="32"/>
      <c r="S16" s="32"/>
      <c r="T16" s="32"/>
      <c r="U16" s="32"/>
      <c r="V16" s="32"/>
    </row>
    <row r="17" spans="1:22" ht="16.5" x14ac:dyDescent="0.35">
      <c r="A17" s="235"/>
      <c r="B17" s="14"/>
      <c r="C17" s="32"/>
      <c r="D17" s="32"/>
      <c r="E17" s="32"/>
      <c r="F17" s="32"/>
      <c r="G17" s="32"/>
      <c r="H17" s="32"/>
      <c r="I17" s="32"/>
      <c r="J17" s="32"/>
      <c r="K17" s="13"/>
      <c r="L17" s="13"/>
      <c r="M17" s="13"/>
      <c r="N17" s="3"/>
      <c r="O17" s="196">
        <v>100096</v>
      </c>
      <c r="P17" s="13"/>
      <c r="Q17" s="13"/>
      <c r="R17" s="32"/>
      <c r="S17" s="32"/>
      <c r="T17" s="32"/>
      <c r="U17" s="32"/>
      <c r="V17" s="32"/>
    </row>
    <row r="18" spans="1:22" ht="16.5" x14ac:dyDescent="0.35">
      <c r="A18" s="235"/>
      <c r="B18" s="14"/>
      <c r="C18" s="32"/>
      <c r="D18" s="32"/>
      <c r="E18" s="32"/>
      <c r="F18" s="32"/>
      <c r="G18" s="32"/>
      <c r="H18" s="32"/>
      <c r="I18" s="32"/>
      <c r="J18" s="32"/>
      <c r="K18" s="13"/>
      <c r="L18" s="13"/>
      <c r="M18" s="13"/>
      <c r="N18" s="3"/>
      <c r="O18" s="196">
        <v>890474</v>
      </c>
      <c r="P18" s="13"/>
      <c r="Q18" s="13"/>
      <c r="R18" s="32"/>
      <c r="S18" s="32"/>
      <c r="T18" s="32"/>
      <c r="U18" s="32"/>
      <c r="V18" s="32"/>
    </row>
    <row r="19" spans="1:22" ht="16.5" x14ac:dyDescent="0.35">
      <c r="A19" s="235"/>
      <c r="B19" s="14"/>
      <c r="C19" s="32"/>
      <c r="D19" s="32"/>
      <c r="E19" s="32"/>
      <c r="F19" s="32"/>
      <c r="G19" s="32"/>
      <c r="H19" s="32"/>
      <c r="I19" s="32"/>
      <c r="J19" s="32"/>
      <c r="K19" s="13"/>
      <c r="L19" s="13"/>
      <c r="M19" s="13"/>
      <c r="N19" s="3"/>
      <c r="O19" s="196">
        <v>252262.33333333334</v>
      </c>
      <c r="P19" s="13"/>
      <c r="Q19" s="13"/>
      <c r="R19" s="32"/>
      <c r="S19" s="32"/>
      <c r="T19" s="32"/>
      <c r="U19" s="32"/>
      <c r="V19" s="32"/>
    </row>
    <row r="20" spans="1:22" ht="16.5" x14ac:dyDescent="0.35">
      <c r="A20" s="235"/>
      <c r="B20" s="14"/>
      <c r="C20" s="32"/>
      <c r="D20" s="32"/>
      <c r="E20" s="32"/>
      <c r="F20" s="32"/>
      <c r="G20" s="32"/>
      <c r="H20" s="32"/>
      <c r="I20" s="32"/>
      <c r="J20" s="32"/>
      <c r="K20" s="13"/>
      <c r="L20" s="13"/>
      <c r="M20" s="13"/>
      <c r="N20" s="3"/>
      <c r="O20" s="196">
        <v>894519</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BPA-1mg/L</v>
      </c>
      <c r="J22" s="3" t="str">
        <f t="shared" si="0"/>
        <v>BPA-2mg/L</v>
      </c>
      <c r="K22" s="3" t="str">
        <f t="shared" si="0"/>
        <v>BPA-3mg/L</v>
      </c>
      <c r="L22" s="3" t="str">
        <f t="shared" si="0"/>
        <v>BPA-4mg/L</v>
      </c>
      <c r="M22" s="3" t="str">
        <f t="shared" si="0"/>
        <v>BPA-5mg/L</v>
      </c>
      <c r="N22" s="3" t="s">
        <v>41</v>
      </c>
      <c r="O22" s="3" t="str">
        <f t="shared" si="0"/>
        <v>Testo -30µg/L</v>
      </c>
      <c r="P22" s="3" t="str">
        <f t="shared" si="0"/>
        <v>Testo 30µg/L + EE2 -64ng/L</v>
      </c>
      <c r="Q22" s="3" t="str">
        <f t="shared" si="0"/>
        <v>Testo 30µg/L + FAD-10mg/L</v>
      </c>
      <c r="R22" s="3" t="str">
        <f t="shared" si="0"/>
        <v>BPA-1mg/L + Testostérone</v>
      </c>
      <c r="S22" s="3" t="str">
        <f t="shared" si="0"/>
        <v>BPA-2mg/L + Testostérone</v>
      </c>
      <c r="T22" s="3" t="str">
        <f t="shared" si="0"/>
        <v>BPA-3mg/L + Testostérone</v>
      </c>
      <c r="U22" s="3" t="str">
        <f t="shared" si="0"/>
        <v>BPA-4mg/L + Testostérone</v>
      </c>
      <c r="V22" s="3" t="str">
        <f t="shared" si="0"/>
        <v>BPA-5mg/L + Testostérone</v>
      </c>
    </row>
    <row r="23" spans="1:22" x14ac:dyDescent="0.35">
      <c r="A23" s="5" t="s">
        <v>0</v>
      </c>
      <c r="B23" s="5">
        <f t="shared" ref="B23:J23" si="1">AVERAGE(B5:B20)</f>
        <v>109860.28571428571</v>
      </c>
      <c r="C23" s="5">
        <f t="shared" si="1"/>
        <v>149127.38095238095</v>
      </c>
      <c r="D23" s="5">
        <f t="shared" si="1"/>
        <v>110626.58333333333</v>
      </c>
      <c r="E23" s="5">
        <f t="shared" si="1"/>
        <v>171491.02380952379</v>
      </c>
      <c r="F23" s="5">
        <f t="shared" si="1"/>
        <v>250618.85416666669</v>
      </c>
      <c r="G23" s="5">
        <f t="shared" si="1"/>
        <v>2814519.952380952</v>
      </c>
      <c r="H23" s="5">
        <f t="shared" si="1"/>
        <v>4367501.208333334</v>
      </c>
      <c r="I23" s="5">
        <f t="shared" si="1"/>
        <v>222482.375</v>
      </c>
      <c r="J23" s="5">
        <f t="shared" si="1"/>
        <v>217507.4375</v>
      </c>
      <c r="K23" s="5"/>
      <c r="L23" s="5">
        <f>AVERAGE(L5:L20)</f>
        <v>979820.28571428568</v>
      </c>
      <c r="M23" s="5"/>
      <c r="N23" s="5" t="s">
        <v>0</v>
      </c>
      <c r="O23" s="5">
        <f>AVERAGE(O5:O20)</f>
        <v>1455662.1777777777</v>
      </c>
      <c r="P23" s="5">
        <f>AVERAGE(P5:P20)</f>
        <v>3472991.3750000005</v>
      </c>
      <c r="Q23" s="5">
        <f>AVERAGE(Q5:Q20)</f>
        <v>171310.625</v>
      </c>
      <c r="R23" s="5">
        <f>AVERAGE(R5:R20)</f>
        <v>1991942.9375</v>
      </c>
      <c r="S23" s="5">
        <f>AVERAGE(S5:S20)</f>
        <v>2745056.625</v>
      </c>
      <c r="T23" s="5">
        <f t="shared" ref="T23:V23" si="2">AVERAGE(T5:T20)</f>
        <v>3011438.375</v>
      </c>
      <c r="U23" s="5">
        <f t="shared" si="2"/>
        <v>3913243.4285714286</v>
      </c>
      <c r="V23" s="5">
        <f t="shared" si="2"/>
        <v>3669237.125</v>
      </c>
    </row>
    <row r="24" spans="1:22" x14ac:dyDescent="0.35">
      <c r="A24" s="3" t="s">
        <v>1</v>
      </c>
      <c r="B24" s="3">
        <f t="shared" ref="B24:J24" si="3">STDEV(B5:B20)</f>
        <v>81531.674891924908</v>
      </c>
      <c r="C24" s="3">
        <f t="shared" si="3"/>
        <v>99598.813918487867</v>
      </c>
      <c r="D24" s="3">
        <f t="shared" si="3"/>
        <v>78098.356753997126</v>
      </c>
      <c r="E24" s="3">
        <f t="shared" si="3"/>
        <v>147641.20967463372</v>
      </c>
      <c r="F24" s="3">
        <f t="shared" si="3"/>
        <v>400009.28626938345</v>
      </c>
      <c r="G24" s="3">
        <f t="shared" si="3"/>
        <v>837301.6077588381</v>
      </c>
      <c r="H24" s="3">
        <f t="shared" si="3"/>
        <v>509995.1494998025</v>
      </c>
      <c r="I24" s="3">
        <f t="shared" si="3"/>
        <v>143748.75195973754</v>
      </c>
      <c r="J24" s="3">
        <f t="shared" si="3"/>
        <v>138750.26830693171</v>
      </c>
      <c r="K24" s="3"/>
      <c r="L24" s="3">
        <f>STDEV(L5:L20)</f>
        <v>940495.01460085972</v>
      </c>
      <c r="M24" s="3"/>
      <c r="N24" s="3" t="s">
        <v>1</v>
      </c>
      <c r="O24" s="3">
        <f>STDEV(O5:O20)</f>
        <v>1078293.8863210254</v>
      </c>
      <c r="P24" s="3">
        <f>STDEV(P5:P20)</f>
        <v>1215635.9671709531</v>
      </c>
      <c r="Q24" s="3">
        <f>STDEV(Q5:Q20)</f>
        <v>100727.72887712724</v>
      </c>
      <c r="R24" s="3">
        <f>STDEV(R5:R20)</f>
        <v>933792.00864059187</v>
      </c>
      <c r="S24" s="3">
        <f>STDEV(S5:S20)</f>
        <v>395611.62238043785</v>
      </c>
      <c r="T24" s="3">
        <f t="shared" ref="T24:V24" si="4">STDEV(T5:T20)</f>
        <v>966834.045996067</v>
      </c>
      <c r="U24" s="3">
        <f t="shared" si="4"/>
        <v>853510.53523674782</v>
      </c>
      <c r="V24" s="3">
        <f t="shared" si="4"/>
        <v>636728.3189743011</v>
      </c>
    </row>
    <row r="25" spans="1:22" ht="15" thickBot="1" x14ac:dyDescent="0.4"/>
    <row r="26" spans="1:22" ht="15" thickBot="1" x14ac:dyDescent="0.4">
      <c r="B26" s="233" t="s">
        <v>6</v>
      </c>
      <c r="C26" s="234"/>
      <c r="D26" s="234"/>
      <c r="E26" s="234"/>
      <c r="F26" s="234"/>
      <c r="G26" s="234"/>
      <c r="H26" s="234"/>
      <c r="I26" s="234"/>
      <c r="J26" s="234"/>
      <c r="K26" s="234"/>
      <c r="L26" s="234"/>
      <c r="M26" s="234"/>
      <c r="O26" s="233" t="s">
        <v>3</v>
      </c>
      <c r="P26" s="234"/>
      <c r="Q26" s="234"/>
      <c r="R26" s="234"/>
      <c r="S26" s="234"/>
      <c r="T26" s="234"/>
      <c r="U26" s="234"/>
      <c r="V26" s="234"/>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BPA-1mg/L</v>
      </c>
      <c r="J27" s="35" t="str">
        <f t="shared" si="5"/>
        <v>BPA-2mg/L</v>
      </c>
      <c r="K27" s="35" t="str">
        <f t="shared" si="5"/>
        <v>BPA-3mg/L</v>
      </c>
      <c r="L27" s="35" t="str">
        <f t="shared" si="5"/>
        <v>BPA-4mg/L</v>
      </c>
      <c r="M27" s="35" t="str">
        <f t="shared" si="5"/>
        <v>BPA-5mg/L</v>
      </c>
      <c r="N27" s="3"/>
      <c r="O27" s="36" t="str">
        <f>O4</f>
        <v>Testo -30µg/L</v>
      </c>
      <c r="P27" s="36" t="str">
        <f t="shared" ref="P27:R27" si="6">P4</f>
        <v>Testo 30µg/L + EE2 -64ng/L</v>
      </c>
      <c r="Q27" s="36" t="str">
        <f t="shared" si="6"/>
        <v>Testo 30µg/L + FAD-10mg/L</v>
      </c>
      <c r="R27" s="36" t="str">
        <f t="shared" si="6"/>
        <v>BPA-1mg/L + Testostérone</v>
      </c>
      <c r="S27" s="36" t="str">
        <f t="shared" ref="S27:V27" si="7">S4</f>
        <v>BPA-2mg/L + Testostérone</v>
      </c>
      <c r="T27" s="36" t="str">
        <f t="shared" si="7"/>
        <v>BPA-3mg/L + Testostérone</v>
      </c>
      <c r="U27" s="36" t="str">
        <f t="shared" si="7"/>
        <v>BPA-4mg/L + Testostérone</v>
      </c>
      <c r="V27" s="36" t="str">
        <f t="shared" si="7"/>
        <v>BPA-5mg/L + Testostérone</v>
      </c>
    </row>
    <row r="28" spans="1:22" x14ac:dyDescent="0.35">
      <c r="A28" s="236" t="s">
        <v>34</v>
      </c>
      <c r="B28" s="11">
        <f t="shared" ref="B28:M28" si="8">IF(B5="","",(B5/$O$23))</f>
        <v>1.0648990933458035E-2</v>
      </c>
      <c r="C28" s="11" t="str">
        <f t="shared" si="8"/>
        <v/>
      </c>
      <c r="D28" s="11">
        <f t="shared" si="8"/>
        <v>7.1403242858637625E-2</v>
      </c>
      <c r="E28" s="11">
        <f t="shared" si="8"/>
        <v>1.4769910442285466E-2</v>
      </c>
      <c r="F28" s="11">
        <f t="shared" si="8"/>
        <v>4.6817181239151373E-4</v>
      </c>
      <c r="G28" s="11">
        <f t="shared" si="8"/>
        <v>1.6289285404711882</v>
      </c>
      <c r="H28" s="11">
        <f t="shared" si="8"/>
        <v>3.3701480157224517</v>
      </c>
      <c r="I28" s="11">
        <f t="shared" si="8"/>
        <v>0.12368013866709429</v>
      </c>
      <c r="J28" s="11">
        <f t="shared" si="8"/>
        <v>0.10220846723319413</v>
      </c>
      <c r="K28" s="11">
        <f t="shared" si="8"/>
        <v>0.15168938464629722</v>
      </c>
      <c r="L28" s="11">
        <f t="shared" si="8"/>
        <v>0.31129166294047655</v>
      </c>
      <c r="M28" s="11">
        <f t="shared" si="8"/>
        <v>1.6281535209069724</v>
      </c>
      <c r="N28" s="6"/>
      <c r="O28" s="11">
        <f t="shared" ref="O28:S37" si="9">IF(O5="","",(O5/$O$23))</f>
        <v>0.7484895991893602</v>
      </c>
      <c r="P28" s="11">
        <f t="shared" si="9"/>
        <v>2.9531955048544689</v>
      </c>
      <c r="Q28" s="11">
        <f t="shared" si="9"/>
        <v>0.14005745044813361</v>
      </c>
      <c r="R28" s="11">
        <f t="shared" si="9"/>
        <v>1.4343087509406565</v>
      </c>
      <c r="S28" s="11">
        <f t="shared" si="9"/>
        <v>1.8072359371293689</v>
      </c>
      <c r="T28" s="11">
        <f t="shared" ref="T28:V28" si="10">IF(T5="","",(T5/$O$23))</f>
        <v>1.0990640716119757</v>
      </c>
      <c r="U28" s="11">
        <f t="shared" si="10"/>
        <v>2.9660339918917087</v>
      </c>
      <c r="V28" s="11">
        <f t="shared" si="10"/>
        <v>2.2181063362717341</v>
      </c>
    </row>
    <row r="29" spans="1:22" x14ac:dyDescent="0.35">
      <c r="A29" s="236"/>
      <c r="B29" s="11">
        <f t="shared" ref="B29:M29" si="11">IF(B6="","",(B6/$O$23))</f>
        <v>0.10155240842052517</v>
      </c>
      <c r="C29" s="11">
        <f t="shared" si="11"/>
        <v>9.4380185707923253E-2</v>
      </c>
      <c r="D29" s="11">
        <f t="shared" si="11"/>
        <v>1.9190578986290441E-2</v>
      </c>
      <c r="E29" s="11">
        <f t="shared" si="11"/>
        <v>5.2502108318844068E-2</v>
      </c>
      <c r="F29" s="11">
        <f t="shared" si="11"/>
        <v>0.78631614130006178</v>
      </c>
      <c r="G29" s="11">
        <f t="shared" si="11"/>
        <v>1.5484517637929363</v>
      </c>
      <c r="H29" s="11">
        <f t="shared" si="11"/>
        <v>2.5044940982796406</v>
      </c>
      <c r="I29" s="11">
        <f t="shared" si="11"/>
        <v>0.29129114328388589</v>
      </c>
      <c r="J29" s="11">
        <f t="shared" si="11"/>
        <v>0.29506537063132388</v>
      </c>
      <c r="K29" s="11" t="str">
        <f t="shared" si="11"/>
        <v/>
      </c>
      <c r="L29" s="11">
        <f t="shared" si="11"/>
        <v>0.43060299949325853</v>
      </c>
      <c r="M29" s="11">
        <f t="shared" si="11"/>
        <v>0.95343687648651332</v>
      </c>
      <c r="N29" s="6"/>
      <c r="O29" s="11">
        <f t="shared" si="9"/>
        <v>1.8476999959606013</v>
      </c>
      <c r="P29" s="11">
        <f t="shared" si="9"/>
        <v>1.6577754350146994</v>
      </c>
      <c r="Q29" s="11">
        <f t="shared" si="9"/>
        <v>0.16614500513382244</v>
      </c>
      <c r="R29" s="11">
        <f t="shared" si="9"/>
        <v>0.63644677600562949</v>
      </c>
      <c r="S29" s="11">
        <f t="shared" si="9"/>
        <v>1.8162854269087283</v>
      </c>
      <c r="T29" s="11">
        <f t="shared" ref="T29:V29" si="12">IF(T6="","",(T6/$O$23))</f>
        <v>3.3665029392198114</v>
      </c>
      <c r="U29" s="11" t="str">
        <f t="shared" si="12"/>
        <v/>
      </c>
      <c r="V29" s="11">
        <f t="shared" si="12"/>
        <v>2.3352334435105044</v>
      </c>
    </row>
    <row r="30" spans="1:22" x14ac:dyDescent="0.35">
      <c r="A30" s="236"/>
      <c r="B30" s="11">
        <f t="shared" ref="B30:M30" si="13">IF(B7="","",(B7/$O$23))</f>
        <v>6.3403905161267732E-2</v>
      </c>
      <c r="C30" s="11">
        <f t="shared" si="13"/>
        <v>0.14599106160131964</v>
      </c>
      <c r="D30" s="11">
        <f t="shared" si="13"/>
        <v>0.16013674296041644</v>
      </c>
      <c r="E30" s="11" t="str">
        <f t="shared" si="13"/>
        <v/>
      </c>
      <c r="F30" s="11">
        <f t="shared" si="13"/>
        <v>2.0708559394382074E-2</v>
      </c>
      <c r="G30" s="11">
        <f t="shared" si="13"/>
        <v>1.9946965564262944</v>
      </c>
      <c r="H30" s="11">
        <f t="shared" si="13"/>
        <v>3.1631503542687058</v>
      </c>
      <c r="I30" s="11">
        <f t="shared" si="13"/>
        <v>0.11635460657401005</v>
      </c>
      <c r="J30" s="11">
        <f t="shared" si="13"/>
        <v>0.20175732012790881</v>
      </c>
      <c r="K30" s="11">
        <f t="shared" si="13"/>
        <v>4.6033689013131533E-2</v>
      </c>
      <c r="L30" s="11" t="str">
        <f t="shared" si="13"/>
        <v/>
      </c>
      <c r="M30" s="11">
        <f t="shared" si="13"/>
        <v>1.6881695063008975</v>
      </c>
      <c r="N30" s="6"/>
      <c r="O30" s="11">
        <f t="shared" si="9"/>
        <v>0.27704894227748023</v>
      </c>
      <c r="P30" s="11">
        <f t="shared" si="9"/>
        <v>1.1155500395558813</v>
      </c>
      <c r="Q30" s="11">
        <f t="shared" si="9"/>
        <v>0.15070644138159162</v>
      </c>
      <c r="R30" s="11">
        <f t="shared" si="9"/>
        <v>0.80106361063810938</v>
      </c>
      <c r="S30" s="11">
        <f t="shared" si="9"/>
        <v>1.9729673847708074</v>
      </c>
      <c r="T30" s="11">
        <f t="shared" ref="T30:V30" si="14">IF(T7="","",(T7/$O$23))</f>
        <v>2.0145804052399341</v>
      </c>
      <c r="U30" s="11">
        <f t="shared" si="14"/>
        <v>2.031393715617595</v>
      </c>
      <c r="V30" s="11">
        <f t="shared" si="14"/>
        <v>2.0891883751782583</v>
      </c>
    </row>
    <row r="31" spans="1:22" x14ac:dyDescent="0.35">
      <c r="A31" s="236"/>
      <c r="B31" s="11">
        <f t="shared" ref="B31:M31" si="15">IF(B8="","",(B8/$O$23))</f>
        <v>0.11180524516692655</v>
      </c>
      <c r="C31" s="11">
        <f t="shared" si="15"/>
        <v>0.1258224626538044</v>
      </c>
      <c r="D31" s="11">
        <f t="shared" si="15"/>
        <v>3.9753271203126224E-2</v>
      </c>
      <c r="E31" s="11">
        <f t="shared" si="15"/>
        <v>7.13487430340599E-2</v>
      </c>
      <c r="F31" s="11">
        <f t="shared" si="15"/>
        <v>0</v>
      </c>
      <c r="G31" s="11" t="str">
        <f t="shared" si="15"/>
        <v/>
      </c>
      <c r="H31" s="11">
        <f t="shared" si="15"/>
        <v>3.0236230176604777</v>
      </c>
      <c r="I31" s="11">
        <f t="shared" si="15"/>
        <v>0.12893273100391822</v>
      </c>
      <c r="J31" s="11">
        <f t="shared" si="15"/>
        <v>0.14486190767277843</v>
      </c>
      <c r="K31" s="11">
        <f t="shared" si="15"/>
        <v>0.17705412968375234</v>
      </c>
      <c r="L31" s="11">
        <f t="shared" si="15"/>
        <v>0.32901109014945745</v>
      </c>
      <c r="M31" s="11">
        <f t="shared" si="15"/>
        <v>0.80469700860691162</v>
      </c>
      <c r="N31" s="6"/>
      <c r="O31" s="11">
        <f t="shared" si="9"/>
        <v>0.79934778212734892</v>
      </c>
      <c r="P31" s="11">
        <f t="shared" si="9"/>
        <v>1.856085412247207</v>
      </c>
      <c r="Q31" s="11">
        <f t="shared" si="9"/>
        <v>1.8098521576999597E-2</v>
      </c>
      <c r="R31" s="11">
        <f t="shared" si="9"/>
        <v>2.4733269538515334</v>
      </c>
      <c r="S31" s="11">
        <f t="shared" si="9"/>
        <v>1.7738624657693014</v>
      </c>
      <c r="T31" s="11">
        <f t="shared" ref="T31:V31" si="16">IF(T8="","",(T8/$O$23))</f>
        <v>1.9525141501848462</v>
      </c>
      <c r="U31" s="11">
        <f t="shared" si="16"/>
        <v>3.0308343978100658</v>
      </c>
      <c r="V31" s="11">
        <f t="shared" si="16"/>
        <v>2.9598670390526203</v>
      </c>
    </row>
    <row r="32" spans="1:22" x14ac:dyDescent="0.35">
      <c r="A32" s="236"/>
      <c r="B32" s="11">
        <f t="shared" ref="B32:M32" si="17">IF(B9="","",(B9/$O$23))</f>
        <v>8.2200619869097227E-2</v>
      </c>
      <c r="C32" s="11">
        <f t="shared" si="17"/>
        <v>0.2098484831599664</v>
      </c>
      <c r="D32" s="11">
        <f t="shared" si="17"/>
        <v>0.13097361203983868</v>
      </c>
      <c r="E32" s="11">
        <f t="shared" si="17"/>
        <v>9.6495374277774285E-2</v>
      </c>
      <c r="F32" s="11">
        <f t="shared" si="17"/>
        <v>0.35180506930194644</v>
      </c>
      <c r="G32" s="11">
        <f t="shared" si="17"/>
        <v>3.1824622984105684</v>
      </c>
      <c r="H32" s="11">
        <f t="shared" si="17"/>
        <v>2.6761470205587079</v>
      </c>
      <c r="I32" s="11">
        <f t="shared" si="17"/>
        <v>2.5706513895363821E-3</v>
      </c>
      <c r="J32" s="11">
        <f t="shared" si="17"/>
        <v>4.8255014846393392E-2</v>
      </c>
      <c r="K32" s="11">
        <f t="shared" si="17"/>
        <v>0.13901474056908017</v>
      </c>
      <c r="L32" s="11">
        <f t="shared" si="17"/>
        <v>1.0889449655275634</v>
      </c>
      <c r="M32" s="11">
        <f t="shared" si="17"/>
        <v>2.489768612064112</v>
      </c>
      <c r="N32" s="6"/>
      <c r="O32" s="11">
        <f t="shared" si="9"/>
        <v>1.6600884716872191</v>
      </c>
      <c r="P32" s="11">
        <f t="shared" si="9"/>
        <v>3.7169952039238408</v>
      </c>
      <c r="Q32" s="11">
        <f t="shared" si="9"/>
        <v>3.0352280454326416E-2</v>
      </c>
      <c r="R32" s="11">
        <f t="shared" si="9"/>
        <v>1.2955021630629258</v>
      </c>
      <c r="S32" s="11">
        <f t="shared" si="9"/>
        <v>2.3673439157846117</v>
      </c>
      <c r="T32" s="11">
        <f t="shared" ref="T32:V32" si="18">IF(T9="","",(T9/$O$23))</f>
        <v>2.3601149033388364</v>
      </c>
      <c r="U32" s="11">
        <f t="shared" si="18"/>
        <v>3.4793502072932125</v>
      </c>
      <c r="V32" s="11">
        <f t="shared" si="18"/>
        <v>2.092761663046423</v>
      </c>
    </row>
    <row r="33" spans="1:22" x14ac:dyDescent="0.35">
      <c r="A33" s="236"/>
      <c r="B33" s="11">
        <f t="shared" ref="B33:M33" si="19">IF(B10="","",(B10/$O$23))</f>
        <v>6.0430687840606727E-4</v>
      </c>
      <c r="C33" s="11">
        <f t="shared" si="19"/>
        <v>0</v>
      </c>
      <c r="D33" s="11">
        <f t="shared" si="19"/>
        <v>8.1383580482150331E-2</v>
      </c>
      <c r="E33" s="11">
        <f t="shared" si="19"/>
        <v>0.12542104167697762</v>
      </c>
      <c r="F33" s="11">
        <f t="shared" si="19"/>
        <v>5.0918407534055752E-3</v>
      </c>
      <c r="G33" s="11">
        <f t="shared" si="19"/>
        <v>1.540259157810089</v>
      </c>
      <c r="H33" s="11">
        <f t="shared" si="19"/>
        <v>2.6753592920017861</v>
      </c>
      <c r="I33" s="11">
        <f t="shared" si="19"/>
        <v>0.29603881077535726</v>
      </c>
      <c r="J33" s="11">
        <f t="shared" si="19"/>
        <v>1.6278158738845361E-2</v>
      </c>
      <c r="K33" s="11">
        <f t="shared" si="19"/>
        <v>4.937684106742838E-2</v>
      </c>
      <c r="L33" s="11">
        <f t="shared" si="19"/>
        <v>0.39685066275603204</v>
      </c>
      <c r="M33" s="11">
        <f t="shared" si="19"/>
        <v>1.0913150209241163</v>
      </c>
      <c r="N33" s="6"/>
      <c r="O33" s="11">
        <f t="shared" si="9"/>
        <v>1.851023569296405</v>
      </c>
      <c r="P33" s="11">
        <f t="shared" si="9"/>
        <v>2.9372268272623332</v>
      </c>
      <c r="Q33" s="11">
        <f t="shared" si="9"/>
        <v>0.22508152761573286</v>
      </c>
      <c r="R33" s="11">
        <f t="shared" si="9"/>
        <v>0.74495581224447105</v>
      </c>
      <c r="S33" s="11">
        <f t="shared" si="9"/>
        <v>2.1373393136789769</v>
      </c>
      <c r="T33" s="11">
        <f t="shared" ref="T33:V33" si="20">IF(T10="","",(T10/$O$23))</f>
        <v>2.1732690100044278</v>
      </c>
      <c r="U33" s="11">
        <f t="shared" si="20"/>
        <v>1.7936397193378111</v>
      </c>
      <c r="V33" s="11">
        <f t="shared" si="20"/>
        <v>3.1546110561244691</v>
      </c>
    </row>
    <row r="34" spans="1:22" x14ac:dyDescent="0.35">
      <c r="A34" s="236"/>
      <c r="B34" s="11">
        <f t="shared" ref="B34:M34" si="21">IF(B11="","",(B11/$O$23))</f>
        <v>0.15808154999577284</v>
      </c>
      <c r="C34" s="11">
        <f t="shared" si="21"/>
        <v>4.3017192420011743E-2</v>
      </c>
      <c r="D34" s="11">
        <f t="shared" si="21"/>
        <v>9.9254256153877465E-2</v>
      </c>
      <c r="E34" s="11">
        <f t="shared" si="21"/>
        <v>0.32709409316856458</v>
      </c>
      <c r="F34" s="11">
        <f t="shared" si="21"/>
        <v>0.12280092826177405</v>
      </c>
      <c r="G34" s="11">
        <f t="shared" si="21"/>
        <v>1.8205918290138075</v>
      </c>
      <c r="H34" s="11">
        <f t="shared" si="21"/>
        <v>3.114328129063157</v>
      </c>
      <c r="I34" s="11">
        <f t="shared" si="21"/>
        <v>0.16641498535725582</v>
      </c>
      <c r="J34" s="11">
        <f t="shared" si="21"/>
        <v>0.24617147128672928</v>
      </c>
      <c r="K34" s="11">
        <f t="shared" si="21"/>
        <v>4.9064955516693605E-2</v>
      </c>
      <c r="L34" s="11">
        <f t="shared" si="21"/>
        <v>1.9775738793973536</v>
      </c>
      <c r="M34" s="11">
        <f t="shared" si="21"/>
        <v>1.2561252383375032</v>
      </c>
      <c r="N34" s="6"/>
      <c r="O34" s="11">
        <f t="shared" si="9"/>
        <v>0.84922496822293858</v>
      </c>
      <c r="P34" s="11">
        <f t="shared" si="9"/>
        <v>2.2568613218225635</v>
      </c>
      <c r="Q34" s="11">
        <f t="shared" si="9"/>
        <v>9.542049118295122E-2</v>
      </c>
      <c r="R34" s="11">
        <f t="shared" si="9"/>
        <v>1.6026256198820734</v>
      </c>
      <c r="S34" s="11">
        <f t="shared" si="9"/>
        <v>1.4757654851481261</v>
      </c>
      <c r="T34" s="11">
        <f t="shared" ref="T34:V34" si="22">IF(T11="","",(T11/$O$23))</f>
        <v>2.1068930324767967</v>
      </c>
      <c r="U34" s="11">
        <f t="shared" si="22"/>
        <v>2.7778948726778765</v>
      </c>
      <c r="V34" s="11">
        <f t="shared" si="22"/>
        <v>2.3324027729999259</v>
      </c>
    </row>
    <row r="35" spans="1:22" x14ac:dyDescent="0.35">
      <c r="A35" s="236"/>
      <c r="B35" s="11" t="str">
        <f t="shared" ref="B35:M35" si="23">IF(B12="","",(B12/$O$23))</f>
        <v/>
      </c>
      <c r="C35" s="11">
        <f t="shared" si="23"/>
        <v>9.8065564601847954E-2</v>
      </c>
      <c r="D35" s="11">
        <f t="shared" si="23"/>
        <v>5.8841491275188739E-3</v>
      </c>
      <c r="E35" s="11">
        <f t="shared" si="23"/>
        <v>0.13703614504696285</v>
      </c>
      <c r="F35" s="11">
        <f t="shared" si="23"/>
        <v>9.0155533339710478E-2</v>
      </c>
      <c r="G35" s="11">
        <f t="shared" si="23"/>
        <v>1.8190960607190945</v>
      </c>
      <c r="H35" s="11">
        <f t="shared" si="23"/>
        <v>3.4755786133406597</v>
      </c>
      <c r="I35" s="11">
        <f t="shared" si="23"/>
        <v>9.7431259920838176E-2</v>
      </c>
      <c r="J35" s="11">
        <f t="shared" si="23"/>
        <v>0.14077545128831634</v>
      </c>
      <c r="K35" s="11">
        <f t="shared" si="23"/>
        <v>8.4154827864670323E-2</v>
      </c>
      <c r="L35" s="11">
        <f t="shared" si="23"/>
        <v>0.17749241818896994</v>
      </c>
      <c r="M35" s="11">
        <f t="shared" si="23"/>
        <v>2.6137754061923832</v>
      </c>
      <c r="N35" s="6"/>
      <c r="O35" s="11">
        <f t="shared" si="9"/>
        <v>0.12639677172960675</v>
      </c>
      <c r="P35" s="11">
        <f t="shared" si="9"/>
        <v>2.5931089811161621</v>
      </c>
      <c r="Q35" s="11">
        <f t="shared" si="9"/>
        <v>0.11562389674112118</v>
      </c>
      <c r="R35" s="11">
        <f t="shared" si="9"/>
        <v>1.9590517247301489</v>
      </c>
      <c r="S35" s="11">
        <f t="shared" si="9"/>
        <v>1.7354290978807385</v>
      </c>
      <c r="T35" s="11">
        <f t="shared" ref="T35:V35" si="24">IF(T12="","",(T12/$O$23))</f>
        <v>1.4772661767463202</v>
      </c>
      <c r="U35" s="11">
        <f t="shared" si="24"/>
        <v>2.7388896001175365</v>
      </c>
      <c r="V35" s="11">
        <f t="shared" si="24"/>
        <v>2.9831516311217388</v>
      </c>
    </row>
    <row r="36" spans="1:22" x14ac:dyDescent="0.35">
      <c r="A36" s="236"/>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t="str">
        <f t="shared" si="9"/>
        <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5">
      <c r="A37" s="236"/>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1.9351113028392213</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5">
      <c r="A38" s="236"/>
      <c r="B38" s="11" t="str">
        <f t="shared" ref="B38:J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ref="K38:M43" si="30">IF(K15="","",(K15/$O$23))</f>
        <v/>
      </c>
      <c r="L38" s="11" t="str">
        <f t="shared" si="30"/>
        <v/>
      </c>
      <c r="M38" s="11" t="str">
        <f t="shared" si="30"/>
        <v/>
      </c>
      <c r="N38" s="6"/>
      <c r="O38" s="11">
        <f t="shared" ref="O38:V38" si="31">IF(O15="","",(O15/$O$23))</f>
        <v>1.155526347856229</v>
      </c>
      <c r="P38" s="11" t="str">
        <f t="shared" si="31"/>
        <v/>
      </c>
      <c r="Q38" s="11" t="str">
        <f t="shared" si="31"/>
        <v/>
      </c>
      <c r="R38" s="11" t="str">
        <f t="shared" si="31"/>
        <v/>
      </c>
      <c r="S38" s="11" t="str">
        <f t="shared" si="31"/>
        <v/>
      </c>
      <c r="T38" s="11" t="str">
        <f t="shared" si="31"/>
        <v/>
      </c>
      <c r="U38" s="11" t="str">
        <f t="shared" si="31"/>
        <v/>
      </c>
      <c r="V38" s="11" t="str">
        <f t="shared" si="31"/>
        <v/>
      </c>
    </row>
    <row r="39" spans="1:22" x14ac:dyDescent="0.35">
      <c r="A39" s="236"/>
      <c r="B39" s="11" t="str">
        <f t="shared" ref="B39:J39" si="32">IF(B16="","",(B16/$O$23))</f>
        <v/>
      </c>
      <c r="C39" s="11" t="str">
        <f t="shared" si="32"/>
        <v/>
      </c>
      <c r="D39" s="11" t="str">
        <f t="shared" si="32"/>
        <v/>
      </c>
      <c r="E39" s="11" t="str">
        <f t="shared" si="32"/>
        <v/>
      </c>
      <c r="F39" s="11" t="str">
        <f t="shared" si="32"/>
        <v/>
      </c>
      <c r="G39" s="11" t="str">
        <f t="shared" si="32"/>
        <v/>
      </c>
      <c r="H39" s="11" t="str">
        <f t="shared" si="32"/>
        <v/>
      </c>
      <c r="I39" s="11" t="str">
        <f t="shared" si="32"/>
        <v/>
      </c>
      <c r="J39" s="11" t="str">
        <f t="shared" si="32"/>
        <v/>
      </c>
      <c r="K39" s="11" t="str">
        <f t="shared" si="30"/>
        <v/>
      </c>
      <c r="L39" s="11" t="str">
        <f t="shared" si="30"/>
        <v/>
      </c>
      <c r="M39" s="11" t="str">
        <f t="shared" si="30"/>
        <v/>
      </c>
      <c r="N39" s="6"/>
      <c r="O39" s="11">
        <f t="shared" ref="O39:V39" si="33">IF(O16="","",(O16/$O$23))</f>
        <v>2.2817404917422999</v>
      </c>
      <c r="P39" s="11" t="str">
        <f t="shared" si="33"/>
        <v/>
      </c>
      <c r="Q39" s="11" t="str">
        <f t="shared" si="33"/>
        <v/>
      </c>
      <c r="R39" s="11" t="str">
        <f t="shared" si="33"/>
        <v/>
      </c>
      <c r="S39" s="11" t="str">
        <f t="shared" si="33"/>
        <v/>
      </c>
      <c r="T39" s="11" t="str">
        <f t="shared" si="33"/>
        <v/>
      </c>
      <c r="U39" s="11" t="str">
        <f t="shared" si="33"/>
        <v/>
      </c>
      <c r="V39" s="11" t="str">
        <f t="shared" si="33"/>
        <v/>
      </c>
    </row>
    <row r="40" spans="1:22" x14ac:dyDescent="0.35">
      <c r="A40" s="236"/>
      <c r="B40" s="11" t="str">
        <f t="shared" ref="B40:J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0"/>
        <v/>
      </c>
      <c r="L40" s="11" t="str">
        <f t="shared" si="30"/>
        <v/>
      </c>
      <c r="M40" s="11" t="str">
        <f t="shared" si="30"/>
        <v/>
      </c>
      <c r="N40" s="6"/>
      <c r="O40" s="11">
        <f t="shared" ref="O40:V40" si="35">IF(O17="","",(O17/$O$23))</f>
        <v>6.8763207238651439E-2</v>
      </c>
      <c r="P40" s="11" t="str">
        <f t="shared" si="35"/>
        <v/>
      </c>
      <c r="Q40" s="11" t="str">
        <f t="shared" si="35"/>
        <v/>
      </c>
      <c r="R40" s="11" t="str">
        <f t="shared" si="35"/>
        <v/>
      </c>
      <c r="S40" s="11" t="str">
        <f t="shared" si="35"/>
        <v/>
      </c>
      <c r="T40" s="11" t="str">
        <f t="shared" si="35"/>
        <v/>
      </c>
      <c r="U40" s="11" t="str">
        <f t="shared" si="35"/>
        <v/>
      </c>
      <c r="V40" s="11" t="str">
        <f t="shared" si="35"/>
        <v/>
      </c>
    </row>
    <row r="41" spans="1:22" x14ac:dyDescent="0.35">
      <c r="A41" s="236"/>
      <c r="B41" s="11" t="str">
        <f t="shared" ref="B41:J41" si="36">IF(B18="","",(B18/$O$23))</f>
        <v/>
      </c>
      <c r="C41" s="11" t="str">
        <f t="shared" si="36"/>
        <v/>
      </c>
      <c r="D41" s="11" t="str">
        <f t="shared" si="36"/>
        <v/>
      </c>
      <c r="E41" s="11" t="str">
        <f t="shared" si="36"/>
        <v/>
      </c>
      <c r="F41" s="11" t="str">
        <f t="shared" si="36"/>
        <v/>
      </c>
      <c r="G41" s="11" t="str">
        <f t="shared" si="36"/>
        <v/>
      </c>
      <c r="H41" s="11" t="str">
        <f t="shared" si="36"/>
        <v/>
      </c>
      <c r="I41" s="11" t="str">
        <f t="shared" si="36"/>
        <v/>
      </c>
      <c r="J41" s="11" t="str">
        <f t="shared" si="36"/>
        <v/>
      </c>
      <c r="K41" s="11" t="str">
        <f t="shared" si="30"/>
        <v/>
      </c>
      <c r="L41" s="11" t="str">
        <f t="shared" si="30"/>
        <v/>
      </c>
      <c r="M41" s="11" t="str">
        <f t="shared" si="30"/>
        <v/>
      </c>
      <c r="N41" s="6"/>
      <c r="O41" s="11">
        <f t="shared" ref="O41:V41" si="37">IF(O18="","",(O18/$O$23))</f>
        <v>0.6117312200550562</v>
      </c>
      <c r="P41" s="11" t="str">
        <f t="shared" si="37"/>
        <v/>
      </c>
      <c r="Q41" s="11" t="str">
        <f t="shared" si="37"/>
        <v/>
      </c>
      <c r="R41" s="11" t="str">
        <f t="shared" si="37"/>
        <v/>
      </c>
      <c r="S41" s="11" t="str">
        <f t="shared" si="37"/>
        <v/>
      </c>
      <c r="T41" s="11" t="str">
        <f t="shared" si="37"/>
        <v/>
      </c>
      <c r="U41" s="11" t="str">
        <f t="shared" si="37"/>
        <v/>
      </c>
      <c r="V41" s="11" t="str">
        <f t="shared" si="37"/>
        <v/>
      </c>
    </row>
    <row r="42" spans="1:22" x14ac:dyDescent="0.35">
      <c r="A42" s="236"/>
      <c r="B42" s="11" t="str">
        <f t="shared" ref="B42:J42" si="38">IF(B19="","",(B19/$O$23))</f>
        <v/>
      </c>
      <c r="C42" s="11" t="str">
        <f t="shared" si="38"/>
        <v/>
      </c>
      <c r="D42" s="11" t="str">
        <f t="shared" si="38"/>
        <v/>
      </c>
      <c r="E42" s="11" t="str">
        <f t="shared" si="38"/>
        <v/>
      </c>
      <c r="F42" s="11" t="str">
        <f t="shared" si="38"/>
        <v/>
      </c>
      <c r="G42" s="11" t="str">
        <f t="shared" si="38"/>
        <v/>
      </c>
      <c r="H42" s="11" t="str">
        <f t="shared" si="38"/>
        <v/>
      </c>
      <c r="I42" s="11" t="str">
        <f t="shared" si="38"/>
        <v/>
      </c>
      <c r="J42" s="11" t="str">
        <f t="shared" si="38"/>
        <v/>
      </c>
      <c r="K42" s="11" t="str">
        <f t="shared" si="30"/>
        <v/>
      </c>
      <c r="L42" s="11" t="str">
        <f t="shared" si="30"/>
        <v/>
      </c>
      <c r="M42" s="11" t="str">
        <f t="shared" si="30"/>
        <v/>
      </c>
      <c r="N42" s="6"/>
      <c r="O42" s="11">
        <f t="shared" ref="O42:V42" si="39">IF(O19="","",(O19/$O$23))</f>
        <v>0.17329730564164172</v>
      </c>
      <c r="P42" s="11" t="str">
        <f t="shared" si="39"/>
        <v/>
      </c>
      <c r="Q42" s="11" t="str">
        <f t="shared" si="39"/>
        <v/>
      </c>
      <c r="R42" s="11" t="str">
        <f t="shared" si="39"/>
        <v/>
      </c>
      <c r="S42" s="11" t="str">
        <f t="shared" si="39"/>
        <v/>
      </c>
      <c r="T42" s="11" t="str">
        <f t="shared" si="39"/>
        <v/>
      </c>
      <c r="U42" s="11" t="str">
        <f t="shared" si="39"/>
        <v/>
      </c>
      <c r="V42" s="11" t="str">
        <f t="shared" si="39"/>
        <v/>
      </c>
    </row>
    <row r="43" spans="1:22" x14ac:dyDescent="0.35">
      <c r="A43" s="236"/>
      <c r="B43" s="11" t="str">
        <f t="shared" ref="B43:J43" si="40">IF(B20="","",(B20/$O$23))</f>
        <v/>
      </c>
      <c r="C43" s="11" t="str">
        <f t="shared" si="40"/>
        <v/>
      </c>
      <c r="D43" s="11" t="str">
        <f t="shared" si="40"/>
        <v/>
      </c>
      <c r="E43" s="11" t="str">
        <f t="shared" si="40"/>
        <v/>
      </c>
      <c r="F43" s="11" t="str">
        <f t="shared" si="40"/>
        <v/>
      </c>
      <c r="G43" s="11" t="str">
        <f t="shared" si="40"/>
        <v/>
      </c>
      <c r="H43" s="11" t="str">
        <f t="shared" si="40"/>
        <v/>
      </c>
      <c r="I43" s="11" t="str">
        <f t="shared" si="40"/>
        <v/>
      </c>
      <c r="J43" s="11" t="str">
        <f t="shared" si="40"/>
        <v/>
      </c>
      <c r="K43" s="11" t="str">
        <f t="shared" si="30"/>
        <v/>
      </c>
      <c r="L43" s="11" t="str">
        <f t="shared" si="30"/>
        <v/>
      </c>
      <c r="M43" s="11" t="str">
        <f t="shared" si="30"/>
        <v/>
      </c>
      <c r="N43" s="6"/>
      <c r="O43" s="11">
        <f t="shared" ref="O43:V43" si="41">IF(O20="","",(O20/$O$23))</f>
        <v>0.61451002413594202</v>
      </c>
      <c r="P43" s="11" t="str">
        <f t="shared" si="41"/>
        <v/>
      </c>
      <c r="Q43" s="11" t="str">
        <f t="shared" si="41"/>
        <v/>
      </c>
      <c r="R43" s="11" t="str">
        <f t="shared" si="41"/>
        <v/>
      </c>
      <c r="S43" s="11" t="str">
        <f t="shared" si="41"/>
        <v/>
      </c>
      <c r="T43" s="11" t="str">
        <f t="shared" si="41"/>
        <v/>
      </c>
      <c r="U43" s="11" t="str">
        <f t="shared" si="41"/>
        <v/>
      </c>
      <c r="V43" s="11" t="str">
        <f t="shared" si="41"/>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42">B4</f>
        <v>Témoin solvant</v>
      </c>
      <c r="C45" s="7" t="str">
        <f t="shared" si="42"/>
        <v>EE2-33,8ng/L</v>
      </c>
      <c r="D45" s="7" t="str">
        <f t="shared" si="42"/>
        <v>EE2-50,6ng/L</v>
      </c>
      <c r="E45" s="7" t="str">
        <f t="shared" si="42"/>
        <v>EE2-76ng/L</v>
      </c>
      <c r="F45" s="7" t="str">
        <f t="shared" si="42"/>
        <v>EE2-114ng/L</v>
      </c>
      <c r="G45" s="7" t="str">
        <f t="shared" si="42"/>
        <v>EE2-170,9ng/L</v>
      </c>
      <c r="H45" s="7" t="str">
        <f t="shared" si="42"/>
        <v>EE2-488ng/L</v>
      </c>
      <c r="I45" s="7" t="str">
        <f t="shared" si="42"/>
        <v>BPA-1mg/L</v>
      </c>
      <c r="J45" s="7" t="str">
        <f t="shared" si="42"/>
        <v>BPA-2mg/L</v>
      </c>
      <c r="K45" s="7" t="str">
        <f t="shared" ref="K45:M45" si="43">K4</f>
        <v>BPA-3mg/L</v>
      </c>
      <c r="L45" s="7" t="str">
        <f t="shared" si="43"/>
        <v>BPA-4mg/L</v>
      </c>
      <c r="M45" s="7" t="str">
        <f t="shared" si="43"/>
        <v>BPA-5mg/L</v>
      </c>
      <c r="N45" s="7"/>
      <c r="O45" s="7" t="str">
        <f t="shared" si="42"/>
        <v>Testo -30µg/L</v>
      </c>
      <c r="P45" s="7" t="str">
        <f t="shared" si="42"/>
        <v>Testo 30µg/L + EE2 -64ng/L</v>
      </c>
      <c r="Q45" s="7" t="str">
        <f t="shared" si="42"/>
        <v>Testo 30µg/L + FAD-10mg/L</v>
      </c>
      <c r="R45" s="7" t="str">
        <f t="shared" si="42"/>
        <v>BPA-1mg/L + Testostérone</v>
      </c>
      <c r="S45" s="7" t="str">
        <f t="shared" ref="S45:V45" si="44">S4</f>
        <v>BPA-2mg/L + Testostérone</v>
      </c>
      <c r="T45" s="7" t="str">
        <f t="shared" si="44"/>
        <v>BPA-3mg/L + Testostérone</v>
      </c>
      <c r="U45" s="7" t="str">
        <f t="shared" si="44"/>
        <v>BPA-4mg/L + Testostérone</v>
      </c>
      <c r="V45" s="7" t="str">
        <f t="shared" si="44"/>
        <v>BPA-5mg/L + Testostérone</v>
      </c>
    </row>
    <row r="46" spans="1:22" x14ac:dyDescent="0.35">
      <c r="A46" s="8" t="s">
        <v>0</v>
      </c>
      <c r="B46" s="10">
        <f t="shared" ref="B46:H46" si="45">AVERAGE(B28:B43)</f>
        <v>7.5471003775064799E-2</v>
      </c>
      <c r="C46" s="10">
        <f t="shared" si="45"/>
        <v>0.10244642144926765</v>
      </c>
      <c r="D46" s="10">
        <f t="shared" si="45"/>
        <v>7.5997429226482019E-2</v>
      </c>
      <c r="E46" s="10">
        <f t="shared" si="45"/>
        <v>0.11780963085220983</v>
      </c>
      <c r="F46" s="10">
        <f t="shared" si="45"/>
        <v>0.17216828052045899</v>
      </c>
      <c r="G46" s="10">
        <f t="shared" si="45"/>
        <v>1.9334980295205682</v>
      </c>
      <c r="H46" s="10">
        <f t="shared" si="45"/>
        <v>3.0003535676119482</v>
      </c>
      <c r="I46" s="10">
        <f>AVERAGE(I28:I43)</f>
        <v>0.15283929087148704</v>
      </c>
      <c r="J46" s="9">
        <f>AVERAGE(J28:J43)</f>
        <v>0.14942164522818621</v>
      </c>
      <c r="K46" s="9">
        <f t="shared" ref="K46:M46" si="46">AVERAGE(K28:K43)</f>
        <v>9.9484081194436219E-2</v>
      </c>
      <c r="L46" s="9">
        <f t="shared" si="46"/>
        <v>0.6731096683504445</v>
      </c>
      <c r="M46" s="9">
        <f t="shared" si="46"/>
        <v>1.5656801487274261</v>
      </c>
      <c r="N46" s="8" t="s">
        <v>0</v>
      </c>
      <c r="O46" s="10">
        <f t="shared" ref="O46:R46" si="47">AVERAGE(O28:O43)</f>
        <v>1</v>
      </c>
      <c r="P46" s="10">
        <f t="shared" si="47"/>
        <v>2.3858498407246445</v>
      </c>
      <c r="Q46" s="10">
        <f t="shared" si="47"/>
        <v>0.11768570181683487</v>
      </c>
      <c r="R46" s="10">
        <f t="shared" si="47"/>
        <v>1.3684101764194434</v>
      </c>
      <c r="S46" s="10">
        <f t="shared" ref="S46:V46" si="48">AVERAGE(S28:S43)</f>
        <v>1.8857786283838325</v>
      </c>
      <c r="T46" s="10">
        <f t="shared" si="48"/>
        <v>2.0687755861028685</v>
      </c>
      <c r="U46" s="10">
        <f t="shared" si="48"/>
        <v>2.6882909292494008</v>
      </c>
      <c r="V46" s="10">
        <f t="shared" si="48"/>
        <v>2.5206652896632091</v>
      </c>
    </row>
    <row r="47" spans="1:22" x14ac:dyDescent="0.35">
      <c r="A47" s="8" t="s">
        <v>1</v>
      </c>
      <c r="B47" s="8">
        <f t="shared" ref="B47:J47" si="49">STDEV(B28:B43)</f>
        <v>5.6010024947128624E-2</v>
      </c>
      <c r="C47" s="8">
        <f t="shared" si="49"/>
        <v>6.8421654034135845E-2</v>
      </c>
      <c r="D47" s="8">
        <f t="shared" si="49"/>
        <v>5.3651429532381251E-2</v>
      </c>
      <c r="E47" s="8">
        <f t="shared" si="49"/>
        <v>0.10142546253418747</v>
      </c>
      <c r="F47" s="8">
        <f t="shared" si="49"/>
        <v>0.2747954108968057</v>
      </c>
      <c r="G47" s="8">
        <f t="shared" si="49"/>
        <v>0.57520324464091521</v>
      </c>
      <c r="H47" s="8">
        <f t="shared" si="49"/>
        <v>0.35035268298196343</v>
      </c>
      <c r="I47" s="8">
        <f t="shared" si="49"/>
        <v>9.8751450820261807E-2</v>
      </c>
      <c r="J47" s="8">
        <f t="shared" si="49"/>
        <v>9.5317629615649338E-2</v>
      </c>
      <c r="K47" s="8">
        <f t="shared" ref="K47:M47" si="50">STDEV(K28:K43)</f>
        <v>5.5452582357913248E-2</v>
      </c>
      <c r="L47" s="8">
        <f t="shared" si="50"/>
        <v>0.64609428544514691</v>
      </c>
      <c r="M47" s="8">
        <f t="shared" si="50"/>
        <v>0.6809796937099456</v>
      </c>
      <c r="N47" s="8" t="s">
        <v>1</v>
      </c>
      <c r="O47" s="8">
        <f t="shared" ref="O47:R47" si="51">STDEV(O28:O43)</f>
        <v>0.7407583316942089</v>
      </c>
      <c r="P47" s="8">
        <f t="shared" si="51"/>
        <v>0.83510857514121373</v>
      </c>
      <c r="Q47" s="8">
        <f t="shared" si="51"/>
        <v>6.9197187654417736E-2</v>
      </c>
      <c r="R47" s="8">
        <f t="shared" si="51"/>
        <v>0.64148950415550687</v>
      </c>
      <c r="S47" s="8">
        <f t="shared" ref="S47:V47" si="52">STDEV(S28:S43)</f>
        <v>0.27177433639471243</v>
      </c>
      <c r="T47" s="8">
        <f t="shared" si="52"/>
        <v>0.66418847776346113</v>
      </c>
      <c r="U47" s="8">
        <f t="shared" si="52"/>
        <v>0.58633833334855257</v>
      </c>
      <c r="V47" s="8">
        <f t="shared" si="52"/>
        <v>0.43741489522406551</v>
      </c>
    </row>
    <row r="48" spans="1:22" x14ac:dyDescent="0.35">
      <c r="A48" s="8" t="s">
        <v>2</v>
      </c>
      <c r="B48" s="8">
        <f t="shared" ref="B48:J48" si="53" xml:space="preserve"> B47/SQRT(COUNT(B28:B43))</f>
        <v>2.1169799562375139E-2</v>
      </c>
      <c r="C48" s="8">
        <f t="shared" si="53"/>
        <v>2.586095440943182E-2</v>
      </c>
      <c r="D48" s="8">
        <f t="shared" si="53"/>
        <v>1.8968644821349492E-2</v>
      </c>
      <c r="E48" s="8">
        <f t="shared" si="53"/>
        <v>3.8335221496451286E-2</v>
      </c>
      <c r="F48" s="8">
        <f t="shared" si="53"/>
        <v>9.7154849242037503E-2</v>
      </c>
      <c r="G48" s="8">
        <f t="shared" si="53"/>
        <v>0.21740639123390113</v>
      </c>
      <c r="H48" s="8">
        <f t="shared" si="53"/>
        <v>0.12386837897172352</v>
      </c>
      <c r="I48" s="8">
        <f t="shared" si="53"/>
        <v>3.4913910263508485E-2</v>
      </c>
      <c r="J48" s="8">
        <f t="shared" si="53"/>
        <v>3.3699871133926668E-2</v>
      </c>
      <c r="K48" s="8">
        <f t="shared" ref="K48:M48" si="54" xml:space="preserve"> K47/SQRT(COUNT(K28:K43))</f>
        <v>2.0959106067909451E-2</v>
      </c>
      <c r="L48" s="8">
        <f t="shared" si="54"/>
        <v>0.24420068611254817</v>
      </c>
      <c r="M48" s="8">
        <f t="shared" si="54"/>
        <v>0.24076267963632031</v>
      </c>
      <c r="N48" s="8" t="s">
        <v>2</v>
      </c>
      <c r="O48" s="8">
        <f t="shared" ref="O48:R48" si="55" xml:space="preserve"> O47/SQRT(COUNT(O28:O43))</f>
        <v>0.19126297881440404</v>
      </c>
      <c r="P48" s="8">
        <f t="shared" si="55"/>
        <v>0.29525546825469384</v>
      </c>
      <c r="Q48" s="8">
        <f t="shared" si="55"/>
        <v>2.4464900314738414E-2</v>
      </c>
      <c r="R48" s="8">
        <f t="shared" si="55"/>
        <v>0.22680078922417743</v>
      </c>
      <c r="S48" s="8">
        <f t="shared" ref="S48:V48" si="56" xml:space="preserve"> S47/SQRT(COUNT(S28:S43))</f>
        <v>9.6086738108587533E-2</v>
      </c>
      <c r="T48" s="8">
        <f t="shared" si="56"/>
        <v>0.23482608830625687</v>
      </c>
      <c r="U48" s="8">
        <f t="shared" si="56"/>
        <v>0.22161505916919427</v>
      </c>
      <c r="V48" s="8">
        <f t="shared" si="56"/>
        <v>0.15464951930246995</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27" t="s">
        <v>44</v>
      </c>
      <c r="B50" s="228"/>
      <c r="C50" s="228"/>
      <c r="D50" s="228"/>
      <c r="E50" s="228"/>
      <c r="F50" s="228"/>
      <c r="G50" s="228"/>
      <c r="H50" s="228"/>
      <c r="I50" s="228"/>
      <c r="J50" s="228"/>
      <c r="K50" s="228"/>
      <c r="L50" s="228"/>
      <c r="M50" s="228"/>
      <c r="N50" s="228"/>
      <c r="O50" s="228"/>
      <c r="P50" s="228"/>
      <c r="Q50" s="228"/>
      <c r="R50" s="228"/>
      <c r="S50" s="228"/>
      <c r="T50" s="228"/>
      <c r="U50" s="228"/>
      <c r="V50" s="228"/>
    </row>
    <row r="51" spans="1:22" customFormat="1" ht="15" thickBot="1" x14ac:dyDescent="0.4"/>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BPA-1mg/L</v>
      </c>
      <c r="J52" s="46" t="str">
        <f>J4</f>
        <v>BPA-2mg/L</v>
      </c>
      <c r="K52" s="46" t="str">
        <f t="shared" ref="K52:M52" si="58">K4</f>
        <v>BPA-3mg/L</v>
      </c>
      <c r="L52" s="46" t="str">
        <f t="shared" si="58"/>
        <v>BPA-4mg/L</v>
      </c>
      <c r="M52" s="46" t="str">
        <f t="shared" si="58"/>
        <v>BPA-5mg/L</v>
      </c>
      <c r="N52" s="47"/>
      <c r="O52" s="46" t="str">
        <f>O27</f>
        <v>Testo -30µg/L</v>
      </c>
      <c r="P52" s="46" t="str">
        <f>P27</f>
        <v>Testo 30µg/L + EE2 -64ng/L</v>
      </c>
      <c r="Q52" s="46" t="str">
        <f>Q27</f>
        <v>Testo 30µg/L + FAD-10mg/L</v>
      </c>
      <c r="R52" s="46" t="str">
        <f>R27</f>
        <v>BPA-1mg/L + Testostérone</v>
      </c>
      <c r="S52" s="46" t="str">
        <f t="shared" ref="S52:V52" si="59">S27</f>
        <v>BPA-2mg/L + Testostérone</v>
      </c>
      <c r="T52" s="46" t="str">
        <f t="shared" si="59"/>
        <v>BPA-3mg/L + Testostérone</v>
      </c>
      <c r="U52" s="46" t="str">
        <f t="shared" si="59"/>
        <v>BPA-4mg/L + Testostérone</v>
      </c>
      <c r="V52" s="46" t="str">
        <f t="shared" si="59"/>
        <v>BPA-5mg/L + Testostérone</v>
      </c>
    </row>
    <row r="53" spans="1:22" s="3" customFormat="1" x14ac:dyDescent="0.35">
      <c r="A53" s="61" t="s">
        <v>32</v>
      </c>
      <c r="B53" s="141">
        <f t="shared" ref="B53" si="60">B46</f>
        <v>7.5471003775064799E-2</v>
      </c>
      <c r="C53" s="141">
        <f t="shared" ref="C53:V53" si="61">C46</f>
        <v>0.10244642144926765</v>
      </c>
      <c r="D53" s="141">
        <f t="shared" si="61"/>
        <v>7.5997429226482019E-2</v>
      </c>
      <c r="E53" s="141">
        <f t="shared" si="61"/>
        <v>0.11780963085220983</v>
      </c>
      <c r="F53" s="141">
        <f t="shared" si="61"/>
        <v>0.17216828052045899</v>
      </c>
      <c r="G53" s="141">
        <f t="shared" si="61"/>
        <v>1.9334980295205682</v>
      </c>
      <c r="H53" s="141">
        <f t="shared" si="61"/>
        <v>3.0003535676119482</v>
      </c>
      <c r="I53" s="141">
        <f t="shared" si="61"/>
        <v>0.15283929087148704</v>
      </c>
      <c r="J53" s="141">
        <f t="shared" si="61"/>
        <v>0.14942164522818621</v>
      </c>
      <c r="K53" s="141">
        <f t="shared" si="61"/>
        <v>9.9484081194436219E-2</v>
      </c>
      <c r="L53" s="141">
        <f t="shared" si="61"/>
        <v>0.6731096683504445</v>
      </c>
      <c r="M53" s="141">
        <f t="shared" si="61"/>
        <v>1.5656801487274261</v>
      </c>
      <c r="N53" s="141"/>
      <c r="O53" s="141">
        <f t="shared" si="61"/>
        <v>1</v>
      </c>
      <c r="P53" s="141">
        <f t="shared" si="61"/>
        <v>2.3858498407246445</v>
      </c>
      <c r="Q53" s="141">
        <f t="shared" si="61"/>
        <v>0.11768570181683487</v>
      </c>
      <c r="R53" s="141">
        <f t="shared" si="61"/>
        <v>1.3684101764194434</v>
      </c>
      <c r="S53" s="141">
        <f t="shared" si="61"/>
        <v>1.8857786283838325</v>
      </c>
      <c r="T53" s="141">
        <f t="shared" si="61"/>
        <v>2.0687755861028685</v>
      </c>
      <c r="U53" s="141">
        <f t="shared" si="61"/>
        <v>2.6882909292494008</v>
      </c>
      <c r="V53" s="141">
        <f t="shared" si="61"/>
        <v>2.5206652896632091</v>
      </c>
    </row>
    <row r="54" spans="1:22" s="3" customFormat="1" x14ac:dyDescent="0.35">
      <c r="A54" s="61" t="s">
        <v>2</v>
      </c>
      <c r="B54" s="141">
        <f t="shared" ref="B54" si="62">B48</f>
        <v>2.1169799562375139E-2</v>
      </c>
      <c r="C54" s="141">
        <f t="shared" ref="C54:V54" si="63">C48</f>
        <v>2.586095440943182E-2</v>
      </c>
      <c r="D54" s="141">
        <f t="shared" si="63"/>
        <v>1.8968644821349492E-2</v>
      </c>
      <c r="E54" s="141">
        <f t="shared" si="63"/>
        <v>3.8335221496451286E-2</v>
      </c>
      <c r="F54" s="141">
        <f t="shared" si="63"/>
        <v>9.7154849242037503E-2</v>
      </c>
      <c r="G54" s="141">
        <f t="shared" si="63"/>
        <v>0.21740639123390113</v>
      </c>
      <c r="H54" s="141">
        <f t="shared" si="63"/>
        <v>0.12386837897172352</v>
      </c>
      <c r="I54" s="141">
        <f t="shared" si="63"/>
        <v>3.4913910263508485E-2</v>
      </c>
      <c r="J54" s="141">
        <f t="shared" si="63"/>
        <v>3.3699871133926668E-2</v>
      </c>
      <c r="K54" s="141">
        <f t="shared" si="63"/>
        <v>2.0959106067909451E-2</v>
      </c>
      <c r="L54" s="141">
        <f t="shared" si="63"/>
        <v>0.24420068611254817</v>
      </c>
      <c r="M54" s="141">
        <f t="shared" si="63"/>
        <v>0.24076267963632031</v>
      </c>
      <c r="N54" s="141"/>
      <c r="O54" s="141">
        <f t="shared" si="63"/>
        <v>0.19126297881440404</v>
      </c>
      <c r="P54" s="141">
        <f t="shared" si="63"/>
        <v>0.29525546825469384</v>
      </c>
      <c r="Q54" s="141">
        <f t="shared" si="63"/>
        <v>2.4464900314738414E-2</v>
      </c>
      <c r="R54" s="141">
        <f t="shared" si="63"/>
        <v>0.22680078922417743</v>
      </c>
      <c r="S54" s="141">
        <f t="shared" si="63"/>
        <v>9.6086738108587533E-2</v>
      </c>
      <c r="T54" s="141">
        <f t="shared" si="63"/>
        <v>0.23482608830625687</v>
      </c>
      <c r="U54" s="141">
        <f t="shared" si="63"/>
        <v>0.22161505916919427</v>
      </c>
      <c r="V54" s="141">
        <f t="shared" si="63"/>
        <v>0.15464951930246995</v>
      </c>
    </row>
    <row r="55" spans="1:22" s="3" customFormat="1" x14ac:dyDescent="0.35">
      <c r="A55" s="61" t="s">
        <v>79</v>
      </c>
      <c r="B55" s="141">
        <f>(B53*100/$B53)-100</f>
        <v>0</v>
      </c>
      <c r="C55" s="141">
        <f t="shared" ref="C55:M55" si="64">(C53*100/$B53)-100</f>
        <v>35.742757250984624</v>
      </c>
      <c r="D55" s="141">
        <f t="shared" si="64"/>
        <v>0.69752014029943155</v>
      </c>
      <c r="E55" s="141">
        <f t="shared" si="64"/>
        <v>56.099196988729432</v>
      </c>
      <c r="F55" s="141">
        <f t="shared" si="64"/>
        <v>128.12507043578296</v>
      </c>
      <c r="G55" s="141">
        <f t="shared" si="64"/>
        <v>2461.9084586223366</v>
      </c>
      <c r="H55" s="141">
        <f t="shared" si="64"/>
        <v>3875.5050516543524</v>
      </c>
      <c r="I55" s="141">
        <f t="shared" si="64"/>
        <v>102.51392352884577</v>
      </c>
      <c r="J55" s="141">
        <f t="shared" si="64"/>
        <v>97.985501390077303</v>
      </c>
      <c r="K55" s="141">
        <f t="shared" si="64"/>
        <v>31.817620302150004</v>
      </c>
      <c r="L55" s="141">
        <f t="shared" si="64"/>
        <v>791.8785158291962</v>
      </c>
      <c r="M55" s="141">
        <f t="shared" si="64"/>
        <v>1974.5452828397629</v>
      </c>
      <c r="N55" s="141"/>
      <c r="O55" s="141">
        <f>(O53*100/$O53)-100</f>
        <v>0</v>
      </c>
      <c r="P55" s="141">
        <f t="shared" ref="P55:V55" si="65">(P53*100/$O53)-100</f>
        <v>138.58498407246444</v>
      </c>
      <c r="Q55" s="141">
        <f t="shared" si="65"/>
        <v>-88.231429818316514</v>
      </c>
      <c r="R55" s="141">
        <f t="shared" si="65"/>
        <v>36.841017641944347</v>
      </c>
      <c r="S55" s="141">
        <f t="shared" si="65"/>
        <v>88.577862838383254</v>
      </c>
      <c r="T55" s="141">
        <f t="shared" si="65"/>
        <v>106.87755861028685</v>
      </c>
      <c r="U55" s="141">
        <f t="shared" si="65"/>
        <v>168.82909292494008</v>
      </c>
      <c r="V55" s="141">
        <f t="shared" si="65"/>
        <v>152.0665289663209</v>
      </c>
    </row>
    <row r="56" spans="1:22" s="3" customFormat="1" x14ac:dyDescent="0.35">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5">
      <c r="A57" s="61" t="s">
        <v>85</v>
      </c>
      <c r="B57" s="141" t="e">
        <f ca="1">IF(B56&gt;0.05,"Oui","Non")</f>
        <v>#NAME?</v>
      </c>
      <c r="C57" s="141" t="e">
        <f t="shared" ref="C57:V57" ca="1" si="66">IF(C56&gt;0.05,"Oui","Non")</f>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ca="1" si="66"/>
        <v>#NAME?</v>
      </c>
      <c r="P57" s="141" t="e">
        <f t="shared" ca="1" si="66"/>
        <v>#NAME?</v>
      </c>
      <c r="Q57" s="141" t="e">
        <f t="shared" ca="1" si="66"/>
        <v>#NAME?</v>
      </c>
      <c r="R57" s="141" t="e">
        <f t="shared" ca="1" si="66"/>
        <v>#NAME?</v>
      </c>
      <c r="S57" s="141" t="e">
        <f t="shared" ca="1" si="66"/>
        <v>#NAME?</v>
      </c>
      <c r="T57" s="141" t="e">
        <f t="shared" ca="1" si="66"/>
        <v>#NAME?</v>
      </c>
      <c r="U57" s="141" t="e">
        <f t="shared" ca="1" si="66"/>
        <v>#NAME?</v>
      </c>
      <c r="V57" s="141" t="e">
        <f t="shared" ca="1" si="66"/>
        <v>#NAME?</v>
      </c>
    </row>
    <row r="58" spans="1:22" s="3" customFormat="1" x14ac:dyDescent="0.35">
      <c r="A58" s="61"/>
      <c r="B58" s="141"/>
      <c r="C58" s="141"/>
      <c r="D58" s="141"/>
      <c r="E58" s="141"/>
      <c r="F58" s="141"/>
      <c r="G58" s="141"/>
      <c r="H58" s="141"/>
      <c r="I58" s="141"/>
      <c r="J58" s="141"/>
      <c r="K58" s="141"/>
      <c r="L58" s="141"/>
      <c r="M58" s="141"/>
      <c r="N58" s="147"/>
      <c r="O58" s="148"/>
      <c r="P58" s="141"/>
      <c r="Q58" s="141"/>
      <c r="R58" s="141"/>
      <c r="S58" s="141"/>
      <c r="T58" s="141"/>
      <c r="U58" s="141"/>
      <c r="V58" s="141"/>
    </row>
    <row r="59" spans="1:22" s="3" customFormat="1" x14ac:dyDescent="0.35">
      <c r="A59" s="61" t="s">
        <v>82</v>
      </c>
      <c r="B59" s="151"/>
      <c r="C59" s="151" t="e">
        <f t="shared" ref="C59:O59" ca="1" si="67">IF($B57="Non",IF(C57="Non","MW",IF(C57="Oui","MW","")),IF($B57="Oui",IF(C57="Oui","T-Test Welch",IF(C57="Non","MW",""))))</f>
        <v>#NAME?</v>
      </c>
      <c r="D59" s="151" t="e">
        <f t="shared" ca="1" si="67"/>
        <v>#NAME?</v>
      </c>
      <c r="E59" s="151" t="e">
        <f t="shared" ca="1" si="67"/>
        <v>#NAME?</v>
      </c>
      <c r="F59" s="151" t="e">
        <f t="shared" ca="1" si="67"/>
        <v>#NAME?</v>
      </c>
      <c r="G59" s="151" t="e">
        <f t="shared" ca="1" si="67"/>
        <v>#NAME?</v>
      </c>
      <c r="H59" s="151" t="e">
        <f t="shared" ca="1" si="67"/>
        <v>#NAME?</v>
      </c>
      <c r="I59" s="151" t="e">
        <f t="shared" ca="1" si="67"/>
        <v>#NAME?</v>
      </c>
      <c r="J59" s="151" t="e">
        <f t="shared" ca="1" si="67"/>
        <v>#NAME?</v>
      </c>
      <c r="K59" s="151" t="e">
        <f t="shared" ca="1" si="67"/>
        <v>#NAME?</v>
      </c>
      <c r="L59" s="151" t="e">
        <f t="shared" ca="1" si="67"/>
        <v>#NAME?</v>
      </c>
      <c r="M59" s="151" t="e">
        <f t="shared" ca="1" si="67"/>
        <v>#NAME?</v>
      </c>
      <c r="N59" s="151"/>
      <c r="O59" s="151" t="e">
        <f t="shared" ca="1" si="67"/>
        <v>#NAME?</v>
      </c>
      <c r="P59" s="151" t="e">
        <f ca="1">IF($O57="Non",IF(P57="Non","MW",IF(P57="Oui","MW","")),IF($O57="Oui",IF(P57="Oui","T-Test Welch",IF(P57="Non","MW",""))))</f>
        <v>#NAME?</v>
      </c>
      <c r="Q59" s="151" t="e">
        <f t="shared" ref="Q59:V59" ca="1" si="68">IF($O57="Non",IF(Q57="Non","MW",IF(Q57="Oui","MW","")),IF($O57="Oui",IF(Q57="Oui","T-Test Welch",IF(Q57="Non","MW",""))))</f>
        <v>#NAME?</v>
      </c>
      <c r="R59" s="151" t="e">
        <f t="shared" ca="1" si="68"/>
        <v>#NAME?</v>
      </c>
      <c r="S59" s="151" t="e">
        <f t="shared" ca="1" si="68"/>
        <v>#NAME?</v>
      </c>
      <c r="T59" s="151" t="e">
        <f t="shared" ca="1" si="68"/>
        <v>#NAME?</v>
      </c>
      <c r="U59" s="151" t="e">
        <f t="shared" ca="1" si="68"/>
        <v>#NAME?</v>
      </c>
      <c r="V59" s="151" t="e">
        <f t="shared" ca="1" si="68"/>
        <v>#NAME?</v>
      </c>
    </row>
    <row r="60" spans="1:22" s="3" customFormat="1" x14ac:dyDescent="0.35">
      <c r="A60" s="61" t="s">
        <v>83</v>
      </c>
      <c r="B60" s="152"/>
      <c r="C60" s="152" t="e">
        <f ca="1">IF(C59="MW",[1]!MTEST($B28:$B43,C28:C43,2), IF(C59="T-Test Welch",_xlfn.T.TEST($B28:$B43,C28:C43,2,3),""))</f>
        <v>#NAME?</v>
      </c>
      <c r="D60" s="152" t="e">
        <f ca="1">IF(D59="MW",[1]!MTEST($B28:$B43,D28:D43,2), IF(D59="T-Test Welch",_xlfn.T.TEST($B28:$B43,D28:D43,2,3),""))</f>
        <v>#NAME?</v>
      </c>
      <c r="E60" s="152" t="e">
        <f ca="1">IF(E59="MW",[1]!MTEST($B28:$B43,E28:E43,2), IF(E59="T-Test Welch",_xlfn.T.TEST($B28:$B43,E28:E43,2,3),""))</f>
        <v>#NAME?</v>
      </c>
      <c r="F60" s="152" t="e">
        <f ca="1">IF(F59="MW",[1]!MTEST($B28:$B43,F28:F43,2), IF(F59="T-Test Welch",_xlfn.T.TEST($B28:$B43,F28:F43,2,3),""))</f>
        <v>#NAME?</v>
      </c>
      <c r="G60" s="152" t="e">
        <f ca="1">IF(G59="MW",[1]!MTEST($B28:$B43,G28:G43,2), IF(G59="T-Test Welch",_xlfn.T.TEST($B28:$B43,G28:G43,2,3),""))</f>
        <v>#NAME?</v>
      </c>
      <c r="H60" s="152" t="e">
        <f ca="1">IF(H59="MW",[1]!MTEST($B28:$B43,H28:H43,2), IF(H59="T-Test Welch",_xlfn.T.TEST($B28:$B43,H28:H43,2,3),""))</f>
        <v>#NAME?</v>
      </c>
      <c r="I60" s="152" t="e">
        <f ca="1">IF(I59="MW",[1]!MTEST($B28:$B43,I28:I43,2), IF(I59="T-Test Welch",_xlfn.T.TEST($B28:$B43,I28:I43,2,3),""))</f>
        <v>#NAME?</v>
      </c>
      <c r="J60" s="152" t="e">
        <f ca="1">IF(J59="MW",[1]!MTEST($B28:$B43,J28:J43,2), IF(J59="T-Test Welch",_xlfn.T.TEST($B28:$B43,J28:J43,2,3),""))</f>
        <v>#NAME?</v>
      </c>
      <c r="K60" s="152" t="e">
        <f ca="1">IF(K59="MW",[1]!MTEST($B28:$B43,K28:K43,2), IF(K59="T-Test Welch",_xlfn.T.TEST($B28:$B43,K28:K43,2,3),""))</f>
        <v>#NAME?</v>
      </c>
      <c r="L60" s="152" t="e">
        <f ca="1">IF(L59="MW",[1]!MTEST($B28:$B43,L28:L43,2), IF(L59="T-Test Welch",_xlfn.T.TEST($B28:$B43,L28:L43,2,3),""))</f>
        <v>#NAME?</v>
      </c>
      <c r="M60" s="152" t="e">
        <f ca="1">IF(M59="MW",[1]!MTEST($B28:$B43,M28:M43,2), IF(M59="T-Test Welch",_xlfn.T.TEST($B28:$B43,M28:M43,2,3),""))</f>
        <v>#NAME?</v>
      </c>
      <c r="N60" s="152"/>
      <c r="O60" s="152" t="e">
        <f ca="1">IF(O59="MW",[1]!MTEST($B28:$B43,O28:O43,2), IF(O59="T-Test Welch",_xlfn.T.TEST($B28:$B43,O28:O43,2,3),""))</f>
        <v>#NAME?</v>
      </c>
      <c r="P60" s="152" t="e">
        <f ca="1">IF(P59="MW",[1]!MTEST($O28:$O43,P28:P43,2), IF(P59="T-Test Welch",_xlfn.T.TEST($O28:$O43,P28:P43,2,3),""))</f>
        <v>#NAME?</v>
      </c>
      <c r="Q60" s="152" t="e">
        <f ca="1">IF(Q59="MW",[1]!MTEST($O28:$O43,Q28:Q43,2), IF(Q59="T-Test Welch",_xlfn.T.TEST($O28:$O43,Q28:Q43,2,3),""))</f>
        <v>#NAME?</v>
      </c>
      <c r="R60" s="152" t="e">
        <f ca="1">IF(R59="MW",[1]!MTEST($O28:$O43,R28:R43,2), IF(R59="T-Test Welch",_xlfn.T.TEST($O28:$O43,R28:R43,2,3),""))</f>
        <v>#NAME?</v>
      </c>
      <c r="S60" s="152" t="e">
        <f ca="1">IF(S59="MW",[1]!MTEST($O28:$O43,S28:S43,2), IF(S59="T-Test Welch",_xlfn.T.TEST($O28:$O43,S28:S43,2,3),""))</f>
        <v>#NAME?</v>
      </c>
      <c r="T60" s="152" t="e">
        <f ca="1">IF(T59="MW",[1]!MTEST($O28:$O43,T28:T43,2), IF(T59="T-Test Welch",_xlfn.T.TEST($O28:$O43,T28:T43,2,3),""))</f>
        <v>#NAME?</v>
      </c>
      <c r="U60" s="152" t="e">
        <f ca="1">IF(U59="MW",[1]!MTEST($O28:$O43,U28:U43,2), IF(U59="T-Test Welch",_xlfn.T.TEST($O28:$O43,U28:U43,2,3),""))</f>
        <v>#NAME?</v>
      </c>
      <c r="V60" s="152" t="e">
        <f ca="1">IF(V59="MW",[1]!MTEST($O28:$O43,V28:V43,2), IF(V59="T-Test Welch",_xlfn.T.TEST($O28:$O43,V28:V43,2,3),""))</f>
        <v>#NAME?</v>
      </c>
    </row>
    <row r="61" spans="1:22" s="3" customFormat="1" ht="15" thickBot="1" x14ac:dyDescent="0.4">
      <c r="A61" s="62" t="s">
        <v>84</v>
      </c>
      <c r="B61" s="142"/>
      <c r="C61" s="142" t="e">
        <f t="shared" ref="C61:O61" ca="1" si="69">IF(C60&gt;0.05,"NS",IF(C60&gt;0.01,"*",IF(C60&gt;0.001,"**","***")))</f>
        <v>#NAME?</v>
      </c>
      <c r="D61" s="142" t="e">
        <f t="shared" ca="1" si="69"/>
        <v>#NAME?</v>
      </c>
      <c r="E61" s="142" t="e">
        <f t="shared" ca="1" si="69"/>
        <v>#NAME?</v>
      </c>
      <c r="F61" s="142" t="e">
        <f t="shared" ca="1" si="69"/>
        <v>#NAME?</v>
      </c>
      <c r="G61" s="142" t="e">
        <f t="shared" ca="1" si="69"/>
        <v>#NAME?</v>
      </c>
      <c r="H61" s="142" t="e">
        <f t="shared" ca="1" si="69"/>
        <v>#NAME?</v>
      </c>
      <c r="I61" s="142" t="e">
        <f t="shared" ca="1" si="69"/>
        <v>#NAME?</v>
      </c>
      <c r="J61" s="142" t="e">
        <f t="shared" ca="1" si="69"/>
        <v>#NAME?</v>
      </c>
      <c r="K61" s="142" t="e">
        <f t="shared" ca="1" si="69"/>
        <v>#NAME?</v>
      </c>
      <c r="L61" s="142" t="e">
        <f t="shared" ca="1" si="69"/>
        <v>#NAME?</v>
      </c>
      <c r="M61" s="142" t="e">
        <f t="shared" ca="1" si="69"/>
        <v>#NAME?</v>
      </c>
      <c r="N61" s="142"/>
      <c r="O61" s="142" t="e">
        <f t="shared" ca="1" si="69"/>
        <v>#NAME?</v>
      </c>
      <c r="P61" s="142" t="e">
        <f ca="1">IF(P60&gt;0.05,"NS",IF(P60&gt;0.01,"*",IF(P60&gt;0.001,"**","***")))</f>
        <v>#NAME?</v>
      </c>
      <c r="Q61" s="142" t="e">
        <f t="shared" ref="Q61:V61" ca="1" si="70">IF(Q60&gt;0.05,"NS",IF(Q60&gt;0.01,"*",IF(Q60&gt;0.001,"**","***")))</f>
        <v>#NAME?</v>
      </c>
      <c r="R61" s="142" t="e">
        <f t="shared" ca="1" si="70"/>
        <v>#NAME?</v>
      </c>
      <c r="S61" s="142" t="e">
        <f t="shared" ca="1" si="70"/>
        <v>#NAME?</v>
      </c>
      <c r="T61" s="142" t="e">
        <f t="shared" ca="1" si="70"/>
        <v>#NAME?</v>
      </c>
      <c r="U61" s="142" t="e">
        <f t="shared" ca="1" si="70"/>
        <v>#NAME?</v>
      </c>
      <c r="V61" s="142" t="e">
        <f t="shared" ca="1" si="70"/>
        <v>#NAME?</v>
      </c>
    </row>
    <row r="63" spans="1:22" x14ac:dyDescent="0.35">
      <c r="A63" s="2" t="s">
        <v>39</v>
      </c>
    </row>
    <row r="64" spans="1:22" x14ac:dyDescent="0.35">
      <c r="A64" s="1" t="s">
        <v>23</v>
      </c>
      <c r="B64" s="1">
        <f>B46+(3*B47)</f>
        <v>0.24350107861645068</v>
      </c>
    </row>
    <row r="65" spans="1:22" x14ac:dyDescent="0.35">
      <c r="A65" s="1" t="s">
        <v>24</v>
      </c>
      <c r="B65" s="1">
        <f>B46+(10*B47)</f>
        <v>0.635571253246351</v>
      </c>
    </row>
    <row r="66" spans="1:22" ht="15" thickBot="1" x14ac:dyDescent="0.4"/>
    <row r="67" spans="1:22" ht="26.5" thickBot="1" x14ac:dyDescent="0.65">
      <c r="A67" s="227" t="s">
        <v>45</v>
      </c>
      <c r="B67" s="228"/>
      <c r="C67" s="228"/>
      <c r="D67" s="228"/>
      <c r="E67" s="228"/>
      <c r="F67" s="228"/>
      <c r="G67" s="228"/>
      <c r="H67" s="228"/>
      <c r="I67" s="228"/>
      <c r="J67" s="228"/>
      <c r="K67" s="228"/>
      <c r="L67" s="228"/>
      <c r="M67" s="228"/>
      <c r="N67" s="228"/>
      <c r="O67" s="228"/>
      <c r="P67" s="228"/>
      <c r="Q67" s="228"/>
      <c r="R67" s="228"/>
      <c r="S67" s="228"/>
      <c r="T67" s="228"/>
      <c r="U67" s="228"/>
      <c r="V67" s="228"/>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J1" zoomScale="80" zoomScaleNormal="80" workbookViewId="0">
      <selection activeCell="AB5" sqref="AB5:AF12"/>
    </sheetView>
  </sheetViews>
  <sheetFormatPr baseColWidth="10" defaultColWidth="11.453125" defaultRowHeight="14.5" x14ac:dyDescent="0.35"/>
  <cols>
    <col min="1" max="2" width="15" style="1" customWidth="1"/>
    <col min="3" max="3" width="108.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J1" s="1" t="s">
        <v>1179</v>
      </c>
      <c r="K1" s="202" t="s">
        <v>112</v>
      </c>
      <c r="L1" s="198"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1</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98" t="s">
        <v>3717</v>
      </c>
      <c r="D2" s="198" t="s">
        <v>241</v>
      </c>
      <c r="E2" s="198" t="s">
        <v>242</v>
      </c>
      <c r="F2" s="198" t="s">
        <v>112</v>
      </c>
      <c r="G2" s="198">
        <v>221360</v>
      </c>
      <c r="H2" s="198"/>
      <c r="I2" s="198"/>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98" t="s">
        <v>3718</v>
      </c>
      <c r="D3" s="198" t="s">
        <v>243</v>
      </c>
      <c r="E3" s="198" t="s">
        <v>244</v>
      </c>
      <c r="F3" s="198" t="s">
        <v>112</v>
      </c>
      <c r="G3" s="198">
        <v>336475</v>
      </c>
      <c r="H3" s="198"/>
      <c r="I3" s="198"/>
      <c r="K3" s="202" t="s">
        <v>154</v>
      </c>
      <c r="L3" s="20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98" t="s">
        <v>3719</v>
      </c>
      <c r="D4" s="198" t="s">
        <v>245</v>
      </c>
      <c r="E4" s="198">
        <v>39</v>
      </c>
      <c r="F4" s="198" t="s">
        <v>112</v>
      </c>
      <c r="G4" s="198">
        <v>2531</v>
      </c>
      <c r="H4" s="198"/>
      <c r="I4" s="198"/>
      <c r="K4" s="202" t="s">
        <v>100</v>
      </c>
      <c r="L4" s="198" t="s">
        <v>1180</v>
      </c>
      <c r="M4" s="198" t="s">
        <v>1181</v>
      </c>
      <c r="N4" s="198" t="s">
        <v>1182</v>
      </c>
      <c r="O4" s="198" t="s">
        <v>1183</v>
      </c>
      <c r="P4" s="198" t="s">
        <v>1184</v>
      </c>
      <c r="Q4" s="198" t="s">
        <v>1185</v>
      </c>
      <c r="R4" s="198" t="s">
        <v>1186</v>
      </c>
      <c r="S4" s="198" t="s">
        <v>1187</v>
      </c>
      <c r="T4" s="198" t="s">
        <v>1188</v>
      </c>
      <c r="U4" s="198" t="s">
        <v>1189</v>
      </c>
      <c r="V4" s="198" t="s">
        <v>1190</v>
      </c>
      <c r="W4" s="198" t="s">
        <v>1191</v>
      </c>
      <c r="X4" s="198" t="s">
        <v>1192</v>
      </c>
      <c r="Y4" s="198" t="s">
        <v>1193</v>
      </c>
      <c r="Z4" s="198" t="s">
        <v>1194</v>
      </c>
      <c r="AA4" s="198" t="s">
        <v>1195</v>
      </c>
      <c r="AB4" s="198" t="s">
        <v>1196</v>
      </c>
      <c r="AC4" s="198" t="s">
        <v>1197</v>
      </c>
      <c r="AD4" s="198" t="s">
        <v>1198</v>
      </c>
      <c r="AE4" s="198" t="s">
        <v>1199</v>
      </c>
      <c r="AF4" s="198" t="s">
        <v>1200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98" t="s">
        <v>3720</v>
      </c>
      <c r="D5" s="198" t="s">
        <v>246</v>
      </c>
      <c r="E5" s="198" t="s">
        <v>247</v>
      </c>
      <c r="F5" s="198" t="s">
        <v>112</v>
      </c>
      <c r="G5" s="198">
        <v>219587</v>
      </c>
      <c r="H5" s="198"/>
      <c r="I5" s="198"/>
      <c r="K5" s="203" t="s">
        <v>164</v>
      </c>
      <c r="L5" s="200">
        <v>218851.33333333334</v>
      </c>
      <c r="M5" s="200">
        <v>91588.333333333328</v>
      </c>
      <c r="N5" s="200">
        <v>186788.66666666666</v>
      </c>
      <c r="O5" s="200">
        <v>422215.66666666669</v>
      </c>
      <c r="P5" s="200">
        <v>863645.66666666663</v>
      </c>
      <c r="Q5" s="200">
        <v>3171721.3333333335</v>
      </c>
      <c r="R5" s="200">
        <v>272082</v>
      </c>
      <c r="S5" s="200">
        <v>182318.33333333334</v>
      </c>
      <c r="T5" s="200">
        <v>30678.666666666668</v>
      </c>
      <c r="U5" s="200">
        <v>159239.33333333334</v>
      </c>
      <c r="V5" s="200">
        <v>571389.66666666663</v>
      </c>
      <c r="W5" s="200">
        <v>2933893.6666666665</v>
      </c>
      <c r="X5" s="200">
        <v>4452795</v>
      </c>
      <c r="Y5" s="200">
        <v>40000.666666666664</v>
      </c>
      <c r="Z5" s="200">
        <v>446203</v>
      </c>
      <c r="AA5" s="200">
        <v>2089614</v>
      </c>
      <c r="AB5" s="200">
        <v>3212508.3333333335</v>
      </c>
      <c r="AC5" s="200"/>
      <c r="AD5" s="200">
        <v>4726348.333333333</v>
      </c>
      <c r="AE5" s="200">
        <v>4638877.333333333</v>
      </c>
      <c r="AF5" s="200">
        <v>2315595.3333333335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98" t="s">
        <v>3721</v>
      </c>
      <c r="D6" s="198" t="s">
        <v>248</v>
      </c>
      <c r="E6" s="198" t="s">
        <v>249</v>
      </c>
      <c r="F6" s="198" t="s">
        <v>112</v>
      </c>
      <c r="G6" s="198">
        <v>265983</v>
      </c>
      <c r="H6" s="198"/>
      <c r="I6" s="198"/>
      <c r="K6" s="203" t="s">
        <v>1201</v>
      </c>
      <c r="L6" s="200">
        <v>105172</v>
      </c>
      <c r="M6" s="200">
        <v>134631.66666666666</v>
      </c>
      <c r="N6" s="200">
        <v>285796</v>
      </c>
      <c r="O6" s="200">
        <v>1704209</v>
      </c>
      <c r="P6" s="200">
        <v>2295753.6666666665</v>
      </c>
      <c r="Q6" s="200">
        <v>4704920.333333333</v>
      </c>
      <c r="R6" s="200">
        <v>202218</v>
      </c>
      <c r="S6" s="200">
        <v>33663.666666666664</v>
      </c>
      <c r="T6" s="200">
        <v>643489.33333333337</v>
      </c>
      <c r="U6" s="200">
        <v>929609.33333333337</v>
      </c>
      <c r="V6" s="200">
        <v>2308530</v>
      </c>
      <c r="W6" s="200">
        <v>3693218</v>
      </c>
      <c r="X6" s="200">
        <v>3993376</v>
      </c>
      <c r="Y6" s="200">
        <v>409245</v>
      </c>
      <c r="Z6" s="200">
        <v>72020.333333333328</v>
      </c>
      <c r="AA6" s="200">
        <v>1390139</v>
      </c>
      <c r="AB6" s="200">
        <v>1255132</v>
      </c>
      <c r="AC6" s="200"/>
      <c r="AD6" s="200">
        <v>3533805.6666666665</v>
      </c>
      <c r="AE6" s="200">
        <v>4240584</v>
      </c>
      <c r="AF6" s="200">
        <v>3559343.3333333335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98" t="s">
        <v>3722</v>
      </c>
      <c r="D7" s="198" t="s">
        <v>250</v>
      </c>
      <c r="E7" s="198" t="s">
        <v>251</v>
      </c>
      <c r="F7" s="198" t="s">
        <v>112</v>
      </c>
      <c r="G7" s="198">
        <v>371818</v>
      </c>
      <c r="H7" s="198"/>
      <c r="I7" s="198"/>
      <c r="K7" s="203" t="s">
        <v>1202</v>
      </c>
      <c r="L7" s="200">
        <v>237251</v>
      </c>
      <c r="M7" s="200">
        <v>17988.666666666668</v>
      </c>
      <c r="N7" s="200">
        <v>241616.5</v>
      </c>
      <c r="O7" s="200">
        <v>1350585</v>
      </c>
      <c r="P7" s="200">
        <v>2210741.3333333335</v>
      </c>
      <c r="Q7" s="200">
        <v>4637096.333333333</v>
      </c>
      <c r="R7" s="200">
        <v>154653.66666666666</v>
      </c>
      <c r="S7" s="200">
        <v>132259.33333333334</v>
      </c>
      <c r="T7" s="200">
        <v>149952.66666666666</v>
      </c>
      <c r="U7" s="200">
        <v>463802.66666666669</v>
      </c>
      <c r="V7" s="200">
        <v>2311652</v>
      </c>
      <c r="W7" s="200">
        <v>3003181</v>
      </c>
      <c r="X7" s="200">
        <v>2346483</v>
      </c>
      <c r="Y7" s="200">
        <v>15292.333333333334</v>
      </c>
      <c r="Z7" s="200">
        <v>1741001</v>
      </c>
      <c r="AA7" s="200">
        <v>2273842.6666666665</v>
      </c>
      <c r="AB7" s="200">
        <v>279783</v>
      </c>
      <c r="AC7" s="200"/>
      <c r="AD7" s="200">
        <v>2706440.6666666665</v>
      </c>
      <c r="AE7" s="200">
        <v>5028453</v>
      </c>
      <c r="AF7" s="200">
        <v>4223799.333333333</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98" t="s">
        <v>3723</v>
      </c>
      <c r="D8" s="198" t="s">
        <v>252</v>
      </c>
      <c r="E8" s="198" t="s">
        <v>253</v>
      </c>
      <c r="F8" s="198" t="s">
        <v>112</v>
      </c>
      <c r="G8" s="198">
        <v>341687</v>
      </c>
      <c r="H8" s="198"/>
      <c r="I8" s="198"/>
      <c r="K8" s="203" t="s">
        <v>1203</v>
      </c>
      <c r="L8" s="200">
        <v>197801</v>
      </c>
      <c r="M8" s="200">
        <v>162440.66666666666</v>
      </c>
      <c r="N8" s="200"/>
      <c r="O8" s="200">
        <v>3397948.3333333335</v>
      </c>
      <c r="P8" s="200">
        <v>4224956.5</v>
      </c>
      <c r="Q8" s="200">
        <v>3897281.6666666665</v>
      </c>
      <c r="R8" s="200">
        <v>68083.666666666672</v>
      </c>
      <c r="S8" s="200">
        <v>219925.33333333334</v>
      </c>
      <c r="T8" s="200">
        <v>152794</v>
      </c>
      <c r="U8" s="200">
        <v>1012956.6666666666</v>
      </c>
      <c r="V8" s="200">
        <v>4124258.3333333335</v>
      </c>
      <c r="W8" s="200">
        <v>1289149</v>
      </c>
      <c r="X8" s="200">
        <v>4714783.333333333</v>
      </c>
      <c r="Y8" s="200">
        <v>117118.66666666667</v>
      </c>
      <c r="Z8" s="200">
        <v>1513501.3333333333</v>
      </c>
      <c r="AA8" s="200">
        <v>1546992</v>
      </c>
      <c r="AB8" s="200">
        <v>168511</v>
      </c>
      <c r="AC8" s="200">
        <v>3793646</v>
      </c>
      <c r="AD8" s="200">
        <v>4377530</v>
      </c>
      <c r="AE8" s="200">
        <v>3551423.5</v>
      </c>
      <c r="AF8" s="200">
        <v>3943403.6666666665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98" t="s">
        <v>3724</v>
      </c>
      <c r="D9" s="198"/>
      <c r="E9" s="198"/>
      <c r="F9" s="198"/>
      <c r="G9" s="198"/>
      <c r="H9" s="198"/>
      <c r="I9" s="198"/>
      <c r="K9" s="203" t="s">
        <v>1204</v>
      </c>
      <c r="L9" s="200">
        <v>146701</v>
      </c>
      <c r="M9" s="200">
        <v>167812</v>
      </c>
      <c r="N9" s="200">
        <v>35285.666666666664</v>
      </c>
      <c r="O9" s="200">
        <v>836276.66666666663</v>
      </c>
      <c r="P9" s="200">
        <v>2149283.3333333335</v>
      </c>
      <c r="Q9" s="200">
        <v>4072563</v>
      </c>
      <c r="R9" s="200">
        <v>27870</v>
      </c>
      <c r="S9" s="200">
        <v>710434</v>
      </c>
      <c r="T9" s="200">
        <v>402186.33333333331</v>
      </c>
      <c r="U9" s="200">
        <v>414998.66666666669</v>
      </c>
      <c r="V9" s="200">
        <v>2195729.6666666665</v>
      </c>
      <c r="W9" s="200">
        <v>5059001.333333333</v>
      </c>
      <c r="X9" s="200"/>
      <c r="Y9" s="200">
        <v>312076.33333333331</v>
      </c>
      <c r="Z9" s="200">
        <v>622933.66666666663</v>
      </c>
      <c r="AA9" s="200">
        <v>1784650</v>
      </c>
      <c r="AB9" s="200">
        <v>3203329.6666666665</v>
      </c>
      <c r="AC9" s="200">
        <v>3286107.3333333335</v>
      </c>
      <c r="AD9" s="200">
        <v>3723629.6666666665</v>
      </c>
      <c r="AE9" s="200">
        <v>671</v>
      </c>
      <c r="AF9" s="200">
        <v>3275199</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98" t="s">
        <v>3725</v>
      </c>
      <c r="D10" s="198" t="s">
        <v>254</v>
      </c>
      <c r="E10" s="198" t="s">
        <v>255</v>
      </c>
      <c r="F10" s="198" t="s">
        <v>112</v>
      </c>
      <c r="G10" s="198">
        <v>141546</v>
      </c>
      <c r="H10" s="198"/>
      <c r="I10" s="198"/>
      <c r="K10" s="203" t="s">
        <v>1205</v>
      </c>
      <c r="L10" s="200">
        <v>67471</v>
      </c>
      <c r="M10" s="200">
        <v>47824</v>
      </c>
      <c r="N10" s="200">
        <v>13919</v>
      </c>
      <c r="O10" s="200">
        <v>1452368</v>
      </c>
      <c r="P10" s="200">
        <v>1940619.6666666667</v>
      </c>
      <c r="Q10" s="200">
        <v>2518685.6666666665</v>
      </c>
      <c r="R10" s="200">
        <v>122886.33333333333</v>
      </c>
      <c r="S10" s="200">
        <v>582623</v>
      </c>
      <c r="T10" s="200">
        <v>152981.33333333334</v>
      </c>
      <c r="U10" s="200">
        <v>1028717.6666666666</v>
      </c>
      <c r="V10" s="200">
        <v>1511576.3333333333</v>
      </c>
      <c r="W10" s="200">
        <v>4806025.666666667</v>
      </c>
      <c r="X10" s="200">
        <v>3322460</v>
      </c>
      <c r="Y10" s="200">
        <v>59792.333333333336</v>
      </c>
      <c r="Z10" s="200">
        <v>1111604</v>
      </c>
      <c r="AA10" s="200"/>
      <c r="AB10" s="200">
        <v>1829009.6666666667</v>
      </c>
      <c r="AC10" s="200">
        <v>2382497</v>
      </c>
      <c r="AD10" s="200">
        <v>2108814</v>
      </c>
      <c r="AE10" s="200">
        <v>3418540</v>
      </c>
      <c r="AF10" s="200">
        <v>2030744.3333333333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98" t="s">
        <v>3726</v>
      </c>
      <c r="D11" s="198"/>
      <c r="E11" s="198"/>
      <c r="F11" s="198"/>
      <c r="G11" s="198"/>
      <c r="H11" s="198"/>
      <c r="I11" s="198"/>
      <c r="K11" s="203" t="s">
        <v>1206</v>
      </c>
      <c r="L11" s="200">
        <v>237518</v>
      </c>
      <c r="M11" s="200">
        <v>229709.66666666666</v>
      </c>
      <c r="N11" s="200">
        <v>40231.666666666664</v>
      </c>
      <c r="O11" s="200">
        <v>1731192</v>
      </c>
      <c r="P11" s="200">
        <v>1695805.3333333333</v>
      </c>
      <c r="Q11" s="200">
        <v>3911334</v>
      </c>
      <c r="R11" s="200">
        <v>57247</v>
      </c>
      <c r="S11" s="200">
        <v>279746.66666666669</v>
      </c>
      <c r="T11" s="200">
        <v>369229.66666666669</v>
      </c>
      <c r="U11" s="200">
        <v>2110270.3333333335</v>
      </c>
      <c r="V11" s="200">
        <v>1713469.6666666667</v>
      </c>
      <c r="W11" s="200">
        <v>2120941</v>
      </c>
      <c r="X11" s="200">
        <v>4618415.333333333</v>
      </c>
      <c r="Y11" s="200">
        <v>226169.33333333334</v>
      </c>
      <c r="Z11" s="200">
        <v>1096441</v>
      </c>
      <c r="AA11" s="200"/>
      <c r="AB11" s="200">
        <v>3102390</v>
      </c>
      <c r="AC11" s="200">
        <v>3417430</v>
      </c>
      <c r="AD11" s="200">
        <v>5087070</v>
      </c>
      <c r="AE11" s="200">
        <v>3582415.3333333335</v>
      </c>
      <c r="AF11" s="200">
        <v>5774691.666666667</v>
      </c>
      <c r="AG11"/>
    </row>
    <row r="12" spans="1:144" x14ac:dyDescent="0.3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98" t="s">
        <v>3727</v>
      </c>
      <c r="D12" s="198"/>
      <c r="E12" s="198"/>
      <c r="F12" s="198"/>
      <c r="G12" s="198"/>
      <c r="H12" s="198"/>
      <c r="I12" s="198"/>
      <c r="K12" s="203" t="s">
        <v>1207</v>
      </c>
      <c r="L12" s="200">
        <v>341478.33333333331</v>
      </c>
      <c r="M12" s="200">
        <v>192758.66666666666</v>
      </c>
      <c r="N12" s="200">
        <v>179347.66666666666</v>
      </c>
      <c r="O12" s="200">
        <v>3280425.6666666665</v>
      </c>
      <c r="P12" s="200">
        <v>390160</v>
      </c>
      <c r="Q12" s="200">
        <v>4231644</v>
      </c>
      <c r="R12" s="200">
        <v>202109.5</v>
      </c>
      <c r="S12" s="200">
        <v>411227.66666666669</v>
      </c>
      <c r="T12" s="200">
        <v>98207</v>
      </c>
      <c r="U12" s="200">
        <v>417795.66666666669</v>
      </c>
      <c r="V12" s="200">
        <v>3282920.6666666665</v>
      </c>
      <c r="W12" s="200">
        <v>3838052</v>
      </c>
      <c r="X12" s="200">
        <v>3175996.6666666665</v>
      </c>
      <c r="Y12" s="200">
        <v>230063</v>
      </c>
      <c r="Z12" s="200">
        <v>1904825.5</v>
      </c>
      <c r="AA12" s="200"/>
      <c r="AB12" s="200">
        <v>1615457.3333333333</v>
      </c>
      <c r="AC12" s="200"/>
      <c r="AD12" s="200">
        <v>3376610.5</v>
      </c>
      <c r="AE12" s="200">
        <v>2566452</v>
      </c>
      <c r="AF12" s="200">
        <v>1758373.3333333333</v>
      </c>
      <c r="AG12"/>
    </row>
    <row r="13" spans="1:144" x14ac:dyDescent="0.3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98" t="s">
        <v>3728</v>
      </c>
      <c r="D13" s="198"/>
      <c r="E13" s="198"/>
      <c r="F13" s="198"/>
      <c r="G13" s="198"/>
      <c r="H13" s="198"/>
      <c r="I13" s="198"/>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98" t="s">
        <v>3729</v>
      </c>
      <c r="D14" s="198" t="s">
        <v>256</v>
      </c>
      <c r="E14" s="198" t="s">
        <v>257</v>
      </c>
      <c r="F14" s="198" t="s">
        <v>112</v>
      </c>
      <c r="G14" s="198">
        <v>33375</v>
      </c>
      <c r="H14" s="198"/>
      <c r="I14" s="198"/>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98" t="s">
        <v>3730</v>
      </c>
      <c r="D15" s="198" t="s">
        <v>258</v>
      </c>
      <c r="E15" s="198" t="s">
        <v>259</v>
      </c>
      <c r="F15" s="198" t="s">
        <v>112</v>
      </c>
      <c r="G15" s="198">
        <v>72482</v>
      </c>
      <c r="H15" s="198"/>
      <c r="I15" s="198"/>
    </row>
    <row r="16" spans="1:144" x14ac:dyDescent="0.3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98" t="s">
        <v>3731</v>
      </c>
      <c r="D16" s="198">
        <v>0</v>
      </c>
      <c r="E16" s="198">
        <v>0</v>
      </c>
      <c r="F16" s="198" t="s">
        <v>112</v>
      </c>
      <c r="G16" s="198">
        <v>0</v>
      </c>
      <c r="H16" s="198"/>
      <c r="I16" s="198"/>
    </row>
    <row r="17" spans="1:10" x14ac:dyDescent="0.3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98" t="s">
        <v>3732</v>
      </c>
      <c r="D17" s="198" t="s">
        <v>260</v>
      </c>
      <c r="E17" s="198" t="s">
        <v>261</v>
      </c>
      <c r="F17" s="198" t="s">
        <v>112</v>
      </c>
      <c r="G17" s="198">
        <v>27838</v>
      </c>
      <c r="H17" s="198"/>
      <c r="I17" s="198"/>
    </row>
    <row r="18" spans="1:10" x14ac:dyDescent="0.3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98" t="s">
        <v>3733</v>
      </c>
      <c r="D18" s="198"/>
      <c r="E18" s="198"/>
      <c r="F18" s="198"/>
      <c r="G18" s="198"/>
      <c r="H18" s="198"/>
      <c r="I18" s="198"/>
    </row>
    <row r="19" spans="1:10" x14ac:dyDescent="0.3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98" t="s">
        <v>3734</v>
      </c>
      <c r="D19" s="198">
        <v>0</v>
      </c>
      <c r="E19" s="198">
        <v>0</v>
      </c>
      <c r="F19" s="198" t="s">
        <v>112</v>
      </c>
      <c r="G19" s="198">
        <v>0</v>
      </c>
      <c r="H19" s="198"/>
      <c r="I19" s="198"/>
      <c r="J19" s="1" t="s">
        <v>201</v>
      </c>
    </row>
    <row r="20" spans="1:10" x14ac:dyDescent="0.3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98" t="s">
        <v>3735</v>
      </c>
      <c r="D20" s="198" t="s">
        <v>262</v>
      </c>
      <c r="E20" s="198" t="s">
        <v>263</v>
      </c>
      <c r="F20" s="198" t="s">
        <v>112</v>
      </c>
      <c r="G20" s="198">
        <v>5516</v>
      </c>
      <c r="H20" s="198"/>
      <c r="I20" s="198"/>
      <c r="J20" s="1">
        <v>16</v>
      </c>
    </row>
    <row r="21" spans="1:10" x14ac:dyDescent="0.3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98" t="s">
        <v>3736</v>
      </c>
      <c r="D21" s="198" t="s">
        <v>264</v>
      </c>
      <c r="E21" s="198" t="s">
        <v>265</v>
      </c>
      <c r="F21" s="198" t="s">
        <v>112</v>
      </c>
      <c r="G21" s="198">
        <v>38674</v>
      </c>
      <c r="H21" s="198"/>
      <c r="I21" s="198"/>
    </row>
    <row r="22" spans="1:10" x14ac:dyDescent="0.3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98" t="s">
        <v>3737</v>
      </c>
      <c r="D22" s="198" t="s">
        <v>266</v>
      </c>
      <c r="E22" s="198" t="s">
        <v>267</v>
      </c>
      <c r="F22" s="198" t="s">
        <v>112</v>
      </c>
      <c r="G22" s="198">
        <v>76505</v>
      </c>
      <c r="H22" s="198"/>
      <c r="I22" s="198"/>
    </row>
    <row r="23" spans="1:10" x14ac:dyDescent="0.3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98" t="s">
        <v>3738</v>
      </c>
      <c r="D23" s="198" t="s">
        <v>235</v>
      </c>
      <c r="E23" s="198" t="s">
        <v>268</v>
      </c>
      <c r="F23" s="198" t="s">
        <v>112</v>
      </c>
      <c r="G23" s="198">
        <v>263863</v>
      </c>
      <c r="H23" s="198"/>
      <c r="I23" s="198"/>
    </row>
    <row r="24" spans="1:10" x14ac:dyDescent="0.3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98" t="s">
        <v>3739</v>
      </c>
      <c r="D24" s="198" t="s">
        <v>221</v>
      </c>
      <c r="E24" s="198" t="s">
        <v>269</v>
      </c>
      <c r="F24" s="198" t="s">
        <v>112</v>
      </c>
      <c r="G24" s="198">
        <v>271498</v>
      </c>
      <c r="H24" s="198"/>
      <c r="I24" s="198"/>
    </row>
    <row r="25" spans="1:10" x14ac:dyDescent="0.3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98" t="s">
        <v>3740</v>
      </c>
      <c r="D25" s="198" t="s">
        <v>270</v>
      </c>
      <c r="E25" s="198">
        <v>31</v>
      </c>
      <c r="F25" s="198" t="s">
        <v>112</v>
      </c>
      <c r="G25" s="198">
        <v>2682</v>
      </c>
      <c r="H25" s="198"/>
      <c r="I25" s="198"/>
    </row>
    <row r="26" spans="1:10"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98" t="s">
        <v>112</v>
      </c>
      <c r="D26" s="198"/>
      <c r="E26" s="198"/>
      <c r="F26" s="198"/>
      <c r="G26" s="198"/>
      <c r="H26" s="198"/>
      <c r="I26" s="198"/>
    </row>
    <row r="27" spans="1:10"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98" t="s">
        <v>195</v>
      </c>
      <c r="D27" s="198" t="s">
        <v>112</v>
      </c>
      <c r="E27" s="198" t="s">
        <v>196</v>
      </c>
      <c r="F27" s="198" t="s">
        <v>197</v>
      </c>
      <c r="G27" s="198" t="s">
        <v>198</v>
      </c>
      <c r="H27" s="198" t="s">
        <v>199</v>
      </c>
      <c r="I27" s="198" t="s">
        <v>200</v>
      </c>
    </row>
    <row r="28" spans="1:10" x14ac:dyDescent="0.35">
      <c r="A28" s="1" t="str">
        <f t="shared" si="0"/>
        <v>1</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98" t="s">
        <v>3741</v>
      </c>
      <c r="D28" s="198" t="s">
        <v>112</v>
      </c>
      <c r="E28" s="198" t="s">
        <v>271</v>
      </c>
      <c r="F28" s="198" t="s">
        <v>272</v>
      </c>
      <c r="G28" s="198">
        <v>231576</v>
      </c>
      <c r="H28" s="198" t="s">
        <v>273</v>
      </c>
      <c r="I28" s="198">
        <v>21</v>
      </c>
    </row>
    <row r="29" spans="1:10"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98" t="s">
        <v>112</v>
      </c>
      <c r="D29" s="198"/>
      <c r="E29" s="198"/>
      <c r="F29" s="198"/>
      <c r="G29" s="198"/>
      <c r="H29" s="198"/>
      <c r="I29" s="198"/>
    </row>
    <row r="30" spans="1:10"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98" t="s">
        <v>112</v>
      </c>
      <c r="D30" s="198"/>
      <c r="E30" s="198"/>
      <c r="F30" s="198"/>
      <c r="G30" s="198"/>
      <c r="H30" s="198"/>
      <c r="I30" s="198"/>
    </row>
    <row r="31" spans="1:10"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98" t="s">
        <v>112</v>
      </c>
      <c r="D31" s="198"/>
      <c r="E31" s="198"/>
      <c r="F31" s="198"/>
      <c r="G31" s="198"/>
      <c r="H31" s="198"/>
      <c r="I31" s="198"/>
    </row>
    <row r="32" spans="1:10"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98" t="s">
        <v>112</v>
      </c>
      <c r="D32" s="198"/>
      <c r="E32" s="198"/>
      <c r="F32" s="198"/>
      <c r="G32" s="198"/>
      <c r="H32" s="198"/>
      <c r="I32" s="198"/>
    </row>
    <row r="33" spans="1:10"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98" t="s">
        <v>112</v>
      </c>
      <c r="D33" s="198"/>
      <c r="E33" s="198"/>
      <c r="F33" s="198"/>
      <c r="G33" s="198"/>
      <c r="H33" s="198"/>
      <c r="I33" s="198"/>
    </row>
    <row r="34" spans="1:10"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98" t="s">
        <v>206</v>
      </c>
      <c r="D34" s="198" t="s">
        <v>110</v>
      </c>
      <c r="E34" s="198" t="s">
        <v>111</v>
      </c>
      <c r="F34" s="198" t="s">
        <v>112</v>
      </c>
      <c r="G34" s="198" t="s">
        <v>113</v>
      </c>
      <c r="H34" s="198"/>
      <c r="I34" s="198"/>
    </row>
    <row r="35" spans="1:10" x14ac:dyDescent="0.35">
      <c r="A35" s="1" t="str">
        <f t="shared" si="0"/>
        <v>13</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98" t="s">
        <v>3742</v>
      </c>
      <c r="D35" s="198" t="s">
        <v>274</v>
      </c>
      <c r="E35" s="198" t="s">
        <v>275</v>
      </c>
      <c r="F35" s="198" t="s">
        <v>112</v>
      </c>
      <c r="G35" s="198">
        <v>435518</v>
      </c>
      <c r="H35" s="198"/>
      <c r="I35" s="198"/>
    </row>
    <row r="36" spans="1:10" x14ac:dyDescent="0.35">
      <c r="A36" s="1" t="str">
        <f t="shared" si="0"/>
        <v>13</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98" t="s">
        <v>3743</v>
      </c>
      <c r="D36" s="198" t="s">
        <v>276</v>
      </c>
      <c r="E36" s="198" t="s">
        <v>277</v>
      </c>
      <c r="F36" s="198" t="s">
        <v>112</v>
      </c>
      <c r="G36" s="198">
        <v>494568</v>
      </c>
      <c r="H36" s="198"/>
      <c r="I36" s="198"/>
    </row>
    <row r="37" spans="1:10" x14ac:dyDescent="0.35">
      <c r="A37" s="1" t="str">
        <f t="shared" si="0"/>
        <v>13</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98" t="s">
        <v>3744</v>
      </c>
      <c r="D37" s="198" t="s">
        <v>278</v>
      </c>
      <c r="E37" s="198" t="s">
        <v>279</v>
      </c>
      <c r="F37" s="198" t="s">
        <v>112</v>
      </c>
      <c r="G37" s="198">
        <v>336561</v>
      </c>
      <c r="H37" s="198"/>
      <c r="I37" s="198"/>
    </row>
    <row r="38" spans="1:10" x14ac:dyDescent="0.35">
      <c r="A38" s="1" t="str">
        <f t="shared" si="0"/>
        <v>13</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98" t="s">
        <v>3745</v>
      </c>
      <c r="D38" s="198" t="s">
        <v>280</v>
      </c>
      <c r="E38" s="198" t="s">
        <v>281</v>
      </c>
      <c r="F38" s="198" t="s">
        <v>112</v>
      </c>
      <c r="G38" s="198">
        <v>1963346</v>
      </c>
      <c r="H38" s="198"/>
      <c r="I38" s="198"/>
    </row>
    <row r="39" spans="1:10" x14ac:dyDescent="0.35">
      <c r="A39" s="1" t="str">
        <f t="shared" si="0"/>
        <v>13</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98" t="s">
        <v>3746</v>
      </c>
      <c r="D39" s="198"/>
      <c r="E39" s="198"/>
      <c r="F39" s="198"/>
      <c r="G39" s="198"/>
      <c r="H39" s="198"/>
      <c r="I39" s="198"/>
    </row>
    <row r="40" spans="1:10" x14ac:dyDescent="0.35">
      <c r="A40" s="1" t="str">
        <f t="shared" si="0"/>
        <v>13</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98" t="s">
        <v>3747</v>
      </c>
      <c r="D40" s="198" t="s">
        <v>282</v>
      </c>
      <c r="E40" s="198" t="s">
        <v>283</v>
      </c>
      <c r="F40" s="198" t="s">
        <v>112</v>
      </c>
      <c r="G40" s="198">
        <v>1445072</v>
      </c>
      <c r="H40" s="198"/>
      <c r="I40" s="198"/>
    </row>
    <row r="41" spans="1:10" x14ac:dyDescent="0.35">
      <c r="A41" s="1" t="str">
        <f t="shared" si="0"/>
        <v>13</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98" t="s">
        <v>3748</v>
      </c>
      <c r="D41" s="198" t="s">
        <v>284</v>
      </c>
      <c r="E41" s="198" t="s">
        <v>285</v>
      </c>
      <c r="F41" s="198" t="s">
        <v>112</v>
      </c>
      <c r="G41" s="198">
        <v>1262991</v>
      </c>
      <c r="H41" s="198"/>
      <c r="I41" s="198"/>
    </row>
    <row r="42" spans="1:10" x14ac:dyDescent="0.35">
      <c r="A42" s="1" t="str">
        <f t="shared" si="0"/>
        <v>13</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98" t="s">
        <v>3749</v>
      </c>
      <c r="D42" s="198" t="s">
        <v>286</v>
      </c>
      <c r="E42" s="198" t="s">
        <v>287</v>
      </c>
      <c r="F42" s="198" t="s">
        <v>112</v>
      </c>
      <c r="G42" s="198">
        <v>1138273</v>
      </c>
      <c r="H42" s="198"/>
      <c r="I42" s="198"/>
    </row>
    <row r="43" spans="1:10" x14ac:dyDescent="0.35">
      <c r="A43" s="1" t="str">
        <f t="shared" si="0"/>
        <v>13</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98" t="s">
        <v>3750</v>
      </c>
      <c r="D43" s="198" t="s">
        <v>288</v>
      </c>
      <c r="E43" s="198" t="s">
        <v>289</v>
      </c>
      <c r="F43" s="198" t="s">
        <v>112</v>
      </c>
      <c r="G43" s="198">
        <v>1650491</v>
      </c>
      <c r="H43" s="198"/>
      <c r="I43" s="198"/>
    </row>
    <row r="44" spans="1:10" x14ac:dyDescent="0.3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98" t="s">
        <v>3751</v>
      </c>
      <c r="D44" s="198" t="s">
        <v>290</v>
      </c>
      <c r="E44" s="198" t="s">
        <v>291</v>
      </c>
      <c r="F44" s="198" t="s">
        <v>112</v>
      </c>
      <c r="G44" s="198">
        <v>3642561</v>
      </c>
      <c r="H44" s="198"/>
      <c r="I44" s="198"/>
      <c r="J44" s="1" t="s">
        <v>201</v>
      </c>
    </row>
    <row r="45" spans="1:10" x14ac:dyDescent="0.3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98" t="s">
        <v>3752</v>
      </c>
      <c r="D45" s="198" t="s">
        <v>292</v>
      </c>
      <c r="E45" s="198" t="s">
        <v>293</v>
      </c>
      <c r="F45" s="198" t="s">
        <v>112</v>
      </c>
      <c r="G45" s="198">
        <v>3421352</v>
      </c>
      <c r="H45" s="198"/>
      <c r="I45" s="198"/>
      <c r="J45" s="1">
        <v>16</v>
      </c>
    </row>
    <row r="46" spans="1:10" x14ac:dyDescent="0.3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98" t="s">
        <v>3753</v>
      </c>
      <c r="D46" s="198" t="s">
        <v>294</v>
      </c>
      <c r="E46" s="198" t="s">
        <v>295</v>
      </c>
      <c r="F46" s="198" t="s">
        <v>112</v>
      </c>
      <c r="G46" s="198">
        <v>3129932</v>
      </c>
      <c r="H46" s="198"/>
      <c r="I46" s="198"/>
    </row>
    <row r="47" spans="1:10" x14ac:dyDescent="0.3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98" t="s">
        <v>3754</v>
      </c>
      <c r="D47" s="198" t="s">
        <v>296</v>
      </c>
      <c r="E47" s="198" t="s">
        <v>297</v>
      </c>
      <c r="F47" s="198" t="s">
        <v>112</v>
      </c>
      <c r="G47" s="198">
        <v>1038862</v>
      </c>
      <c r="H47" s="198"/>
      <c r="I47" s="198"/>
    </row>
    <row r="48" spans="1:10" x14ac:dyDescent="0.3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98" t="s">
        <v>3755</v>
      </c>
      <c r="D48" s="198" t="s">
        <v>298</v>
      </c>
      <c r="E48" s="198" t="s">
        <v>299</v>
      </c>
      <c r="F48" s="198" t="s">
        <v>112</v>
      </c>
      <c r="G48" s="198">
        <v>738380</v>
      </c>
      <c r="H48" s="198"/>
      <c r="I48" s="198"/>
    </row>
    <row r="49" spans="1:9" x14ac:dyDescent="0.3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98" t="s">
        <v>3756</v>
      </c>
      <c r="D49" s="198" t="s">
        <v>300</v>
      </c>
      <c r="E49" s="198" t="s">
        <v>301</v>
      </c>
      <c r="F49" s="198" t="s">
        <v>112</v>
      </c>
      <c r="G49" s="198">
        <v>731588</v>
      </c>
      <c r="H49" s="198"/>
      <c r="I49" s="198"/>
    </row>
    <row r="50" spans="1:9" x14ac:dyDescent="0.3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98" t="s">
        <v>3757</v>
      </c>
      <c r="D50" s="198" t="s">
        <v>302</v>
      </c>
      <c r="E50" s="198" t="s">
        <v>303</v>
      </c>
      <c r="F50" s="198" t="s">
        <v>112</v>
      </c>
      <c r="G50" s="198">
        <v>1408106</v>
      </c>
      <c r="H50" s="198"/>
      <c r="I50" s="198"/>
    </row>
    <row r="51" spans="1:9" x14ac:dyDescent="0.3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98" t="s">
        <v>3758</v>
      </c>
      <c r="D51" s="198" t="s">
        <v>304</v>
      </c>
      <c r="E51" s="198" t="s">
        <v>305</v>
      </c>
      <c r="F51" s="198" t="s">
        <v>112</v>
      </c>
      <c r="G51" s="198">
        <v>1532024</v>
      </c>
      <c r="H51" s="198"/>
      <c r="I51" s="198"/>
    </row>
    <row r="52" spans="1:9" x14ac:dyDescent="0.3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98" t="s">
        <v>3759</v>
      </c>
      <c r="D52" s="198" t="s">
        <v>306</v>
      </c>
      <c r="E52" s="198" t="s">
        <v>307</v>
      </c>
      <c r="F52" s="198" t="s">
        <v>112</v>
      </c>
      <c r="G52" s="198">
        <v>1416974</v>
      </c>
      <c r="H52" s="198"/>
      <c r="I52" s="198"/>
    </row>
    <row r="53" spans="1:9" x14ac:dyDescent="0.3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98" t="s">
        <v>3760</v>
      </c>
      <c r="D53" s="198" t="s">
        <v>308</v>
      </c>
      <c r="E53" s="198" t="s">
        <v>309</v>
      </c>
      <c r="F53" s="198" t="s">
        <v>112</v>
      </c>
      <c r="G53" s="198">
        <v>1897526</v>
      </c>
      <c r="H53" s="198"/>
      <c r="I53" s="198"/>
    </row>
    <row r="54" spans="1:9" x14ac:dyDescent="0.3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98" t="s">
        <v>3761</v>
      </c>
      <c r="D54" s="198" t="s">
        <v>310</v>
      </c>
      <c r="E54" s="198" t="s">
        <v>311</v>
      </c>
      <c r="F54" s="198" t="s">
        <v>112</v>
      </c>
      <c r="G54" s="198">
        <v>1440335</v>
      </c>
      <c r="H54" s="198"/>
      <c r="I54" s="198"/>
    </row>
    <row r="55" spans="1:9" x14ac:dyDescent="0.3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98" t="s">
        <v>3762</v>
      </c>
      <c r="D55" s="198" t="s">
        <v>312</v>
      </c>
      <c r="E55" s="198" t="s">
        <v>313</v>
      </c>
      <c r="F55" s="198" t="s">
        <v>112</v>
      </c>
      <c r="G55" s="198">
        <v>1855715</v>
      </c>
      <c r="H55" s="198"/>
      <c r="I55" s="198"/>
    </row>
    <row r="56" spans="1:9" x14ac:dyDescent="0.3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98" t="s">
        <v>3763</v>
      </c>
      <c r="D56" s="198" t="s">
        <v>314</v>
      </c>
      <c r="E56" s="198" t="s">
        <v>315</v>
      </c>
      <c r="F56" s="198" t="s">
        <v>112</v>
      </c>
      <c r="G56" s="198">
        <v>3547692</v>
      </c>
      <c r="H56" s="198"/>
      <c r="I56" s="198"/>
    </row>
    <row r="57" spans="1:9" x14ac:dyDescent="0.3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98" t="s">
        <v>3764</v>
      </c>
      <c r="D57" s="198" t="s">
        <v>316</v>
      </c>
      <c r="E57" s="198" t="s">
        <v>317</v>
      </c>
      <c r="F57" s="198" t="s">
        <v>112</v>
      </c>
      <c r="G57" s="198">
        <v>3177085</v>
      </c>
      <c r="H57" s="198"/>
      <c r="I57" s="198"/>
    </row>
    <row r="58" spans="1:9" x14ac:dyDescent="0.3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98" t="s">
        <v>3765</v>
      </c>
      <c r="D58" s="198" t="s">
        <v>318</v>
      </c>
      <c r="E58" s="198" t="s">
        <v>319</v>
      </c>
      <c r="F58" s="198" t="s">
        <v>112</v>
      </c>
      <c r="G58" s="198">
        <v>3116500</v>
      </c>
      <c r="H58" s="198"/>
      <c r="I58" s="198"/>
    </row>
    <row r="59" spans="1:9"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98" t="s">
        <v>112</v>
      </c>
      <c r="D59" s="198"/>
      <c r="E59" s="198"/>
      <c r="F59" s="198"/>
      <c r="G59" s="198"/>
      <c r="H59" s="198"/>
      <c r="I59" s="198"/>
    </row>
    <row r="60" spans="1:9"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98" t="s">
        <v>195</v>
      </c>
      <c r="D60" s="198" t="s">
        <v>112</v>
      </c>
      <c r="E60" s="198" t="s">
        <v>196</v>
      </c>
      <c r="F60" s="198" t="s">
        <v>197</v>
      </c>
      <c r="G60" s="198" t="s">
        <v>198</v>
      </c>
      <c r="H60" s="198" t="s">
        <v>199</v>
      </c>
      <c r="I60" s="198" t="s">
        <v>200</v>
      </c>
    </row>
    <row r="61" spans="1:9" x14ac:dyDescent="0.35">
      <c r="A61" s="1" t="str">
        <f t="shared" si="0"/>
        <v>13</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98" t="s">
        <v>3766</v>
      </c>
      <c r="D61" s="198" t="s">
        <v>112</v>
      </c>
      <c r="E61" s="198" t="s">
        <v>320</v>
      </c>
      <c r="F61" s="198" t="s">
        <v>321</v>
      </c>
      <c r="G61" s="198" t="s">
        <v>322</v>
      </c>
      <c r="H61" s="198" t="s">
        <v>323</v>
      </c>
      <c r="I61" s="198">
        <v>24</v>
      </c>
    </row>
    <row r="62" spans="1:9"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98" t="s">
        <v>112</v>
      </c>
      <c r="D62" s="198"/>
      <c r="E62" s="198"/>
      <c r="F62" s="198"/>
      <c r="G62" s="198"/>
      <c r="H62" s="198"/>
      <c r="I62" s="198"/>
    </row>
    <row r="63" spans="1:9"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98" t="s">
        <v>112</v>
      </c>
      <c r="D63" s="198"/>
      <c r="E63" s="198"/>
      <c r="F63" s="198"/>
      <c r="G63" s="198"/>
      <c r="H63" s="198"/>
      <c r="I63" s="198"/>
    </row>
    <row r="64" spans="1:9"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98" t="s">
        <v>112</v>
      </c>
      <c r="D64" s="198"/>
      <c r="E64" s="198"/>
      <c r="F64" s="198"/>
      <c r="G64" s="198"/>
      <c r="H64" s="198"/>
      <c r="I64" s="198"/>
    </row>
    <row r="65" spans="1:10"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98" t="s">
        <v>112</v>
      </c>
      <c r="D65" s="198"/>
      <c r="E65" s="198"/>
      <c r="F65" s="198"/>
      <c r="G65" s="198"/>
      <c r="H65" s="198"/>
      <c r="I65" s="198"/>
    </row>
    <row r="66" spans="1:10"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98" t="s">
        <v>112</v>
      </c>
      <c r="D66" s="198"/>
      <c r="E66" s="198"/>
      <c r="F66" s="198"/>
      <c r="G66" s="198"/>
      <c r="H66" s="198"/>
      <c r="I66" s="198"/>
    </row>
    <row r="67" spans="1:10"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98" t="s">
        <v>206</v>
      </c>
      <c r="D67" s="198" t="s">
        <v>110</v>
      </c>
      <c r="E67" s="198" t="s">
        <v>111</v>
      </c>
      <c r="F67" s="198" t="s">
        <v>112</v>
      </c>
      <c r="G67" s="198" t="s">
        <v>113</v>
      </c>
      <c r="H67" s="198"/>
      <c r="I67" s="198"/>
    </row>
    <row r="68" spans="1:10" x14ac:dyDescent="0.35">
      <c r="A68" s="1" t="str">
        <f t="shared" si="1"/>
        <v>14</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98" t="s">
        <v>3767</v>
      </c>
      <c r="D68" s="198" t="s">
        <v>324</v>
      </c>
      <c r="E68" s="198" t="s">
        <v>325</v>
      </c>
      <c r="F68" s="198" t="s">
        <v>112</v>
      </c>
      <c r="G68" s="198">
        <v>625190</v>
      </c>
      <c r="H68" s="198"/>
      <c r="I68" s="198"/>
    </row>
    <row r="69" spans="1:10" x14ac:dyDescent="0.35">
      <c r="A69" s="1" t="str">
        <f t="shared" si="1"/>
        <v>14</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98" t="s">
        <v>3768</v>
      </c>
      <c r="D69" s="198" t="s">
        <v>326</v>
      </c>
      <c r="E69" s="198" t="s">
        <v>327</v>
      </c>
      <c r="F69" s="198" t="s">
        <v>112</v>
      </c>
      <c r="G69" s="198">
        <v>901318</v>
      </c>
      <c r="H69" s="198"/>
      <c r="I69" s="198"/>
    </row>
    <row r="70" spans="1:10" x14ac:dyDescent="0.35">
      <c r="A70" s="1" t="str">
        <f t="shared" si="1"/>
        <v>14</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98" t="s">
        <v>3769</v>
      </c>
      <c r="D70" s="198" t="s">
        <v>328</v>
      </c>
      <c r="E70" s="198" t="s">
        <v>329</v>
      </c>
      <c r="F70" s="198" t="s">
        <v>112</v>
      </c>
      <c r="G70" s="198">
        <v>1064429</v>
      </c>
      <c r="H70" s="198"/>
      <c r="I70" s="198"/>
    </row>
    <row r="71" spans="1:10" x14ac:dyDescent="0.35">
      <c r="A71" s="1" t="str">
        <f t="shared" si="1"/>
        <v>14</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98" t="s">
        <v>3770</v>
      </c>
      <c r="D71" s="198" t="s">
        <v>330</v>
      </c>
      <c r="E71" s="198" t="s">
        <v>331</v>
      </c>
      <c r="F71" s="198" t="s">
        <v>112</v>
      </c>
      <c r="G71" s="198">
        <v>2136579</v>
      </c>
      <c r="H71" s="198"/>
      <c r="I71" s="198"/>
    </row>
    <row r="72" spans="1:10" x14ac:dyDescent="0.35">
      <c r="A72" s="1" t="str">
        <f t="shared" si="1"/>
        <v>14</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98" t="s">
        <v>3771</v>
      </c>
      <c r="D72" s="198" t="s">
        <v>332</v>
      </c>
      <c r="E72" s="198" t="s">
        <v>333</v>
      </c>
      <c r="F72" s="198" t="s">
        <v>112</v>
      </c>
      <c r="G72" s="198">
        <v>2674688</v>
      </c>
      <c r="H72" s="198"/>
      <c r="I72" s="198"/>
    </row>
    <row r="73" spans="1:10" x14ac:dyDescent="0.35">
      <c r="A73" s="1" t="str">
        <f t="shared" si="1"/>
        <v>14</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98" t="s">
        <v>3772</v>
      </c>
      <c r="D73" s="198" t="s">
        <v>334</v>
      </c>
      <c r="E73" s="198" t="s">
        <v>335</v>
      </c>
      <c r="F73" s="198" t="s">
        <v>112</v>
      </c>
      <c r="G73" s="198">
        <v>2075994</v>
      </c>
      <c r="H73" s="198"/>
      <c r="I73" s="198"/>
    </row>
    <row r="74" spans="1:10" x14ac:dyDescent="0.35">
      <c r="A74" s="1" t="str">
        <f t="shared" si="1"/>
        <v>14</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98" t="s">
        <v>3773</v>
      </c>
      <c r="D74" s="198" t="s">
        <v>336</v>
      </c>
      <c r="E74" s="198" t="s">
        <v>337</v>
      </c>
      <c r="F74" s="198" t="s">
        <v>112</v>
      </c>
      <c r="G74" s="198">
        <v>2069419</v>
      </c>
      <c r="H74" s="198"/>
      <c r="I74" s="198"/>
    </row>
    <row r="75" spans="1:10" x14ac:dyDescent="0.35">
      <c r="A75" s="1" t="str">
        <f t="shared" si="1"/>
        <v>14</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98" t="s">
        <v>3774</v>
      </c>
      <c r="D75" s="198" t="s">
        <v>338</v>
      </c>
      <c r="E75" s="198" t="s">
        <v>339</v>
      </c>
      <c r="F75" s="198" t="s">
        <v>112</v>
      </c>
      <c r="G75" s="198">
        <v>2140603</v>
      </c>
      <c r="H75" s="198"/>
      <c r="I75" s="198"/>
    </row>
    <row r="76" spans="1:10" x14ac:dyDescent="0.35">
      <c r="A76" s="1" t="str">
        <f t="shared" si="1"/>
        <v>14</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98" t="s">
        <v>3775</v>
      </c>
      <c r="D76" s="198" t="s">
        <v>340</v>
      </c>
      <c r="E76" s="198" t="s">
        <v>341</v>
      </c>
      <c r="F76" s="198" t="s">
        <v>112</v>
      </c>
      <c r="G76" s="198">
        <v>2422202</v>
      </c>
      <c r="H76" s="198"/>
      <c r="I76" s="198"/>
    </row>
    <row r="77" spans="1:10" x14ac:dyDescent="0.35">
      <c r="A77" s="1" t="str">
        <f t="shared" si="1"/>
        <v>14</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98" t="s">
        <v>3776</v>
      </c>
      <c r="D77" s="198"/>
      <c r="E77" s="198"/>
      <c r="F77" s="198"/>
      <c r="G77" s="198"/>
      <c r="H77" s="198"/>
      <c r="I77" s="198"/>
      <c r="J77" s="1" t="s">
        <v>201</v>
      </c>
    </row>
    <row r="78" spans="1:10" x14ac:dyDescent="0.35">
      <c r="A78" s="1" t="str">
        <f t="shared" si="1"/>
        <v>14</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98" t="s">
        <v>3777</v>
      </c>
      <c r="D78" s="198" t="s">
        <v>342</v>
      </c>
      <c r="E78" s="198" t="s">
        <v>343</v>
      </c>
      <c r="F78" s="198" t="s">
        <v>112</v>
      </c>
      <c r="G78" s="198">
        <v>4113335</v>
      </c>
      <c r="H78" s="198"/>
      <c r="I78" s="198"/>
      <c r="J78" s="1">
        <v>24</v>
      </c>
    </row>
    <row r="79" spans="1:10" x14ac:dyDescent="0.35">
      <c r="A79" s="1" t="str">
        <f t="shared" si="1"/>
        <v>14</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98" t="s">
        <v>3778</v>
      </c>
      <c r="D79" s="198" t="s">
        <v>344</v>
      </c>
      <c r="E79" s="198" t="s">
        <v>345</v>
      </c>
      <c r="F79" s="198" t="s">
        <v>112</v>
      </c>
      <c r="G79" s="198">
        <v>4336578</v>
      </c>
      <c r="H79" s="198"/>
      <c r="I79" s="198"/>
    </row>
    <row r="80" spans="1:10" x14ac:dyDescent="0.35">
      <c r="A80" s="1" t="str">
        <f t="shared" si="1"/>
        <v>14</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98" t="s">
        <v>3779</v>
      </c>
      <c r="D80" s="198" t="s">
        <v>346</v>
      </c>
      <c r="E80" s="198" t="s">
        <v>347</v>
      </c>
      <c r="F80" s="198" t="s">
        <v>112</v>
      </c>
      <c r="G80" s="198">
        <v>2753897</v>
      </c>
      <c r="H80" s="198"/>
      <c r="I80" s="198"/>
    </row>
    <row r="81" spans="1:9" x14ac:dyDescent="0.35">
      <c r="A81" s="1" t="str">
        <f t="shared" si="1"/>
        <v>14</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98" t="s">
        <v>3780</v>
      </c>
      <c r="D81" s="198" t="s">
        <v>348</v>
      </c>
      <c r="E81" s="198" t="s">
        <v>349</v>
      </c>
      <c r="F81" s="198" t="s">
        <v>112</v>
      </c>
      <c r="G81" s="198">
        <v>2156565</v>
      </c>
      <c r="H81" s="198"/>
      <c r="I81" s="198"/>
    </row>
    <row r="82" spans="1:9" x14ac:dyDescent="0.35">
      <c r="A82" s="1" t="str">
        <f t="shared" si="1"/>
        <v>14</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98" t="s">
        <v>3781</v>
      </c>
      <c r="D82" s="198" t="s">
        <v>350</v>
      </c>
      <c r="E82" s="198" t="s">
        <v>351</v>
      </c>
      <c r="F82" s="198" t="s">
        <v>112</v>
      </c>
      <c r="G82" s="198">
        <v>1537388</v>
      </c>
      <c r="H82" s="198"/>
      <c r="I82" s="198"/>
    </row>
    <row r="83" spans="1:9" x14ac:dyDescent="0.35">
      <c r="A83" s="1" t="str">
        <f t="shared" si="1"/>
        <v>14</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98" t="s">
        <v>3782</v>
      </c>
      <c r="D83" s="198" t="s">
        <v>352</v>
      </c>
      <c r="E83" s="198" t="s">
        <v>353</v>
      </c>
      <c r="F83" s="198" t="s">
        <v>112</v>
      </c>
      <c r="G83" s="198">
        <v>1844165</v>
      </c>
      <c r="H83" s="198"/>
      <c r="I83" s="198"/>
    </row>
    <row r="84" spans="1:9" x14ac:dyDescent="0.35">
      <c r="A84" s="1" t="str">
        <f t="shared" si="1"/>
        <v>14</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98" t="s">
        <v>3783</v>
      </c>
      <c r="D84" s="198" t="s">
        <v>354</v>
      </c>
      <c r="E84" s="198" t="s">
        <v>355</v>
      </c>
      <c r="F84" s="198" t="s">
        <v>112</v>
      </c>
      <c r="G84" s="198">
        <v>2102209</v>
      </c>
      <c r="H84" s="198"/>
      <c r="I84" s="198"/>
    </row>
    <row r="85" spans="1:9" x14ac:dyDescent="0.3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98" t="s">
        <v>3784</v>
      </c>
      <c r="D85" s="198" t="s">
        <v>356</v>
      </c>
      <c r="E85" s="198" t="s">
        <v>357</v>
      </c>
      <c r="F85" s="198" t="s">
        <v>112</v>
      </c>
      <c r="G85" s="198">
        <v>1875485</v>
      </c>
      <c r="H85" s="198"/>
      <c r="I85" s="198"/>
    </row>
    <row r="86" spans="1:9" x14ac:dyDescent="0.3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98" t="s">
        <v>3785</v>
      </c>
      <c r="D86" s="198" t="s">
        <v>358</v>
      </c>
      <c r="E86" s="198" t="s">
        <v>359</v>
      </c>
      <c r="F86" s="198" t="s">
        <v>112</v>
      </c>
      <c r="G86" s="198">
        <v>1587115</v>
      </c>
      <c r="H86" s="198"/>
      <c r="I86" s="198"/>
    </row>
    <row r="87" spans="1:9" x14ac:dyDescent="0.3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98" t="s">
        <v>3786</v>
      </c>
      <c r="D87" s="198" t="s">
        <v>360</v>
      </c>
      <c r="E87" s="198" t="s">
        <v>361</v>
      </c>
      <c r="F87" s="198" t="s">
        <v>112</v>
      </c>
      <c r="G87" s="198">
        <v>1698790</v>
      </c>
      <c r="H87" s="198"/>
      <c r="I87" s="198"/>
    </row>
    <row r="88" spans="1:9" x14ac:dyDescent="0.3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98" t="s">
        <v>3787</v>
      </c>
      <c r="D88" s="198" t="s">
        <v>362</v>
      </c>
      <c r="E88" s="198" t="s">
        <v>363</v>
      </c>
      <c r="F88" s="198" t="s">
        <v>112</v>
      </c>
      <c r="G88" s="198">
        <v>1801511</v>
      </c>
      <c r="H88" s="198"/>
      <c r="I88" s="198"/>
    </row>
    <row r="89" spans="1:9" x14ac:dyDescent="0.3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98" t="s">
        <v>3788</v>
      </c>
      <c r="D89" s="198" t="s">
        <v>364</v>
      </c>
      <c r="E89" s="198" t="s">
        <v>365</v>
      </c>
      <c r="F89" s="198" t="s">
        <v>112</v>
      </c>
      <c r="G89" s="198">
        <v>451784</v>
      </c>
      <c r="H89" s="198"/>
      <c r="I89" s="198"/>
    </row>
    <row r="90" spans="1:9" x14ac:dyDescent="0.3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98" t="s">
        <v>3789</v>
      </c>
      <c r="D90" s="198" t="s">
        <v>366</v>
      </c>
      <c r="E90" s="198" t="s">
        <v>367</v>
      </c>
      <c r="F90" s="198" t="s">
        <v>112</v>
      </c>
      <c r="G90" s="198">
        <v>371688</v>
      </c>
      <c r="H90" s="198"/>
      <c r="I90" s="198"/>
    </row>
    <row r="91" spans="1:9" x14ac:dyDescent="0.3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98" t="s">
        <v>3790</v>
      </c>
      <c r="D91" s="198" t="s">
        <v>368</v>
      </c>
      <c r="E91" s="198" t="s">
        <v>369</v>
      </c>
      <c r="F91" s="198" t="s">
        <v>112</v>
      </c>
      <c r="G91" s="198">
        <v>347008</v>
      </c>
      <c r="H91" s="198"/>
      <c r="I91" s="198"/>
    </row>
    <row r="92" spans="1:9"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98" t="s">
        <v>112</v>
      </c>
      <c r="D92" s="198"/>
      <c r="E92" s="198"/>
      <c r="F92" s="198"/>
      <c r="G92" s="198"/>
      <c r="H92" s="198"/>
      <c r="I92" s="198"/>
    </row>
    <row r="93" spans="1:9"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98" t="s">
        <v>195</v>
      </c>
      <c r="D93" s="198" t="s">
        <v>112</v>
      </c>
      <c r="E93" s="198" t="s">
        <v>196</v>
      </c>
      <c r="F93" s="198" t="s">
        <v>197</v>
      </c>
      <c r="G93" s="198" t="s">
        <v>198</v>
      </c>
      <c r="H93" s="198" t="s">
        <v>199</v>
      </c>
      <c r="I93" s="198" t="s">
        <v>200</v>
      </c>
    </row>
    <row r="94" spans="1:9" x14ac:dyDescent="0.35">
      <c r="A94" s="1" t="str">
        <f t="shared" si="1"/>
        <v>14</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98" t="s">
        <v>3791</v>
      </c>
      <c r="D94" s="198" t="s">
        <v>112</v>
      </c>
      <c r="E94" s="198" t="s">
        <v>370</v>
      </c>
      <c r="F94" s="198" t="s">
        <v>371</v>
      </c>
      <c r="G94" s="198" t="s">
        <v>372</v>
      </c>
      <c r="H94" s="198" t="s">
        <v>373</v>
      </c>
      <c r="I94" s="198">
        <v>24</v>
      </c>
    </row>
    <row r="95" spans="1:9"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98" t="s">
        <v>112</v>
      </c>
      <c r="D95" s="198"/>
      <c r="E95" s="198"/>
      <c r="F95" s="198"/>
      <c r="G95" s="198"/>
      <c r="H95" s="198"/>
      <c r="I95" s="198"/>
    </row>
    <row r="96" spans="1:9"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98" t="s">
        <v>112</v>
      </c>
      <c r="D96" s="198"/>
      <c r="E96" s="198"/>
      <c r="F96" s="198"/>
      <c r="G96" s="198"/>
      <c r="H96" s="198"/>
      <c r="I96" s="198"/>
    </row>
    <row r="97" spans="1:10"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98" t="s">
        <v>112</v>
      </c>
      <c r="D97" s="198"/>
      <c r="E97" s="198"/>
      <c r="F97" s="198"/>
      <c r="G97" s="198"/>
      <c r="H97" s="198"/>
      <c r="I97" s="198"/>
    </row>
    <row r="98" spans="1:10"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98" t="s">
        <v>112</v>
      </c>
      <c r="D98" s="198"/>
      <c r="E98" s="198"/>
      <c r="F98" s="198"/>
      <c r="G98" s="198"/>
      <c r="H98" s="198"/>
      <c r="I98" s="198"/>
    </row>
    <row r="99" spans="1:10"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98" t="s">
        <v>112</v>
      </c>
      <c r="D99" s="198"/>
      <c r="E99" s="198"/>
      <c r="F99" s="198"/>
      <c r="G99" s="198"/>
      <c r="H99" s="198"/>
      <c r="I99" s="198"/>
    </row>
    <row r="100" spans="1:10"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98" t="s">
        <v>206</v>
      </c>
      <c r="D100" s="198" t="s">
        <v>110</v>
      </c>
      <c r="E100" s="198" t="s">
        <v>111</v>
      </c>
      <c r="F100" s="198" t="s">
        <v>112</v>
      </c>
      <c r="G100" s="198" t="s">
        <v>113</v>
      </c>
      <c r="H100" s="198"/>
      <c r="I100" s="198"/>
    </row>
    <row r="101" spans="1:10" x14ac:dyDescent="0.35">
      <c r="A101" s="1" t="str">
        <f t="shared" si="1"/>
        <v>15</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98" t="s">
        <v>3792</v>
      </c>
      <c r="D101" s="198" t="s">
        <v>374</v>
      </c>
      <c r="E101" s="198" t="s">
        <v>375</v>
      </c>
      <c r="F101" s="198" t="s">
        <v>112</v>
      </c>
      <c r="G101" s="198">
        <v>3269597</v>
      </c>
      <c r="H101" s="198"/>
      <c r="I101" s="198"/>
    </row>
    <row r="102" spans="1:10" x14ac:dyDescent="0.35">
      <c r="A102" s="1" t="str">
        <f t="shared" si="1"/>
        <v>15</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98" t="s">
        <v>3793</v>
      </c>
      <c r="D102" s="198" t="s">
        <v>376</v>
      </c>
      <c r="E102" s="198" t="s">
        <v>377</v>
      </c>
      <c r="F102" s="198" t="s">
        <v>112</v>
      </c>
      <c r="G102" s="198">
        <v>3341905</v>
      </c>
      <c r="H102" s="198"/>
      <c r="I102" s="198"/>
    </row>
    <row r="103" spans="1:10" x14ac:dyDescent="0.35">
      <c r="A103" s="1" t="str">
        <f t="shared" si="1"/>
        <v>15</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98" t="s">
        <v>3794</v>
      </c>
      <c r="D103" s="198" t="s">
        <v>378</v>
      </c>
      <c r="E103" s="198" t="s">
        <v>379</v>
      </c>
      <c r="F103" s="198" t="s">
        <v>112</v>
      </c>
      <c r="G103" s="198">
        <v>2903662</v>
      </c>
      <c r="H103" s="198"/>
      <c r="I103" s="198"/>
    </row>
    <row r="104" spans="1:10" x14ac:dyDescent="0.35">
      <c r="A104" s="1" t="str">
        <f t="shared" si="1"/>
        <v>15</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98" t="s">
        <v>3795</v>
      </c>
      <c r="D104" s="198" t="s">
        <v>380</v>
      </c>
      <c r="E104" s="198" t="s">
        <v>381</v>
      </c>
      <c r="F104" s="198" t="s">
        <v>112</v>
      </c>
      <c r="G104" s="198">
        <v>5111231</v>
      </c>
      <c r="H104" s="198"/>
      <c r="I104" s="198"/>
    </row>
    <row r="105" spans="1:10" x14ac:dyDescent="0.35">
      <c r="A105" s="1" t="str">
        <f t="shared" si="1"/>
        <v>15</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98" t="s">
        <v>3796</v>
      </c>
      <c r="D105" s="198" t="s">
        <v>382</v>
      </c>
      <c r="E105" s="198" t="s">
        <v>383</v>
      </c>
      <c r="F105" s="198" t="s">
        <v>112</v>
      </c>
      <c r="G105" s="198">
        <v>4379924</v>
      </c>
      <c r="H105" s="198"/>
      <c r="I105" s="198"/>
    </row>
    <row r="106" spans="1:10" x14ac:dyDescent="0.35">
      <c r="A106" s="1" t="str">
        <f t="shared" si="1"/>
        <v>15</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98" t="s">
        <v>3797</v>
      </c>
      <c r="D106" s="198" t="s">
        <v>384</v>
      </c>
      <c r="E106" s="198" t="s">
        <v>385</v>
      </c>
      <c r="F106" s="198" t="s">
        <v>112</v>
      </c>
      <c r="G106" s="198">
        <v>4623606</v>
      </c>
      <c r="H106" s="198"/>
      <c r="I106" s="198"/>
    </row>
    <row r="107" spans="1:10" x14ac:dyDescent="0.35">
      <c r="A107" s="1" t="str">
        <f t="shared" si="1"/>
        <v>15</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98" t="s">
        <v>3798</v>
      </c>
      <c r="D107" s="198" t="s">
        <v>386</v>
      </c>
      <c r="E107" s="198" t="s">
        <v>387</v>
      </c>
      <c r="F107" s="198" t="s">
        <v>112</v>
      </c>
      <c r="G107" s="198">
        <v>4513164</v>
      </c>
      <c r="H107" s="198"/>
      <c r="I107" s="198"/>
    </row>
    <row r="108" spans="1:10" x14ac:dyDescent="0.35">
      <c r="A108" s="1" t="str">
        <f t="shared" si="1"/>
        <v>15</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98" t="s">
        <v>3799</v>
      </c>
      <c r="D108" s="198" t="s">
        <v>388</v>
      </c>
      <c r="E108" s="198" t="s">
        <v>389</v>
      </c>
      <c r="F108" s="198" t="s">
        <v>112</v>
      </c>
      <c r="G108" s="198">
        <v>5115146</v>
      </c>
      <c r="H108" s="198"/>
      <c r="I108" s="198"/>
    </row>
    <row r="109" spans="1:10" x14ac:dyDescent="0.35">
      <c r="A109" s="1" t="str">
        <f t="shared" si="1"/>
        <v>15</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98" t="s">
        <v>3800</v>
      </c>
      <c r="D109" s="198" t="s">
        <v>390</v>
      </c>
      <c r="E109" s="198" t="s">
        <v>391</v>
      </c>
      <c r="F109" s="198" t="s">
        <v>112</v>
      </c>
      <c r="G109" s="198">
        <v>4282979</v>
      </c>
      <c r="H109" s="198"/>
      <c r="I109" s="198"/>
    </row>
    <row r="110" spans="1:10" x14ac:dyDescent="0.35">
      <c r="A110" s="1" t="str">
        <f t="shared" si="1"/>
        <v>15</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98" t="s">
        <v>3801</v>
      </c>
      <c r="D110" s="198" t="s">
        <v>392</v>
      </c>
      <c r="E110" s="198" t="s">
        <v>393</v>
      </c>
      <c r="F110" s="198" t="s">
        <v>112</v>
      </c>
      <c r="G110" s="198">
        <v>3568154</v>
      </c>
      <c r="H110" s="198"/>
      <c r="I110" s="198"/>
      <c r="J110" s="1" t="s">
        <v>201</v>
      </c>
    </row>
    <row r="111" spans="1:10" x14ac:dyDescent="0.35">
      <c r="A111" s="1" t="str">
        <f t="shared" si="1"/>
        <v>15</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98" t="s">
        <v>3802</v>
      </c>
      <c r="D111" s="198" t="s">
        <v>394</v>
      </c>
      <c r="E111" s="198" t="s">
        <v>395</v>
      </c>
      <c r="F111" s="198" t="s">
        <v>112</v>
      </c>
      <c r="G111" s="198">
        <v>4190597</v>
      </c>
      <c r="H111" s="198"/>
      <c r="I111" s="198"/>
      <c r="J111" s="1">
        <v>24</v>
      </c>
    </row>
    <row r="112" spans="1:10" x14ac:dyDescent="0.35">
      <c r="A112" s="1" t="str">
        <f t="shared" si="1"/>
        <v>15</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98" t="s">
        <v>3803</v>
      </c>
      <c r="D112" s="198" t="s">
        <v>396</v>
      </c>
      <c r="E112" s="198" t="s">
        <v>397</v>
      </c>
      <c r="F112" s="198" t="s">
        <v>112</v>
      </c>
      <c r="G112" s="198">
        <v>3933094</v>
      </c>
      <c r="H112" s="198"/>
      <c r="I112" s="198"/>
    </row>
    <row r="113" spans="1:9" x14ac:dyDescent="0.35">
      <c r="A113" s="1" t="str">
        <f t="shared" si="1"/>
        <v>15</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98" t="s">
        <v>3804</v>
      </c>
      <c r="D113" s="198" t="s">
        <v>398</v>
      </c>
      <c r="E113" s="198" t="s">
        <v>399</v>
      </c>
      <c r="F113" s="198" t="s">
        <v>112</v>
      </c>
      <c r="G113" s="198">
        <v>4072563</v>
      </c>
      <c r="H113" s="198"/>
      <c r="I113" s="198"/>
    </row>
    <row r="114" spans="1:9" x14ac:dyDescent="0.35">
      <c r="A114" s="1" t="str">
        <f t="shared" si="1"/>
        <v>15</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98" t="s">
        <v>3805</v>
      </c>
      <c r="D114" s="198"/>
      <c r="E114" s="198"/>
      <c r="F114" s="198"/>
      <c r="G114" s="198"/>
      <c r="H114" s="198"/>
      <c r="I114" s="198"/>
    </row>
    <row r="115" spans="1:9" x14ac:dyDescent="0.35">
      <c r="A115" s="1" t="str">
        <f t="shared" si="1"/>
        <v>15</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98" t="s">
        <v>3806</v>
      </c>
      <c r="D115" s="198"/>
      <c r="E115" s="198"/>
      <c r="F115" s="198"/>
      <c r="G115" s="198"/>
      <c r="H115" s="198"/>
      <c r="I115" s="198"/>
    </row>
    <row r="116" spans="1:9" x14ac:dyDescent="0.35">
      <c r="A116" s="1" t="str">
        <f t="shared" si="1"/>
        <v>15</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98" t="s">
        <v>3807</v>
      </c>
      <c r="D116" s="198" t="s">
        <v>400</v>
      </c>
      <c r="E116" s="198" t="s">
        <v>401</v>
      </c>
      <c r="F116" s="198" t="s">
        <v>112</v>
      </c>
      <c r="G116" s="198">
        <v>2348271</v>
      </c>
      <c r="H116" s="198"/>
      <c r="I116" s="198"/>
    </row>
    <row r="117" spans="1:9" x14ac:dyDescent="0.35">
      <c r="A117" s="1" t="str">
        <f t="shared" si="1"/>
        <v>15</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98" t="s">
        <v>3808</v>
      </c>
      <c r="D117" s="198" t="s">
        <v>402</v>
      </c>
      <c r="E117" s="198" t="s">
        <v>403</v>
      </c>
      <c r="F117" s="198" t="s">
        <v>112</v>
      </c>
      <c r="G117" s="198">
        <v>2630606</v>
      </c>
      <c r="H117" s="198"/>
      <c r="I117" s="198"/>
    </row>
    <row r="118" spans="1:9" x14ac:dyDescent="0.35">
      <c r="A118" s="1" t="str">
        <f t="shared" si="1"/>
        <v>15</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98" t="s">
        <v>3809</v>
      </c>
      <c r="D118" s="198" t="s">
        <v>404</v>
      </c>
      <c r="E118" s="198" t="s">
        <v>405</v>
      </c>
      <c r="F118" s="198" t="s">
        <v>112</v>
      </c>
      <c r="G118" s="198">
        <v>2577180</v>
      </c>
      <c r="H118" s="198"/>
      <c r="I118" s="198"/>
    </row>
    <row r="119" spans="1:9" x14ac:dyDescent="0.35">
      <c r="A119" s="1" t="str">
        <f t="shared" si="1"/>
        <v>15</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98" t="s">
        <v>3810</v>
      </c>
      <c r="D119" s="198" t="s">
        <v>406</v>
      </c>
      <c r="E119" s="198" t="s">
        <v>407</v>
      </c>
      <c r="F119" s="198" t="s">
        <v>112</v>
      </c>
      <c r="G119" s="198">
        <v>3889423</v>
      </c>
      <c r="H119" s="198"/>
      <c r="I119" s="198"/>
    </row>
    <row r="120" spans="1:9" x14ac:dyDescent="0.35">
      <c r="A120" s="1" t="str">
        <f t="shared" si="1"/>
        <v>15</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98" t="s">
        <v>3811</v>
      </c>
      <c r="D120" s="198" t="s">
        <v>408</v>
      </c>
      <c r="E120" s="198" t="s">
        <v>409</v>
      </c>
      <c r="F120" s="198" t="s">
        <v>112</v>
      </c>
      <c r="G120" s="198">
        <v>3933245</v>
      </c>
      <c r="H120" s="198"/>
      <c r="I120" s="198"/>
    </row>
    <row r="121" spans="1:9" x14ac:dyDescent="0.35">
      <c r="A121" s="1" t="str">
        <f t="shared" si="1"/>
        <v>15</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98" t="s">
        <v>3812</v>
      </c>
      <c r="D121" s="198"/>
      <c r="E121" s="198"/>
      <c r="F121" s="198"/>
      <c r="G121" s="198"/>
      <c r="H121" s="198"/>
      <c r="I121" s="198"/>
    </row>
    <row r="122" spans="1:9" x14ac:dyDescent="0.35">
      <c r="A122" s="1" t="str">
        <f t="shared" si="1"/>
        <v>15</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98" t="s">
        <v>3813</v>
      </c>
      <c r="D122" s="198" t="s">
        <v>410</v>
      </c>
      <c r="E122" s="198" t="s">
        <v>411</v>
      </c>
      <c r="F122" s="198" t="s">
        <v>112</v>
      </c>
      <c r="G122" s="198">
        <v>4313715</v>
      </c>
      <c r="H122" s="198"/>
      <c r="I122" s="198"/>
    </row>
    <row r="123" spans="1:9" x14ac:dyDescent="0.35">
      <c r="A123" s="1" t="str">
        <f t="shared" si="1"/>
        <v>15</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98" t="s">
        <v>3814</v>
      </c>
      <c r="D123" s="198" t="s">
        <v>412</v>
      </c>
      <c r="E123" s="198" t="s">
        <v>413</v>
      </c>
      <c r="F123" s="198" t="s">
        <v>112</v>
      </c>
      <c r="G123" s="198">
        <v>4268249</v>
      </c>
      <c r="H123" s="198"/>
      <c r="I123" s="198"/>
    </row>
    <row r="124" spans="1:9" x14ac:dyDescent="0.35">
      <c r="A124" s="1" t="str">
        <f t="shared" si="1"/>
        <v>15</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98" t="s">
        <v>3815</v>
      </c>
      <c r="D124" s="198" t="s">
        <v>414</v>
      </c>
      <c r="E124" s="198" t="s">
        <v>415</v>
      </c>
      <c r="F124" s="198" t="s">
        <v>112</v>
      </c>
      <c r="G124" s="198">
        <v>4112968</v>
      </c>
      <c r="H124" s="198"/>
      <c r="I124" s="198"/>
    </row>
    <row r="125" spans="1:9"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98" t="s">
        <v>112</v>
      </c>
      <c r="D125" s="198"/>
      <c r="E125" s="198"/>
      <c r="F125" s="198"/>
      <c r="G125" s="198"/>
      <c r="H125" s="198"/>
      <c r="I125" s="198"/>
    </row>
    <row r="126" spans="1:9"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98" t="s">
        <v>195</v>
      </c>
      <c r="D126" s="198" t="s">
        <v>112</v>
      </c>
      <c r="E126" s="198" t="s">
        <v>196</v>
      </c>
      <c r="F126" s="198" t="s">
        <v>197</v>
      </c>
      <c r="G126" s="198" t="s">
        <v>198</v>
      </c>
      <c r="H126" s="198" t="s">
        <v>199</v>
      </c>
      <c r="I126" s="198" t="s">
        <v>200</v>
      </c>
    </row>
    <row r="127" spans="1:9" x14ac:dyDescent="0.35">
      <c r="A127" s="1" t="str">
        <f t="shared" si="1"/>
        <v>15</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98" t="s">
        <v>3816</v>
      </c>
      <c r="D127" s="198" t="s">
        <v>112</v>
      </c>
      <c r="E127" s="198" t="s">
        <v>416</v>
      </c>
      <c r="F127" s="198" t="s">
        <v>417</v>
      </c>
      <c r="G127" s="198" t="s">
        <v>418</v>
      </c>
      <c r="H127" s="198" t="s">
        <v>419</v>
      </c>
      <c r="I127" s="198">
        <v>24</v>
      </c>
    </row>
    <row r="128" spans="1:9"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98" t="s">
        <v>112</v>
      </c>
      <c r="D128" s="198"/>
      <c r="E128" s="198"/>
      <c r="F128" s="198"/>
      <c r="G128" s="198"/>
      <c r="H128" s="198"/>
      <c r="I128" s="198"/>
    </row>
    <row r="129" spans="1:10"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98" t="s">
        <v>112</v>
      </c>
      <c r="D129" s="198"/>
      <c r="E129" s="198"/>
      <c r="F129" s="198"/>
      <c r="G129" s="198"/>
      <c r="H129" s="198"/>
      <c r="I129" s="198"/>
    </row>
    <row r="130" spans="1:10"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98" t="s">
        <v>112</v>
      </c>
      <c r="D130" s="198"/>
      <c r="E130" s="198"/>
      <c r="F130" s="198"/>
      <c r="G130" s="198"/>
      <c r="H130" s="198"/>
      <c r="I130" s="198"/>
    </row>
    <row r="131" spans="1:10"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98" t="s">
        <v>112</v>
      </c>
      <c r="D131" s="198"/>
      <c r="E131" s="198"/>
      <c r="F131" s="198"/>
      <c r="G131" s="198"/>
      <c r="H131" s="198"/>
      <c r="I131" s="198"/>
    </row>
    <row r="132" spans="1:10"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98" t="s">
        <v>112</v>
      </c>
      <c r="D132" s="198"/>
      <c r="E132" s="198"/>
      <c r="F132" s="198"/>
      <c r="G132" s="198"/>
      <c r="H132" s="198"/>
      <c r="I132" s="198"/>
    </row>
    <row r="133" spans="1:10"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98" t="s">
        <v>206</v>
      </c>
      <c r="D133" s="198" t="s">
        <v>110</v>
      </c>
      <c r="E133" s="198" t="s">
        <v>111</v>
      </c>
      <c r="F133" s="198" t="s">
        <v>112</v>
      </c>
      <c r="G133" s="198" t="s">
        <v>113</v>
      </c>
      <c r="H133" s="198"/>
      <c r="I133" s="198"/>
    </row>
    <row r="134" spans="1:10" x14ac:dyDescent="0.35">
      <c r="A134" s="1" t="str">
        <f t="shared" si="2"/>
        <v>16</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98" t="s">
        <v>3817</v>
      </c>
      <c r="D134" s="198"/>
      <c r="E134" s="198"/>
      <c r="F134" s="198"/>
      <c r="G134" s="198"/>
      <c r="H134" s="198"/>
      <c r="I134" s="198"/>
    </row>
    <row r="135" spans="1:10" x14ac:dyDescent="0.35">
      <c r="A135" s="1" t="str">
        <f t="shared" si="2"/>
        <v>16</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98" t="s">
        <v>3818</v>
      </c>
      <c r="D135" s="198" t="s">
        <v>420</v>
      </c>
      <c r="E135" s="198" t="s">
        <v>421</v>
      </c>
      <c r="F135" s="198" t="s">
        <v>112</v>
      </c>
      <c r="G135" s="198">
        <v>272082</v>
      </c>
      <c r="H135" s="198"/>
      <c r="I135" s="198"/>
    </row>
    <row r="136" spans="1:10" x14ac:dyDescent="0.35">
      <c r="A136" s="1" t="str">
        <f t="shared" si="2"/>
        <v>16</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98" t="s">
        <v>3819</v>
      </c>
      <c r="D136" s="198"/>
      <c r="E136" s="198"/>
      <c r="F136" s="198"/>
      <c r="G136" s="198"/>
      <c r="H136" s="198"/>
      <c r="I136" s="198"/>
    </row>
    <row r="137" spans="1:10" x14ac:dyDescent="0.35">
      <c r="A137" s="1" t="str">
        <f t="shared" si="2"/>
        <v>16</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98" t="s">
        <v>3820</v>
      </c>
      <c r="D137" s="198" t="s">
        <v>174</v>
      </c>
      <c r="E137" s="198" t="s">
        <v>422</v>
      </c>
      <c r="F137" s="198" t="s">
        <v>112</v>
      </c>
      <c r="G137" s="198">
        <v>170487</v>
      </c>
      <c r="H137" s="198"/>
      <c r="I137" s="198"/>
    </row>
    <row r="138" spans="1:10" x14ac:dyDescent="0.35">
      <c r="A138" s="1" t="str">
        <f t="shared" si="2"/>
        <v>16</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98" t="s">
        <v>3821</v>
      </c>
      <c r="D138" s="198" t="s">
        <v>149</v>
      </c>
      <c r="E138" s="198" t="s">
        <v>423</v>
      </c>
      <c r="F138" s="198" t="s">
        <v>112</v>
      </c>
      <c r="G138" s="198">
        <v>186904</v>
      </c>
      <c r="H138" s="198"/>
      <c r="I138" s="198"/>
    </row>
    <row r="139" spans="1:10" x14ac:dyDescent="0.35">
      <c r="A139" s="1" t="str">
        <f t="shared" si="2"/>
        <v>16</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98" t="s">
        <v>3822</v>
      </c>
      <c r="D139" s="198" t="s">
        <v>424</v>
      </c>
      <c r="E139" s="198" t="s">
        <v>425</v>
      </c>
      <c r="F139" s="198" t="s">
        <v>112</v>
      </c>
      <c r="G139" s="198">
        <v>249263</v>
      </c>
      <c r="H139" s="198"/>
      <c r="I139" s="198"/>
    </row>
    <row r="140" spans="1:10" x14ac:dyDescent="0.35">
      <c r="A140" s="1" t="str">
        <f t="shared" si="2"/>
        <v>16</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98" t="s">
        <v>3823</v>
      </c>
      <c r="D140" s="198" t="s">
        <v>426</v>
      </c>
      <c r="E140" s="198" t="s">
        <v>427</v>
      </c>
      <c r="F140" s="198" t="s">
        <v>112</v>
      </c>
      <c r="G140" s="198">
        <v>120197</v>
      </c>
      <c r="H140" s="198"/>
      <c r="I140" s="198"/>
    </row>
    <row r="141" spans="1:10" x14ac:dyDescent="0.35">
      <c r="A141" s="1" t="str">
        <f t="shared" si="2"/>
        <v>16</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98" t="s">
        <v>3824</v>
      </c>
      <c r="D141" s="198" t="s">
        <v>221</v>
      </c>
      <c r="E141" s="198" t="s">
        <v>428</v>
      </c>
      <c r="F141" s="198" t="s">
        <v>112</v>
      </c>
      <c r="G141" s="198">
        <v>271152</v>
      </c>
      <c r="H141" s="198"/>
      <c r="I141" s="198"/>
    </row>
    <row r="142" spans="1:10" x14ac:dyDescent="0.35">
      <c r="A142" s="1" t="str">
        <f t="shared" si="2"/>
        <v>16</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98" t="s">
        <v>3825</v>
      </c>
      <c r="D142" s="198" t="s">
        <v>429</v>
      </c>
      <c r="E142" s="198" t="s">
        <v>430</v>
      </c>
      <c r="F142" s="198" t="s">
        <v>112</v>
      </c>
      <c r="G142" s="198">
        <v>72612</v>
      </c>
      <c r="H142" s="198"/>
      <c r="I142" s="198"/>
    </row>
    <row r="143" spans="1:10" x14ac:dyDescent="0.35">
      <c r="A143" s="1" t="str">
        <f t="shared" si="2"/>
        <v>16</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98" t="s">
        <v>3826</v>
      </c>
      <c r="D143" s="198" t="s">
        <v>431</v>
      </c>
      <c r="E143" s="198" t="s">
        <v>432</v>
      </c>
      <c r="F143" s="198" t="s">
        <v>112</v>
      </c>
      <c r="G143" s="198">
        <v>102374</v>
      </c>
      <c r="H143" s="198"/>
      <c r="I143" s="198"/>
      <c r="J143" s="1" t="s">
        <v>201</v>
      </c>
    </row>
    <row r="144" spans="1:10" x14ac:dyDescent="0.35">
      <c r="A144" s="1" t="str">
        <f t="shared" si="2"/>
        <v>16</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98" t="s">
        <v>3827</v>
      </c>
      <c r="D144" s="198">
        <v>0</v>
      </c>
      <c r="E144" s="198">
        <v>0</v>
      </c>
      <c r="F144" s="198" t="s">
        <v>112</v>
      </c>
      <c r="G144" s="198">
        <v>0</v>
      </c>
      <c r="H144" s="198"/>
      <c r="I144" s="198"/>
      <c r="J144" s="1">
        <v>24</v>
      </c>
    </row>
    <row r="145" spans="1:9" x14ac:dyDescent="0.35">
      <c r="A145" s="1" t="str">
        <f t="shared" si="2"/>
        <v>16</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98" t="s">
        <v>3828</v>
      </c>
      <c r="D145" s="198" t="s">
        <v>433</v>
      </c>
      <c r="E145" s="198" t="s">
        <v>434</v>
      </c>
      <c r="F145" s="198" t="s">
        <v>112</v>
      </c>
      <c r="G145" s="198">
        <v>101877</v>
      </c>
      <c r="H145" s="198"/>
      <c r="I145" s="198"/>
    </row>
    <row r="146" spans="1:9" x14ac:dyDescent="0.35">
      <c r="A146" s="1" t="str">
        <f t="shared" si="2"/>
        <v>16</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98" t="s">
        <v>3829</v>
      </c>
      <c r="D146" s="198" t="s">
        <v>435</v>
      </c>
      <c r="E146" s="198" t="s">
        <v>436</v>
      </c>
      <c r="F146" s="198" t="s">
        <v>112</v>
      </c>
      <c r="G146" s="198">
        <v>40945</v>
      </c>
      <c r="H146" s="198"/>
      <c r="I146" s="198"/>
    </row>
    <row r="147" spans="1:9" x14ac:dyDescent="0.35">
      <c r="A147" s="1" t="str">
        <f t="shared" si="2"/>
        <v>16</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98" t="s">
        <v>3830</v>
      </c>
      <c r="D147" s="198"/>
      <c r="E147" s="198"/>
      <c r="F147" s="198"/>
      <c r="G147" s="198"/>
      <c r="H147" s="198"/>
      <c r="I147" s="198"/>
    </row>
    <row r="148" spans="1:9" x14ac:dyDescent="0.35">
      <c r="A148" s="1" t="str">
        <f t="shared" si="2"/>
        <v>16</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98" t="s">
        <v>3831</v>
      </c>
      <c r="D148" s="198" t="s">
        <v>437</v>
      </c>
      <c r="E148" s="198" t="s">
        <v>438</v>
      </c>
      <c r="F148" s="198" t="s">
        <v>112</v>
      </c>
      <c r="G148" s="198">
        <v>14795</v>
      </c>
      <c r="H148" s="198"/>
      <c r="I148" s="198"/>
    </row>
    <row r="149" spans="1:9" x14ac:dyDescent="0.35">
      <c r="A149" s="1" t="str">
        <f t="shared" si="2"/>
        <v>16</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98" t="s">
        <v>3832</v>
      </c>
      <c r="D149" s="198" t="s">
        <v>439</v>
      </c>
      <c r="E149" s="198" t="s">
        <v>440</v>
      </c>
      <c r="F149" s="198" t="s">
        <v>112</v>
      </c>
      <c r="G149" s="198">
        <v>59936</v>
      </c>
      <c r="H149" s="198"/>
      <c r="I149" s="198"/>
    </row>
    <row r="150" spans="1:9" x14ac:dyDescent="0.35">
      <c r="A150" s="1" t="str">
        <f t="shared" si="2"/>
        <v>16</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98" t="s">
        <v>3833</v>
      </c>
      <c r="D150" s="198" t="s">
        <v>441</v>
      </c>
      <c r="E150" s="198" t="s">
        <v>442</v>
      </c>
      <c r="F150" s="198" t="s">
        <v>112</v>
      </c>
      <c r="G150" s="198">
        <v>180458</v>
      </c>
      <c r="H150" s="198"/>
      <c r="I150" s="198"/>
    </row>
    <row r="151" spans="1:9" x14ac:dyDescent="0.35">
      <c r="A151" s="1" t="str">
        <f t="shared" si="2"/>
        <v>16</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98" t="s">
        <v>3834</v>
      </c>
      <c r="D151" s="198" t="s">
        <v>178</v>
      </c>
      <c r="E151" s="198" t="s">
        <v>443</v>
      </c>
      <c r="F151" s="198" t="s">
        <v>112</v>
      </c>
      <c r="G151" s="198">
        <v>128265</v>
      </c>
      <c r="H151" s="198"/>
      <c r="I151" s="198"/>
    </row>
    <row r="152" spans="1:9" x14ac:dyDescent="0.35">
      <c r="A152" s="1" t="str">
        <f t="shared" si="2"/>
        <v>16</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98" t="s">
        <v>3835</v>
      </c>
      <c r="D152" s="198">
        <v>0</v>
      </c>
      <c r="E152" s="198">
        <v>0</v>
      </c>
      <c r="F152" s="198" t="s">
        <v>112</v>
      </c>
      <c r="G152" s="198">
        <v>0</v>
      </c>
      <c r="H152" s="198"/>
      <c r="I152" s="198"/>
    </row>
    <row r="153" spans="1:9" x14ac:dyDescent="0.35">
      <c r="A153" s="1" t="str">
        <f t="shared" si="2"/>
        <v>16</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98" t="s">
        <v>3836</v>
      </c>
      <c r="D153" s="198">
        <v>0</v>
      </c>
      <c r="E153" s="198">
        <v>0</v>
      </c>
      <c r="F153" s="198" t="s">
        <v>112</v>
      </c>
      <c r="G153" s="198">
        <v>0</v>
      </c>
      <c r="H153" s="198"/>
      <c r="I153" s="198"/>
    </row>
    <row r="154" spans="1:9" x14ac:dyDescent="0.35">
      <c r="A154" s="1" t="str">
        <f t="shared" si="2"/>
        <v>16</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98" t="s">
        <v>3837</v>
      </c>
      <c r="D154" s="198" t="s">
        <v>233</v>
      </c>
      <c r="E154" s="198" t="s">
        <v>444</v>
      </c>
      <c r="F154" s="198" t="s">
        <v>112</v>
      </c>
      <c r="G154" s="198">
        <v>171741</v>
      </c>
      <c r="H154" s="198"/>
      <c r="I154" s="198"/>
    </row>
    <row r="155" spans="1:9" x14ac:dyDescent="0.35">
      <c r="A155" s="1" t="str">
        <f t="shared" si="2"/>
        <v>16</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98" t="s">
        <v>3838</v>
      </c>
      <c r="D155" s="198" t="s">
        <v>445</v>
      </c>
      <c r="E155" s="198" t="s">
        <v>446</v>
      </c>
      <c r="F155" s="198" t="s">
        <v>112</v>
      </c>
      <c r="G155" s="198">
        <v>350685</v>
      </c>
      <c r="H155" s="198"/>
      <c r="I155" s="198"/>
    </row>
    <row r="156" spans="1:9" x14ac:dyDescent="0.35">
      <c r="A156" s="1" t="str">
        <f t="shared" si="2"/>
        <v>16</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98" t="s">
        <v>3839</v>
      </c>
      <c r="D156" s="198" t="s">
        <v>447</v>
      </c>
      <c r="E156" s="198" t="s">
        <v>448</v>
      </c>
      <c r="F156" s="198" t="s">
        <v>112</v>
      </c>
      <c r="G156" s="198">
        <v>53534</v>
      </c>
      <c r="H156" s="198"/>
      <c r="I156" s="198"/>
    </row>
    <row r="157" spans="1:9" x14ac:dyDescent="0.35">
      <c r="A157" s="1" t="str">
        <f t="shared" si="2"/>
        <v>16</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98" t="s">
        <v>3840</v>
      </c>
      <c r="D157" s="198"/>
      <c r="E157" s="198"/>
      <c r="F157" s="198"/>
      <c r="G157" s="198"/>
      <c r="H157" s="198"/>
      <c r="I157" s="198"/>
    </row>
    <row r="158" spans="1:9"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98" t="s">
        <v>112</v>
      </c>
      <c r="D158" s="198"/>
      <c r="E158" s="198"/>
      <c r="F158" s="198"/>
      <c r="G158" s="198"/>
      <c r="H158" s="198"/>
      <c r="I158" s="198"/>
    </row>
    <row r="159" spans="1:9"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98" t="s">
        <v>195</v>
      </c>
      <c r="D159" s="198" t="s">
        <v>112</v>
      </c>
      <c r="E159" s="198" t="s">
        <v>196</v>
      </c>
      <c r="F159" s="198" t="s">
        <v>197</v>
      </c>
      <c r="G159" s="198" t="s">
        <v>198</v>
      </c>
      <c r="H159" s="198" t="s">
        <v>199</v>
      </c>
      <c r="I159" s="198" t="s">
        <v>200</v>
      </c>
    </row>
    <row r="160" spans="1:9" x14ac:dyDescent="0.35">
      <c r="A160" s="1" t="str">
        <f t="shared" si="2"/>
        <v>16</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98" t="s">
        <v>3841</v>
      </c>
      <c r="D160" s="198" t="s">
        <v>112</v>
      </c>
      <c r="E160" s="198" t="s">
        <v>449</v>
      </c>
      <c r="F160" s="198" t="s">
        <v>450</v>
      </c>
      <c r="G160" s="198" t="s">
        <v>451</v>
      </c>
      <c r="H160" s="198" t="s">
        <v>452</v>
      </c>
      <c r="I160" s="198">
        <v>20</v>
      </c>
    </row>
    <row r="161" spans="1:10"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98" t="s">
        <v>112</v>
      </c>
      <c r="D161" s="198"/>
      <c r="E161" s="198"/>
      <c r="F161" s="198"/>
      <c r="G161" s="198"/>
      <c r="H161" s="198"/>
      <c r="I161" s="198"/>
    </row>
    <row r="162" spans="1:10"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98" t="s">
        <v>112</v>
      </c>
      <c r="D162" s="198"/>
      <c r="E162" s="198"/>
      <c r="F162" s="198"/>
      <c r="G162" s="198"/>
      <c r="H162" s="198"/>
      <c r="I162" s="198"/>
    </row>
    <row r="163" spans="1:10"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98" t="s">
        <v>112</v>
      </c>
      <c r="D163" s="198"/>
      <c r="E163" s="198"/>
      <c r="F163" s="198"/>
      <c r="G163" s="198"/>
      <c r="H163" s="198"/>
      <c r="I163" s="198"/>
    </row>
    <row r="164" spans="1:10"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98" t="s">
        <v>112</v>
      </c>
      <c r="D164" s="198"/>
      <c r="E164" s="198"/>
      <c r="F164" s="198"/>
      <c r="G164" s="198"/>
      <c r="H164" s="198"/>
      <c r="I164" s="198"/>
    </row>
    <row r="165" spans="1:10"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98" t="s">
        <v>112</v>
      </c>
      <c r="D165" s="198"/>
      <c r="E165" s="198"/>
      <c r="F165" s="198"/>
      <c r="G165" s="198"/>
      <c r="H165" s="198"/>
      <c r="I165" s="198"/>
    </row>
    <row r="166" spans="1:10"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98" t="s">
        <v>206</v>
      </c>
      <c r="D166" s="198" t="s">
        <v>110</v>
      </c>
      <c r="E166" s="198" t="s">
        <v>111</v>
      </c>
      <c r="F166" s="198" t="s">
        <v>112</v>
      </c>
      <c r="G166" s="198" t="s">
        <v>113</v>
      </c>
      <c r="H166" s="198"/>
      <c r="I166" s="198"/>
    </row>
    <row r="167" spans="1:10" x14ac:dyDescent="0.35">
      <c r="A167" s="1" t="str">
        <f t="shared" si="2"/>
        <v>2</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98" t="s">
        <v>3842</v>
      </c>
      <c r="D167" s="198" t="s">
        <v>453</v>
      </c>
      <c r="E167" s="198" t="s">
        <v>454</v>
      </c>
      <c r="F167" s="198" t="s">
        <v>112</v>
      </c>
      <c r="G167" s="198">
        <v>148143</v>
      </c>
      <c r="H167" s="198"/>
      <c r="I167" s="198"/>
    </row>
    <row r="168" spans="1:10" x14ac:dyDescent="0.35">
      <c r="A168" s="1" t="str">
        <f t="shared" si="2"/>
        <v>2</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98" t="s">
        <v>3843</v>
      </c>
      <c r="D168" s="198" t="s">
        <v>455</v>
      </c>
      <c r="E168" s="198" t="s">
        <v>456</v>
      </c>
      <c r="F168" s="198" t="s">
        <v>112</v>
      </c>
      <c r="G168" s="198">
        <v>172239</v>
      </c>
      <c r="H168" s="198"/>
      <c r="I168" s="198"/>
    </row>
    <row r="169" spans="1:10" x14ac:dyDescent="0.35">
      <c r="A169" s="1" t="str">
        <f t="shared" si="2"/>
        <v>2</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98" t="s">
        <v>3844</v>
      </c>
      <c r="D169" s="198" t="s">
        <v>457</v>
      </c>
      <c r="E169" s="198" t="s">
        <v>458</v>
      </c>
      <c r="F169" s="198" t="s">
        <v>112</v>
      </c>
      <c r="G169" s="198">
        <v>226573</v>
      </c>
      <c r="H169" s="198"/>
      <c r="I169" s="198"/>
    </row>
    <row r="170" spans="1:10" x14ac:dyDescent="0.35">
      <c r="A170" s="1" t="str">
        <f t="shared" si="2"/>
        <v>2</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98" t="s">
        <v>3845</v>
      </c>
      <c r="D170" s="198" t="s">
        <v>459</v>
      </c>
      <c r="E170" s="198" t="s">
        <v>460</v>
      </c>
      <c r="F170" s="198" t="s">
        <v>112</v>
      </c>
      <c r="G170" s="198">
        <v>85525</v>
      </c>
      <c r="H170" s="198"/>
      <c r="I170" s="198"/>
    </row>
    <row r="171" spans="1:10" x14ac:dyDescent="0.35">
      <c r="A171" s="1" t="str">
        <f t="shared" si="2"/>
        <v>2</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98" t="s">
        <v>3846</v>
      </c>
      <c r="D171" s="198" t="s">
        <v>461</v>
      </c>
      <c r="E171" s="198">
        <v>36</v>
      </c>
      <c r="F171" s="198" t="s">
        <v>112</v>
      </c>
      <c r="G171" s="198">
        <v>779</v>
      </c>
      <c r="H171" s="198"/>
      <c r="I171" s="198"/>
    </row>
    <row r="172" spans="1:10" x14ac:dyDescent="0.35">
      <c r="A172" s="1" t="str">
        <f t="shared" si="2"/>
        <v>2</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98" t="s">
        <v>3847</v>
      </c>
      <c r="D172" s="198" t="s">
        <v>462</v>
      </c>
      <c r="E172" s="198" t="s">
        <v>463</v>
      </c>
      <c r="F172" s="198" t="s">
        <v>112</v>
      </c>
      <c r="G172" s="198">
        <v>14687</v>
      </c>
      <c r="H172" s="198"/>
      <c r="I172" s="198"/>
    </row>
    <row r="173" spans="1:10" x14ac:dyDescent="0.35">
      <c r="A173" s="1" t="str">
        <f t="shared" si="2"/>
        <v>2</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98" t="s">
        <v>3848</v>
      </c>
      <c r="D173" s="198" t="s">
        <v>464</v>
      </c>
      <c r="E173" s="198" t="s">
        <v>465</v>
      </c>
      <c r="F173" s="198" t="s">
        <v>112</v>
      </c>
      <c r="G173" s="198">
        <v>225794</v>
      </c>
      <c r="H173" s="198"/>
      <c r="I173" s="198"/>
    </row>
    <row r="174" spans="1:10" x14ac:dyDescent="0.35">
      <c r="A174" s="1" t="str">
        <f t="shared" si="2"/>
        <v>2</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98" t="s">
        <v>3849</v>
      </c>
      <c r="D174" s="198" t="s">
        <v>466</v>
      </c>
      <c r="E174" s="198" t="s">
        <v>467</v>
      </c>
      <c r="F174" s="198" t="s">
        <v>112</v>
      </c>
      <c r="G174" s="198">
        <v>39366</v>
      </c>
      <c r="H174" s="198"/>
      <c r="I174" s="198"/>
    </row>
    <row r="175" spans="1:10" x14ac:dyDescent="0.35">
      <c r="A175" s="1" t="str">
        <f t="shared" si="2"/>
        <v>2</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98" t="s">
        <v>3850</v>
      </c>
      <c r="D175" s="198" t="s">
        <v>468</v>
      </c>
      <c r="E175" s="198" t="s">
        <v>469</v>
      </c>
      <c r="F175" s="198" t="s">
        <v>112</v>
      </c>
      <c r="G175" s="198">
        <v>131618</v>
      </c>
      <c r="H175" s="198"/>
      <c r="I175" s="198"/>
    </row>
    <row r="176" spans="1:10" x14ac:dyDescent="0.35">
      <c r="A176" s="1" t="str">
        <f t="shared" si="2"/>
        <v>2</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98" t="s">
        <v>3851</v>
      </c>
      <c r="D176" s="198" t="s">
        <v>217</v>
      </c>
      <c r="E176" s="198" t="s">
        <v>470</v>
      </c>
      <c r="F176" s="198" t="s">
        <v>112</v>
      </c>
      <c r="G176" s="198">
        <v>254389</v>
      </c>
      <c r="H176" s="198"/>
      <c r="I176" s="198"/>
      <c r="J176" s="1" t="s">
        <v>201</v>
      </c>
    </row>
    <row r="177" spans="1:10" x14ac:dyDescent="0.35">
      <c r="A177" s="1" t="str">
        <f t="shared" si="2"/>
        <v>2</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98" t="s">
        <v>3852</v>
      </c>
      <c r="D177" s="198" t="s">
        <v>471</v>
      </c>
      <c r="E177" s="198" t="s">
        <v>472</v>
      </c>
      <c r="F177" s="198" t="s">
        <v>112</v>
      </c>
      <c r="G177" s="198">
        <v>119548</v>
      </c>
      <c r="H177" s="198"/>
      <c r="I177" s="198"/>
      <c r="J177" s="1">
        <v>24</v>
      </c>
    </row>
    <row r="178" spans="1:10" x14ac:dyDescent="0.35">
      <c r="A178" s="1" t="str">
        <f t="shared" si="2"/>
        <v>2</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98" t="s">
        <v>3853</v>
      </c>
      <c r="D178" s="198" t="s">
        <v>473</v>
      </c>
      <c r="E178" s="198" t="s">
        <v>474</v>
      </c>
      <c r="F178" s="198" t="s">
        <v>112</v>
      </c>
      <c r="G178" s="198">
        <v>285839</v>
      </c>
      <c r="H178" s="198"/>
      <c r="I178" s="198"/>
    </row>
    <row r="179" spans="1:10" x14ac:dyDescent="0.35">
      <c r="A179" s="1" t="str">
        <f t="shared" si="2"/>
        <v>2</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98" t="s">
        <v>3854</v>
      </c>
      <c r="D179" s="198" t="s">
        <v>475</v>
      </c>
      <c r="E179" s="198" t="s">
        <v>476</v>
      </c>
      <c r="F179" s="198" t="s">
        <v>112</v>
      </c>
      <c r="G179" s="198">
        <v>393405</v>
      </c>
      <c r="H179" s="198"/>
      <c r="I179" s="198"/>
    </row>
    <row r="180" spans="1:10" x14ac:dyDescent="0.35">
      <c r="A180" s="1" t="str">
        <f t="shared" si="2"/>
        <v>2</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98" t="s">
        <v>3855</v>
      </c>
      <c r="D180" s="198" t="s">
        <v>477</v>
      </c>
      <c r="E180" s="198" t="s">
        <v>478</v>
      </c>
      <c r="F180" s="198" t="s">
        <v>112</v>
      </c>
      <c r="G180" s="198">
        <v>1270259</v>
      </c>
      <c r="H180" s="198"/>
      <c r="I180" s="198"/>
    </row>
    <row r="181" spans="1:10" x14ac:dyDescent="0.35">
      <c r="A181" s="1" t="str">
        <f t="shared" si="2"/>
        <v>2</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98" t="s">
        <v>3856</v>
      </c>
      <c r="D181" s="198" t="s">
        <v>479</v>
      </c>
      <c r="E181" s="198" t="s">
        <v>480</v>
      </c>
      <c r="F181" s="198" t="s">
        <v>112</v>
      </c>
      <c r="G181" s="198">
        <v>467638</v>
      </c>
      <c r="H181" s="198"/>
      <c r="I181" s="198"/>
    </row>
    <row r="182" spans="1:10" x14ac:dyDescent="0.35">
      <c r="A182" s="1" t="str">
        <f t="shared" si="2"/>
        <v>2</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98" t="s">
        <v>3857</v>
      </c>
      <c r="D182" s="198" t="s">
        <v>481</v>
      </c>
      <c r="E182" s="198" t="s">
        <v>482</v>
      </c>
      <c r="F182" s="198" t="s">
        <v>112</v>
      </c>
      <c r="G182" s="198">
        <v>597721</v>
      </c>
      <c r="H182" s="198"/>
      <c r="I182" s="198"/>
    </row>
    <row r="183" spans="1:10" x14ac:dyDescent="0.35">
      <c r="A183" s="1" t="str">
        <f t="shared" si="2"/>
        <v>2</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98" t="s">
        <v>3858</v>
      </c>
      <c r="D183" s="198" t="s">
        <v>483</v>
      </c>
      <c r="E183" s="198" t="s">
        <v>484</v>
      </c>
      <c r="F183" s="198" t="s">
        <v>112</v>
      </c>
      <c r="G183" s="198">
        <v>605961</v>
      </c>
      <c r="H183" s="198"/>
      <c r="I183" s="198"/>
    </row>
    <row r="184" spans="1:10" x14ac:dyDescent="0.35">
      <c r="A184" s="1" t="str">
        <f t="shared" si="2"/>
        <v>2</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98" t="s">
        <v>3859</v>
      </c>
      <c r="D184" s="198" t="s">
        <v>485</v>
      </c>
      <c r="E184" s="198" t="s">
        <v>486</v>
      </c>
      <c r="F184" s="198" t="s">
        <v>112</v>
      </c>
      <c r="G184" s="198">
        <v>544187</v>
      </c>
      <c r="H184" s="198"/>
      <c r="I184" s="198"/>
    </row>
    <row r="185" spans="1:10" x14ac:dyDescent="0.35">
      <c r="A185" s="1" t="str">
        <f t="shared" si="2"/>
        <v>2</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98" t="s">
        <v>3860</v>
      </c>
      <c r="D185" s="198" t="s">
        <v>215</v>
      </c>
      <c r="E185" s="198" t="s">
        <v>487</v>
      </c>
      <c r="F185" s="198" t="s">
        <v>112</v>
      </c>
      <c r="G185" s="198">
        <v>314239</v>
      </c>
      <c r="H185" s="198"/>
      <c r="I185" s="198"/>
    </row>
    <row r="186" spans="1:10" x14ac:dyDescent="0.35">
      <c r="A186" s="1" t="str">
        <f t="shared" si="2"/>
        <v>2</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98" t="s">
        <v>3861</v>
      </c>
      <c r="D186" s="198" t="s">
        <v>488</v>
      </c>
      <c r="E186" s="198" t="s">
        <v>489</v>
      </c>
      <c r="F186" s="198" t="s">
        <v>112</v>
      </c>
      <c r="G186" s="198">
        <v>258261</v>
      </c>
      <c r="H186" s="198"/>
      <c r="I186" s="198"/>
    </row>
    <row r="187" spans="1:10" x14ac:dyDescent="0.35">
      <c r="A187" s="1" t="str">
        <f t="shared" si="2"/>
        <v>2</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98" t="s">
        <v>3862</v>
      </c>
      <c r="D187" s="198" t="s">
        <v>490</v>
      </c>
      <c r="E187" s="198" t="s">
        <v>491</v>
      </c>
      <c r="F187" s="198" t="s">
        <v>112</v>
      </c>
      <c r="G187" s="198">
        <v>266740</v>
      </c>
      <c r="H187" s="198"/>
      <c r="I187" s="198"/>
    </row>
    <row r="188" spans="1:10" x14ac:dyDescent="0.35">
      <c r="A188" s="1" t="str">
        <f t="shared" si="2"/>
        <v>2</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98" t="s">
        <v>3863</v>
      </c>
      <c r="D188" s="198" t="s">
        <v>186</v>
      </c>
      <c r="E188" s="198" t="s">
        <v>492</v>
      </c>
      <c r="F188" s="198" t="s">
        <v>112</v>
      </c>
      <c r="G188" s="198">
        <v>470775</v>
      </c>
      <c r="H188" s="198"/>
      <c r="I188" s="198"/>
    </row>
    <row r="189" spans="1:10" x14ac:dyDescent="0.35">
      <c r="A189" s="1" t="str">
        <f t="shared" si="2"/>
        <v>2</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98" t="s">
        <v>3864</v>
      </c>
      <c r="D189" s="198" t="s">
        <v>493</v>
      </c>
      <c r="E189" s="198" t="s">
        <v>494</v>
      </c>
      <c r="F189" s="198" t="s">
        <v>112</v>
      </c>
      <c r="G189" s="198">
        <v>441488</v>
      </c>
      <c r="H189" s="198"/>
      <c r="I189" s="198"/>
    </row>
    <row r="190" spans="1:10" x14ac:dyDescent="0.35">
      <c r="A190" s="1" t="str">
        <f t="shared" si="2"/>
        <v>2</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98" t="s">
        <v>3865</v>
      </c>
      <c r="D190" s="198" t="s">
        <v>495</v>
      </c>
      <c r="E190" s="198" t="s">
        <v>496</v>
      </c>
      <c r="F190" s="198" t="s">
        <v>112</v>
      </c>
      <c r="G190" s="198">
        <v>321420</v>
      </c>
      <c r="H190" s="198"/>
      <c r="I190" s="198"/>
    </row>
    <row r="191" spans="1:10"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98" t="s">
        <v>112</v>
      </c>
      <c r="D191" s="198"/>
      <c r="E191" s="198"/>
      <c r="F191" s="198"/>
      <c r="G191" s="198"/>
      <c r="H191" s="198"/>
      <c r="I191" s="198"/>
    </row>
    <row r="192" spans="1:10"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98" t="s">
        <v>195</v>
      </c>
      <c r="D192" s="198" t="s">
        <v>112</v>
      </c>
      <c r="E192" s="198" t="s">
        <v>196</v>
      </c>
      <c r="F192" s="198" t="s">
        <v>197</v>
      </c>
      <c r="G192" s="198" t="s">
        <v>198</v>
      </c>
      <c r="H192" s="198" t="s">
        <v>199</v>
      </c>
      <c r="I192" s="198" t="s">
        <v>200</v>
      </c>
    </row>
    <row r="193" spans="1:9" x14ac:dyDescent="0.35">
      <c r="A193" s="1" t="str">
        <f t="shared" si="2"/>
        <v>2</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98" t="s">
        <v>3866</v>
      </c>
      <c r="D193" s="198" t="s">
        <v>112</v>
      </c>
      <c r="E193" s="198" t="s">
        <v>497</v>
      </c>
      <c r="F193" s="198" t="s">
        <v>498</v>
      </c>
      <c r="G193" s="198" t="s">
        <v>499</v>
      </c>
      <c r="H193" s="198" t="s">
        <v>500</v>
      </c>
      <c r="I193" s="198">
        <v>24</v>
      </c>
    </row>
    <row r="194" spans="1:9"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98" t="s">
        <v>112</v>
      </c>
      <c r="D194" s="198"/>
      <c r="E194" s="198"/>
      <c r="F194" s="198"/>
      <c r="G194" s="198"/>
      <c r="H194" s="198"/>
      <c r="I194" s="198"/>
    </row>
    <row r="195" spans="1:9"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98" t="s">
        <v>112</v>
      </c>
      <c r="D195" s="198"/>
      <c r="E195" s="198"/>
      <c r="F195" s="198"/>
      <c r="G195" s="198"/>
      <c r="H195" s="198"/>
      <c r="I195" s="198"/>
    </row>
    <row r="196" spans="1:9"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98" t="s">
        <v>112</v>
      </c>
      <c r="D196" s="198"/>
      <c r="E196" s="198"/>
      <c r="F196" s="198"/>
      <c r="G196" s="198"/>
      <c r="H196" s="198"/>
      <c r="I196" s="198"/>
    </row>
    <row r="197" spans="1:9"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98" t="s">
        <v>112</v>
      </c>
      <c r="D197" s="198"/>
      <c r="E197" s="198"/>
      <c r="F197" s="198"/>
      <c r="G197" s="198"/>
      <c r="H197" s="198"/>
      <c r="I197" s="198"/>
    </row>
    <row r="198" spans="1:9"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98" t="s">
        <v>112</v>
      </c>
      <c r="D198" s="198"/>
      <c r="E198" s="198"/>
      <c r="F198" s="198"/>
      <c r="G198" s="198"/>
      <c r="H198" s="198"/>
      <c r="I198" s="198"/>
    </row>
    <row r="199" spans="1:9"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98" t="s">
        <v>206</v>
      </c>
      <c r="D199" s="198" t="s">
        <v>110</v>
      </c>
      <c r="E199" s="198" t="s">
        <v>111</v>
      </c>
      <c r="F199" s="198" t="s">
        <v>112</v>
      </c>
      <c r="G199" s="198" t="s">
        <v>113</v>
      </c>
      <c r="H199" s="198"/>
      <c r="I199" s="198"/>
    </row>
    <row r="200" spans="1:9" x14ac:dyDescent="0.35">
      <c r="A200" s="1" t="str">
        <f t="shared" si="3"/>
        <v>3</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98" t="s">
        <v>3867</v>
      </c>
      <c r="D200" s="198" t="s">
        <v>501</v>
      </c>
      <c r="E200" s="198" t="s">
        <v>502</v>
      </c>
      <c r="F200" s="198" t="s">
        <v>112</v>
      </c>
      <c r="G200" s="198">
        <v>71963</v>
      </c>
      <c r="H200" s="198"/>
      <c r="I200" s="198"/>
    </row>
    <row r="201" spans="1:9" x14ac:dyDescent="0.35">
      <c r="A201" s="1" t="str">
        <f t="shared" si="3"/>
        <v>3</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98" t="s">
        <v>3868</v>
      </c>
      <c r="D201" s="198">
        <v>0</v>
      </c>
      <c r="E201" s="198">
        <v>0</v>
      </c>
      <c r="F201" s="198" t="s">
        <v>112</v>
      </c>
      <c r="G201" s="198">
        <v>0</v>
      </c>
      <c r="H201" s="198"/>
      <c r="I201" s="198"/>
    </row>
    <row r="202" spans="1:9" x14ac:dyDescent="0.35">
      <c r="A202" s="1" t="str">
        <f t="shared" si="3"/>
        <v>3</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98" t="s">
        <v>3869</v>
      </c>
      <c r="D202" s="198" t="s">
        <v>503</v>
      </c>
      <c r="E202" s="198">
        <v>32</v>
      </c>
      <c r="F202" s="198" t="s">
        <v>112</v>
      </c>
      <c r="G202" s="198">
        <v>20073</v>
      </c>
      <c r="H202" s="198"/>
      <c r="I202" s="198"/>
    </row>
    <row r="203" spans="1:9" x14ac:dyDescent="0.35">
      <c r="A203" s="1" t="str">
        <f t="shared" si="3"/>
        <v>3</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98" t="s">
        <v>3870</v>
      </c>
      <c r="D203" s="198" t="s">
        <v>504</v>
      </c>
      <c r="E203" s="198" t="s">
        <v>505</v>
      </c>
      <c r="F203" s="198" t="s">
        <v>112</v>
      </c>
      <c r="G203" s="198">
        <v>489874</v>
      </c>
      <c r="H203" s="198"/>
      <c r="I203" s="198"/>
    </row>
    <row r="204" spans="1:9" x14ac:dyDescent="0.35">
      <c r="A204" s="1" t="str">
        <f t="shared" si="3"/>
        <v>3</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98" t="s">
        <v>3871</v>
      </c>
      <c r="D204" s="198" t="s">
        <v>506</v>
      </c>
      <c r="E204" s="198" t="s">
        <v>507</v>
      </c>
      <c r="F204" s="198" t="s">
        <v>112</v>
      </c>
      <c r="G204" s="198">
        <v>687225</v>
      </c>
      <c r="H204" s="198"/>
      <c r="I204" s="198"/>
    </row>
    <row r="205" spans="1:9" x14ac:dyDescent="0.35">
      <c r="A205" s="1" t="str">
        <f t="shared" si="3"/>
        <v>3</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98" t="s">
        <v>3872</v>
      </c>
      <c r="D205" s="198" t="s">
        <v>508</v>
      </c>
      <c r="E205" s="198" t="s">
        <v>509</v>
      </c>
      <c r="F205" s="198" t="s">
        <v>112</v>
      </c>
      <c r="G205" s="198">
        <v>753369</v>
      </c>
      <c r="H205" s="198"/>
      <c r="I205" s="198"/>
    </row>
    <row r="206" spans="1:9" x14ac:dyDescent="0.35">
      <c r="A206" s="1" t="str">
        <f t="shared" si="3"/>
        <v>3</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98" t="s">
        <v>3873</v>
      </c>
      <c r="D206" s="198" t="s">
        <v>510</v>
      </c>
      <c r="E206" s="198" t="s">
        <v>511</v>
      </c>
      <c r="F206" s="198" t="s">
        <v>112</v>
      </c>
      <c r="G206" s="198">
        <v>115871</v>
      </c>
      <c r="H206" s="198"/>
      <c r="I206" s="198"/>
    </row>
    <row r="207" spans="1:9" x14ac:dyDescent="0.35">
      <c r="A207" s="1" t="str">
        <f t="shared" si="3"/>
        <v>3</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98" t="s">
        <v>3874</v>
      </c>
      <c r="D207" s="198" t="s">
        <v>512</v>
      </c>
      <c r="E207" s="198" t="s">
        <v>513</v>
      </c>
      <c r="F207" s="198" t="s">
        <v>112</v>
      </c>
      <c r="G207" s="198">
        <v>144942</v>
      </c>
      <c r="H207" s="198"/>
      <c r="I207" s="198"/>
    </row>
    <row r="208" spans="1:9" x14ac:dyDescent="0.35">
      <c r="A208" s="1" t="str">
        <f t="shared" si="3"/>
        <v>3</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98" t="s">
        <v>3875</v>
      </c>
      <c r="D208" s="198" t="s">
        <v>514</v>
      </c>
      <c r="E208" s="198" t="s">
        <v>515</v>
      </c>
      <c r="F208" s="198" t="s">
        <v>112</v>
      </c>
      <c r="G208" s="198">
        <v>189045</v>
      </c>
      <c r="H208" s="198"/>
      <c r="I208" s="198"/>
    </row>
    <row r="209" spans="1:10" x14ac:dyDescent="0.35">
      <c r="A209" s="1" t="str">
        <f t="shared" si="3"/>
        <v>3</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98" t="s">
        <v>3876</v>
      </c>
      <c r="D209" s="198" t="s">
        <v>516</v>
      </c>
      <c r="E209" s="198" t="s">
        <v>517</v>
      </c>
      <c r="F209" s="198" t="s">
        <v>112</v>
      </c>
      <c r="G209" s="198">
        <v>152794</v>
      </c>
      <c r="H209" s="198"/>
      <c r="I209" s="198"/>
      <c r="J209" s="1" t="s">
        <v>201</v>
      </c>
    </row>
    <row r="210" spans="1:10" x14ac:dyDescent="0.35">
      <c r="A210" s="1" t="str">
        <f t="shared" si="3"/>
        <v>3</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98" t="s">
        <v>3877</v>
      </c>
      <c r="D210" s="198"/>
      <c r="E210" s="198"/>
      <c r="F210" s="198"/>
      <c r="G210" s="198"/>
      <c r="H210" s="198"/>
      <c r="I210" s="198"/>
      <c r="J210" s="1">
        <v>24</v>
      </c>
    </row>
    <row r="211" spans="1:10" x14ac:dyDescent="0.35">
      <c r="A211" s="1" t="str">
        <f t="shared" si="3"/>
        <v>3</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98" t="s">
        <v>3878</v>
      </c>
      <c r="D211" s="198"/>
      <c r="E211" s="198"/>
      <c r="F211" s="198"/>
      <c r="G211" s="198"/>
      <c r="H211" s="198"/>
      <c r="I211" s="198"/>
    </row>
    <row r="212" spans="1:10" x14ac:dyDescent="0.35">
      <c r="A212" s="1" t="str">
        <f t="shared" si="3"/>
        <v>3</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98" t="s">
        <v>3879</v>
      </c>
      <c r="D212" s="198" t="s">
        <v>518</v>
      </c>
      <c r="E212" s="198" t="s">
        <v>519</v>
      </c>
      <c r="F212" s="198" t="s">
        <v>112</v>
      </c>
      <c r="G212" s="198">
        <v>312660</v>
      </c>
      <c r="H212" s="198"/>
      <c r="I212" s="198"/>
    </row>
    <row r="213" spans="1:10" x14ac:dyDescent="0.35">
      <c r="A213" s="1" t="str">
        <f t="shared" si="3"/>
        <v>3</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98" t="s">
        <v>3880</v>
      </c>
      <c r="D213" s="198" t="s">
        <v>520</v>
      </c>
      <c r="E213" s="198" t="s">
        <v>521</v>
      </c>
      <c r="F213" s="198" t="s">
        <v>112</v>
      </c>
      <c r="G213" s="198">
        <v>407421</v>
      </c>
      <c r="H213" s="198"/>
      <c r="I213" s="198"/>
    </row>
    <row r="214" spans="1:10" x14ac:dyDescent="0.35">
      <c r="A214" s="1" t="str">
        <f t="shared" si="3"/>
        <v>3</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98" t="s">
        <v>3881</v>
      </c>
      <c r="D214" s="198" t="s">
        <v>522</v>
      </c>
      <c r="E214" s="198" t="s">
        <v>523</v>
      </c>
      <c r="F214" s="198" t="s">
        <v>112</v>
      </c>
      <c r="G214" s="198">
        <v>486478</v>
      </c>
      <c r="H214" s="198"/>
      <c r="I214" s="198"/>
    </row>
    <row r="215" spans="1:10" x14ac:dyDescent="0.35">
      <c r="A215" s="1" t="str">
        <f t="shared" si="3"/>
        <v>3</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98" t="s">
        <v>3882</v>
      </c>
      <c r="D215" s="198" t="s">
        <v>209</v>
      </c>
      <c r="E215" s="198" t="s">
        <v>524</v>
      </c>
      <c r="F215" s="198" t="s">
        <v>112</v>
      </c>
      <c r="G215" s="198">
        <v>197265</v>
      </c>
      <c r="H215" s="198"/>
      <c r="I215" s="198"/>
    </row>
    <row r="216" spans="1:10" x14ac:dyDescent="0.35">
      <c r="A216" s="1" t="str">
        <f t="shared" si="3"/>
        <v>3</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98" t="s">
        <v>3883</v>
      </c>
      <c r="D216" s="198" t="s">
        <v>525</v>
      </c>
      <c r="E216" s="198" t="s">
        <v>526</v>
      </c>
      <c r="F216" s="198" t="s">
        <v>112</v>
      </c>
      <c r="G216" s="198">
        <v>112000</v>
      </c>
      <c r="H216" s="198"/>
      <c r="I216" s="198"/>
    </row>
    <row r="217" spans="1:10" x14ac:dyDescent="0.35">
      <c r="A217" s="1" t="str">
        <f t="shared" si="3"/>
        <v>3</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98" t="s">
        <v>3884</v>
      </c>
      <c r="D217" s="198" t="s">
        <v>527</v>
      </c>
      <c r="E217" s="198" t="s">
        <v>528</v>
      </c>
      <c r="F217" s="198" t="s">
        <v>112</v>
      </c>
      <c r="G217" s="198">
        <v>149679</v>
      </c>
      <c r="H217" s="198"/>
      <c r="I217" s="198"/>
    </row>
    <row r="218" spans="1:10" x14ac:dyDescent="0.35">
      <c r="A218" s="1" t="str">
        <f t="shared" si="3"/>
        <v>3</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98" t="s">
        <v>3885</v>
      </c>
      <c r="D218" s="198" t="s">
        <v>529</v>
      </c>
      <c r="E218" s="198" t="s">
        <v>530</v>
      </c>
      <c r="F218" s="198" t="s">
        <v>112</v>
      </c>
      <c r="G218" s="198">
        <v>395892</v>
      </c>
      <c r="H218" s="198"/>
      <c r="I218" s="198"/>
    </row>
    <row r="219" spans="1:10" x14ac:dyDescent="0.35">
      <c r="A219" s="1" t="str">
        <f t="shared" si="3"/>
        <v>3</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98" t="s">
        <v>3886</v>
      </c>
      <c r="D219" s="198" t="s">
        <v>531</v>
      </c>
      <c r="E219" s="198" t="s">
        <v>532</v>
      </c>
      <c r="F219" s="198" t="s">
        <v>112</v>
      </c>
      <c r="G219" s="198">
        <v>296654</v>
      </c>
      <c r="H219" s="198"/>
      <c r="I219" s="198"/>
    </row>
    <row r="220" spans="1:10" x14ac:dyDescent="0.35">
      <c r="A220" s="1" t="str">
        <f t="shared" si="3"/>
        <v>3</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98" t="s">
        <v>3887</v>
      </c>
      <c r="D220" s="198" t="s">
        <v>211</v>
      </c>
      <c r="E220" s="198" t="s">
        <v>533</v>
      </c>
      <c r="F220" s="198" t="s">
        <v>112</v>
      </c>
      <c r="G220" s="198">
        <v>415143</v>
      </c>
      <c r="H220" s="198"/>
      <c r="I220" s="198"/>
    </row>
    <row r="221" spans="1:10" x14ac:dyDescent="0.35">
      <c r="A221" s="1" t="str">
        <f t="shared" si="3"/>
        <v>3</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98" t="s">
        <v>3888</v>
      </c>
      <c r="D221" s="198" t="s">
        <v>534</v>
      </c>
      <c r="E221" s="198" t="s">
        <v>535</v>
      </c>
      <c r="F221" s="198" t="s">
        <v>112</v>
      </c>
      <c r="G221" s="198">
        <v>121495</v>
      </c>
      <c r="H221" s="198"/>
      <c r="I221" s="198"/>
    </row>
    <row r="222" spans="1:10" x14ac:dyDescent="0.35">
      <c r="A222" s="1" t="str">
        <f t="shared" si="3"/>
        <v>3</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98" t="s">
        <v>3889</v>
      </c>
      <c r="D222" s="198" t="s">
        <v>536</v>
      </c>
      <c r="E222" s="198" t="s">
        <v>537</v>
      </c>
      <c r="F222" s="198" t="s">
        <v>112</v>
      </c>
      <c r="G222" s="198">
        <v>171698</v>
      </c>
      <c r="H222" s="198"/>
      <c r="I222" s="198"/>
    </row>
    <row r="223" spans="1:10" x14ac:dyDescent="0.35">
      <c r="A223" s="1" t="str">
        <f t="shared" si="3"/>
        <v>3</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98" t="s">
        <v>3890</v>
      </c>
      <c r="D223" s="198" t="s">
        <v>538</v>
      </c>
      <c r="E223" s="198">
        <v>33</v>
      </c>
      <c r="F223" s="198" t="s">
        <v>112</v>
      </c>
      <c r="G223" s="198">
        <v>1428</v>
      </c>
      <c r="H223" s="198"/>
      <c r="I223" s="198"/>
    </row>
    <row r="224" spans="1:10"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98" t="s">
        <v>112</v>
      </c>
      <c r="D224" s="198"/>
      <c r="E224" s="198"/>
      <c r="F224" s="198"/>
      <c r="G224" s="198"/>
      <c r="H224" s="198"/>
      <c r="I224" s="198"/>
    </row>
    <row r="225" spans="1:9"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98" t="s">
        <v>195</v>
      </c>
      <c r="D225" s="198" t="s">
        <v>112</v>
      </c>
      <c r="E225" s="198" t="s">
        <v>196</v>
      </c>
      <c r="F225" s="198" t="s">
        <v>197</v>
      </c>
      <c r="G225" s="198" t="s">
        <v>198</v>
      </c>
      <c r="H225" s="198" t="s">
        <v>199</v>
      </c>
      <c r="I225" s="198" t="s">
        <v>200</v>
      </c>
    </row>
    <row r="226" spans="1:9" x14ac:dyDescent="0.35">
      <c r="A226" s="1" t="str">
        <f t="shared" si="3"/>
        <v>3</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98" t="s">
        <v>3891</v>
      </c>
      <c r="D226" s="198" t="s">
        <v>112</v>
      </c>
      <c r="E226" s="198" t="s">
        <v>539</v>
      </c>
      <c r="F226" s="198" t="s">
        <v>540</v>
      </c>
      <c r="G226" s="198" t="s">
        <v>541</v>
      </c>
      <c r="H226" s="198" t="s">
        <v>542</v>
      </c>
      <c r="I226" s="198">
        <v>22</v>
      </c>
    </row>
    <row r="227" spans="1:9"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98" t="s">
        <v>112</v>
      </c>
      <c r="D227" s="198"/>
      <c r="E227" s="198"/>
      <c r="F227" s="198"/>
      <c r="G227" s="198"/>
      <c r="H227" s="198"/>
      <c r="I227" s="198"/>
    </row>
    <row r="228" spans="1:9"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98" t="s">
        <v>112</v>
      </c>
      <c r="D228" s="198"/>
      <c r="E228" s="198"/>
      <c r="F228" s="198"/>
      <c r="G228" s="198"/>
      <c r="H228" s="198"/>
      <c r="I228" s="198"/>
    </row>
    <row r="229" spans="1:9"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98" t="s">
        <v>112</v>
      </c>
      <c r="D229" s="198"/>
      <c r="E229" s="198"/>
      <c r="F229" s="198"/>
      <c r="G229" s="198"/>
      <c r="H229" s="198"/>
      <c r="I229" s="198"/>
    </row>
    <row r="230" spans="1:9"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98" t="s">
        <v>112</v>
      </c>
      <c r="D230" s="198"/>
      <c r="E230" s="198"/>
      <c r="F230" s="198"/>
      <c r="G230" s="198"/>
      <c r="H230" s="198"/>
      <c r="I230" s="198"/>
    </row>
    <row r="231" spans="1:9"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98" t="s">
        <v>112</v>
      </c>
      <c r="D231" s="198"/>
      <c r="E231" s="198"/>
      <c r="F231" s="198"/>
      <c r="G231" s="198"/>
      <c r="H231" s="198"/>
      <c r="I231" s="198"/>
    </row>
    <row r="232" spans="1:9"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98" t="s">
        <v>206</v>
      </c>
      <c r="D232" s="198" t="s">
        <v>110</v>
      </c>
      <c r="E232" s="198" t="s">
        <v>111</v>
      </c>
      <c r="F232" s="198" t="s">
        <v>112</v>
      </c>
      <c r="G232" s="198" t="s">
        <v>113</v>
      </c>
      <c r="H232" s="198"/>
      <c r="I232" s="198"/>
    </row>
    <row r="233" spans="1:9" x14ac:dyDescent="0.35">
      <c r="A233" s="1" t="str">
        <f t="shared" si="3"/>
        <v>4</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98" t="s">
        <v>3892</v>
      </c>
      <c r="D233" s="198" t="s">
        <v>437</v>
      </c>
      <c r="E233" s="198" t="s">
        <v>543</v>
      </c>
      <c r="F233" s="198" t="s">
        <v>112</v>
      </c>
      <c r="G233" s="198">
        <v>14860</v>
      </c>
      <c r="H233" s="198"/>
      <c r="I233" s="198"/>
    </row>
    <row r="234" spans="1:9" x14ac:dyDescent="0.35">
      <c r="A234" s="1" t="str">
        <f t="shared" si="3"/>
        <v>4</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98" t="s">
        <v>3893</v>
      </c>
      <c r="D234" s="198" t="s">
        <v>544</v>
      </c>
      <c r="E234" s="198" t="s">
        <v>545</v>
      </c>
      <c r="F234" s="198" t="s">
        <v>112</v>
      </c>
      <c r="G234" s="198">
        <v>403700</v>
      </c>
      <c r="H234" s="198"/>
      <c r="I234" s="198"/>
    </row>
    <row r="235" spans="1:9" x14ac:dyDescent="0.35">
      <c r="A235" s="1" t="str">
        <f t="shared" si="3"/>
        <v>4</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98" t="s">
        <v>3894</v>
      </c>
      <c r="D235" s="198" t="s">
        <v>546</v>
      </c>
      <c r="E235" s="198" t="s">
        <v>547</v>
      </c>
      <c r="F235" s="198" t="s">
        <v>112</v>
      </c>
      <c r="G235" s="198">
        <v>59158</v>
      </c>
      <c r="H235" s="198"/>
      <c r="I235" s="198"/>
    </row>
    <row r="236" spans="1:9" x14ac:dyDescent="0.35">
      <c r="A236" s="1" t="str">
        <f t="shared" si="3"/>
        <v>4</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98" t="s">
        <v>3895</v>
      </c>
      <c r="D236" s="198" t="s">
        <v>548</v>
      </c>
      <c r="E236" s="198" t="s">
        <v>549</v>
      </c>
      <c r="F236" s="198" t="s">
        <v>112</v>
      </c>
      <c r="G236" s="198">
        <v>919811</v>
      </c>
      <c r="H236" s="198"/>
      <c r="I236" s="198"/>
    </row>
    <row r="237" spans="1:9" x14ac:dyDescent="0.35">
      <c r="A237" s="1" t="str">
        <f t="shared" si="3"/>
        <v>4</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98" t="s">
        <v>3896</v>
      </c>
      <c r="D237" s="198" t="s">
        <v>550</v>
      </c>
      <c r="E237" s="198" t="s">
        <v>551</v>
      </c>
      <c r="F237" s="198" t="s">
        <v>112</v>
      </c>
      <c r="G237" s="198">
        <v>907071</v>
      </c>
      <c r="H237" s="198"/>
      <c r="I237" s="198"/>
    </row>
    <row r="238" spans="1:9" x14ac:dyDescent="0.35">
      <c r="A238" s="1" t="str">
        <f t="shared" si="3"/>
        <v>4</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98" t="s">
        <v>3897</v>
      </c>
      <c r="D238" s="198" t="s">
        <v>552</v>
      </c>
      <c r="E238" s="198" t="s">
        <v>553</v>
      </c>
      <c r="F238" s="198" t="s">
        <v>112</v>
      </c>
      <c r="G238" s="198">
        <v>961946</v>
      </c>
      <c r="H238" s="198"/>
      <c r="I238" s="198"/>
    </row>
    <row r="239" spans="1:9" x14ac:dyDescent="0.35">
      <c r="A239" s="1" t="str">
        <f t="shared" si="3"/>
        <v>4</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98" t="s">
        <v>3898</v>
      </c>
      <c r="D239" s="198" t="s">
        <v>554</v>
      </c>
      <c r="E239" s="198" t="s">
        <v>555</v>
      </c>
      <c r="F239" s="198" t="s">
        <v>112</v>
      </c>
      <c r="G239" s="198">
        <v>576112</v>
      </c>
      <c r="H239" s="198"/>
      <c r="I239" s="198"/>
    </row>
    <row r="240" spans="1:9" x14ac:dyDescent="0.35">
      <c r="A240" s="1" t="str">
        <f t="shared" si="3"/>
        <v>4</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98" t="s">
        <v>3899</v>
      </c>
      <c r="D240" s="198" t="s">
        <v>556</v>
      </c>
      <c r="E240" s="198" t="s">
        <v>557</v>
      </c>
      <c r="F240" s="198" t="s">
        <v>112</v>
      </c>
      <c r="G240" s="198">
        <v>414775</v>
      </c>
      <c r="H240" s="198"/>
      <c r="I240" s="198"/>
    </row>
    <row r="241" spans="1:10" x14ac:dyDescent="0.35">
      <c r="A241" s="1" t="str">
        <f t="shared" si="3"/>
        <v>4</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98" t="s">
        <v>3900</v>
      </c>
      <c r="D241" s="198" t="s">
        <v>558</v>
      </c>
      <c r="E241" s="198" t="s">
        <v>559</v>
      </c>
      <c r="F241" s="198" t="s">
        <v>112</v>
      </c>
      <c r="G241" s="198">
        <v>400521</v>
      </c>
      <c r="H241" s="198"/>
      <c r="I241" s="198"/>
    </row>
    <row r="242" spans="1:10" x14ac:dyDescent="0.35">
      <c r="A242" s="1" t="str">
        <f t="shared" si="3"/>
        <v>4</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98" t="s">
        <v>3901</v>
      </c>
      <c r="D242" s="198" t="s">
        <v>560</v>
      </c>
      <c r="E242" s="198" t="s">
        <v>561</v>
      </c>
      <c r="F242" s="198" t="s">
        <v>112</v>
      </c>
      <c r="G242" s="198">
        <v>850250</v>
      </c>
      <c r="H242" s="198"/>
      <c r="I242" s="198"/>
      <c r="J242" s="1" t="s">
        <v>201</v>
      </c>
    </row>
    <row r="243" spans="1:10" x14ac:dyDescent="0.35">
      <c r="A243" s="1" t="str">
        <f t="shared" si="3"/>
        <v>4</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98" t="s">
        <v>3902</v>
      </c>
      <c r="D243" s="198" t="s">
        <v>562</v>
      </c>
      <c r="E243" s="198" t="s">
        <v>563</v>
      </c>
      <c r="F243" s="198" t="s">
        <v>112</v>
      </c>
      <c r="G243" s="198">
        <v>1388509</v>
      </c>
      <c r="H243" s="198"/>
      <c r="I243" s="198"/>
      <c r="J243" s="1">
        <v>24</v>
      </c>
    </row>
    <row r="244" spans="1:10" x14ac:dyDescent="0.35">
      <c r="A244" s="1" t="str">
        <f t="shared" si="3"/>
        <v>4</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98" t="s">
        <v>3903</v>
      </c>
      <c r="D244" s="198" t="s">
        <v>564</v>
      </c>
      <c r="E244" s="198" t="s">
        <v>565</v>
      </c>
      <c r="F244" s="198" t="s">
        <v>112</v>
      </c>
      <c r="G244" s="198">
        <v>800111</v>
      </c>
      <c r="H244" s="198"/>
      <c r="I244" s="198"/>
    </row>
    <row r="245" spans="1:10" x14ac:dyDescent="0.35">
      <c r="A245" s="1" t="str">
        <f t="shared" si="3"/>
        <v>4</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98" t="s">
        <v>3904</v>
      </c>
      <c r="D245" s="198" t="s">
        <v>566</v>
      </c>
      <c r="E245" s="198" t="s">
        <v>567</v>
      </c>
      <c r="F245" s="198" t="s">
        <v>112</v>
      </c>
      <c r="G245" s="198">
        <v>287094</v>
      </c>
      <c r="H245" s="198"/>
      <c r="I245" s="198"/>
    </row>
    <row r="246" spans="1:10" x14ac:dyDescent="0.35">
      <c r="A246" s="1" t="str">
        <f t="shared" si="3"/>
        <v>4</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98" t="s">
        <v>3905</v>
      </c>
      <c r="D246" s="198" t="s">
        <v>568</v>
      </c>
      <c r="E246" s="198" t="s">
        <v>569</v>
      </c>
      <c r="F246" s="198" t="s">
        <v>112</v>
      </c>
      <c r="G246" s="198">
        <v>584721</v>
      </c>
      <c r="H246" s="198"/>
      <c r="I246" s="198"/>
    </row>
    <row r="247" spans="1:10" x14ac:dyDescent="0.35">
      <c r="A247" s="1" t="str">
        <f t="shared" si="3"/>
        <v>4</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98" t="s">
        <v>3906</v>
      </c>
      <c r="D247" s="198" t="s">
        <v>570</v>
      </c>
      <c r="E247" s="198" t="s">
        <v>571</v>
      </c>
      <c r="F247" s="198" t="s">
        <v>112</v>
      </c>
      <c r="G247" s="198">
        <v>373181</v>
      </c>
      <c r="H247" s="198"/>
      <c r="I247" s="198"/>
    </row>
    <row r="248" spans="1:10" x14ac:dyDescent="0.35">
      <c r="A248" s="1" t="str">
        <f t="shared" si="3"/>
        <v>4</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98" t="s">
        <v>3907</v>
      </c>
      <c r="D248" s="198" t="s">
        <v>572</v>
      </c>
      <c r="E248" s="198" t="s">
        <v>573</v>
      </c>
      <c r="F248" s="198" t="s">
        <v>112</v>
      </c>
      <c r="G248" s="198">
        <v>1131049</v>
      </c>
      <c r="H248" s="198"/>
      <c r="I248" s="198"/>
    </row>
    <row r="249" spans="1:10" x14ac:dyDescent="0.35">
      <c r="A249" s="1" t="str">
        <f t="shared" si="3"/>
        <v>4</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98" t="s">
        <v>3908</v>
      </c>
      <c r="D249" s="198" t="s">
        <v>574</v>
      </c>
      <c r="E249" s="198" t="s">
        <v>575</v>
      </c>
      <c r="F249" s="198" t="s">
        <v>112</v>
      </c>
      <c r="G249" s="198">
        <v>1360888</v>
      </c>
      <c r="H249" s="198"/>
      <c r="I249" s="198"/>
    </row>
    <row r="250" spans="1:10" x14ac:dyDescent="0.35">
      <c r="A250" s="1" t="str">
        <f t="shared" si="3"/>
        <v>4</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98" t="s">
        <v>3909</v>
      </c>
      <c r="D250" s="198" t="s">
        <v>576</v>
      </c>
      <c r="E250" s="198" t="s">
        <v>577</v>
      </c>
      <c r="F250" s="198" t="s">
        <v>112</v>
      </c>
      <c r="G250" s="198">
        <v>594216</v>
      </c>
      <c r="H250" s="198"/>
      <c r="I250" s="198"/>
    </row>
    <row r="251" spans="1:10" x14ac:dyDescent="0.35">
      <c r="A251" s="1" t="str">
        <f t="shared" si="3"/>
        <v>4</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98" t="s">
        <v>3910</v>
      </c>
      <c r="D251" s="198" t="s">
        <v>578</v>
      </c>
      <c r="E251" s="198" t="s">
        <v>579</v>
      </c>
      <c r="F251" s="198" t="s">
        <v>112</v>
      </c>
      <c r="G251" s="198">
        <v>2035395</v>
      </c>
      <c r="H251" s="198"/>
      <c r="I251" s="198"/>
    </row>
    <row r="252" spans="1:10" x14ac:dyDescent="0.35">
      <c r="A252" s="1" t="str">
        <f t="shared" si="3"/>
        <v>4</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98" t="s">
        <v>3911</v>
      </c>
      <c r="D252" s="198" t="s">
        <v>580</v>
      </c>
      <c r="E252" s="198" t="s">
        <v>581</v>
      </c>
      <c r="F252" s="198" t="s">
        <v>112</v>
      </c>
      <c r="G252" s="198">
        <v>2201253</v>
      </c>
      <c r="H252" s="198"/>
      <c r="I252" s="198"/>
    </row>
    <row r="253" spans="1:10" x14ac:dyDescent="0.35">
      <c r="A253" s="1" t="str">
        <f t="shared" si="3"/>
        <v>4</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98" t="s">
        <v>3912</v>
      </c>
      <c r="D253" s="198" t="s">
        <v>582</v>
      </c>
      <c r="E253" s="198" t="s">
        <v>583</v>
      </c>
      <c r="F253" s="198" t="s">
        <v>112</v>
      </c>
      <c r="G253" s="198">
        <v>2094163</v>
      </c>
      <c r="H253" s="198"/>
      <c r="I253" s="198"/>
    </row>
    <row r="254" spans="1:10" x14ac:dyDescent="0.35">
      <c r="A254" s="1" t="str">
        <f t="shared" si="3"/>
        <v>4</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98" t="s">
        <v>3913</v>
      </c>
      <c r="D254" s="198" t="s">
        <v>584</v>
      </c>
      <c r="E254" s="198" t="s">
        <v>585</v>
      </c>
      <c r="F254" s="198" t="s">
        <v>112</v>
      </c>
      <c r="G254" s="198">
        <v>456585</v>
      </c>
      <c r="H254" s="198"/>
      <c r="I254" s="198"/>
    </row>
    <row r="255" spans="1:10" x14ac:dyDescent="0.35">
      <c r="A255" s="1" t="str">
        <f t="shared" si="3"/>
        <v>4</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98" t="s">
        <v>3914</v>
      </c>
      <c r="D255" s="198" t="s">
        <v>586</v>
      </c>
      <c r="E255" s="198" t="s">
        <v>587</v>
      </c>
      <c r="F255" s="198" t="s">
        <v>112</v>
      </c>
      <c r="G255" s="198">
        <v>590864</v>
      </c>
      <c r="H255" s="198"/>
      <c r="I255" s="198"/>
    </row>
    <row r="256" spans="1:10" x14ac:dyDescent="0.35">
      <c r="A256" s="1" t="str">
        <f t="shared" si="3"/>
        <v>4</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98" t="s">
        <v>3915</v>
      </c>
      <c r="D256" s="198" t="s">
        <v>588</v>
      </c>
      <c r="E256" s="198" t="s">
        <v>589</v>
      </c>
      <c r="F256" s="198" t="s">
        <v>112</v>
      </c>
      <c r="G256" s="198">
        <v>205938</v>
      </c>
      <c r="H256" s="198"/>
      <c r="I256" s="198"/>
    </row>
    <row r="257" spans="1:9"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98" t="s">
        <v>112</v>
      </c>
      <c r="D257" s="198"/>
      <c r="E257" s="198"/>
      <c r="F257" s="198"/>
      <c r="G257" s="198"/>
      <c r="H257" s="198"/>
      <c r="I257" s="198"/>
    </row>
    <row r="258" spans="1:9"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98" t="s">
        <v>195</v>
      </c>
      <c r="D258" s="198" t="s">
        <v>112</v>
      </c>
      <c r="E258" s="198" t="s">
        <v>196</v>
      </c>
      <c r="F258" s="198" t="s">
        <v>197</v>
      </c>
      <c r="G258" s="198" t="s">
        <v>198</v>
      </c>
      <c r="H258" s="198" t="s">
        <v>199</v>
      </c>
      <c r="I258" s="198" t="s">
        <v>200</v>
      </c>
    </row>
    <row r="259" spans="1:9" x14ac:dyDescent="0.35">
      <c r="A259" s="1" t="str">
        <f t="shared" si="4"/>
        <v>4</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98" t="s">
        <v>3916</v>
      </c>
      <c r="D259" s="198" t="s">
        <v>112</v>
      </c>
      <c r="E259" s="198" t="s">
        <v>590</v>
      </c>
      <c r="F259" s="198" t="s">
        <v>591</v>
      </c>
      <c r="G259" s="198" t="s">
        <v>592</v>
      </c>
      <c r="H259" s="198" t="s">
        <v>593</v>
      </c>
      <c r="I259" s="198">
        <v>24</v>
      </c>
    </row>
    <row r="260" spans="1:9"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98" t="s">
        <v>112</v>
      </c>
      <c r="D260" s="198"/>
      <c r="E260" s="198"/>
      <c r="F260" s="198"/>
      <c r="G260" s="198"/>
      <c r="H260" s="198"/>
      <c r="I260" s="198"/>
    </row>
    <row r="261" spans="1:9"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98" t="s">
        <v>112</v>
      </c>
      <c r="D261" s="198"/>
      <c r="E261" s="198"/>
      <c r="F261" s="198"/>
      <c r="G261" s="198"/>
      <c r="H261" s="198"/>
      <c r="I261" s="198"/>
    </row>
    <row r="262" spans="1:9"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98" t="s">
        <v>112</v>
      </c>
      <c r="D262" s="198"/>
      <c r="E262" s="198"/>
      <c r="F262" s="198"/>
      <c r="G262" s="198"/>
      <c r="H262" s="198"/>
      <c r="I262" s="198"/>
    </row>
    <row r="263" spans="1:9"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98" t="s">
        <v>112</v>
      </c>
      <c r="D263" s="198"/>
      <c r="E263" s="198"/>
      <c r="F263" s="198"/>
      <c r="G263" s="198"/>
      <c r="H263" s="198"/>
      <c r="I263" s="198"/>
    </row>
    <row r="264" spans="1:9"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98" t="s">
        <v>112</v>
      </c>
      <c r="D264" s="198"/>
      <c r="E264" s="198"/>
      <c r="F264" s="198"/>
      <c r="G264" s="198"/>
      <c r="H264" s="198"/>
      <c r="I264" s="198"/>
    </row>
    <row r="265" spans="1:9"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98" t="s">
        <v>206</v>
      </c>
      <c r="D265" s="198" t="s">
        <v>110</v>
      </c>
      <c r="E265" s="198" t="s">
        <v>111</v>
      </c>
      <c r="F265" s="198" t="s">
        <v>112</v>
      </c>
      <c r="G265" s="198" t="s">
        <v>113</v>
      </c>
      <c r="H265" s="198"/>
      <c r="I265" s="198"/>
    </row>
    <row r="266" spans="1:9" x14ac:dyDescent="0.35">
      <c r="A266" s="1" t="str">
        <f t="shared" si="4"/>
        <v>5</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98" t="s">
        <v>3917</v>
      </c>
      <c r="D266" s="198" t="s">
        <v>594</v>
      </c>
      <c r="E266" s="198" t="s">
        <v>595</v>
      </c>
      <c r="F266" s="198" t="s">
        <v>112</v>
      </c>
      <c r="G266" s="198">
        <v>811986</v>
      </c>
      <c r="H266" s="198"/>
      <c r="I266" s="198"/>
    </row>
    <row r="267" spans="1:9" x14ac:dyDescent="0.35">
      <c r="A267" s="1" t="str">
        <f t="shared" si="4"/>
        <v>5</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98" t="s">
        <v>3918</v>
      </c>
      <c r="D267" s="198" t="s">
        <v>596</v>
      </c>
      <c r="E267" s="198" t="s">
        <v>597</v>
      </c>
      <c r="F267" s="198" t="s">
        <v>112</v>
      </c>
      <c r="G267" s="198">
        <v>394659</v>
      </c>
      <c r="H267" s="198"/>
      <c r="I267" s="198"/>
    </row>
    <row r="268" spans="1:9" x14ac:dyDescent="0.35">
      <c r="A268" s="1" t="str">
        <f t="shared" si="4"/>
        <v>5</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98" t="s">
        <v>3919</v>
      </c>
      <c r="D268" s="198" t="s">
        <v>598</v>
      </c>
      <c r="E268" s="198" t="s">
        <v>599</v>
      </c>
      <c r="F268" s="198" t="s">
        <v>112</v>
      </c>
      <c r="G268" s="198">
        <v>507524</v>
      </c>
      <c r="H268" s="198"/>
      <c r="I268" s="198"/>
    </row>
    <row r="269" spans="1:9" x14ac:dyDescent="0.35">
      <c r="A269" s="1" t="str">
        <f t="shared" si="4"/>
        <v>5</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98" t="s">
        <v>3920</v>
      </c>
      <c r="D269" s="198" t="s">
        <v>600</v>
      </c>
      <c r="E269" s="198" t="s">
        <v>601</v>
      </c>
      <c r="F269" s="198" t="s">
        <v>112</v>
      </c>
      <c r="G269" s="198">
        <v>2259113</v>
      </c>
      <c r="H269" s="198"/>
      <c r="I269" s="198"/>
    </row>
    <row r="270" spans="1:9" x14ac:dyDescent="0.35">
      <c r="A270" s="1" t="str">
        <f t="shared" si="4"/>
        <v>5</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98" t="s">
        <v>3921</v>
      </c>
      <c r="D270" s="198" t="s">
        <v>602</v>
      </c>
      <c r="E270" s="198" t="s">
        <v>603</v>
      </c>
      <c r="F270" s="198" t="s">
        <v>112</v>
      </c>
      <c r="G270" s="198">
        <v>2201318</v>
      </c>
      <c r="H270" s="198"/>
      <c r="I270" s="198"/>
    </row>
    <row r="271" spans="1:9" x14ac:dyDescent="0.35">
      <c r="A271" s="1" t="str">
        <f t="shared" si="4"/>
        <v>5</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98" t="s">
        <v>3922</v>
      </c>
      <c r="D271" s="198" t="s">
        <v>604</v>
      </c>
      <c r="E271" s="198" t="s">
        <v>605</v>
      </c>
      <c r="F271" s="198" t="s">
        <v>112</v>
      </c>
      <c r="G271" s="198">
        <v>2465159</v>
      </c>
      <c r="H271" s="198"/>
      <c r="I271" s="198"/>
    </row>
    <row r="272" spans="1:9" x14ac:dyDescent="0.35">
      <c r="A272" s="1" t="str">
        <f t="shared" si="4"/>
        <v>5</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98" t="s">
        <v>3923</v>
      </c>
      <c r="D272" s="198" t="s">
        <v>606</v>
      </c>
      <c r="E272" s="198" t="s">
        <v>607</v>
      </c>
      <c r="F272" s="198" t="s">
        <v>112</v>
      </c>
      <c r="G272" s="198">
        <v>2391423</v>
      </c>
      <c r="H272" s="198"/>
      <c r="I272" s="198"/>
    </row>
    <row r="273" spans="1:10" x14ac:dyDescent="0.35">
      <c r="A273" s="1" t="str">
        <f t="shared" si="4"/>
        <v>5</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98" t="s">
        <v>3924</v>
      </c>
      <c r="D273" s="198" t="s">
        <v>608</v>
      </c>
      <c r="E273" s="198" t="s">
        <v>609</v>
      </c>
      <c r="F273" s="198" t="s">
        <v>112</v>
      </c>
      <c r="G273" s="198">
        <v>2418612</v>
      </c>
      <c r="H273" s="198"/>
      <c r="I273" s="198"/>
    </row>
    <row r="274" spans="1:10" x14ac:dyDescent="0.35">
      <c r="A274" s="1" t="str">
        <f t="shared" si="4"/>
        <v>5</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98" t="s">
        <v>3925</v>
      </c>
      <c r="D274" s="198" t="s">
        <v>610</v>
      </c>
      <c r="E274" s="198" t="s">
        <v>611</v>
      </c>
      <c r="F274" s="198" t="s">
        <v>112</v>
      </c>
      <c r="G274" s="198">
        <v>2124921</v>
      </c>
      <c r="H274" s="198"/>
      <c r="I274" s="198"/>
    </row>
    <row r="275" spans="1:10" x14ac:dyDescent="0.35">
      <c r="A275" s="1" t="str">
        <f t="shared" si="4"/>
        <v>5</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98" t="s">
        <v>3926</v>
      </c>
      <c r="D275" s="198" t="s">
        <v>612</v>
      </c>
      <c r="E275" s="198" t="s">
        <v>613</v>
      </c>
      <c r="F275" s="198" t="s">
        <v>112</v>
      </c>
      <c r="G275" s="198">
        <v>3713939</v>
      </c>
      <c r="H275" s="198"/>
      <c r="I275" s="198"/>
      <c r="J275" s="1" t="s">
        <v>201</v>
      </c>
    </row>
    <row r="276" spans="1:10" x14ac:dyDescent="0.35">
      <c r="A276" s="1" t="str">
        <f t="shared" si="4"/>
        <v>5</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98" t="s">
        <v>3927</v>
      </c>
      <c r="D276" s="198" t="s">
        <v>614</v>
      </c>
      <c r="E276" s="198" t="s">
        <v>615</v>
      </c>
      <c r="F276" s="198" t="s">
        <v>112</v>
      </c>
      <c r="G276" s="198">
        <v>4097827</v>
      </c>
      <c r="H276" s="198"/>
      <c r="I276" s="198"/>
      <c r="J276" s="1">
        <v>24</v>
      </c>
    </row>
    <row r="277" spans="1:10" x14ac:dyDescent="0.35">
      <c r="A277" s="1" t="str">
        <f t="shared" si="4"/>
        <v>5</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98" t="s">
        <v>3928</v>
      </c>
      <c r="D277" s="198" t="s">
        <v>616</v>
      </c>
      <c r="E277" s="198" t="s">
        <v>617</v>
      </c>
      <c r="F277" s="198" t="s">
        <v>112</v>
      </c>
      <c r="G277" s="198">
        <v>4561009</v>
      </c>
      <c r="H277" s="198"/>
      <c r="I277" s="198"/>
    </row>
    <row r="278" spans="1:10" x14ac:dyDescent="0.35">
      <c r="A278" s="1" t="str">
        <f t="shared" si="4"/>
        <v>5</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98" t="s">
        <v>3929</v>
      </c>
      <c r="D278" s="198" t="s">
        <v>618</v>
      </c>
      <c r="E278" s="198" t="s">
        <v>619</v>
      </c>
      <c r="F278" s="198" t="s">
        <v>112</v>
      </c>
      <c r="G278" s="198">
        <v>2545860</v>
      </c>
      <c r="H278" s="198"/>
      <c r="I278" s="198"/>
    </row>
    <row r="279" spans="1:10" x14ac:dyDescent="0.35">
      <c r="A279" s="1" t="str">
        <f t="shared" si="4"/>
        <v>5</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98" t="s">
        <v>3930</v>
      </c>
      <c r="D279" s="198" t="s">
        <v>620</v>
      </c>
      <c r="E279" s="198" t="s">
        <v>621</v>
      </c>
      <c r="F279" s="198" t="s">
        <v>112</v>
      </c>
      <c r="G279" s="198">
        <v>1871678</v>
      </c>
      <c r="H279" s="198"/>
      <c r="I279" s="198"/>
    </row>
    <row r="280" spans="1:10" x14ac:dyDescent="0.35">
      <c r="A280" s="1" t="str">
        <f t="shared" si="4"/>
        <v>5</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98" t="s">
        <v>3931</v>
      </c>
      <c r="D280" s="198" t="s">
        <v>622</v>
      </c>
      <c r="E280" s="198" t="s">
        <v>623</v>
      </c>
      <c r="F280" s="198" t="s">
        <v>112</v>
      </c>
      <c r="G280" s="198">
        <v>2169651</v>
      </c>
      <c r="H280" s="198"/>
      <c r="I280" s="198"/>
    </row>
    <row r="281" spans="1:10" x14ac:dyDescent="0.35">
      <c r="A281" s="1" t="str">
        <f t="shared" si="4"/>
        <v>5</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98" t="s">
        <v>3932</v>
      </c>
      <c r="D281" s="198" t="s">
        <v>624</v>
      </c>
      <c r="E281" s="198" t="s">
        <v>625</v>
      </c>
      <c r="F281" s="198" t="s">
        <v>112</v>
      </c>
      <c r="G281" s="198">
        <v>1877150</v>
      </c>
      <c r="H281" s="198"/>
      <c r="I281" s="198"/>
    </row>
    <row r="282" spans="1:10" x14ac:dyDescent="0.35">
      <c r="A282" s="1" t="str">
        <f t="shared" si="4"/>
        <v>5</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98" t="s">
        <v>3933</v>
      </c>
      <c r="D282" s="198" t="s">
        <v>626</v>
      </c>
      <c r="E282" s="198" t="s">
        <v>627</v>
      </c>
      <c r="F282" s="198" t="s">
        <v>112</v>
      </c>
      <c r="G282" s="198">
        <v>1330087</v>
      </c>
      <c r="H282" s="198"/>
      <c r="I282" s="198"/>
    </row>
    <row r="283" spans="1:10" x14ac:dyDescent="0.35">
      <c r="A283" s="1" t="str">
        <f t="shared" si="4"/>
        <v>5</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98" t="s">
        <v>3934</v>
      </c>
      <c r="D283" s="198" t="s">
        <v>628</v>
      </c>
      <c r="E283" s="198" t="s">
        <v>629</v>
      </c>
      <c r="F283" s="198" t="s">
        <v>112</v>
      </c>
      <c r="G283" s="198">
        <v>1327492</v>
      </c>
      <c r="H283" s="198"/>
      <c r="I283" s="198"/>
    </row>
    <row r="284" spans="1:10" x14ac:dyDescent="0.35">
      <c r="A284" s="1" t="str">
        <f t="shared" si="4"/>
        <v>5</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98" t="s">
        <v>3935</v>
      </c>
      <c r="D284" s="198" t="s">
        <v>630</v>
      </c>
      <c r="E284" s="198" t="s">
        <v>631</v>
      </c>
      <c r="F284" s="198" t="s">
        <v>112</v>
      </c>
      <c r="G284" s="198">
        <v>1549652</v>
      </c>
      <c r="H284" s="198"/>
      <c r="I284" s="198"/>
    </row>
    <row r="285" spans="1:10" x14ac:dyDescent="0.35">
      <c r="A285" s="1" t="str">
        <f t="shared" si="4"/>
        <v>5</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98" t="s">
        <v>3936</v>
      </c>
      <c r="D285" s="198" t="s">
        <v>632</v>
      </c>
      <c r="E285" s="198" t="s">
        <v>633</v>
      </c>
      <c r="F285" s="198" t="s">
        <v>112</v>
      </c>
      <c r="G285" s="198">
        <v>1522528</v>
      </c>
      <c r="H285" s="198"/>
      <c r="I285" s="198"/>
    </row>
    <row r="286" spans="1:10" x14ac:dyDescent="0.35">
      <c r="A286" s="1" t="str">
        <f t="shared" si="4"/>
        <v>5</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98" t="s">
        <v>3937</v>
      </c>
      <c r="D286" s="198" t="s">
        <v>634</v>
      </c>
      <c r="E286" s="198" t="s">
        <v>635</v>
      </c>
      <c r="F286" s="198" t="s">
        <v>112</v>
      </c>
      <c r="G286" s="198">
        <v>2068229</v>
      </c>
      <c r="H286" s="198"/>
      <c r="I286" s="198"/>
    </row>
    <row r="287" spans="1:10" x14ac:dyDescent="0.35">
      <c r="A287" s="1" t="str">
        <f t="shared" si="4"/>
        <v>5</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98" t="s">
        <v>3938</v>
      </c>
      <c r="D287" s="198" t="s">
        <v>636</v>
      </c>
      <c r="E287" s="198" t="s">
        <v>637</v>
      </c>
      <c r="F287" s="198" t="s">
        <v>112</v>
      </c>
      <c r="G287" s="198">
        <v>3359880</v>
      </c>
      <c r="H287" s="198"/>
      <c r="I287" s="198"/>
    </row>
    <row r="288" spans="1:10" x14ac:dyDescent="0.35">
      <c r="A288" s="1" t="str">
        <f t="shared" si="4"/>
        <v>5</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98" t="s">
        <v>3939</v>
      </c>
      <c r="D288" s="198" t="s">
        <v>638</v>
      </c>
      <c r="E288" s="198" t="s">
        <v>639</v>
      </c>
      <c r="F288" s="198" t="s">
        <v>112</v>
      </c>
      <c r="G288" s="198">
        <v>3648033</v>
      </c>
      <c r="H288" s="198"/>
      <c r="I288" s="198"/>
    </row>
    <row r="289" spans="1:9" x14ac:dyDescent="0.35">
      <c r="A289" s="1" t="str">
        <f t="shared" si="4"/>
        <v>5</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98" t="s">
        <v>3940</v>
      </c>
      <c r="D289" s="198" t="s">
        <v>640</v>
      </c>
      <c r="E289" s="198" t="s">
        <v>641</v>
      </c>
      <c r="F289" s="198" t="s">
        <v>112</v>
      </c>
      <c r="G289" s="198">
        <v>2840849</v>
      </c>
      <c r="H289" s="198"/>
      <c r="I289" s="198"/>
    </row>
    <row r="290" spans="1:9"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98" t="s">
        <v>112</v>
      </c>
      <c r="D290" s="198"/>
      <c r="E290" s="198"/>
      <c r="F290" s="198"/>
      <c r="G290" s="198"/>
      <c r="H290" s="198"/>
      <c r="I290" s="198"/>
    </row>
    <row r="291" spans="1:9"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98" t="s">
        <v>195</v>
      </c>
      <c r="D291" s="198" t="s">
        <v>112</v>
      </c>
      <c r="E291" s="198" t="s">
        <v>196</v>
      </c>
      <c r="F291" s="198" t="s">
        <v>197</v>
      </c>
      <c r="G291" s="198" t="s">
        <v>198</v>
      </c>
      <c r="H291" s="198" t="s">
        <v>199</v>
      </c>
      <c r="I291" s="198" t="s">
        <v>200</v>
      </c>
    </row>
    <row r="292" spans="1:9" x14ac:dyDescent="0.35">
      <c r="A292" s="1" t="str">
        <f t="shared" si="4"/>
        <v>5</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98" t="s">
        <v>3941</v>
      </c>
      <c r="D292" s="198" t="s">
        <v>112</v>
      </c>
      <c r="E292" s="198" t="s">
        <v>642</v>
      </c>
      <c r="F292" s="198" t="s">
        <v>643</v>
      </c>
      <c r="G292" s="198" t="s">
        <v>644</v>
      </c>
      <c r="H292" s="198" t="s">
        <v>645</v>
      </c>
      <c r="I292" s="198">
        <v>24</v>
      </c>
    </row>
    <row r="293" spans="1:9"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98" t="s">
        <v>112</v>
      </c>
      <c r="D293" s="198"/>
      <c r="E293" s="198"/>
      <c r="F293" s="198"/>
      <c r="G293" s="198"/>
      <c r="H293" s="198"/>
      <c r="I293" s="198"/>
    </row>
    <row r="294" spans="1:9"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98" t="s">
        <v>112</v>
      </c>
      <c r="D294" s="198"/>
      <c r="E294" s="198"/>
      <c r="F294" s="198"/>
      <c r="G294" s="198"/>
      <c r="H294" s="198"/>
      <c r="I294" s="198"/>
    </row>
    <row r="295" spans="1:9"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98" t="s">
        <v>112</v>
      </c>
      <c r="D295" s="198"/>
      <c r="E295" s="198"/>
      <c r="F295" s="198"/>
      <c r="G295" s="198"/>
      <c r="H295" s="198"/>
      <c r="I295" s="198"/>
    </row>
    <row r="296" spans="1:9"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98" t="s">
        <v>112</v>
      </c>
      <c r="D296" s="198"/>
      <c r="E296" s="198"/>
      <c r="F296" s="198"/>
      <c r="G296" s="198"/>
      <c r="H296" s="198"/>
      <c r="I296" s="198"/>
    </row>
    <row r="297" spans="1:9"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98" t="s">
        <v>112</v>
      </c>
      <c r="D297" s="198"/>
      <c r="E297" s="198"/>
      <c r="F297" s="198"/>
      <c r="G297" s="198"/>
      <c r="H297" s="198"/>
      <c r="I297" s="198"/>
    </row>
    <row r="298" spans="1:9"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98" t="s">
        <v>206</v>
      </c>
      <c r="D298" s="198" t="s">
        <v>110</v>
      </c>
      <c r="E298" s="198" t="s">
        <v>111</v>
      </c>
      <c r="F298" s="198" t="s">
        <v>112</v>
      </c>
      <c r="G298" s="198" t="s">
        <v>113</v>
      </c>
      <c r="H298" s="198"/>
      <c r="I298" s="198"/>
    </row>
    <row r="299" spans="1:9" x14ac:dyDescent="0.35">
      <c r="A299" s="1" t="str">
        <f t="shared" si="4"/>
        <v>6</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98" t="s">
        <v>3942</v>
      </c>
      <c r="D299" s="198" t="s">
        <v>646</v>
      </c>
      <c r="E299" s="198" t="s">
        <v>647</v>
      </c>
      <c r="F299" s="198" t="s">
        <v>112</v>
      </c>
      <c r="G299" s="198">
        <v>2774640</v>
      </c>
      <c r="H299" s="198"/>
      <c r="I299" s="198"/>
    </row>
    <row r="300" spans="1:9" x14ac:dyDescent="0.35">
      <c r="A300" s="1" t="str">
        <f t="shared" si="4"/>
        <v>6</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98" t="s">
        <v>3943</v>
      </c>
      <c r="D300" s="198" t="s">
        <v>648</v>
      </c>
      <c r="E300" s="198" t="s">
        <v>649</v>
      </c>
      <c r="F300" s="198" t="s">
        <v>112</v>
      </c>
      <c r="G300" s="198">
        <v>2954103</v>
      </c>
      <c r="H300" s="198"/>
      <c r="I300" s="198"/>
    </row>
    <row r="301" spans="1:9" x14ac:dyDescent="0.35">
      <c r="A301" s="1" t="str">
        <f t="shared" si="4"/>
        <v>6</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98" t="s">
        <v>3944</v>
      </c>
      <c r="D301" s="198" t="s">
        <v>650</v>
      </c>
      <c r="E301" s="198" t="s">
        <v>496</v>
      </c>
      <c r="F301" s="198" t="s">
        <v>112</v>
      </c>
      <c r="G301" s="198">
        <v>3072938</v>
      </c>
      <c r="H301" s="198"/>
      <c r="I301" s="198"/>
    </row>
    <row r="302" spans="1:9" x14ac:dyDescent="0.35">
      <c r="A302" s="1" t="str">
        <f t="shared" si="4"/>
        <v>6</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98" t="s">
        <v>3945</v>
      </c>
      <c r="D302" s="198" t="s">
        <v>651</v>
      </c>
      <c r="E302" s="198" t="s">
        <v>652</v>
      </c>
      <c r="F302" s="198" t="s">
        <v>112</v>
      </c>
      <c r="G302" s="198">
        <v>3418886</v>
      </c>
      <c r="H302" s="198"/>
      <c r="I302" s="198"/>
    </row>
    <row r="303" spans="1:9" x14ac:dyDescent="0.35">
      <c r="A303" s="1" t="str">
        <f t="shared" si="4"/>
        <v>6</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98" t="s">
        <v>3946</v>
      </c>
      <c r="D303" s="198" t="s">
        <v>653</v>
      </c>
      <c r="E303" s="198" t="s">
        <v>654</v>
      </c>
      <c r="F303" s="198" t="s">
        <v>112</v>
      </c>
      <c r="G303" s="198">
        <v>3902574</v>
      </c>
      <c r="H303" s="198"/>
      <c r="I303" s="198"/>
    </row>
    <row r="304" spans="1:9" x14ac:dyDescent="0.35">
      <c r="A304" s="1" t="str">
        <f t="shared" si="4"/>
        <v>6</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98" t="s">
        <v>3947</v>
      </c>
      <c r="D304" s="198" t="s">
        <v>655</v>
      </c>
      <c r="E304" s="198" t="s">
        <v>656</v>
      </c>
      <c r="F304" s="198" t="s">
        <v>112</v>
      </c>
      <c r="G304" s="198">
        <v>3758194</v>
      </c>
      <c r="H304" s="198"/>
      <c r="I304" s="198"/>
    </row>
    <row r="305" spans="1:10" x14ac:dyDescent="0.35">
      <c r="A305" s="1" t="str">
        <f t="shared" si="4"/>
        <v>6</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98" t="s">
        <v>3948</v>
      </c>
      <c r="D305" s="198" t="s">
        <v>657</v>
      </c>
      <c r="E305" s="198" t="s">
        <v>658</v>
      </c>
      <c r="F305" s="198" t="s">
        <v>112</v>
      </c>
      <c r="G305" s="198">
        <v>3000239</v>
      </c>
      <c r="H305" s="198"/>
      <c r="I305" s="198"/>
    </row>
    <row r="306" spans="1:10" x14ac:dyDescent="0.35">
      <c r="A306" s="1" t="str">
        <f t="shared" si="4"/>
        <v>6</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98" t="s">
        <v>3949</v>
      </c>
      <c r="D306" s="198" t="s">
        <v>659</v>
      </c>
      <c r="E306" s="198" t="s">
        <v>660</v>
      </c>
      <c r="F306" s="198" t="s">
        <v>112</v>
      </c>
      <c r="G306" s="198">
        <v>2994053</v>
      </c>
      <c r="H306" s="198"/>
      <c r="I306" s="198"/>
    </row>
    <row r="307" spans="1:10" x14ac:dyDescent="0.35">
      <c r="A307" s="1" t="str">
        <f t="shared" si="4"/>
        <v>6</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98" t="s">
        <v>3950</v>
      </c>
      <c r="D307" s="198" t="s">
        <v>661</v>
      </c>
      <c r="E307" s="198" t="s">
        <v>662</v>
      </c>
      <c r="F307" s="198" t="s">
        <v>112</v>
      </c>
      <c r="G307" s="198">
        <v>3015251</v>
      </c>
      <c r="H307" s="198"/>
      <c r="I307" s="198"/>
    </row>
    <row r="308" spans="1:10" x14ac:dyDescent="0.35">
      <c r="A308" s="1" t="str">
        <f t="shared" si="4"/>
        <v>6</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98" t="s">
        <v>3951</v>
      </c>
      <c r="D308" s="198" t="s">
        <v>663</v>
      </c>
      <c r="E308" s="198" t="s">
        <v>664</v>
      </c>
      <c r="F308" s="198" t="s">
        <v>112</v>
      </c>
      <c r="G308" s="198">
        <v>1426189</v>
      </c>
      <c r="H308" s="198"/>
      <c r="I308" s="198"/>
      <c r="J308" s="1" t="s">
        <v>201</v>
      </c>
    </row>
    <row r="309" spans="1:10" x14ac:dyDescent="0.35">
      <c r="A309" s="1" t="str">
        <f t="shared" si="4"/>
        <v>6</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98" t="s">
        <v>3952</v>
      </c>
      <c r="D309" s="198" t="s">
        <v>665</v>
      </c>
      <c r="E309" s="198" t="s">
        <v>666</v>
      </c>
      <c r="F309" s="198" t="s">
        <v>112</v>
      </c>
      <c r="G309" s="198">
        <v>1304131</v>
      </c>
      <c r="H309" s="198"/>
      <c r="I309" s="198"/>
      <c r="J309" s="1">
        <v>24</v>
      </c>
    </row>
    <row r="310" spans="1:10" x14ac:dyDescent="0.35">
      <c r="A310" s="1" t="str">
        <f t="shared" si="4"/>
        <v>6</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98" t="s">
        <v>3953</v>
      </c>
      <c r="D310" s="198" t="s">
        <v>667</v>
      </c>
      <c r="E310" s="198" t="s">
        <v>668</v>
      </c>
      <c r="F310" s="198" t="s">
        <v>112</v>
      </c>
      <c r="G310" s="198">
        <v>1137127</v>
      </c>
      <c r="H310" s="198"/>
      <c r="I310" s="198"/>
    </row>
    <row r="311" spans="1:10" x14ac:dyDescent="0.35">
      <c r="A311" s="1" t="str">
        <f t="shared" si="4"/>
        <v>6</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98" t="s">
        <v>3954</v>
      </c>
      <c r="D311" s="198" t="s">
        <v>669</v>
      </c>
      <c r="E311" s="198" t="s">
        <v>670</v>
      </c>
      <c r="F311" s="198" t="s">
        <v>112</v>
      </c>
      <c r="G311" s="198">
        <v>5209841</v>
      </c>
      <c r="H311" s="198"/>
      <c r="I311" s="198"/>
    </row>
    <row r="312" spans="1:10" x14ac:dyDescent="0.35">
      <c r="A312" s="1" t="str">
        <f t="shared" si="4"/>
        <v>6</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98" t="s">
        <v>3955</v>
      </c>
      <c r="D312" s="198" t="s">
        <v>671</v>
      </c>
      <c r="E312" s="198" t="s">
        <v>672</v>
      </c>
      <c r="F312" s="198" t="s">
        <v>112</v>
      </c>
      <c r="G312" s="198">
        <v>4787539</v>
      </c>
      <c r="H312" s="198"/>
      <c r="I312" s="198"/>
    </row>
    <row r="313" spans="1:10" x14ac:dyDescent="0.35">
      <c r="A313" s="1" t="str">
        <f t="shared" si="4"/>
        <v>6</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98" t="s">
        <v>3956</v>
      </c>
      <c r="D313" s="198" t="s">
        <v>673</v>
      </c>
      <c r="E313" s="198" t="s">
        <v>674</v>
      </c>
      <c r="F313" s="198" t="s">
        <v>112</v>
      </c>
      <c r="G313" s="198">
        <v>5179624</v>
      </c>
      <c r="H313" s="198"/>
      <c r="I313" s="198"/>
    </row>
    <row r="314" spans="1:10" x14ac:dyDescent="0.35">
      <c r="A314" s="1" t="str">
        <f t="shared" si="4"/>
        <v>6</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98" t="s">
        <v>3957</v>
      </c>
      <c r="D314" s="198" t="s">
        <v>675</v>
      </c>
      <c r="E314" s="198" t="s">
        <v>676</v>
      </c>
      <c r="F314" s="198" t="s">
        <v>112</v>
      </c>
      <c r="G314" s="198">
        <v>5059730</v>
      </c>
      <c r="H314" s="198"/>
      <c r="I314" s="198"/>
    </row>
    <row r="315" spans="1:10" x14ac:dyDescent="0.35">
      <c r="A315" s="1" t="str">
        <f t="shared" si="4"/>
        <v>6</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98" t="s">
        <v>3958</v>
      </c>
      <c r="D315" s="198" t="s">
        <v>677</v>
      </c>
      <c r="E315" s="198" t="s">
        <v>678</v>
      </c>
      <c r="F315" s="198" t="s">
        <v>112</v>
      </c>
      <c r="G315" s="198">
        <v>4722844</v>
      </c>
      <c r="H315" s="198"/>
      <c r="I315" s="198"/>
    </row>
    <row r="316" spans="1:10" x14ac:dyDescent="0.35">
      <c r="A316" s="1" t="str">
        <f t="shared" si="4"/>
        <v>6</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98" t="s">
        <v>3959</v>
      </c>
      <c r="D316" s="198" t="s">
        <v>636</v>
      </c>
      <c r="E316" s="198" t="s">
        <v>679</v>
      </c>
      <c r="F316" s="198" t="s">
        <v>112</v>
      </c>
      <c r="G316" s="198">
        <v>4635503</v>
      </c>
      <c r="H316" s="198"/>
      <c r="I316" s="198"/>
    </row>
    <row r="317" spans="1:10" x14ac:dyDescent="0.35">
      <c r="A317" s="1" t="str">
        <f t="shared" si="4"/>
        <v>6</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98" t="s">
        <v>3960</v>
      </c>
      <c r="D317" s="198" t="s">
        <v>680</v>
      </c>
      <c r="E317" s="198" t="s">
        <v>681</v>
      </c>
      <c r="F317" s="198" t="s">
        <v>112</v>
      </c>
      <c r="G317" s="198">
        <v>1941283</v>
      </c>
      <c r="H317" s="198"/>
      <c r="I317" s="198"/>
    </row>
    <row r="318" spans="1:10" x14ac:dyDescent="0.35">
      <c r="A318" s="1" t="str">
        <f t="shared" si="4"/>
        <v>6</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98" t="s">
        <v>3961</v>
      </c>
      <c r="D318" s="198" t="s">
        <v>682</v>
      </c>
      <c r="E318" s="198" t="s">
        <v>683</v>
      </c>
      <c r="F318" s="198" t="s">
        <v>112</v>
      </c>
      <c r="G318" s="198">
        <v>2286799</v>
      </c>
      <c r="H318" s="198"/>
      <c r="I318" s="198"/>
    </row>
    <row r="319" spans="1:10" x14ac:dyDescent="0.35">
      <c r="A319" s="1" t="str">
        <f t="shared" si="4"/>
        <v>6</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98" t="s">
        <v>3962</v>
      </c>
      <c r="D319" s="198" t="s">
        <v>684</v>
      </c>
      <c r="E319" s="198" t="s">
        <v>685</v>
      </c>
      <c r="F319" s="198" t="s">
        <v>112</v>
      </c>
      <c r="G319" s="198">
        <v>2134741</v>
      </c>
      <c r="H319" s="198"/>
      <c r="I319" s="198"/>
    </row>
    <row r="320" spans="1:10" x14ac:dyDescent="0.35">
      <c r="A320" s="1" t="str">
        <f t="shared" si="4"/>
        <v>6</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98" t="s">
        <v>3963</v>
      </c>
      <c r="D320" s="198" t="s">
        <v>686</v>
      </c>
      <c r="E320" s="198" t="s">
        <v>687</v>
      </c>
      <c r="F320" s="198" t="s">
        <v>112</v>
      </c>
      <c r="G320" s="198">
        <v>3673059</v>
      </c>
      <c r="H320" s="198"/>
      <c r="I320" s="198"/>
    </row>
    <row r="321" spans="1:9" x14ac:dyDescent="0.35">
      <c r="A321" s="1" t="str">
        <f t="shared" si="4"/>
        <v>6</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98" t="s">
        <v>3964</v>
      </c>
      <c r="D321" s="198" t="s">
        <v>688</v>
      </c>
      <c r="E321" s="198" t="s">
        <v>689</v>
      </c>
      <c r="F321" s="198" t="s">
        <v>112</v>
      </c>
      <c r="G321" s="198">
        <v>3842897</v>
      </c>
      <c r="H321" s="198"/>
      <c r="I321" s="198"/>
    </row>
    <row r="322" spans="1:9" x14ac:dyDescent="0.35">
      <c r="A322" s="1" t="str">
        <f t="shared" ref="A322:A385" si="5">IFERROR(LEFT(RIGHT(C322,LEN(C322)-SEARCH("@",C322)),SEARCH("/",RIGHT(C322,LEN(C322)-SEARCH("@",C322)-1))),"")</f>
        <v>6</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98" t="s">
        <v>3965</v>
      </c>
      <c r="D322" s="198" t="s">
        <v>690</v>
      </c>
      <c r="E322" s="198" t="s">
        <v>691</v>
      </c>
      <c r="F322" s="198" t="s">
        <v>112</v>
      </c>
      <c r="G322" s="198">
        <v>3998200</v>
      </c>
      <c r="H322" s="198"/>
      <c r="I322" s="198"/>
    </row>
    <row r="323" spans="1:9"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98" t="s">
        <v>112</v>
      </c>
      <c r="D323" s="198"/>
      <c r="E323" s="198"/>
      <c r="F323" s="198"/>
      <c r="G323" s="198"/>
      <c r="H323" s="198"/>
      <c r="I323" s="198"/>
    </row>
    <row r="324" spans="1:9"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98" t="s">
        <v>195</v>
      </c>
      <c r="D324" s="198" t="s">
        <v>112</v>
      </c>
      <c r="E324" s="198" t="s">
        <v>196</v>
      </c>
      <c r="F324" s="198" t="s">
        <v>197</v>
      </c>
      <c r="G324" s="198" t="s">
        <v>198</v>
      </c>
      <c r="H324" s="198" t="s">
        <v>199</v>
      </c>
      <c r="I324" s="198" t="s">
        <v>200</v>
      </c>
    </row>
    <row r="325" spans="1:9" x14ac:dyDescent="0.35">
      <c r="A325" s="1" t="str">
        <f t="shared" si="5"/>
        <v>6</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98" t="s">
        <v>3966</v>
      </c>
      <c r="D325" s="198" t="s">
        <v>112</v>
      </c>
      <c r="E325" s="198" t="s">
        <v>692</v>
      </c>
      <c r="F325" s="198" t="s">
        <v>693</v>
      </c>
      <c r="G325" s="198" t="s">
        <v>694</v>
      </c>
      <c r="H325" s="198" t="s">
        <v>695</v>
      </c>
      <c r="I325" s="198">
        <v>24</v>
      </c>
    </row>
    <row r="326" spans="1:9"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98" t="s">
        <v>112</v>
      </c>
      <c r="D326" s="198"/>
      <c r="E326" s="198"/>
      <c r="F326" s="198"/>
      <c r="G326" s="198"/>
      <c r="H326" s="198"/>
      <c r="I326" s="198"/>
    </row>
    <row r="327" spans="1:9"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98" t="s">
        <v>112</v>
      </c>
      <c r="D327" s="198"/>
      <c r="E327" s="198"/>
      <c r="F327" s="198"/>
      <c r="G327" s="198"/>
      <c r="H327" s="198"/>
      <c r="I327" s="198"/>
    </row>
    <row r="328" spans="1:9"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98" t="s">
        <v>112</v>
      </c>
      <c r="D328" s="198"/>
      <c r="E328" s="198"/>
      <c r="F328" s="198"/>
      <c r="G328" s="198"/>
      <c r="H328" s="198"/>
      <c r="I328" s="198"/>
    </row>
    <row r="329" spans="1:9"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98" t="s">
        <v>112</v>
      </c>
      <c r="D329" s="198"/>
      <c r="E329" s="198"/>
      <c r="F329" s="198"/>
      <c r="G329" s="198"/>
      <c r="H329" s="198"/>
      <c r="I329" s="198"/>
    </row>
    <row r="330" spans="1:9"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98" t="s">
        <v>112</v>
      </c>
      <c r="D330" s="198"/>
      <c r="E330" s="198"/>
      <c r="F330" s="198"/>
      <c r="G330" s="198"/>
      <c r="H330" s="198"/>
      <c r="I330" s="198"/>
    </row>
    <row r="331" spans="1:9"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98" t="s">
        <v>206</v>
      </c>
      <c r="D331" s="198" t="s">
        <v>110</v>
      </c>
      <c r="E331" s="198" t="s">
        <v>111</v>
      </c>
      <c r="F331" s="198" t="s">
        <v>112</v>
      </c>
      <c r="G331" s="198" t="s">
        <v>113</v>
      </c>
      <c r="H331" s="198"/>
      <c r="I331" s="198"/>
    </row>
    <row r="332" spans="1:9" x14ac:dyDescent="0.35">
      <c r="A332" s="1" t="str">
        <f t="shared" si="5"/>
        <v>7</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98" t="s">
        <v>3967</v>
      </c>
      <c r="D332" s="198" t="s">
        <v>696</v>
      </c>
      <c r="E332" s="198" t="s">
        <v>697</v>
      </c>
      <c r="F332" s="198" t="s">
        <v>112</v>
      </c>
      <c r="G332" s="198">
        <v>3767906</v>
      </c>
      <c r="H332" s="198"/>
      <c r="I332" s="198"/>
    </row>
    <row r="333" spans="1:9" x14ac:dyDescent="0.35">
      <c r="A333" s="1" t="str">
        <f t="shared" si="5"/>
        <v>7</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98" t="s">
        <v>3968</v>
      </c>
      <c r="D333" s="198" t="s">
        <v>698</v>
      </c>
      <c r="E333" s="198" t="s">
        <v>699</v>
      </c>
      <c r="F333" s="198" t="s">
        <v>112</v>
      </c>
      <c r="G333" s="198">
        <v>4926879</v>
      </c>
      <c r="H333" s="198"/>
      <c r="I333" s="198"/>
    </row>
    <row r="334" spans="1:9" x14ac:dyDescent="0.35">
      <c r="A334" s="1" t="str">
        <f t="shared" si="5"/>
        <v>7</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98" t="s">
        <v>3969</v>
      </c>
      <c r="D334" s="198" t="s">
        <v>700</v>
      </c>
      <c r="E334" s="198" t="s">
        <v>701</v>
      </c>
      <c r="F334" s="198" t="s">
        <v>112</v>
      </c>
      <c r="G334" s="198">
        <v>4663600</v>
      </c>
      <c r="H334" s="198"/>
      <c r="I334" s="198"/>
    </row>
    <row r="335" spans="1:9" x14ac:dyDescent="0.35">
      <c r="A335" s="1" t="str">
        <f t="shared" si="5"/>
        <v>7</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98" t="s">
        <v>3970</v>
      </c>
      <c r="D335" s="198" t="s">
        <v>702</v>
      </c>
      <c r="E335" s="198" t="s">
        <v>703</v>
      </c>
      <c r="F335" s="198" t="s">
        <v>112</v>
      </c>
      <c r="G335" s="198">
        <v>4231067</v>
      </c>
      <c r="H335" s="198"/>
      <c r="I335" s="198"/>
    </row>
    <row r="336" spans="1:9" x14ac:dyDescent="0.35">
      <c r="A336" s="1" t="str">
        <f t="shared" si="5"/>
        <v>7</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98" t="s">
        <v>3971</v>
      </c>
      <c r="D336" s="198"/>
      <c r="E336" s="198"/>
      <c r="F336" s="198"/>
      <c r="G336" s="198"/>
      <c r="H336" s="198"/>
      <c r="I336" s="198"/>
    </row>
    <row r="337" spans="1:10" x14ac:dyDescent="0.35">
      <c r="A337" s="1" t="str">
        <f t="shared" si="5"/>
        <v>7</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98" t="s">
        <v>3972</v>
      </c>
      <c r="D337" s="198" t="s">
        <v>704</v>
      </c>
      <c r="E337" s="198" t="s">
        <v>705</v>
      </c>
      <c r="F337" s="198" t="s">
        <v>112</v>
      </c>
      <c r="G337" s="198">
        <v>3755685</v>
      </c>
      <c r="H337" s="198"/>
      <c r="I337" s="198"/>
    </row>
    <row r="338" spans="1:10" x14ac:dyDescent="0.35">
      <c r="A338" s="1" t="str">
        <f t="shared" si="5"/>
        <v>7</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98" t="s">
        <v>3973</v>
      </c>
      <c r="D338" s="198" t="s">
        <v>706</v>
      </c>
      <c r="E338" s="198" t="s">
        <v>707</v>
      </c>
      <c r="F338" s="198" t="s">
        <v>112</v>
      </c>
      <c r="G338" s="198">
        <v>2409700</v>
      </c>
      <c r="H338" s="198"/>
      <c r="I338" s="198"/>
    </row>
    <row r="339" spans="1:10" x14ac:dyDescent="0.35">
      <c r="A339" s="1" t="str">
        <f t="shared" si="5"/>
        <v>7</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98" t="s">
        <v>3974</v>
      </c>
      <c r="D339" s="198" t="s">
        <v>708</v>
      </c>
      <c r="E339" s="198" t="s">
        <v>709</v>
      </c>
      <c r="F339" s="198" t="s">
        <v>112</v>
      </c>
      <c r="G339" s="198">
        <v>2267808</v>
      </c>
      <c r="H339" s="198"/>
      <c r="I339" s="198"/>
    </row>
    <row r="340" spans="1:10" x14ac:dyDescent="0.35">
      <c r="A340" s="1" t="str">
        <f t="shared" si="5"/>
        <v>7</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98" t="s">
        <v>3975</v>
      </c>
      <c r="D340" s="198" t="s">
        <v>710</v>
      </c>
      <c r="E340" s="198" t="s">
        <v>711</v>
      </c>
      <c r="F340" s="198" t="s">
        <v>112</v>
      </c>
      <c r="G340" s="198">
        <v>2361941</v>
      </c>
      <c r="H340" s="198"/>
      <c r="I340" s="198"/>
    </row>
    <row r="341" spans="1:10" x14ac:dyDescent="0.35">
      <c r="A341" s="1" t="str">
        <f t="shared" si="5"/>
        <v>7</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98" t="s">
        <v>3976</v>
      </c>
      <c r="D341" s="198" t="s">
        <v>712</v>
      </c>
      <c r="E341" s="198" t="s">
        <v>713</v>
      </c>
      <c r="F341" s="198" t="s">
        <v>112</v>
      </c>
      <c r="G341" s="198">
        <v>4603750</v>
      </c>
      <c r="H341" s="198"/>
      <c r="I341" s="198"/>
      <c r="J341" s="1" t="s">
        <v>201</v>
      </c>
    </row>
    <row r="342" spans="1:10" x14ac:dyDescent="0.35">
      <c r="A342" s="1" t="str">
        <f t="shared" si="5"/>
        <v>7</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98" t="s">
        <v>3977</v>
      </c>
      <c r="D342" s="198" t="s">
        <v>700</v>
      </c>
      <c r="E342" s="198" t="s">
        <v>714</v>
      </c>
      <c r="F342" s="198" t="s">
        <v>112</v>
      </c>
      <c r="G342" s="198">
        <v>4772506</v>
      </c>
      <c r="H342" s="198"/>
      <c r="I342" s="198"/>
      <c r="J342" s="1">
        <v>24</v>
      </c>
    </row>
    <row r="343" spans="1:10" x14ac:dyDescent="0.35">
      <c r="A343" s="1" t="str">
        <f t="shared" si="5"/>
        <v>7</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98" t="s">
        <v>3978</v>
      </c>
      <c r="D343" s="198" t="s">
        <v>715</v>
      </c>
      <c r="E343" s="198" t="s">
        <v>716</v>
      </c>
      <c r="F343" s="198" t="s">
        <v>112</v>
      </c>
      <c r="G343" s="198">
        <v>4768094</v>
      </c>
      <c r="H343" s="198"/>
      <c r="I343" s="198"/>
    </row>
    <row r="344" spans="1:10" x14ac:dyDescent="0.35">
      <c r="A344" s="1" t="str">
        <f t="shared" si="5"/>
        <v>7</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98" t="s">
        <v>3979</v>
      </c>
      <c r="D344" s="198"/>
      <c r="E344" s="198"/>
      <c r="F344" s="198"/>
      <c r="G344" s="198"/>
      <c r="H344" s="198"/>
      <c r="I344" s="198"/>
    </row>
    <row r="345" spans="1:10" x14ac:dyDescent="0.35">
      <c r="A345" s="1" t="str">
        <f t="shared" si="5"/>
        <v>7</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98" t="s">
        <v>3980</v>
      </c>
      <c r="D345" s="198"/>
      <c r="E345" s="198"/>
      <c r="F345" s="198"/>
      <c r="G345" s="198"/>
      <c r="H345" s="198"/>
      <c r="I345" s="198"/>
    </row>
    <row r="346" spans="1:10" x14ac:dyDescent="0.35">
      <c r="A346" s="1" t="str">
        <f t="shared" si="5"/>
        <v>7</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98" t="s">
        <v>3981</v>
      </c>
      <c r="D346" s="198"/>
      <c r="E346" s="198"/>
      <c r="F346" s="198"/>
      <c r="G346" s="198"/>
      <c r="H346" s="198"/>
      <c r="I346" s="198"/>
    </row>
    <row r="347" spans="1:10" x14ac:dyDescent="0.35">
      <c r="A347" s="1" t="str">
        <f t="shared" si="5"/>
        <v>7</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98" t="s">
        <v>3982</v>
      </c>
      <c r="D347" s="198" t="s">
        <v>717</v>
      </c>
      <c r="E347" s="198" t="s">
        <v>718</v>
      </c>
      <c r="F347" s="198" t="s">
        <v>112</v>
      </c>
      <c r="G347" s="198">
        <v>3741539</v>
      </c>
      <c r="H347" s="198"/>
      <c r="I347" s="198"/>
    </row>
    <row r="348" spans="1:10" x14ac:dyDescent="0.35">
      <c r="A348" s="1" t="str">
        <f t="shared" si="5"/>
        <v>7</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98" t="s">
        <v>3983</v>
      </c>
      <c r="D348" s="198" t="s">
        <v>719</v>
      </c>
      <c r="E348" s="198" t="s">
        <v>720</v>
      </c>
      <c r="F348" s="198" t="s">
        <v>112</v>
      </c>
      <c r="G348" s="198">
        <v>3076269</v>
      </c>
      <c r="H348" s="198"/>
      <c r="I348" s="198"/>
    </row>
    <row r="349" spans="1:10" x14ac:dyDescent="0.35">
      <c r="A349" s="1" t="str">
        <f t="shared" si="5"/>
        <v>7</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98" t="s">
        <v>3984</v>
      </c>
      <c r="D349" s="198" t="s">
        <v>721</v>
      </c>
      <c r="E349" s="198" t="s">
        <v>722</v>
      </c>
      <c r="F349" s="198" t="s">
        <v>112</v>
      </c>
      <c r="G349" s="198">
        <v>3149572</v>
      </c>
      <c r="H349" s="198"/>
      <c r="I349" s="198"/>
    </row>
    <row r="350" spans="1:10" x14ac:dyDescent="0.35">
      <c r="A350" s="1" t="str">
        <f t="shared" si="5"/>
        <v>7</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98" t="s">
        <v>3985</v>
      </c>
      <c r="D350" s="198" t="s">
        <v>723</v>
      </c>
      <c r="E350" s="198" t="s">
        <v>724</v>
      </c>
      <c r="F350" s="198" t="s">
        <v>112</v>
      </c>
      <c r="G350" s="198">
        <v>4372721</v>
      </c>
      <c r="H350" s="198"/>
      <c r="I350" s="198"/>
    </row>
    <row r="351" spans="1:10" x14ac:dyDescent="0.35">
      <c r="A351" s="1" t="str">
        <f t="shared" si="5"/>
        <v>7</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98" t="s">
        <v>3986</v>
      </c>
      <c r="D351" s="198" t="s">
        <v>725</v>
      </c>
      <c r="E351" s="198" t="s">
        <v>726</v>
      </c>
      <c r="F351" s="198" t="s">
        <v>112</v>
      </c>
      <c r="G351" s="198">
        <v>4875422</v>
      </c>
      <c r="H351" s="198"/>
      <c r="I351" s="198"/>
    </row>
    <row r="352" spans="1:10" x14ac:dyDescent="0.35">
      <c r="A352" s="1" t="str">
        <f t="shared" si="5"/>
        <v>7</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98" t="s">
        <v>3987</v>
      </c>
      <c r="D352" s="198" t="s">
        <v>723</v>
      </c>
      <c r="E352" s="198" t="s">
        <v>727</v>
      </c>
      <c r="F352" s="198" t="s">
        <v>112</v>
      </c>
      <c r="G352" s="198">
        <v>4607103</v>
      </c>
      <c r="H352" s="198"/>
      <c r="I352" s="198"/>
    </row>
    <row r="353" spans="1:9" x14ac:dyDescent="0.35">
      <c r="A353" s="1" t="str">
        <f t="shared" si="5"/>
        <v>7</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98" t="s">
        <v>3988</v>
      </c>
      <c r="D353" s="198" t="s">
        <v>728</v>
      </c>
      <c r="E353" s="198" t="s">
        <v>729</v>
      </c>
      <c r="F353" s="198" t="s">
        <v>112</v>
      </c>
      <c r="G353" s="198">
        <v>3335654</v>
      </c>
      <c r="H353" s="198"/>
      <c r="I353" s="198"/>
    </row>
    <row r="354" spans="1:9" x14ac:dyDescent="0.35">
      <c r="A354" s="1" t="str">
        <f t="shared" si="5"/>
        <v>7</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98" t="s">
        <v>3989</v>
      </c>
      <c r="D354" s="198" t="s">
        <v>730</v>
      </c>
      <c r="E354" s="198" t="s">
        <v>731</v>
      </c>
      <c r="F354" s="198" t="s">
        <v>112</v>
      </c>
      <c r="G354" s="198">
        <v>3126580</v>
      </c>
      <c r="H354" s="198"/>
      <c r="I354" s="198"/>
    </row>
    <row r="355" spans="1:9" x14ac:dyDescent="0.35">
      <c r="A355" s="1" t="str">
        <f t="shared" si="5"/>
        <v>7</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98" t="s">
        <v>3990</v>
      </c>
      <c r="D355" s="198" t="s">
        <v>732</v>
      </c>
      <c r="E355" s="198" t="s">
        <v>733</v>
      </c>
      <c r="F355" s="198" t="s">
        <v>112</v>
      </c>
      <c r="G355" s="198">
        <v>3065756</v>
      </c>
      <c r="H355" s="198"/>
      <c r="I355" s="198"/>
    </row>
    <row r="356" spans="1:9"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98" t="s">
        <v>112</v>
      </c>
      <c r="D356" s="198"/>
      <c r="E356" s="198"/>
      <c r="F356" s="198"/>
      <c r="G356" s="198"/>
      <c r="H356" s="198"/>
      <c r="I356" s="198"/>
    </row>
    <row r="357" spans="1:9"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98" t="s">
        <v>195</v>
      </c>
      <c r="D357" s="198" t="s">
        <v>112</v>
      </c>
      <c r="E357" s="198" t="s">
        <v>196</v>
      </c>
      <c r="F357" s="198" t="s">
        <v>197</v>
      </c>
      <c r="G357" s="198" t="s">
        <v>198</v>
      </c>
      <c r="H357" s="198" t="s">
        <v>199</v>
      </c>
      <c r="I357" s="198" t="s">
        <v>200</v>
      </c>
    </row>
    <row r="358" spans="1:9" x14ac:dyDescent="0.35">
      <c r="A358" s="1" t="str">
        <f t="shared" si="5"/>
        <v>7</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98" t="s">
        <v>3991</v>
      </c>
      <c r="D358" s="198" t="s">
        <v>112</v>
      </c>
      <c r="E358" s="198" t="s">
        <v>734</v>
      </c>
      <c r="F358" s="198" t="s">
        <v>735</v>
      </c>
      <c r="G358" s="198" t="s">
        <v>736</v>
      </c>
      <c r="H358" s="198" t="s">
        <v>737</v>
      </c>
      <c r="I358" s="198">
        <v>24</v>
      </c>
    </row>
    <row r="359" spans="1:9"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98" t="s">
        <v>112</v>
      </c>
      <c r="D359" s="198"/>
      <c r="E359" s="198"/>
      <c r="F359" s="198"/>
      <c r="G359" s="198"/>
      <c r="H359" s="198"/>
      <c r="I359" s="198"/>
    </row>
    <row r="360" spans="1:9"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98" t="s">
        <v>112</v>
      </c>
      <c r="D360" s="198"/>
      <c r="E360" s="198"/>
      <c r="F360" s="198"/>
      <c r="G360" s="198"/>
      <c r="H360" s="198"/>
      <c r="I360" s="198"/>
    </row>
    <row r="361" spans="1:9"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98" t="s">
        <v>112</v>
      </c>
      <c r="D361" s="198"/>
      <c r="E361" s="198"/>
      <c r="F361" s="198"/>
      <c r="G361" s="198"/>
      <c r="H361" s="198"/>
      <c r="I361" s="198"/>
    </row>
    <row r="362" spans="1:9"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98" t="s">
        <v>112</v>
      </c>
      <c r="D362" s="198"/>
      <c r="E362" s="198"/>
      <c r="F362" s="198"/>
      <c r="G362" s="198"/>
      <c r="H362" s="198"/>
      <c r="I362" s="198"/>
    </row>
    <row r="363" spans="1:9"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98" t="s">
        <v>112</v>
      </c>
      <c r="D363" s="198"/>
      <c r="E363" s="198"/>
      <c r="F363" s="198"/>
      <c r="G363" s="198"/>
      <c r="H363" s="198"/>
      <c r="I363" s="198"/>
    </row>
    <row r="364" spans="1:9"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98" t="s">
        <v>206</v>
      </c>
      <c r="D364" s="198" t="s">
        <v>110</v>
      </c>
      <c r="E364" s="198" t="s">
        <v>111</v>
      </c>
      <c r="F364" s="198" t="s">
        <v>112</v>
      </c>
      <c r="G364" s="198" t="s">
        <v>113</v>
      </c>
      <c r="H364" s="198"/>
      <c r="I364" s="198"/>
    </row>
    <row r="365" spans="1:9" x14ac:dyDescent="0.35">
      <c r="A365" s="1" t="str">
        <f t="shared" si="5"/>
        <v>10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98" t="s">
        <v>3992</v>
      </c>
      <c r="D365" s="198" t="s">
        <v>260</v>
      </c>
      <c r="E365" s="198" t="s">
        <v>738</v>
      </c>
      <c r="F365" s="198" t="s">
        <v>112</v>
      </c>
      <c r="G365" s="198">
        <v>27405</v>
      </c>
      <c r="H365" s="198"/>
      <c r="I365" s="198"/>
    </row>
    <row r="366" spans="1:9" x14ac:dyDescent="0.35">
      <c r="A366" s="1" t="str">
        <f t="shared" si="5"/>
        <v>10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98" t="s">
        <v>3993</v>
      </c>
      <c r="D366" s="198" t="s">
        <v>437</v>
      </c>
      <c r="E366" s="198">
        <v>32</v>
      </c>
      <c r="F366" s="198" t="s">
        <v>112</v>
      </c>
      <c r="G366" s="198">
        <v>15227</v>
      </c>
      <c r="H366" s="198"/>
      <c r="I366" s="198"/>
    </row>
    <row r="367" spans="1:9" x14ac:dyDescent="0.35">
      <c r="A367" s="1" t="str">
        <f t="shared" si="5"/>
        <v>10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98" t="s">
        <v>3994</v>
      </c>
      <c r="D367" s="198" t="s">
        <v>739</v>
      </c>
      <c r="E367" s="198" t="s">
        <v>740</v>
      </c>
      <c r="F367" s="198" t="s">
        <v>112</v>
      </c>
      <c r="G367" s="198">
        <v>77370</v>
      </c>
      <c r="H367" s="198"/>
      <c r="I367" s="198"/>
    </row>
    <row r="368" spans="1:9" x14ac:dyDescent="0.35">
      <c r="A368" s="1" t="str">
        <f t="shared" si="5"/>
        <v>10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98" t="s">
        <v>3995</v>
      </c>
      <c r="D368" s="198" t="s">
        <v>217</v>
      </c>
      <c r="E368" s="198" t="s">
        <v>741</v>
      </c>
      <c r="F368" s="198" t="s">
        <v>112</v>
      </c>
      <c r="G368" s="198">
        <v>278031</v>
      </c>
      <c r="H368" s="198"/>
      <c r="I368" s="198"/>
    </row>
    <row r="369" spans="1:10" x14ac:dyDescent="0.35">
      <c r="A369" s="1" t="str">
        <f t="shared" si="5"/>
        <v>10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98" t="s">
        <v>3996</v>
      </c>
      <c r="D369" s="198" t="s">
        <v>742</v>
      </c>
      <c r="E369" s="198" t="s">
        <v>743</v>
      </c>
      <c r="F369" s="198" t="s">
        <v>112</v>
      </c>
      <c r="G369" s="198">
        <v>395589</v>
      </c>
      <c r="H369" s="198"/>
      <c r="I369" s="198"/>
    </row>
    <row r="370" spans="1:10" x14ac:dyDescent="0.35">
      <c r="A370" s="1" t="str">
        <f t="shared" si="5"/>
        <v>10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98" t="s">
        <v>3997</v>
      </c>
      <c r="D370" s="198" t="s">
        <v>744</v>
      </c>
      <c r="E370" s="198" t="s">
        <v>745</v>
      </c>
      <c r="F370" s="198" t="s">
        <v>112</v>
      </c>
      <c r="G370" s="198">
        <v>554115</v>
      </c>
      <c r="H370" s="198"/>
      <c r="I370" s="198"/>
    </row>
    <row r="371" spans="1:10" x14ac:dyDescent="0.35">
      <c r="A371" s="1" t="str">
        <f t="shared" si="5"/>
        <v>10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98" t="s">
        <v>3998</v>
      </c>
      <c r="D371" s="198" t="s">
        <v>503</v>
      </c>
      <c r="E371" s="198" t="s">
        <v>746</v>
      </c>
      <c r="F371" s="198" t="s">
        <v>112</v>
      </c>
      <c r="G371" s="198">
        <v>19986</v>
      </c>
      <c r="H371" s="198"/>
      <c r="I371" s="198"/>
    </row>
    <row r="372" spans="1:10" x14ac:dyDescent="0.35">
      <c r="A372" s="1" t="str">
        <f t="shared" si="5"/>
        <v>10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98" t="s">
        <v>3999</v>
      </c>
      <c r="D372" s="198" t="s">
        <v>747</v>
      </c>
      <c r="E372" s="198" t="s">
        <v>748</v>
      </c>
      <c r="F372" s="198" t="s">
        <v>112</v>
      </c>
      <c r="G372" s="198">
        <v>11615</v>
      </c>
      <c r="H372" s="198"/>
      <c r="I372" s="198"/>
    </row>
    <row r="373" spans="1:10" x14ac:dyDescent="0.35">
      <c r="A373" s="1" t="str">
        <f t="shared" si="5"/>
        <v>10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98" t="s">
        <v>4000</v>
      </c>
      <c r="D373" s="198" t="s">
        <v>462</v>
      </c>
      <c r="E373" s="198" t="s">
        <v>749</v>
      </c>
      <c r="F373" s="198" t="s">
        <v>112</v>
      </c>
      <c r="G373" s="198">
        <v>14276</v>
      </c>
      <c r="H373" s="198"/>
      <c r="I373" s="198"/>
    </row>
    <row r="374" spans="1:10" x14ac:dyDescent="0.35">
      <c r="A374" s="1" t="str">
        <f t="shared" si="5"/>
        <v>10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98" t="s">
        <v>4001</v>
      </c>
      <c r="D374" s="198" t="s">
        <v>750</v>
      </c>
      <c r="E374" s="198" t="s">
        <v>751</v>
      </c>
      <c r="F374" s="198" t="s">
        <v>112</v>
      </c>
      <c r="G374" s="198">
        <v>7917</v>
      </c>
      <c r="H374" s="198"/>
      <c r="I374" s="198"/>
      <c r="J374" s="1" t="s">
        <v>201</v>
      </c>
    </row>
    <row r="375" spans="1:10" x14ac:dyDescent="0.35">
      <c r="A375" s="1" t="str">
        <f t="shared" si="5"/>
        <v>10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98" t="s">
        <v>4002</v>
      </c>
      <c r="D375" s="198" t="s">
        <v>752</v>
      </c>
      <c r="E375" s="198" t="s">
        <v>753</v>
      </c>
      <c r="F375" s="198" t="s">
        <v>112</v>
      </c>
      <c r="G375" s="198">
        <v>201482</v>
      </c>
      <c r="H375" s="198"/>
      <c r="I375" s="198"/>
      <c r="J375" s="1">
        <v>24</v>
      </c>
    </row>
    <row r="376" spans="1:10" x14ac:dyDescent="0.35">
      <c r="A376" s="1" t="str">
        <f t="shared" si="5"/>
        <v>10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98" t="s">
        <v>4003</v>
      </c>
      <c r="D376" s="198" t="s">
        <v>512</v>
      </c>
      <c r="E376" s="198" t="s">
        <v>754</v>
      </c>
      <c r="F376" s="198" t="s">
        <v>112</v>
      </c>
      <c r="G376" s="198">
        <v>141957</v>
      </c>
      <c r="H376" s="198"/>
      <c r="I376" s="198"/>
    </row>
    <row r="377" spans="1:10" x14ac:dyDescent="0.35">
      <c r="A377" s="1" t="str">
        <f t="shared" si="5"/>
        <v>10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98" t="s">
        <v>4004</v>
      </c>
      <c r="D377" s="198" t="s">
        <v>235</v>
      </c>
      <c r="E377" s="198" t="s">
        <v>755</v>
      </c>
      <c r="F377" s="198" t="s">
        <v>112</v>
      </c>
      <c r="G377" s="198">
        <v>209659</v>
      </c>
      <c r="H377" s="198"/>
      <c r="I377" s="198"/>
    </row>
    <row r="378" spans="1:10" x14ac:dyDescent="0.35">
      <c r="A378" s="1" t="str">
        <f t="shared" si="5"/>
        <v>10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98" t="s">
        <v>4005</v>
      </c>
      <c r="D378" s="198" t="s">
        <v>756</v>
      </c>
      <c r="E378" s="198" t="s">
        <v>757</v>
      </c>
      <c r="F378" s="198" t="s">
        <v>112</v>
      </c>
      <c r="G378" s="198">
        <v>425244</v>
      </c>
      <c r="H378" s="198"/>
      <c r="I378" s="198"/>
    </row>
    <row r="379" spans="1:10" x14ac:dyDescent="0.35">
      <c r="A379" s="1" t="str">
        <f t="shared" si="5"/>
        <v>10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98" t="s">
        <v>4006</v>
      </c>
      <c r="D379" s="198" t="s">
        <v>758</v>
      </c>
      <c r="E379" s="198" t="s">
        <v>759</v>
      </c>
      <c r="F379" s="198" t="s">
        <v>112</v>
      </c>
      <c r="G379" s="198">
        <v>301326</v>
      </c>
      <c r="H379" s="198"/>
      <c r="I379" s="198"/>
    </row>
    <row r="380" spans="1:10" x14ac:dyDescent="0.35">
      <c r="A380" s="1" t="str">
        <f t="shared" si="5"/>
        <v>10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98" t="s">
        <v>4007</v>
      </c>
      <c r="D380" s="198" t="s">
        <v>760</v>
      </c>
      <c r="E380" s="198" t="s">
        <v>761</v>
      </c>
      <c r="F380" s="198" t="s">
        <v>112</v>
      </c>
      <c r="G380" s="198">
        <v>17066</v>
      </c>
      <c r="H380" s="198"/>
      <c r="I380" s="198"/>
    </row>
    <row r="381" spans="1:10" x14ac:dyDescent="0.35">
      <c r="A381" s="1" t="str">
        <f t="shared" si="5"/>
        <v>10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98" t="s">
        <v>4008</v>
      </c>
      <c r="D381" s="198">
        <v>0</v>
      </c>
      <c r="E381" s="198">
        <v>0</v>
      </c>
      <c r="F381" s="198" t="s">
        <v>112</v>
      </c>
      <c r="G381" s="198">
        <v>0</v>
      </c>
      <c r="H381" s="198"/>
      <c r="I381" s="198"/>
    </row>
    <row r="382" spans="1:10" x14ac:dyDescent="0.35">
      <c r="A382" s="1" t="str">
        <f t="shared" si="5"/>
        <v>10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98" t="s">
        <v>4009</v>
      </c>
      <c r="D382" s="198" t="s">
        <v>762</v>
      </c>
      <c r="E382" s="198" t="s">
        <v>763</v>
      </c>
      <c r="F382" s="198" t="s">
        <v>112</v>
      </c>
      <c r="G382" s="198">
        <v>162311</v>
      </c>
      <c r="H382" s="198"/>
      <c r="I382" s="198"/>
    </row>
    <row r="383" spans="1:10" x14ac:dyDescent="0.35">
      <c r="A383" s="1" t="str">
        <f t="shared" si="5"/>
        <v>10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98" t="s">
        <v>4010</v>
      </c>
      <c r="D383" s="198" t="s">
        <v>764</v>
      </c>
      <c r="E383" s="198" t="s">
        <v>765</v>
      </c>
      <c r="F383" s="198" t="s">
        <v>112</v>
      </c>
      <c r="G383" s="198">
        <v>218159</v>
      </c>
      <c r="H383" s="198"/>
      <c r="I383" s="198"/>
    </row>
    <row r="384" spans="1:10" x14ac:dyDescent="0.35">
      <c r="A384" s="1" t="str">
        <f t="shared" si="5"/>
        <v>10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98" t="s">
        <v>4011</v>
      </c>
      <c r="D384" s="198" t="s">
        <v>766</v>
      </c>
      <c r="E384" s="198" t="s">
        <v>767</v>
      </c>
      <c r="F384" s="198" t="s">
        <v>112</v>
      </c>
      <c r="G384" s="198">
        <v>241714</v>
      </c>
      <c r="H384" s="198"/>
      <c r="I384" s="198"/>
    </row>
    <row r="385" spans="1:9" x14ac:dyDescent="0.35">
      <c r="A385" s="1" t="str">
        <f t="shared" si="5"/>
        <v>10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98" t="s">
        <v>4012</v>
      </c>
      <c r="D385" s="198" t="s">
        <v>768</v>
      </c>
      <c r="E385" s="198" t="s">
        <v>769</v>
      </c>
      <c r="F385" s="198" t="s">
        <v>112</v>
      </c>
      <c r="G385" s="198">
        <v>218635</v>
      </c>
      <c r="H385" s="198"/>
      <c r="I385" s="198"/>
    </row>
    <row r="386" spans="1:9" x14ac:dyDescent="0.35">
      <c r="A386" s="1" t="str">
        <f t="shared" ref="A386:A449" si="6">IFERROR(LEFT(RIGHT(C386,LEN(C386)-SEARCH("@",C386)),SEARCH("/",RIGHT(C386,LEN(C386)-SEARCH("@",C386)-1))),"")</f>
        <v>10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98" t="s">
        <v>4013</v>
      </c>
      <c r="D386" s="198" t="s">
        <v>770</v>
      </c>
      <c r="E386" s="198" t="s">
        <v>771</v>
      </c>
      <c r="F386" s="198" t="s">
        <v>112</v>
      </c>
      <c r="G386" s="198">
        <v>153118</v>
      </c>
      <c r="H386" s="198"/>
      <c r="I386" s="198"/>
    </row>
    <row r="387" spans="1:9" x14ac:dyDescent="0.35">
      <c r="A387" s="1" t="str">
        <f t="shared" si="6"/>
        <v>10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98" t="s">
        <v>4014</v>
      </c>
      <c r="D387" s="198" t="s">
        <v>772</v>
      </c>
      <c r="E387" s="198" t="s">
        <v>773</v>
      </c>
      <c r="F387" s="198" t="s">
        <v>112</v>
      </c>
      <c r="G387" s="198">
        <v>362301</v>
      </c>
      <c r="H387" s="198"/>
      <c r="I387" s="198"/>
    </row>
    <row r="388" spans="1:9" x14ac:dyDescent="0.35">
      <c r="A388" s="1" t="str">
        <f t="shared" si="6"/>
        <v>10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98" t="s">
        <v>4015</v>
      </c>
      <c r="D388" s="198" t="s">
        <v>774</v>
      </c>
      <c r="E388" s="198" t="s">
        <v>775</v>
      </c>
      <c r="F388" s="198" t="s">
        <v>112</v>
      </c>
      <c r="G388" s="198">
        <v>174770</v>
      </c>
      <c r="H388" s="198"/>
      <c r="I388" s="198"/>
    </row>
    <row r="389" spans="1:9"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98" t="s">
        <v>112</v>
      </c>
      <c r="D389" s="198"/>
      <c r="E389" s="198"/>
      <c r="F389" s="198"/>
      <c r="G389" s="198"/>
      <c r="H389" s="198"/>
      <c r="I389" s="198"/>
    </row>
    <row r="390" spans="1:9"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98" t="s">
        <v>195</v>
      </c>
      <c r="D390" s="198" t="s">
        <v>112</v>
      </c>
      <c r="E390" s="198" t="s">
        <v>196</v>
      </c>
      <c r="F390" s="198" t="s">
        <v>197</v>
      </c>
      <c r="G390" s="198" t="s">
        <v>198</v>
      </c>
      <c r="H390" s="198" t="s">
        <v>199</v>
      </c>
      <c r="I390" s="198" t="s">
        <v>200</v>
      </c>
    </row>
    <row r="391" spans="1:9" x14ac:dyDescent="0.35">
      <c r="A391" s="1" t="str">
        <f t="shared" si="6"/>
        <v>10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98" t="s">
        <v>4016</v>
      </c>
      <c r="D391" s="198" t="s">
        <v>112</v>
      </c>
      <c r="E391" s="198" t="s">
        <v>776</v>
      </c>
      <c r="F391" s="198" t="s">
        <v>777</v>
      </c>
      <c r="G391" s="198" t="s">
        <v>778</v>
      </c>
      <c r="H391" s="198" t="s">
        <v>779</v>
      </c>
      <c r="I391" s="198">
        <v>23</v>
      </c>
    </row>
    <row r="392" spans="1:9"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98" t="s">
        <v>112</v>
      </c>
      <c r="D392" s="198"/>
      <c r="E392" s="198"/>
      <c r="F392" s="198"/>
      <c r="G392" s="198"/>
      <c r="H392" s="198"/>
      <c r="I392" s="198"/>
    </row>
    <row r="393" spans="1:9"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98" t="s">
        <v>112</v>
      </c>
      <c r="D393" s="198"/>
      <c r="E393" s="198"/>
      <c r="F393" s="198"/>
      <c r="G393" s="198"/>
      <c r="H393" s="198"/>
      <c r="I393" s="198"/>
    </row>
    <row r="394" spans="1:9"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98" t="s">
        <v>112</v>
      </c>
      <c r="D394" s="198"/>
      <c r="E394" s="198"/>
      <c r="F394" s="198"/>
      <c r="G394" s="198"/>
      <c r="H394" s="198"/>
      <c r="I394" s="198"/>
    </row>
    <row r="395" spans="1:9"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98" t="s">
        <v>112</v>
      </c>
      <c r="D395" s="198"/>
      <c r="E395" s="198"/>
      <c r="F395" s="198"/>
      <c r="G395" s="198"/>
      <c r="H395" s="198"/>
      <c r="I395" s="198"/>
    </row>
    <row r="396" spans="1:9"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98" t="s">
        <v>112</v>
      </c>
      <c r="D396" s="198"/>
      <c r="E396" s="198"/>
      <c r="F396" s="198"/>
      <c r="G396" s="198"/>
      <c r="H396" s="198"/>
      <c r="I396" s="198"/>
    </row>
    <row r="397" spans="1:9"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98" t="s">
        <v>206</v>
      </c>
      <c r="D397" s="198" t="s">
        <v>110</v>
      </c>
      <c r="E397" s="198" t="s">
        <v>111</v>
      </c>
      <c r="F397" s="198" t="s">
        <v>112</v>
      </c>
      <c r="G397" s="198" t="s">
        <v>113</v>
      </c>
      <c r="H397" s="198"/>
      <c r="I397" s="198"/>
    </row>
    <row r="398" spans="1:9" x14ac:dyDescent="0.35">
      <c r="A398" s="1" t="str">
        <f t="shared" si="6"/>
        <v>11</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98" t="s">
        <v>4017</v>
      </c>
      <c r="D398" s="198"/>
      <c r="E398" s="198"/>
      <c r="F398" s="198"/>
      <c r="G398" s="198"/>
      <c r="H398" s="198"/>
      <c r="I398" s="198"/>
    </row>
    <row r="399" spans="1:9" x14ac:dyDescent="0.35">
      <c r="A399" s="1" t="str">
        <f t="shared" si="6"/>
        <v>11</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98" t="s">
        <v>4018</v>
      </c>
      <c r="D399" s="198"/>
      <c r="E399" s="198"/>
      <c r="F399" s="198"/>
      <c r="G399" s="198"/>
      <c r="H399" s="198"/>
      <c r="I399" s="198"/>
    </row>
    <row r="400" spans="1:9" x14ac:dyDescent="0.35">
      <c r="A400" s="1" t="str">
        <f t="shared" si="6"/>
        <v>11</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98" t="s">
        <v>4019</v>
      </c>
      <c r="D400" s="198" t="s">
        <v>780</v>
      </c>
      <c r="E400" s="198" t="s">
        <v>781</v>
      </c>
      <c r="F400" s="198" t="s">
        <v>112</v>
      </c>
      <c r="G400" s="198">
        <v>446203</v>
      </c>
      <c r="H400" s="198"/>
      <c r="I400" s="198"/>
    </row>
    <row r="401" spans="1:10" x14ac:dyDescent="0.35">
      <c r="A401" s="1" t="str">
        <f t="shared" si="6"/>
        <v>11</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98" t="s">
        <v>4020</v>
      </c>
      <c r="D401" s="198" t="s">
        <v>782</v>
      </c>
      <c r="E401" s="198" t="s">
        <v>783</v>
      </c>
      <c r="F401" s="198" t="s">
        <v>112</v>
      </c>
      <c r="G401" s="198">
        <v>57384</v>
      </c>
      <c r="H401" s="198"/>
      <c r="I401" s="198"/>
    </row>
    <row r="402" spans="1:10" x14ac:dyDescent="0.35">
      <c r="A402" s="1" t="str">
        <f t="shared" si="6"/>
        <v>11</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98" t="s">
        <v>4021</v>
      </c>
      <c r="D402" s="198" t="s">
        <v>784</v>
      </c>
      <c r="E402" s="198" t="s">
        <v>785</v>
      </c>
      <c r="F402" s="198" t="s">
        <v>112</v>
      </c>
      <c r="G402" s="198">
        <v>9950</v>
      </c>
      <c r="H402" s="198"/>
      <c r="I402" s="198"/>
    </row>
    <row r="403" spans="1:10" x14ac:dyDescent="0.35">
      <c r="A403" s="1" t="str">
        <f t="shared" si="6"/>
        <v>11</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98" t="s">
        <v>4022</v>
      </c>
      <c r="D403" s="198" t="s">
        <v>527</v>
      </c>
      <c r="E403" s="198" t="s">
        <v>786</v>
      </c>
      <c r="F403" s="198" t="s">
        <v>112</v>
      </c>
      <c r="G403" s="198">
        <v>148727</v>
      </c>
      <c r="H403" s="198"/>
      <c r="I403" s="198"/>
    </row>
    <row r="404" spans="1:10" x14ac:dyDescent="0.35">
      <c r="A404" s="1" t="str">
        <f t="shared" si="6"/>
        <v>11</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98" t="s">
        <v>4023</v>
      </c>
      <c r="D404" s="198" t="s">
        <v>787</v>
      </c>
      <c r="E404" s="198" t="s">
        <v>788</v>
      </c>
      <c r="F404" s="198" t="s">
        <v>112</v>
      </c>
      <c r="G404" s="198">
        <v>1599855</v>
      </c>
      <c r="H404" s="198"/>
      <c r="I404" s="198"/>
    </row>
    <row r="405" spans="1:10" x14ac:dyDescent="0.35">
      <c r="A405" s="1" t="str">
        <f t="shared" si="6"/>
        <v>11</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98" t="s">
        <v>4024</v>
      </c>
      <c r="D405" s="198" t="s">
        <v>789</v>
      </c>
      <c r="E405" s="198" t="s">
        <v>790</v>
      </c>
      <c r="F405" s="198" t="s">
        <v>112</v>
      </c>
      <c r="G405" s="198">
        <v>1882147</v>
      </c>
      <c r="H405" s="198"/>
      <c r="I405" s="198"/>
    </row>
    <row r="406" spans="1:10" x14ac:dyDescent="0.35">
      <c r="A406" s="1" t="str">
        <f t="shared" si="6"/>
        <v>11</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98" t="s">
        <v>4025</v>
      </c>
      <c r="D406" s="198"/>
      <c r="E406" s="198"/>
      <c r="F406" s="198"/>
      <c r="G406" s="198"/>
      <c r="H406" s="198"/>
      <c r="I406" s="198"/>
    </row>
    <row r="407" spans="1:10" x14ac:dyDescent="0.35">
      <c r="A407" s="1" t="str">
        <f t="shared" si="6"/>
        <v>11</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98" t="s">
        <v>4026</v>
      </c>
      <c r="D407" s="198" t="s">
        <v>791</v>
      </c>
      <c r="E407" s="198" t="s">
        <v>792</v>
      </c>
      <c r="F407" s="198" t="s">
        <v>112</v>
      </c>
      <c r="G407" s="198">
        <v>1585709</v>
      </c>
      <c r="H407" s="198"/>
      <c r="I407" s="198"/>
      <c r="J407" s="1" t="s">
        <v>201</v>
      </c>
    </row>
    <row r="408" spans="1:10" x14ac:dyDescent="0.35">
      <c r="A408" s="1" t="str">
        <f t="shared" si="6"/>
        <v>11</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98" t="s">
        <v>4027</v>
      </c>
      <c r="D408" s="198" t="s">
        <v>793</v>
      </c>
      <c r="E408" s="198" t="s">
        <v>794</v>
      </c>
      <c r="F408" s="198" t="s">
        <v>112</v>
      </c>
      <c r="G408" s="198">
        <v>1543596</v>
      </c>
      <c r="H408" s="198"/>
      <c r="I408" s="198"/>
      <c r="J408" s="1">
        <v>24</v>
      </c>
    </row>
    <row r="409" spans="1:10" x14ac:dyDescent="0.35">
      <c r="A409" s="1" t="str">
        <f t="shared" si="6"/>
        <v>11</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98" t="s">
        <v>4028</v>
      </c>
      <c r="D409" s="198" t="s">
        <v>795</v>
      </c>
      <c r="E409" s="198" t="s">
        <v>796</v>
      </c>
      <c r="F409" s="198" t="s">
        <v>112</v>
      </c>
      <c r="G409" s="198">
        <v>1411199</v>
      </c>
      <c r="H409" s="198"/>
      <c r="I409" s="198"/>
    </row>
    <row r="410" spans="1:10" x14ac:dyDescent="0.35">
      <c r="A410" s="1" t="str">
        <f t="shared" si="6"/>
        <v>11</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98" t="s">
        <v>4029</v>
      </c>
      <c r="D410" s="198" t="s">
        <v>797</v>
      </c>
      <c r="E410" s="198" t="s">
        <v>798</v>
      </c>
      <c r="F410" s="198" t="s">
        <v>112</v>
      </c>
      <c r="G410" s="198">
        <v>914079</v>
      </c>
      <c r="H410" s="198"/>
      <c r="I410" s="198"/>
    </row>
    <row r="411" spans="1:10" x14ac:dyDescent="0.35">
      <c r="A411" s="1" t="str">
        <f t="shared" si="6"/>
        <v>11</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98" t="s">
        <v>4030</v>
      </c>
      <c r="D411" s="198" t="s">
        <v>799</v>
      </c>
      <c r="E411" s="198" t="s">
        <v>800</v>
      </c>
      <c r="F411" s="198" t="s">
        <v>112</v>
      </c>
      <c r="G411" s="198">
        <v>550762</v>
      </c>
      <c r="H411" s="198"/>
      <c r="I411" s="198"/>
    </row>
    <row r="412" spans="1:10" x14ac:dyDescent="0.35">
      <c r="A412" s="1" t="str">
        <f t="shared" si="6"/>
        <v>11</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98" t="s">
        <v>4031</v>
      </c>
      <c r="D412" s="198" t="s">
        <v>801</v>
      </c>
      <c r="E412" s="198" t="s">
        <v>802</v>
      </c>
      <c r="F412" s="198" t="s">
        <v>112</v>
      </c>
      <c r="G412" s="198">
        <v>403960</v>
      </c>
      <c r="H412" s="198"/>
      <c r="I412" s="198"/>
    </row>
    <row r="413" spans="1:10" x14ac:dyDescent="0.35">
      <c r="A413" s="1" t="str">
        <f t="shared" si="6"/>
        <v>11</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98" t="s">
        <v>4032</v>
      </c>
      <c r="D413" s="198" t="s">
        <v>803</v>
      </c>
      <c r="E413" s="198" t="s">
        <v>804</v>
      </c>
      <c r="F413" s="198" t="s">
        <v>112</v>
      </c>
      <c r="G413" s="198">
        <v>1111604</v>
      </c>
      <c r="H413" s="198"/>
      <c r="I413" s="198"/>
    </row>
    <row r="414" spans="1:10" x14ac:dyDescent="0.35">
      <c r="A414" s="1" t="str">
        <f t="shared" si="6"/>
        <v>11</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98" t="s">
        <v>4033</v>
      </c>
      <c r="D414" s="198"/>
      <c r="E414" s="198"/>
      <c r="F414" s="198"/>
      <c r="G414" s="198"/>
      <c r="H414" s="198"/>
      <c r="I414" s="198"/>
    </row>
    <row r="415" spans="1:10" x14ac:dyDescent="0.35">
      <c r="A415" s="1" t="str">
        <f t="shared" si="6"/>
        <v>11</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98" t="s">
        <v>4034</v>
      </c>
      <c r="D415" s="198"/>
      <c r="E415" s="198"/>
      <c r="F415" s="198"/>
      <c r="G415" s="198"/>
      <c r="H415" s="198"/>
      <c r="I415" s="198"/>
    </row>
    <row r="416" spans="1:10" x14ac:dyDescent="0.35">
      <c r="A416" s="1" t="str">
        <f t="shared" si="6"/>
        <v>11</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98" t="s">
        <v>4035</v>
      </c>
      <c r="D416" s="198" t="s">
        <v>805</v>
      </c>
      <c r="E416" s="198" t="s">
        <v>806</v>
      </c>
      <c r="F416" s="198" t="s">
        <v>112</v>
      </c>
      <c r="G416" s="198">
        <v>826586</v>
      </c>
      <c r="H416" s="198"/>
      <c r="I416" s="198"/>
    </row>
    <row r="417" spans="1:9" x14ac:dyDescent="0.35">
      <c r="A417" s="1" t="str">
        <f t="shared" si="6"/>
        <v>11</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98" t="s">
        <v>4036</v>
      </c>
      <c r="D417" s="198" t="s">
        <v>807</v>
      </c>
      <c r="E417" s="198" t="s">
        <v>808</v>
      </c>
      <c r="F417" s="198" t="s">
        <v>112</v>
      </c>
      <c r="G417" s="198">
        <v>1081538</v>
      </c>
      <c r="H417" s="198"/>
      <c r="I417" s="198"/>
    </row>
    <row r="418" spans="1:9" x14ac:dyDescent="0.35">
      <c r="A418" s="1" t="str">
        <f t="shared" si="6"/>
        <v>11</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98" t="s">
        <v>4037</v>
      </c>
      <c r="D418" s="198" t="s">
        <v>809</v>
      </c>
      <c r="E418" s="198" t="s">
        <v>810</v>
      </c>
      <c r="F418" s="198" t="s">
        <v>112</v>
      </c>
      <c r="G418" s="198">
        <v>1381199</v>
      </c>
      <c r="H418" s="198"/>
      <c r="I418" s="198"/>
    </row>
    <row r="419" spans="1:9" x14ac:dyDescent="0.35">
      <c r="A419" s="1" t="str">
        <f t="shared" si="6"/>
        <v>11</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98" t="s">
        <v>4038</v>
      </c>
      <c r="D419" s="198"/>
      <c r="E419" s="198"/>
      <c r="F419" s="198"/>
      <c r="G419" s="198"/>
      <c r="H419" s="198"/>
      <c r="I419" s="198"/>
    </row>
    <row r="420" spans="1:9" x14ac:dyDescent="0.35">
      <c r="A420" s="1" t="str">
        <f t="shared" si="6"/>
        <v>11</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98" t="s">
        <v>4039</v>
      </c>
      <c r="D420" s="198" t="s">
        <v>811</v>
      </c>
      <c r="E420" s="198" t="s">
        <v>812</v>
      </c>
      <c r="F420" s="198" t="s">
        <v>112</v>
      </c>
      <c r="G420" s="198">
        <v>1884569</v>
      </c>
      <c r="H420" s="198"/>
      <c r="I420" s="198"/>
    </row>
    <row r="421" spans="1:9" x14ac:dyDescent="0.35">
      <c r="A421" s="1" t="str">
        <f t="shared" si="6"/>
        <v>11</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98" t="s">
        <v>4040</v>
      </c>
      <c r="D421" s="198" t="s">
        <v>813</v>
      </c>
      <c r="E421" s="198" t="s">
        <v>814</v>
      </c>
      <c r="F421" s="198" t="s">
        <v>112</v>
      </c>
      <c r="G421" s="198">
        <v>1925082</v>
      </c>
      <c r="H421" s="198"/>
      <c r="I421" s="198"/>
    </row>
    <row r="422" spans="1:9"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98" t="s">
        <v>112</v>
      </c>
      <c r="D422" s="198"/>
      <c r="E422" s="198"/>
      <c r="F422" s="198"/>
      <c r="G422" s="198"/>
      <c r="H422" s="198"/>
      <c r="I422" s="198"/>
    </row>
    <row r="423" spans="1:9"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98" t="s">
        <v>195</v>
      </c>
      <c r="D423" s="198" t="s">
        <v>112</v>
      </c>
      <c r="E423" s="198" t="s">
        <v>196</v>
      </c>
      <c r="F423" s="198" t="s">
        <v>197</v>
      </c>
      <c r="G423" s="198" t="s">
        <v>198</v>
      </c>
      <c r="H423" s="198" t="s">
        <v>199</v>
      </c>
      <c r="I423" s="198" t="s">
        <v>200</v>
      </c>
    </row>
    <row r="424" spans="1:9" x14ac:dyDescent="0.35">
      <c r="A424" s="1" t="str">
        <f t="shared" si="6"/>
        <v>11</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98" t="s">
        <v>4041</v>
      </c>
      <c r="D424" s="198" t="s">
        <v>112</v>
      </c>
      <c r="E424" s="198" t="s">
        <v>815</v>
      </c>
      <c r="F424" s="198" t="s">
        <v>816</v>
      </c>
      <c r="G424" s="198" t="s">
        <v>817</v>
      </c>
      <c r="H424" s="198" t="s">
        <v>818</v>
      </c>
      <c r="I424" s="198">
        <v>24</v>
      </c>
    </row>
    <row r="425" spans="1:9"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98" t="s">
        <v>112</v>
      </c>
      <c r="D425" s="198"/>
      <c r="E425" s="198"/>
      <c r="F425" s="198"/>
      <c r="G425" s="198"/>
      <c r="H425" s="198"/>
      <c r="I425" s="198"/>
    </row>
    <row r="426" spans="1:9"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98" t="s">
        <v>112</v>
      </c>
      <c r="D426" s="198"/>
      <c r="E426" s="198"/>
      <c r="F426" s="198"/>
      <c r="G426" s="198"/>
      <c r="H426" s="198"/>
      <c r="I426" s="198"/>
    </row>
    <row r="427" spans="1:9"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98" t="s">
        <v>112</v>
      </c>
      <c r="D427" s="198"/>
      <c r="E427" s="198"/>
      <c r="F427" s="198"/>
      <c r="G427" s="198"/>
      <c r="H427" s="198"/>
      <c r="I427" s="198"/>
    </row>
    <row r="428" spans="1:9"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98" t="s">
        <v>112</v>
      </c>
      <c r="D428" s="198"/>
      <c r="E428" s="198"/>
      <c r="F428" s="198"/>
      <c r="G428" s="198"/>
      <c r="H428" s="198"/>
      <c r="I428" s="198"/>
    </row>
    <row r="429" spans="1:9"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98" t="s">
        <v>112</v>
      </c>
      <c r="D429" s="198"/>
      <c r="E429" s="198"/>
      <c r="F429" s="198"/>
      <c r="G429" s="198"/>
      <c r="H429" s="198"/>
      <c r="I429" s="198"/>
    </row>
    <row r="430" spans="1:9"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98" t="s">
        <v>206</v>
      </c>
      <c r="D430" s="198" t="s">
        <v>110</v>
      </c>
      <c r="E430" s="198" t="s">
        <v>111</v>
      </c>
      <c r="F430" s="198" t="s">
        <v>112</v>
      </c>
      <c r="G430" s="198" t="s">
        <v>113</v>
      </c>
      <c r="H430" s="198"/>
      <c r="I430" s="198"/>
    </row>
    <row r="431" spans="1:9" x14ac:dyDescent="0.35">
      <c r="A431" s="1" t="str">
        <f t="shared" si="6"/>
        <v>12</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98" t="s">
        <v>4042</v>
      </c>
      <c r="D431" s="198" t="s">
        <v>819</v>
      </c>
      <c r="E431" s="198" t="s">
        <v>820</v>
      </c>
      <c r="F431" s="198" t="s">
        <v>112</v>
      </c>
      <c r="G431" s="198">
        <v>2498556</v>
      </c>
      <c r="H431" s="198"/>
      <c r="I431" s="198"/>
    </row>
    <row r="432" spans="1:9" x14ac:dyDescent="0.35">
      <c r="A432" s="1" t="str">
        <f t="shared" si="6"/>
        <v>12</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98" t="s">
        <v>4043</v>
      </c>
      <c r="D432" s="198" t="s">
        <v>821</v>
      </c>
      <c r="E432" s="198" t="s">
        <v>822</v>
      </c>
      <c r="F432" s="198" t="s">
        <v>112</v>
      </c>
      <c r="G432" s="198">
        <v>1948443</v>
      </c>
      <c r="H432" s="198"/>
      <c r="I432" s="198"/>
    </row>
    <row r="433" spans="1:10" x14ac:dyDescent="0.35">
      <c r="A433" s="1" t="str">
        <f t="shared" si="6"/>
        <v>12</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98" t="s">
        <v>4044</v>
      </c>
      <c r="D433" s="198" t="s">
        <v>823</v>
      </c>
      <c r="E433" s="198" t="s">
        <v>824</v>
      </c>
      <c r="F433" s="198" t="s">
        <v>112</v>
      </c>
      <c r="G433" s="198">
        <v>1821843</v>
      </c>
      <c r="H433" s="198"/>
      <c r="I433" s="198"/>
    </row>
    <row r="434" spans="1:10" x14ac:dyDescent="0.35">
      <c r="A434" s="1" t="str">
        <f t="shared" si="6"/>
        <v>12</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98" t="s">
        <v>4045</v>
      </c>
      <c r="D434" s="198" t="s">
        <v>825</v>
      </c>
      <c r="E434" s="198" t="s">
        <v>826</v>
      </c>
      <c r="F434" s="198" t="s">
        <v>112</v>
      </c>
      <c r="G434" s="198">
        <v>1118633</v>
      </c>
      <c r="H434" s="198"/>
      <c r="I434" s="198"/>
    </row>
    <row r="435" spans="1:10" x14ac:dyDescent="0.35">
      <c r="A435" s="1" t="str">
        <f t="shared" si="6"/>
        <v>12</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98" t="s">
        <v>4046</v>
      </c>
      <c r="D435" s="198" t="s">
        <v>827</v>
      </c>
      <c r="E435" s="198" t="s">
        <v>828</v>
      </c>
      <c r="F435" s="198" t="s">
        <v>112</v>
      </c>
      <c r="G435" s="198">
        <v>1312805</v>
      </c>
      <c r="H435" s="198"/>
      <c r="I435" s="198"/>
    </row>
    <row r="436" spans="1:10" x14ac:dyDescent="0.35">
      <c r="A436" s="1" t="str">
        <f t="shared" si="6"/>
        <v>12</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98" t="s">
        <v>4047</v>
      </c>
      <c r="D436" s="198" t="s">
        <v>829</v>
      </c>
      <c r="E436" s="198" t="s">
        <v>830</v>
      </c>
      <c r="F436" s="198" t="s">
        <v>112</v>
      </c>
      <c r="G436" s="198">
        <v>1738979</v>
      </c>
      <c r="H436" s="198"/>
      <c r="I436" s="198"/>
    </row>
    <row r="437" spans="1:10" x14ac:dyDescent="0.35">
      <c r="A437" s="1" t="str">
        <f t="shared" si="6"/>
        <v>12</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98" t="s">
        <v>4048</v>
      </c>
      <c r="D437" s="198" t="s">
        <v>831</v>
      </c>
      <c r="E437" s="198" t="s">
        <v>832</v>
      </c>
      <c r="F437" s="198" t="s">
        <v>112</v>
      </c>
      <c r="G437" s="198">
        <v>2020232</v>
      </c>
      <c r="H437" s="198"/>
      <c r="I437" s="198"/>
    </row>
    <row r="438" spans="1:10" x14ac:dyDescent="0.35">
      <c r="A438" s="1" t="str">
        <f t="shared" si="6"/>
        <v>12</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98" t="s">
        <v>4049</v>
      </c>
      <c r="D438" s="198" t="s">
        <v>833</v>
      </c>
      <c r="E438" s="198" t="s">
        <v>834</v>
      </c>
      <c r="F438" s="198" t="s">
        <v>112</v>
      </c>
      <c r="G438" s="198">
        <v>2598291</v>
      </c>
      <c r="H438" s="198"/>
      <c r="I438" s="198"/>
    </row>
    <row r="439" spans="1:10" x14ac:dyDescent="0.35">
      <c r="A439" s="1" t="str">
        <f t="shared" si="6"/>
        <v>12</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98" t="s">
        <v>4050</v>
      </c>
      <c r="D439" s="198" t="s">
        <v>835</v>
      </c>
      <c r="E439" s="198" t="s">
        <v>836</v>
      </c>
      <c r="F439" s="198" t="s">
        <v>112</v>
      </c>
      <c r="G439" s="198">
        <v>2203005</v>
      </c>
      <c r="H439" s="198"/>
      <c r="I439" s="198"/>
    </row>
    <row r="440" spans="1:10" x14ac:dyDescent="0.35">
      <c r="A440" s="1" t="str">
        <f t="shared" si="6"/>
        <v>12</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98" t="s">
        <v>4051</v>
      </c>
      <c r="D440" s="198" t="s">
        <v>837</v>
      </c>
      <c r="E440" s="198" t="s">
        <v>838</v>
      </c>
      <c r="F440" s="198" t="s">
        <v>112</v>
      </c>
      <c r="G440" s="198">
        <v>1622675</v>
      </c>
      <c r="H440" s="198"/>
      <c r="I440" s="198"/>
      <c r="J440" s="1" t="s">
        <v>201</v>
      </c>
    </row>
    <row r="441" spans="1:10" x14ac:dyDescent="0.35">
      <c r="A441" s="1" t="str">
        <f t="shared" si="6"/>
        <v>12</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98" t="s">
        <v>4052</v>
      </c>
      <c r="D441" s="198"/>
      <c r="E441" s="198"/>
      <c r="F441" s="198"/>
      <c r="G441" s="198"/>
      <c r="H441" s="198"/>
      <c r="I441" s="198"/>
      <c r="J441" s="1">
        <v>24</v>
      </c>
    </row>
    <row r="442" spans="1:10" x14ac:dyDescent="0.35">
      <c r="A442" s="1" t="str">
        <f t="shared" si="6"/>
        <v>12</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98" t="s">
        <v>4053</v>
      </c>
      <c r="D442" s="198" t="s">
        <v>839</v>
      </c>
      <c r="E442" s="198" t="s">
        <v>840</v>
      </c>
      <c r="F442" s="198" t="s">
        <v>112</v>
      </c>
      <c r="G442" s="198">
        <v>1471309</v>
      </c>
      <c r="H442" s="198"/>
      <c r="I442" s="198"/>
    </row>
    <row r="443" spans="1:10" x14ac:dyDescent="0.35">
      <c r="A443" s="1" t="str">
        <f t="shared" si="6"/>
        <v>12</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98" t="s">
        <v>4054</v>
      </c>
      <c r="D443" s="198" t="s">
        <v>841</v>
      </c>
      <c r="E443" s="198" t="s">
        <v>842</v>
      </c>
      <c r="F443" s="198" t="s">
        <v>112</v>
      </c>
      <c r="G443" s="198">
        <v>1920194</v>
      </c>
      <c r="H443" s="198"/>
      <c r="I443" s="198"/>
    </row>
    <row r="444" spans="1:10" x14ac:dyDescent="0.35">
      <c r="A444" s="1" t="str">
        <f t="shared" si="6"/>
        <v>12</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98" t="s">
        <v>4055</v>
      </c>
      <c r="D444" s="198" t="s">
        <v>843</v>
      </c>
      <c r="E444" s="198" t="s">
        <v>844</v>
      </c>
      <c r="F444" s="198" t="s">
        <v>112</v>
      </c>
      <c r="G444" s="198">
        <v>1649106</v>
      </c>
      <c r="H444" s="198"/>
      <c r="I444" s="198"/>
    </row>
    <row r="445" spans="1:10" x14ac:dyDescent="0.3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5" s="198" t="s">
        <v>112</v>
      </c>
      <c r="D445" s="198"/>
      <c r="E445" s="198"/>
      <c r="F445" s="198"/>
      <c r="G445" s="198"/>
      <c r="H445" s="198"/>
      <c r="I445" s="198"/>
    </row>
    <row r="446" spans="1:10" x14ac:dyDescent="0.35">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6" s="198" t="s">
        <v>195</v>
      </c>
      <c r="D446" s="198" t="s">
        <v>112</v>
      </c>
      <c r="E446" s="198" t="s">
        <v>196</v>
      </c>
      <c r="F446" s="198" t="s">
        <v>197</v>
      </c>
      <c r="G446" s="198" t="s">
        <v>198</v>
      </c>
      <c r="H446" s="198" t="s">
        <v>199</v>
      </c>
      <c r="I446" s="198" t="s">
        <v>200</v>
      </c>
    </row>
    <row r="447" spans="1:10" x14ac:dyDescent="0.35">
      <c r="A447" s="1" t="str">
        <f t="shared" si="6"/>
        <v>12</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47" s="198" t="s">
        <v>4056</v>
      </c>
      <c r="D447" s="198" t="s">
        <v>112</v>
      </c>
      <c r="E447" s="198" t="s">
        <v>845</v>
      </c>
      <c r="F447" s="198" t="s">
        <v>846</v>
      </c>
      <c r="G447" s="198" t="s">
        <v>847</v>
      </c>
      <c r="H447" s="198" t="s">
        <v>848</v>
      </c>
      <c r="I447" s="198">
        <v>14</v>
      </c>
    </row>
    <row r="448" spans="1:10" x14ac:dyDescent="0.3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8" s="198" t="s">
        <v>112</v>
      </c>
      <c r="D448" s="198"/>
      <c r="E448" s="198"/>
      <c r="F448" s="198"/>
      <c r="G448" s="198"/>
      <c r="H448" s="198"/>
      <c r="I448" s="198"/>
    </row>
    <row r="449" spans="1:9" x14ac:dyDescent="0.3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9" s="198" t="s">
        <v>112</v>
      </c>
      <c r="D449" s="198"/>
      <c r="E449" s="198"/>
      <c r="F449" s="198"/>
      <c r="G449" s="198"/>
      <c r="H449" s="198"/>
      <c r="I449" s="198"/>
    </row>
    <row r="450" spans="1:9" x14ac:dyDescent="0.3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0" s="198" t="s">
        <v>112</v>
      </c>
      <c r="D450" s="198"/>
      <c r="E450" s="198"/>
      <c r="F450" s="198"/>
      <c r="G450" s="198"/>
      <c r="H450" s="198"/>
      <c r="I450" s="198"/>
    </row>
    <row r="451" spans="1:9" x14ac:dyDescent="0.3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1" s="198" t="s">
        <v>112</v>
      </c>
      <c r="D451" s="198"/>
      <c r="E451" s="198"/>
      <c r="F451" s="198"/>
      <c r="G451" s="198"/>
      <c r="H451" s="198"/>
      <c r="I451" s="198"/>
    </row>
    <row r="452" spans="1:9" x14ac:dyDescent="0.3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2" s="198" t="s">
        <v>112</v>
      </c>
      <c r="D452" s="198"/>
      <c r="E452" s="198"/>
      <c r="F452" s="198"/>
      <c r="G452" s="198"/>
      <c r="H452" s="198"/>
      <c r="I452" s="198"/>
    </row>
    <row r="453" spans="1:9" x14ac:dyDescent="0.3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3" s="198" t="s">
        <v>206</v>
      </c>
      <c r="D453" s="198" t="s">
        <v>110</v>
      </c>
      <c r="E453" s="198" t="s">
        <v>111</v>
      </c>
      <c r="F453" s="198" t="s">
        <v>112</v>
      </c>
      <c r="G453" s="198" t="s">
        <v>113</v>
      </c>
      <c r="H453" s="198"/>
      <c r="I453" s="198"/>
    </row>
    <row r="454" spans="1:9" x14ac:dyDescent="0.35">
      <c r="A454" s="1" t="str">
        <f t="shared" si="7"/>
        <v>17</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4" s="198" t="s">
        <v>4057</v>
      </c>
      <c r="D454" s="198" t="s">
        <v>849</v>
      </c>
      <c r="E454" s="198" t="s">
        <v>850</v>
      </c>
      <c r="F454" s="198" t="s">
        <v>112</v>
      </c>
      <c r="G454" s="198">
        <v>2957153</v>
      </c>
      <c r="H454" s="198"/>
      <c r="I454" s="198"/>
    </row>
    <row r="455" spans="1:9" x14ac:dyDescent="0.35">
      <c r="A455" s="1" t="str">
        <f t="shared" si="7"/>
        <v>17</v>
      </c>
      <c r="B4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5" s="198" t="s">
        <v>4058</v>
      </c>
      <c r="D455" s="198" t="s">
        <v>851</v>
      </c>
      <c r="E455" s="198" t="s">
        <v>852</v>
      </c>
      <c r="F455" s="198" t="s">
        <v>112</v>
      </c>
      <c r="G455" s="198">
        <v>3595754</v>
      </c>
      <c r="H455" s="198"/>
      <c r="I455" s="198"/>
    </row>
    <row r="456" spans="1:9" x14ac:dyDescent="0.35">
      <c r="A456" s="1" t="str">
        <f t="shared" si="7"/>
        <v>17</v>
      </c>
      <c r="B4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6" s="198" t="s">
        <v>4059</v>
      </c>
      <c r="D456" s="198" t="s">
        <v>853</v>
      </c>
      <c r="E456" s="198" t="s">
        <v>854</v>
      </c>
      <c r="F456" s="198" t="s">
        <v>112</v>
      </c>
      <c r="G456" s="198">
        <v>3084618</v>
      </c>
      <c r="H456" s="198"/>
      <c r="I456" s="198"/>
    </row>
    <row r="457" spans="1:9" x14ac:dyDescent="0.35">
      <c r="A457" s="1" t="str">
        <f t="shared" si="7"/>
        <v>17</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57" s="198" t="s">
        <v>4060</v>
      </c>
      <c r="D457" s="198" t="s">
        <v>855</v>
      </c>
      <c r="E457" s="198" t="s">
        <v>856</v>
      </c>
      <c r="F457" s="198" t="s">
        <v>112</v>
      </c>
      <c r="G457" s="198">
        <v>1096830</v>
      </c>
      <c r="H457" s="198"/>
      <c r="I457" s="198"/>
    </row>
    <row r="458" spans="1:9" x14ac:dyDescent="0.35">
      <c r="A458" s="1" t="str">
        <f t="shared" si="7"/>
        <v>17</v>
      </c>
      <c r="B4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58" s="198" t="s">
        <v>4061</v>
      </c>
      <c r="D458" s="198" t="s">
        <v>857</v>
      </c>
      <c r="E458" s="198" t="s">
        <v>858</v>
      </c>
      <c r="F458" s="198" t="s">
        <v>112</v>
      </c>
      <c r="G458" s="198">
        <v>1296647</v>
      </c>
      <c r="H458" s="198"/>
      <c r="I458" s="198"/>
    </row>
    <row r="459" spans="1:9" x14ac:dyDescent="0.35">
      <c r="A459" s="1" t="str">
        <f t="shared" si="7"/>
        <v>17</v>
      </c>
      <c r="B4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59" s="198" t="s">
        <v>4062</v>
      </c>
      <c r="D459" s="198" t="s">
        <v>859</v>
      </c>
      <c r="E459" s="198" t="s">
        <v>860</v>
      </c>
      <c r="F459" s="198" t="s">
        <v>112</v>
      </c>
      <c r="G459" s="198">
        <v>1371919</v>
      </c>
      <c r="H459" s="198"/>
      <c r="I459" s="198"/>
    </row>
    <row r="460" spans="1:9" x14ac:dyDescent="0.35">
      <c r="A460" s="1" t="str">
        <f t="shared" si="7"/>
        <v>17</v>
      </c>
      <c r="B4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0" s="198" t="s">
        <v>4063</v>
      </c>
      <c r="D460" s="198"/>
      <c r="E460" s="198"/>
      <c r="F460" s="198"/>
      <c r="G460" s="198"/>
      <c r="H460" s="198"/>
      <c r="I460" s="198"/>
    </row>
    <row r="461" spans="1:9" x14ac:dyDescent="0.35">
      <c r="A461" s="1" t="str">
        <f t="shared" si="7"/>
        <v>17</v>
      </c>
      <c r="B4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1" s="198" t="s">
        <v>4064</v>
      </c>
      <c r="D461" s="198" t="s">
        <v>861</v>
      </c>
      <c r="E461" s="198" t="s">
        <v>862</v>
      </c>
      <c r="F461" s="198" t="s">
        <v>112</v>
      </c>
      <c r="G461" s="198">
        <v>273597</v>
      </c>
      <c r="H461" s="198"/>
      <c r="I461" s="198"/>
    </row>
    <row r="462" spans="1:9" x14ac:dyDescent="0.35">
      <c r="A462" s="1" t="str">
        <f t="shared" si="7"/>
        <v>17</v>
      </c>
      <c r="B4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2" s="198" t="s">
        <v>4065</v>
      </c>
      <c r="D462" s="198" t="s">
        <v>863</v>
      </c>
      <c r="E462" s="198" t="s">
        <v>864</v>
      </c>
      <c r="F462" s="198" t="s">
        <v>112</v>
      </c>
      <c r="G462" s="198">
        <v>285969</v>
      </c>
      <c r="H462" s="198"/>
      <c r="I462" s="198"/>
    </row>
    <row r="463" spans="1:9" x14ac:dyDescent="0.35">
      <c r="A463" s="1" t="str">
        <f t="shared" si="7"/>
        <v>17</v>
      </c>
      <c r="B4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3" s="198" t="s">
        <v>4066</v>
      </c>
      <c r="D463" s="198" t="s">
        <v>420</v>
      </c>
      <c r="E463" s="198" t="s">
        <v>865</v>
      </c>
      <c r="F463" s="198" t="s">
        <v>112</v>
      </c>
      <c r="G463" s="198">
        <v>256898</v>
      </c>
      <c r="H463" s="198"/>
      <c r="I463" s="198"/>
    </row>
    <row r="464" spans="1:9" x14ac:dyDescent="0.35">
      <c r="A464" s="1" t="str">
        <f t="shared" si="7"/>
        <v>17</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4" s="198" t="s">
        <v>4067</v>
      </c>
      <c r="D464" s="198" t="s">
        <v>866</v>
      </c>
      <c r="E464" s="198" t="s">
        <v>867</v>
      </c>
      <c r="F464" s="198" t="s">
        <v>112</v>
      </c>
      <c r="G464" s="198">
        <v>170876</v>
      </c>
      <c r="H464" s="198"/>
      <c r="I464" s="198"/>
    </row>
    <row r="465" spans="1:10" x14ac:dyDescent="0.35">
      <c r="A465" s="1" t="str">
        <f t="shared" si="7"/>
        <v>17</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5" s="198" t="s">
        <v>4068</v>
      </c>
      <c r="D465" s="198" t="s">
        <v>739</v>
      </c>
      <c r="E465" s="198" t="s">
        <v>868</v>
      </c>
      <c r="F465" s="198" t="s">
        <v>112</v>
      </c>
      <c r="G465" s="198">
        <v>77759</v>
      </c>
      <c r="H465" s="198"/>
      <c r="I465" s="198"/>
    </row>
    <row r="466" spans="1:10" x14ac:dyDescent="0.35">
      <c r="A466" s="1" t="str">
        <f t="shared" si="7"/>
        <v>17</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66" s="198" t="s">
        <v>4069</v>
      </c>
      <c r="D466" s="198" t="s">
        <v>869</v>
      </c>
      <c r="E466" s="198" t="s">
        <v>870</v>
      </c>
      <c r="F466" s="198" t="s">
        <v>112</v>
      </c>
      <c r="G466" s="198">
        <v>3464330</v>
      </c>
      <c r="H466" s="198"/>
      <c r="I466" s="198"/>
    </row>
    <row r="467" spans="1:10" x14ac:dyDescent="0.35">
      <c r="A467" s="1" t="str">
        <f t="shared" si="7"/>
        <v>17</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67" s="198" t="s">
        <v>4070</v>
      </c>
      <c r="D467" s="198" t="s">
        <v>871</v>
      </c>
      <c r="E467" s="198" t="s">
        <v>872</v>
      </c>
      <c r="F467" s="198" t="s">
        <v>112</v>
      </c>
      <c r="G467" s="198">
        <v>3058943</v>
      </c>
      <c r="H467" s="198"/>
      <c r="I467" s="198"/>
    </row>
    <row r="468" spans="1:10" x14ac:dyDescent="0.35">
      <c r="A468" s="1" t="str">
        <f t="shared" si="7"/>
        <v>17</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68" s="198" t="s">
        <v>4071</v>
      </c>
      <c r="D468" s="198" t="s">
        <v>873</v>
      </c>
      <c r="E468" s="198" t="s">
        <v>874</v>
      </c>
      <c r="F468" s="198" t="s">
        <v>112</v>
      </c>
      <c r="G468" s="198">
        <v>3086716</v>
      </c>
      <c r="H468" s="198"/>
      <c r="I468" s="198"/>
    </row>
    <row r="469" spans="1:10" x14ac:dyDescent="0.35">
      <c r="A469" s="1" t="str">
        <f t="shared" si="7"/>
        <v>17</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69" s="198" t="s">
        <v>4072</v>
      </c>
      <c r="D469" s="198" t="s">
        <v>875</v>
      </c>
      <c r="E469" s="198" t="s">
        <v>876</v>
      </c>
      <c r="F469" s="198" t="s">
        <v>112</v>
      </c>
      <c r="G469" s="198">
        <v>1788511</v>
      </c>
      <c r="H469" s="198"/>
      <c r="I469" s="198"/>
    </row>
    <row r="470" spans="1:10" x14ac:dyDescent="0.35">
      <c r="A470" s="1" t="str">
        <f t="shared" si="7"/>
        <v>17</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0" s="198" t="s">
        <v>4073</v>
      </c>
      <c r="D470" s="198" t="s">
        <v>877</v>
      </c>
      <c r="E470" s="198" t="s">
        <v>878</v>
      </c>
      <c r="F470" s="198" t="s">
        <v>112</v>
      </c>
      <c r="G470" s="198">
        <v>1860063</v>
      </c>
      <c r="H470" s="198"/>
      <c r="I470" s="198"/>
    </row>
    <row r="471" spans="1:10" x14ac:dyDescent="0.35">
      <c r="A471" s="1" t="str">
        <f t="shared" si="7"/>
        <v>17</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1" s="198" t="s">
        <v>4074</v>
      </c>
      <c r="D471" s="198" t="s">
        <v>879</v>
      </c>
      <c r="E471" s="198" t="s">
        <v>880</v>
      </c>
      <c r="F471" s="198" t="s">
        <v>112</v>
      </c>
      <c r="G471" s="198">
        <v>1838455</v>
      </c>
      <c r="H471" s="198"/>
      <c r="I471" s="198"/>
    </row>
    <row r="472" spans="1:10" x14ac:dyDescent="0.35">
      <c r="A472" s="1" t="str">
        <f t="shared" si="7"/>
        <v>17</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72" s="198" t="s">
        <v>4075</v>
      </c>
      <c r="D472" s="198" t="s">
        <v>881</v>
      </c>
      <c r="E472" s="198" t="s">
        <v>882</v>
      </c>
      <c r="F472" s="198" t="s">
        <v>112</v>
      </c>
      <c r="G472" s="198">
        <v>3062944</v>
      </c>
      <c r="H472" s="198"/>
      <c r="I472" s="198"/>
    </row>
    <row r="473" spans="1:10" x14ac:dyDescent="0.35">
      <c r="A473" s="1" t="str">
        <f t="shared" si="7"/>
        <v>17</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73" s="198" t="s">
        <v>4076</v>
      </c>
      <c r="D473" s="198" t="s">
        <v>883</v>
      </c>
      <c r="E473" s="198" t="s">
        <v>884</v>
      </c>
      <c r="F473" s="198" t="s">
        <v>112</v>
      </c>
      <c r="G473" s="198">
        <v>3287376</v>
      </c>
      <c r="H473" s="198"/>
      <c r="I473" s="198"/>
      <c r="J473" s="1" t="s">
        <v>201</v>
      </c>
    </row>
    <row r="474" spans="1:10" x14ac:dyDescent="0.35">
      <c r="A474" s="1" t="str">
        <f t="shared" si="7"/>
        <v>17</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74" s="198" t="s">
        <v>4077</v>
      </c>
      <c r="D474" s="198" t="s">
        <v>885</v>
      </c>
      <c r="E474" s="198" t="s">
        <v>886</v>
      </c>
      <c r="F474" s="198" t="s">
        <v>112</v>
      </c>
      <c r="G474" s="198">
        <v>2956850</v>
      </c>
      <c r="H474" s="198"/>
      <c r="I474" s="198"/>
      <c r="J474" s="1">
        <v>24</v>
      </c>
    </row>
    <row r="475" spans="1:10" x14ac:dyDescent="0.35">
      <c r="A475" s="1" t="str">
        <f t="shared" si="7"/>
        <v>17</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75" s="198" t="s">
        <v>4078</v>
      </c>
      <c r="D475" s="198" t="s">
        <v>887</v>
      </c>
      <c r="E475" s="198" t="s">
        <v>888</v>
      </c>
      <c r="F475" s="198" t="s">
        <v>112</v>
      </c>
      <c r="G475" s="198">
        <v>1724400</v>
      </c>
      <c r="H475" s="198"/>
      <c r="I475" s="198"/>
    </row>
    <row r="476" spans="1:10" x14ac:dyDescent="0.35">
      <c r="A476" s="1" t="str">
        <f t="shared" si="7"/>
        <v>17</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76" s="198" t="s">
        <v>4079</v>
      </c>
      <c r="D476" s="198" t="s">
        <v>889</v>
      </c>
      <c r="E476" s="198" t="s">
        <v>890</v>
      </c>
      <c r="F476" s="198" t="s">
        <v>112</v>
      </c>
      <c r="G476" s="198">
        <v>1368891</v>
      </c>
      <c r="H476" s="198"/>
      <c r="I476" s="198"/>
    </row>
    <row r="477" spans="1:10" x14ac:dyDescent="0.35">
      <c r="A477" s="1" t="str">
        <f t="shared" si="7"/>
        <v>17</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77" s="198" t="s">
        <v>4080</v>
      </c>
      <c r="D477" s="198" t="s">
        <v>891</v>
      </c>
      <c r="E477" s="198" t="s">
        <v>892</v>
      </c>
      <c r="F477" s="198" t="s">
        <v>112</v>
      </c>
      <c r="G477" s="198">
        <v>1753081</v>
      </c>
      <c r="H477" s="198"/>
      <c r="I477" s="198"/>
    </row>
    <row r="478" spans="1:10" x14ac:dyDescent="0.35">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78" s="198" t="s">
        <v>112</v>
      </c>
      <c r="D478" s="198"/>
      <c r="E478" s="198"/>
      <c r="F478" s="198"/>
      <c r="G478" s="198"/>
      <c r="H478" s="198"/>
      <c r="I478" s="198"/>
    </row>
    <row r="479" spans="1:10" x14ac:dyDescent="0.35">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79" s="198" t="s">
        <v>195</v>
      </c>
      <c r="D479" s="198" t="s">
        <v>112</v>
      </c>
      <c r="E479" s="198" t="s">
        <v>196</v>
      </c>
      <c r="F479" s="198" t="s">
        <v>197</v>
      </c>
      <c r="G479" s="198" t="s">
        <v>198</v>
      </c>
      <c r="H479" s="198" t="s">
        <v>199</v>
      </c>
      <c r="I479" s="198" t="s">
        <v>200</v>
      </c>
    </row>
    <row r="480" spans="1:10" x14ac:dyDescent="0.35">
      <c r="A480" s="1" t="str">
        <f t="shared" si="7"/>
        <v>17</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80" s="198" t="s">
        <v>4081</v>
      </c>
      <c r="D480" s="198" t="s">
        <v>112</v>
      </c>
      <c r="E480" s="198" t="s">
        <v>893</v>
      </c>
      <c r="F480" s="198" t="s">
        <v>894</v>
      </c>
      <c r="G480" s="198" t="s">
        <v>895</v>
      </c>
      <c r="H480" s="198" t="s">
        <v>896</v>
      </c>
      <c r="I480" s="198">
        <v>24</v>
      </c>
    </row>
    <row r="481" spans="1:10" x14ac:dyDescent="0.35">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1" s="198" t="s">
        <v>112</v>
      </c>
      <c r="D481" s="198"/>
      <c r="E481" s="198"/>
      <c r="F481" s="198"/>
      <c r="G481" s="198"/>
      <c r="H481" s="198"/>
      <c r="I481" s="198"/>
    </row>
    <row r="482" spans="1:10" x14ac:dyDescent="0.35">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2" s="198" t="s">
        <v>112</v>
      </c>
      <c r="D482" s="198"/>
      <c r="E482" s="198"/>
      <c r="F482" s="198"/>
      <c r="G482" s="198"/>
      <c r="H482" s="198"/>
      <c r="I482" s="198"/>
    </row>
    <row r="483" spans="1:10" x14ac:dyDescent="0.35">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3" s="198" t="s">
        <v>112</v>
      </c>
      <c r="D483" s="198"/>
      <c r="E483" s="198"/>
      <c r="F483" s="198"/>
      <c r="G483" s="198"/>
      <c r="H483" s="198"/>
      <c r="I483" s="198"/>
    </row>
    <row r="484" spans="1:10" x14ac:dyDescent="0.35">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4" s="198" t="s">
        <v>112</v>
      </c>
      <c r="D484" s="198"/>
      <c r="E484" s="198"/>
      <c r="F484" s="198"/>
      <c r="G484" s="198"/>
      <c r="H484" s="198"/>
      <c r="I484" s="198"/>
    </row>
    <row r="485" spans="1:10" x14ac:dyDescent="0.35">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5" s="198" t="s">
        <v>112</v>
      </c>
      <c r="D485" s="198"/>
      <c r="E485" s="198"/>
      <c r="F485" s="198"/>
      <c r="G485" s="198"/>
      <c r="H485" s="198"/>
      <c r="I485" s="198"/>
    </row>
    <row r="486" spans="1:10" x14ac:dyDescent="0.3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6" s="198" t="s">
        <v>206</v>
      </c>
      <c r="D486" s="198" t="s">
        <v>110</v>
      </c>
      <c r="E486" s="198" t="s">
        <v>111</v>
      </c>
      <c r="F486" s="198" t="s">
        <v>112</v>
      </c>
      <c r="G486" s="198" t="s">
        <v>113</v>
      </c>
      <c r="H486" s="198"/>
      <c r="I486" s="198"/>
    </row>
    <row r="487" spans="1:10" x14ac:dyDescent="0.35">
      <c r="A487" s="1" t="str">
        <f t="shared" si="7"/>
        <v>18</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87" s="198" t="s">
        <v>4082</v>
      </c>
      <c r="D487" s="198" t="s">
        <v>897</v>
      </c>
      <c r="E487" s="198" t="s">
        <v>898</v>
      </c>
      <c r="F487" s="198" t="s">
        <v>112</v>
      </c>
      <c r="G487" s="198">
        <v>3793646</v>
      </c>
      <c r="H487" s="198"/>
      <c r="I487" s="198"/>
    </row>
    <row r="488" spans="1:10" x14ac:dyDescent="0.35">
      <c r="A488" s="1" t="str">
        <f t="shared" si="7"/>
        <v>18</v>
      </c>
      <c r="B4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8" s="198" t="s">
        <v>4083</v>
      </c>
      <c r="D488" s="198" t="s">
        <v>899</v>
      </c>
      <c r="E488" s="198" t="s">
        <v>900</v>
      </c>
      <c r="F488" s="198" t="s">
        <v>112</v>
      </c>
      <c r="G488" s="198">
        <v>3527425</v>
      </c>
      <c r="H488" s="198"/>
      <c r="I488" s="198"/>
    </row>
    <row r="489" spans="1:10" x14ac:dyDescent="0.35">
      <c r="A489" s="1" t="str">
        <f t="shared" si="7"/>
        <v>18</v>
      </c>
      <c r="B4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9" s="198" t="s">
        <v>4084</v>
      </c>
      <c r="D489" s="198" t="s">
        <v>901</v>
      </c>
      <c r="E489" s="198" t="s">
        <v>902</v>
      </c>
      <c r="F489" s="198" t="s">
        <v>112</v>
      </c>
      <c r="G489" s="198">
        <v>3253201</v>
      </c>
      <c r="H489" s="198"/>
      <c r="I489" s="198"/>
    </row>
    <row r="490" spans="1:10" x14ac:dyDescent="0.35">
      <c r="A490" s="1" t="str">
        <f t="shared" si="7"/>
        <v>18</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0" s="198" t="s">
        <v>4085</v>
      </c>
      <c r="D490" s="198" t="s">
        <v>903</v>
      </c>
      <c r="E490" s="198" t="s">
        <v>904</v>
      </c>
      <c r="F490" s="198" t="s">
        <v>112</v>
      </c>
      <c r="G490" s="198">
        <v>3077696</v>
      </c>
      <c r="H490" s="198"/>
      <c r="I490" s="198"/>
    </row>
    <row r="491" spans="1:10" x14ac:dyDescent="0.35">
      <c r="A491" s="1" t="str">
        <f t="shared" si="7"/>
        <v>18</v>
      </c>
      <c r="B4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91" s="198" t="s">
        <v>4086</v>
      </c>
      <c r="D491" s="198" t="s">
        <v>905</v>
      </c>
      <c r="E491" s="198" t="s">
        <v>906</v>
      </c>
      <c r="F491" s="198" t="s">
        <v>112</v>
      </c>
      <c r="G491" s="198">
        <v>2282560</v>
      </c>
      <c r="H491" s="198"/>
      <c r="I491" s="198"/>
    </row>
    <row r="492" spans="1:10" x14ac:dyDescent="0.35">
      <c r="A492" s="1" t="str">
        <f t="shared" si="7"/>
        <v>18</v>
      </c>
      <c r="B4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92" s="198" t="s">
        <v>4087</v>
      </c>
      <c r="D492" s="198" t="s">
        <v>907</v>
      </c>
      <c r="E492" s="198" t="s">
        <v>908</v>
      </c>
      <c r="F492" s="198" t="s">
        <v>112</v>
      </c>
      <c r="G492" s="198">
        <v>2244448</v>
      </c>
      <c r="H492" s="198"/>
      <c r="I492" s="198"/>
    </row>
    <row r="493" spans="1:10" x14ac:dyDescent="0.35">
      <c r="A493" s="1" t="str">
        <f t="shared" si="7"/>
        <v>18</v>
      </c>
      <c r="B4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93" s="198" t="s">
        <v>4088</v>
      </c>
      <c r="D493" s="198" t="s">
        <v>909</v>
      </c>
      <c r="E493" s="198" t="s">
        <v>910</v>
      </c>
      <c r="F493" s="198" t="s">
        <v>112</v>
      </c>
      <c r="G493" s="198">
        <v>2620483</v>
      </c>
      <c r="H493" s="198"/>
      <c r="I493" s="198"/>
    </row>
    <row r="494" spans="1:10" x14ac:dyDescent="0.35">
      <c r="A494" s="1" t="str">
        <f t="shared" si="7"/>
        <v>18</v>
      </c>
      <c r="B4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94" s="198" t="s">
        <v>4089</v>
      </c>
      <c r="D494" s="198" t="s">
        <v>911</v>
      </c>
      <c r="E494" s="198" t="s">
        <v>912</v>
      </c>
      <c r="F494" s="198" t="s">
        <v>112</v>
      </c>
      <c r="G494" s="198">
        <v>3233713</v>
      </c>
      <c r="H494" s="198"/>
      <c r="I494" s="198"/>
    </row>
    <row r="495" spans="1:10" x14ac:dyDescent="0.35">
      <c r="A495" s="1" t="str">
        <f t="shared" si="7"/>
        <v>18</v>
      </c>
      <c r="B4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95" s="198" t="s">
        <v>4090</v>
      </c>
      <c r="D495" s="198" t="s">
        <v>913</v>
      </c>
      <c r="E495" s="198" t="s">
        <v>914</v>
      </c>
      <c r="F495" s="198" t="s">
        <v>112</v>
      </c>
      <c r="G495" s="198">
        <v>3507396</v>
      </c>
      <c r="H495" s="198"/>
      <c r="I495" s="198"/>
    </row>
    <row r="496" spans="1:10" x14ac:dyDescent="0.35">
      <c r="A496" s="1" t="str">
        <f t="shared" si="7"/>
        <v>18</v>
      </c>
      <c r="B4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96" s="198" t="s">
        <v>4091</v>
      </c>
      <c r="D496" s="198" t="s">
        <v>915</v>
      </c>
      <c r="E496" s="198" t="s">
        <v>916</v>
      </c>
      <c r="F496" s="198" t="s">
        <v>112</v>
      </c>
      <c r="G496" s="198">
        <v>3511181</v>
      </c>
      <c r="H496" s="198"/>
      <c r="I496" s="198"/>
      <c r="J496" s="1" t="s">
        <v>201</v>
      </c>
    </row>
    <row r="497" spans="1:10" x14ac:dyDescent="0.35">
      <c r="A497" s="1" t="str">
        <f t="shared" si="7"/>
        <v>18</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97" s="198" t="s">
        <v>4092</v>
      </c>
      <c r="D497" s="198"/>
      <c r="E497" s="198"/>
      <c r="F497" s="198"/>
      <c r="G497" s="198"/>
      <c r="H497" s="198"/>
      <c r="I497" s="198"/>
      <c r="J497" s="1">
        <v>14</v>
      </c>
    </row>
    <row r="498" spans="1:10" x14ac:dyDescent="0.35">
      <c r="A498" s="1" t="str">
        <f t="shared" si="7"/>
        <v>18</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98" s="198" t="s">
        <v>4093</v>
      </c>
      <c r="D498" s="198"/>
      <c r="E498" s="198"/>
      <c r="F498" s="198"/>
      <c r="G498" s="198"/>
      <c r="H498" s="198"/>
      <c r="I498" s="198"/>
    </row>
    <row r="499" spans="1:10" x14ac:dyDescent="0.35">
      <c r="A499" s="1" t="str">
        <f t="shared" si="7"/>
        <v>18</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99" s="198" t="s">
        <v>4094</v>
      </c>
      <c r="D499" s="198"/>
      <c r="E499" s="198"/>
      <c r="F499" s="198"/>
      <c r="G499" s="198"/>
      <c r="H499" s="198"/>
      <c r="I499" s="198"/>
    </row>
    <row r="500" spans="1:10" x14ac:dyDescent="0.35">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00" s="198" t="s">
        <v>112</v>
      </c>
      <c r="D500" s="198"/>
      <c r="E500" s="198"/>
      <c r="F500" s="198"/>
      <c r="G500" s="198"/>
      <c r="H500" s="198"/>
      <c r="I500" s="198"/>
    </row>
    <row r="501" spans="1:10" x14ac:dyDescent="0.35">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01" s="198" t="s">
        <v>195</v>
      </c>
      <c r="D501" s="198" t="s">
        <v>112</v>
      </c>
      <c r="E501" s="198" t="s">
        <v>196</v>
      </c>
      <c r="F501" s="198" t="s">
        <v>197</v>
      </c>
      <c r="G501" s="198" t="s">
        <v>198</v>
      </c>
      <c r="H501" s="198" t="s">
        <v>199</v>
      </c>
      <c r="I501" s="198" t="s">
        <v>200</v>
      </c>
    </row>
    <row r="502" spans="1:10" x14ac:dyDescent="0.35">
      <c r="A502" s="1" t="str">
        <f t="shared" si="7"/>
        <v>18</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02" s="198" t="s">
        <v>4095</v>
      </c>
      <c r="D502" s="198" t="s">
        <v>112</v>
      </c>
      <c r="E502" s="198" t="s">
        <v>917</v>
      </c>
      <c r="F502" s="198" t="s">
        <v>918</v>
      </c>
      <c r="G502" s="198" t="s">
        <v>919</v>
      </c>
      <c r="H502" s="198" t="s">
        <v>920</v>
      </c>
      <c r="I502" s="198">
        <v>13</v>
      </c>
    </row>
    <row r="503" spans="1:10" x14ac:dyDescent="0.35">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03" s="198" t="s">
        <v>112</v>
      </c>
      <c r="D503" s="198"/>
      <c r="E503" s="198"/>
      <c r="F503" s="198"/>
      <c r="G503" s="198"/>
      <c r="H503" s="198"/>
      <c r="I503" s="198"/>
    </row>
    <row r="504" spans="1:10" x14ac:dyDescent="0.35">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04" s="198" t="s">
        <v>112</v>
      </c>
      <c r="D504" s="198"/>
      <c r="E504" s="198"/>
      <c r="F504" s="198"/>
      <c r="G504" s="198"/>
      <c r="H504" s="198"/>
      <c r="I504" s="198"/>
    </row>
    <row r="505" spans="1:10" x14ac:dyDescent="0.35">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05" s="198" t="s">
        <v>112</v>
      </c>
      <c r="D505" s="198"/>
      <c r="E505" s="198"/>
      <c r="F505" s="198"/>
      <c r="G505" s="198"/>
      <c r="H505" s="198"/>
      <c r="I505" s="198"/>
    </row>
    <row r="506" spans="1:10" x14ac:dyDescent="0.35">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06" s="198" t="s">
        <v>112</v>
      </c>
      <c r="D506" s="198"/>
      <c r="E506" s="198"/>
      <c r="F506" s="198"/>
      <c r="G506" s="198"/>
      <c r="H506" s="198"/>
      <c r="I506" s="198"/>
    </row>
    <row r="507" spans="1:10" x14ac:dyDescent="0.35">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07" s="198" t="s">
        <v>112</v>
      </c>
      <c r="D507" s="198"/>
      <c r="E507" s="198"/>
      <c r="F507" s="198"/>
      <c r="G507" s="198"/>
      <c r="H507" s="198"/>
      <c r="I507" s="198"/>
    </row>
    <row r="508" spans="1:10" x14ac:dyDescent="0.35">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08" s="198" t="s">
        <v>206</v>
      </c>
      <c r="D508" s="198" t="s">
        <v>110</v>
      </c>
      <c r="E508" s="198" t="s">
        <v>111</v>
      </c>
      <c r="F508" s="198" t="s">
        <v>112</v>
      </c>
      <c r="G508" s="198" t="s">
        <v>113</v>
      </c>
      <c r="H508" s="198"/>
      <c r="I508" s="198"/>
    </row>
    <row r="509" spans="1:10" x14ac:dyDescent="0.35">
      <c r="A509" s="1" t="str">
        <f t="shared" si="7"/>
        <v>19</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09" s="198" t="s">
        <v>4096</v>
      </c>
      <c r="D509" s="198" t="s">
        <v>921</v>
      </c>
      <c r="E509" s="198" t="s">
        <v>922</v>
      </c>
      <c r="F509" s="198" t="s">
        <v>112</v>
      </c>
      <c r="G509" s="198">
        <v>4919590</v>
      </c>
      <c r="H509" s="198"/>
      <c r="I509" s="198"/>
    </row>
    <row r="510" spans="1:10" x14ac:dyDescent="0.35">
      <c r="A510" s="1" t="str">
        <f t="shared" si="7"/>
        <v>19</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10" s="198" t="s">
        <v>4097</v>
      </c>
      <c r="D510" s="198" t="s">
        <v>923</v>
      </c>
      <c r="E510" s="198" t="s">
        <v>924</v>
      </c>
      <c r="F510" s="198" t="s">
        <v>112</v>
      </c>
      <c r="G510" s="198">
        <v>4527591</v>
      </c>
      <c r="H510" s="198"/>
      <c r="I510" s="198"/>
    </row>
    <row r="511" spans="1:10" x14ac:dyDescent="0.35">
      <c r="A511" s="1" t="str">
        <f t="shared" si="7"/>
        <v>19</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11" s="198" t="s">
        <v>4098</v>
      </c>
      <c r="D511" s="198" t="s">
        <v>925</v>
      </c>
      <c r="E511" s="198" t="s">
        <v>926</v>
      </c>
      <c r="F511" s="198" t="s">
        <v>112</v>
      </c>
      <c r="G511" s="198">
        <v>4731864</v>
      </c>
      <c r="H511" s="198"/>
      <c r="I511" s="198"/>
    </row>
    <row r="512" spans="1:10" x14ac:dyDescent="0.35">
      <c r="A512" s="1" t="str">
        <f t="shared" si="7"/>
        <v>19</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12" s="198" t="s">
        <v>4099</v>
      </c>
      <c r="D512" s="198" t="s">
        <v>927</v>
      </c>
      <c r="E512" s="198" t="s">
        <v>928</v>
      </c>
      <c r="F512" s="198" t="s">
        <v>112</v>
      </c>
      <c r="G512" s="198">
        <v>3464633</v>
      </c>
      <c r="H512" s="198"/>
      <c r="I512" s="198"/>
    </row>
    <row r="513" spans="1:9" x14ac:dyDescent="0.35">
      <c r="A513" s="1" t="str">
        <f t="shared" si="7"/>
        <v>19</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13" s="198" t="s">
        <v>4100</v>
      </c>
      <c r="D513" s="198" t="s">
        <v>929</v>
      </c>
      <c r="E513" s="198" t="s">
        <v>930</v>
      </c>
      <c r="F513" s="198" t="s">
        <v>112</v>
      </c>
      <c r="G513" s="198">
        <v>3386939</v>
      </c>
      <c r="H513" s="198"/>
      <c r="I513" s="198"/>
    </row>
    <row r="514" spans="1:9" x14ac:dyDescent="0.35">
      <c r="A514" s="1" t="str">
        <f t="shared" ref="A514:A577" si="8">IFERROR(LEFT(RIGHT(C514,LEN(C514)-SEARCH("@",C514)),SEARCH("/",RIGHT(C514,LEN(C514)-SEARCH("@",C514)-1))),"")</f>
        <v>19</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14" s="198" t="s">
        <v>4101</v>
      </c>
      <c r="D514" s="198" t="s">
        <v>931</v>
      </c>
      <c r="E514" s="198" t="s">
        <v>932</v>
      </c>
      <c r="F514" s="198" t="s">
        <v>112</v>
      </c>
      <c r="G514" s="198">
        <v>3749845</v>
      </c>
      <c r="H514" s="198"/>
      <c r="I514" s="198"/>
    </row>
    <row r="515" spans="1:9" x14ac:dyDescent="0.35">
      <c r="A515" s="1" t="str">
        <f t="shared" si="8"/>
        <v>19</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15" s="198" t="s">
        <v>4102</v>
      </c>
      <c r="D515" s="198" t="s">
        <v>933</v>
      </c>
      <c r="E515" s="198" t="s">
        <v>934</v>
      </c>
      <c r="F515" s="198" t="s">
        <v>112</v>
      </c>
      <c r="G515" s="198">
        <v>2761770</v>
      </c>
      <c r="H515" s="198"/>
      <c r="I515" s="198"/>
    </row>
    <row r="516" spans="1:9" x14ac:dyDescent="0.35">
      <c r="A516" s="1" t="str">
        <f t="shared" si="8"/>
        <v>19</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16" s="198" t="s">
        <v>4103</v>
      </c>
      <c r="D516" s="198" t="s">
        <v>935</v>
      </c>
      <c r="E516" s="198" t="s">
        <v>936</v>
      </c>
      <c r="F516" s="198" t="s">
        <v>112</v>
      </c>
      <c r="G516" s="198">
        <v>2576640</v>
      </c>
      <c r="H516" s="198"/>
      <c r="I516" s="198"/>
    </row>
    <row r="517" spans="1:9" x14ac:dyDescent="0.35">
      <c r="A517" s="1" t="str">
        <f t="shared" si="8"/>
        <v>19</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17" s="198" t="s">
        <v>4104</v>
      </c>
      <c r="D517" s="198" t="s">
        <v>937</v>
      </c>
      <c r="E517" s="198" t="s">
        <v>938</v>
      </c>
      <c r="F517" s="198" t="s">
        <v>112</v>
      </c>
      <c r="G517" s="198">
        <v>2780912</v>
      </c>
      <c r="H517" s="198"/>
      <c r="I517" s="198"/>
    </row>
    <row r="518" spans="1:9" x14ac:dyDescent="0.35">
      <c r="A518" s="1" t="str">
        <f t="shared" si="8"/>
        <v>19</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18" s="198" t="s">
        <v>4105</v>
      </c>
      <c r="D518" s="198" t="s">
        <v>939</v>
      </c>
      <c r="E518" s="198" t="s">
        <v>940</v>
      </c>
      <c r="F518" s="198" t="s">
        <v>112</v>
      </c>
      <c r="G518" s="198">
        <v>4485824</v>
      </c>
      <c r="H518" s="198"/>
      <c r="I518" s="198"/>
    </row>
    <row r="519" spans="1:9" x14ac:dyDescent="0.35">
      <c r="A519" s="1" t="str">
        <f t="shared" si="8"/>
        <v>19</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19" s="198" t="s">
        <v>4106</v>
      </c>
      <c r="D519" s="198" t="s">
        <v>941</v>
      </c>
      <c r="E519" s="198" t="s">
        <v>942</v>
      </c>
      <c r="F519" s="198" t="s">
        <v>112</v>
      </c>
      <c r="G519" s="198">
        <v>4322907</v>
      </c>
      <c r="H519" s="198"/>
      <c r="I519" s="198"/>
    </row>
    <row r="520" spans="1:9" x14ac:dyDescent="0.35">
      <c r="A520" s="1" t="str">
        <f t="shared" si="8"/>
        <v>19</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20" s="198" t="s">
        <v>4107</v>
      </c>
      <c r="D520" s="198" t="s">
        <v>943</v>
      </c>
      <c r="E520" s="198" t="s">
        <v>944</v>
      </c>
      <c r="F520" s="198" t="s">
        <v>112</v>
      </c>
      <c r="G520" s="198">
        <v>4323859</v>
      </c>
      <c r="H520" s="198"/>
      <c r="I520" s="198"/>
    </row>
    <row r="521" spans="1:9" x14ac:dyDescent="0.35">
      <c r="A521" s="1" t="str">
        <f t="shared" si="8"/>
        <v>19</v>
      </c>
      <c r="B5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21" s="198" t="s">
        <v>4108</v>
      </c>
      <c r="D521" s="198" t="s">
        <v>945</v>
      </c>
      <c r="E521" s="198" t="s">
        <v>946</v>
      </c>
      <c r="F521" s="198" t="s">
        <v>112</v>
      </c>
      <c r="G521" s="198">
        <v>4017364</v>
      </c>
      <c r="H521" s="198"/>
      <c r="I521" s="198"/>
    </row>
    <row r="522" spans="1:9" x14ac:dyDescent="0.35">
      <c r="A522" s="1" t="str">
        <f t="shared" si="8"/>
        <v>19</v>
      </c>
      <c r="B5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22" s="198" t="s">
        <v>4109</v>
      </c>
      <c r="D522" s="198" t="s">
        <v>947</v>
      </c>
      <c r="E522" s="198" t="s">
        <v>948</v>
      </c>
      <c r="F522" s="198" t="s">
        <v>112</v>
      </c>
      <c r="G522" s="198">
        <v>3602956</v>
      </c>
      <c r="H522" s="198"/>
      <c r="I522" s="198"/>
    </row>
    <row r="523" spans="1:9" x14ac:dyDescent="0.35">
      <c r="A523" s="1" t="str">
        <f t="shared" si="8"/>
        <v>19</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23" s="198" t="s">
        <v>4110</v>
      </c>
      <c r="D523" s="198" t="s">
        <v>949</v>
      </c>
      <c r="E523" s="198" t="s">
        <v>950</v>
      </c>
      <c r="F523" s="198" t="s">
        <v>112</v>
      </c>
      <c r="G523" s="198">
        <v>3550569</v>
      </c>
      <c r="H523" s="198"/>
      <c r="I523" s="198"/>
    </row>
    <row r="524" spans="1:9" x14ac:dyDescent="0.35">
      <c r="A524" s="1" t="str">
        <f t="shared" si="8"/>
        <v>19</v>
      </c>
      <c r="B5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4" s="198" t="s">
        <v>4111</v>
      </c>
      <c r="D524" s="198" t="s">
        <v>951</v>
      </c>
      <c r="E524" s="198" t="s">
        <v>952</v>
      </c>
      <c r="F524" s="198" t="s">
        <v>112</v>
      </c>
      <c r="G524" s="198">
        <v>2027089</v>
      </c>
      <c r="H524" s="198"/>
      <c r="I524" s="198"/>
    </row>
    <row r="525" spans="1:9" x14ac:dyDescent="0.35">
      <c r="A525" s="1" t="str">
        <f t="shared" si="8"/>
        <v>19</v>
      </c>
      <c r="B5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5" s="198" t="s">
        <v>4112</v>
      </c>
      <c r="D525" s="198" t="s">
        <v>953</v>
      </c>
      <c r="E525" s="198" t="s">
        <v>954</v>
      </c>
      <c r="F525" s="198" t="s">
        <v>112</v>
      </c>
      <c r="G525" s="198">
        <v>2168570</v>
      </c>
      <c r="H525" s="198"/>
      <c r="I525" s="198"/>
    </row>
    <row r="526" spans="1:9" x14ac:dyDescent="0.35">
      <c r="A526" s="1" t="str">
        <f t="shared" si="8"/>
        <v>19</v>
      </c>
      <c r="B5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6" s="198" t="s">
        <v>4113</v>
      </c>
      <c r="D526" s="198" t="s">
        <v>955</v>
      </c>
      <c r="E526" s="198" t="s">
        <v>956</v>
      </c>
      <c r="F526" s="198" t="s">
        <v>112</v>
      </c>
      <c r="G526" s="198">
        <v>2130783</v>
      </c>
      <c r="H526" s="198"/>
      <c r="I526" s="198"/>
    </row>
    <row r="527" spans="1:9" x14ac:dyDescent="0.35">
      <c r="A527" s="1" t="str">
        <f t="shared" si="8"/>
        <v>19</v>
      </c>
      <c r="B5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7" s="198" t="s">
        <v>4114</v>
      </c>
      <c r="D527" s="198" t="s">
        <v>957</v>
      </c>
      <c r="E527" s="198" t="s">
        <v>958</v>
      </c>
      <c r="F527" s="198" t="s">
        <v>112</v>
      </c>
      <c r="G527" s="198">
        <v>5082917</v>
      </c>
      <c r="H527" s="198"/>
      <c r="I527" s="198"/>
    </row>
    <row r="528" spans="1:9" x14ac:dyDescent="0.35">
      <c r="A528" s="1" t="str">
        <f t="shared" si="8"/>
        <v>19</v>
      </c>
      <c r="B5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8" s="198" t="s">
        <v>4115</v>
      </c>
      <c r="D528" s="198" t="s">
        <v>959</v>
      </c>
      <c r="E528" s="198" t="s">
        <v>960</v>
      </c>
      <c r="F528" s="198" t="s">
        <v>112</v>
      </c>
      <c r="G528" s="198">
        <v>5091223</v>
      </c>
      <c r="H528" s="198"/>
      <c r="I528" s="198"/>
    </row>
    <row r="529" spans="1:10" x14ac:dyDescent="0.35">
      <c r="A529" s="1" t="str">
        <f t="shared" si="8"/>
        <v>19</v>
      </c>
      <c r="B5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9" s="198" t="s">
        <v>4116</v>
      </c>
      <c r="D529" s="198"/>
      <c r="E529" s="198"/>
      <c r="F529" s="198"/>
      <c r="G529" s="198"/>
      <c r="H529" s="198"/>
      <c r="I529" s="198"/>
      <c r="J529" s="1" t="s">
        <v>201</v>
      </c>
    </row>
    <row r="530" spans="1:10" x14ac:dyDescent="0.35">
      <c r="A530" s="1" t="str">
        <f t="shared" si="8"/>
        <v>19</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30" s="198" t="s">
        <v>4117</v>
      </c>
      <c r="D530" s="198" t="s">
        <v>961</v>
      </c>
      <c r="E530" s="198" t="s">
        <v>962</v>
      </c>
      <c r="F530" s="198" t="s">
        <v>112</v>
      </c>
      <c r="G530" s="198">
        <v>3190172</v>
      </c>
      <c r="H530" s="198"/>
      <c r="I530" s="198"/>
      <c r="J530" s="1">
        <v>24</v>
      </c>
    </row>
    <row r="531" spans="1:10" x14ac:dyDescent="0.35">
      <c r="A531" s="1" t="str">
        <f t="shared" si="8"/>
        <v>19</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31" s="198" t="s">
        <v>4118</v>
      </c>
      <c r="D531" s="198"/>
      <c r="E531" s="198"/>
      <c r="F531" s="198"/>
      <c r="G531" s="198"/>
      <c r="H531" s="198"/>
      <c r="I531" s="198"/>
    </row>
    <row r="532" spans="1:10" x14ac:dyDescent="0.35">
      <c r="A532" s="1" t="str">
        <f t="shared" si="8"/>
        <v>19</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32" s="198" t="s">
        <v>4119</v>
      </c>
      <c r="D532" s="198" t="s">
        <v>963</v>
      </c>
      <c r="E532" s="198" t="s">
        <v>964</v>
      </c>
      <c r="F532" s="198" t="s">
        <v>112</v>
      </c>
      <c r="G532" s="198">
        <v>3563049</v>
      </c>
      <c r="H532" s="198"/>
      <c r="I532" s="198"/>
    </row>
    <row r="533" spans="1:10" x14ac:dyDescent="0.3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3" s="198" t="s">
        <v>112</v>
      </c>
      <c r="D533" s="198"/>
      <c r="E533" s="198"/>
      <c r="F533" s="198"/>
      <c r="G533" s="198"/>
      <c r="H533" s="198"/>
      <c r="I533" s="198"/>
    </row>
    <row r="534" spans="1:10" x14ac:dyDescent="0.3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4" s="198" t="s">
        <v>195</v>
      </c>
      <c r="D534" s="198" t="s">
        <v>112</v>
      </c>
      <c r="E534" s="198" t="s">
        <v>196</v>
      </c>
      <c r="F534" s="198" t="s">
        <v>197</v>
      </c>
      <c r="G534" s="198" t="s">
        <v>198</v>
      </c>
      <c r="H534" s="198" t="s">
        <v>199</v>
      </c>
      <c r="I534" s="198" t="s">
        <v>200</v>
      </c>
    </row>
    <row r="535" spans="1:10" x14ac:dyDescent="0.35">
      <c r="A535" s="1" t="str">
        <f t="shared" si="8"/>
        <v>19</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35" s="198" t="s">
        <v>4120</v>
      </c>
      <c r="D535" s="198" t="s">
        <v>112</v>
      </c>
      <c r="E535" s="198" t="s">
        <v>965</v>
      </c>
      <c r="F535" s="198" t="s">
        <v>966</v>
      </c>
      <c r="G535" s="198" t="s">
        <v>967</v>
      </c>
      <c r="H535" s="198" t="s">
        <v>968</v>
      </c>
      <c r="I535" s="198">
        <v>24</v>
      </c>
    </row>
    <row r="536" spans="1:10" x14ac:dyDescent="0.35">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6" s="198" t="s">
        <v>112</v>
      </c>
      <c r="D536" s="198"/>
      <c r="E536" s="198"/>
      <c r="F536" s="198"/>
      <c r="G536" s="198"/>
      <c r="H536" s="198"/>
      <c r="I536" s="198"/>
    </row>
    <row r="537" spans="1:10" x14ac:dyDescent="0.35">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7" s="198" t="s">
        <v>112</v>
      </c>
      <c r="D537" s="198"/>
      <c r="E537" s="198"/>
      <c r="F537" s="198"/>
      <c r="G537" s="198"/>
      <c r="H537" s="198"/>
      <c r="I537" s="198"/>
    </row>
    <row r="538" spans="1:10" x14ac:dyDescent="0.35">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8" s="198" t="s">
        <v>112</v>
      </c>
      <c r="D538" s="198"/>
      <c r="E538" s="198"/>
      <c r="F538" s="198"/>
      <c r="G538" s="198"/>
      <c r="H538" s="198"/>
      <c r="I538" s="198"/>
    </row>
    <row r="539" spans="1:10" x14ac:dyDescent="0.35">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9" s="198" t="s">
        <v>112</v>
      </c>
      <c r="D539" s="198"/>
      <c r="E539" s="198"/>
      <c r="F539" s="198"/>
      <c r="G539" s="198"/>
      <c r="H539" s="198"/>
      <c r="I539" s="198"/>
    </row>
    <row r="540" spans="1:10" x14ac:dyDescent="0.35">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40" s="198" t="s">
        <v>112</v>
      </c>
      <c r="D540" s="198"/>
      <c r="E540" s="198"/>
      <c r="F540" s="198"/>
      <c r="G540" s="198"/>
      <c r="H540" s="198"/>
      <c r="I540" s="198"/>
    </row>
    <row r="541" spans="1:10" x14ac:dyDescent="0.35">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41" s="198" t="s">
        <v>206</v>
      </c>
      <c r="D541" s="198" t="s">
        <v>110</v>
      </c>
      <c r="E541" s="198" t="s">
        <v>111</v>
      </c>
      <c r="F541" s="198" t="s">
        <v>112</v>
      </c>
      <c r="G541" s="198" t="s">
        <v>113</v>
      </c>
      <c r="H541" s="198"/>
      <c r="I541" s="198"/>
    </row>
    <row r="542" spans="1:10" x14ac:dyDescent="0.35">
      <c r="A542" s="1" t="str">
        <f t="shared" si="8"/>
        <v>20</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42" s="198" t="s">
        <v>4121</v>
      </c>
      <c r="D542" s="198" t="s">
        <v>969</v>
      </c>
      <c r="E542" s="198" t="s">
        <v>970</v>
      </c>
      <c r="F542" s="198" t="s">
        <v>112</v>
      </c>
      <c r="G542" s="198">
        <v>4945957</v>
      </c>
      <c r="H542" s="198"/>
      <c r="I542" s="198"/>
    </row>
    <row r="543" spans="1:10" x14ac:dyDescent="0.35">
      <c r="A543" s="1" t="str">
        <f t="shared" si="8"/>
        <v>20</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43" s="198" t="s">
        <v>4122</v>
      </c>
      <c r="D543" s="198" t="s">
        <v>971</v>
      </c>
      <c r="E543" s="198" t="s">
        <v>972</v>
      </c>
      <c r="F543" s="198" t="s">
        <v>112</v>
      </c>
      <c r="G543" s="198">
        <v>4902654</v>
      </c>
      <c r="H543" s="198"/>
      <c r="I543" s="198"/>
    </row>
    <row r="544" spans="1:10" x14ac:dyDescent="0.35">
      <c r="A544" s="1" t="str">
        <f t="shared" si="8"/>
        <v>20</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44" s="198" t="s">
        <v>4123</v>
      </c>
      <c r="D544" s="198" t="s">
        <v>973</v>
      </c>
      <c r="E544" s="198" t="s">
        <v>974</v>
      </c>
      <c r="F544" s="198" t="s">
        <v>112</v>
      </c>
      <c r="G544" s="198">
        <v>4068021</v>
      </c>
      <c r="H544" s="198"/>
      <c r="I544" s="198"/>
    </row>
    <row r="545" spans="1:10" x14ac:dyDescent="0.35">
      <c r="A545" s="1" t="str">
        <f t="shared" si="8"/>
        <v>20</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5" s="198" t="s">
        <v>4124</v>
      </c>
      <c r="D545" s="198" t="s">
        <v>975</v>
      </c>
      <c r="E545" s="198" t="s">
        <v>976</v>
      </c>
      <c r="F545" s="198" t="s">
        <v>112</v>
      </c>
      <c r="G545" s="198">
        <v>4706427</v>
      </c>
      <c r="H545" s="198"/>
      <c r="I545" s="198"/>
    </row>
    <row r="546" spans="1:10" x14ac:dyDescent="0.35">
      <c r="A546" s="1" t="str">
        <f t="shared" si="8"/>
        <v>20</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6" s="198" t="s">
        <v>4125</v>
      </c>
      <c r="D546" s="198" t="s">
        <v>977</v>
      </c>
      <c r="E546" s="198" t="s">
        <v>978</v>
      </c>
      <c r="F546" s="198" t="s">
        <v>112</v>
      </c>
      <c r="G546" s="198">
        <v>4059434</v>
      </c>
      <c r="H546" s="198"/>
      <c r="I546" s="198"/>
    </row>
    <row r="547" spans="1:10" x14ac:dyDescent="0.35">
      <c r="A547" s="1" t="str">
        <f t="shared" si="8"/>
        <v>20</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7" s="198" t="s">
        <v>4126</v>
      </c>
      <c r="D547" s="198" t="s">
        <v>979</v>
      </c>
      <c r="E547" s="198" t="s">
        <v>980</v>
      </c>
      <c r="F547" s="198" t="s">
        <v>112</v>
      </c>
      <c r="G547" s="198">
        <v>3955891</v>
      </c>
      <c r="H547" s="198"/>
      <c r="I547" s="198"/>
    </row>
    <row r="548" spans="1:10" x14ac:dyDescent="0.35">
      <c r="A548" s="1" t="str">
        <f t="shared" si="8"/>
        <v>20</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8" s="198" t="s">
        <v>4127</v>
      </c>
      <c r="D548" s="198" t="s">
        <v>981</v>
      </c>
      <c r="E548" s="198" t="s">
        <v>982</v>
      </c>
      <c r="F548" s="198" t="s">
        <v>112</v>
      </c>
      <c r="G548" s="198">
        <v>5274212</v>
      </c>
      <c r="H548" s="198"/>
      <c r="I548" s="198"/>
    </row>
    <row r="549" spans="1:10" x14ac:dyDescent="0.35">
      <c r="A549" s="1" t="str">
        <f t="shared" si="8"/>
        <v>20</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9" s="198" t="s">
        <v>4128</v>
      </c>
      <c r="D549" s="198" t="s">
        <v>983</v>
      </c>
      <c r="E549" s="198" t="s">
        <v>984</v>
      </c>
      <c r="F549" s="198" t="s">
        <v>112</v>
      </c>
      <c r="G549" s="198">
        <v>4774713</v>
      </c>
      <c r="H549" s="198"/>
      <c r="I549" s="198"/>
    </row>
    <row r="550" spans="1:10" x14ac:dyDescent="0.35">
      <c r="A550" s="1" t="str">
        <f t="shared" si="8"/>
        <v>20</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50" s="198" t="s">
        <v>4129</v>
      </c>
      <c r="D550" s="198" t="s">
        <v>985</v>
      </c>
      <c r="E550" s="198" t="s">
        <v>986</v>
      </c>
      <c r="F550" s="198" t="s">
        <v>112</v>
      </c>
      <c r="G550" s="198">
        <v>5036434</v>
      </c>
      <c r="H550" s="198"/>
      <c r="I550" s="198"/>
    </row>
    <row r="551" spans="1:10" x14ac:dyDescent="0.35">
      <c r="A551" s="1" t="str">
        <f t="shared" si="8"/>
        <v>20</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51" s="198" t="s">
        <v>4130</v>
      </c>
      <c r="D551" s="198" t="s">
        <v>987</v>
      </c>
      <c r="E551" s="198" t="s">
        <v>988</v>
      </c>
      <c r="F551" s="198" t="s">
        <v>112</v>
      </c>
      <c r="G551" s="198">
        <v>3100559</v>
      </c>
      <c r="H551" s="198"/>
      <c r="I551" s="198"/>
      <c r="J551" s="1" t="s">
        <v>201</v>
      </c>
    </row>
    <row r="552" spans="1:10" x14ac:dyDescent="0.35">
      <c r="A552" s="1" t="str">
        <f t="shared" si="8"/>
        <v>20</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52" s="198" t="s">
        <v>4131</v>
      </c>
      <c r="D552" s="198"/>
      <c r="E552" s="198"/>
      <c r="F552" s="198"/>
      <c r="G552" s="198"/>
      <c r="H552" s="198"/>
      <c r="I552" s="198"/>
      <c r="J552" s="1">
        <v>13</v>
      </c>
    </row>
    <row r="553" spans="1:10" x14ac:dyDescent="0.35">
      <c r="A553" s="1" t="str">
        <f t="shared" si="8"/>
        <v>20</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53" s="198" t="s">
        <v>4132</v>
      </c>
      <c r="D553" s="198" t="s">
        <v>989</v>
      </c>
      <c r="E553" s="198" t="s">
        <v>990</v>
      </c>
      <c r="F553" s="198" t="s">
        <v>112</v>
      </c>
      <c r="G553" s="198">
        <v>4002288</v>
      </c>
      <c r="H553" s="198"/>
      <c r="I553" s="198"/>
    </row>
    <row r="554" spans="1:10" x14ac:dyDescent="0.35">
      <c r="A554" s="1" t="str">
        <f t="shared" si="8"/>
        <v>20</v>
      </c>
      <c r="B5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4" s="198" t="s">
        <v>4133</v>
      </c>
      <c r="D554" s="198" t="s">
        <v>461</v>
      </c>
      <c r="E554" s="198">
        <v>31</v>
      </c>
      <c r="F554" s="198" t="s">
        <v>112</v>
      </c>
      <c r="G554" s="198">
        <v>671</v>
      </c>
      <c r="H554" s="198"/>
      <c r="I554" s="198"/>
    </row>
    <row r="555" spans="1:10" x14ac:dyDescent="0.35">
      <c r="A555" s="1" t="str">
        <f t="shared" si="8"/>
        <v>20</v>
      </c>
      <c r="B5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5" s="198" t="s">
        <v>4134</v>
      </c>
      <c r="D555" s="198"/>
      <c r="E555" s="198"/>
      <c r="F555" s="198"/>
      <c r="G555" s="198"/>
      <c r="H555" s="198"/>
      <c r="I555" s="198"/>
    </row>
    <row r="556" spans="1:10" x14ac:dyDescent="0.35">
      <c r="A556" s="1" t="str">
        <f t="shared" si="8"/>
        <v>20</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6" s="198" t="s">
        <v>4135</v>
      </c>
      <c r="D556" s="198"/>
      <c r="E556" s="198"/>
      <c r="F556" s="198"/>
      <c r="G556" s="198"/>
      <c r="H556" s="198"/>
      <c r="I556" s="198"/>
    </row>
    <row r="557" spans="1:10" x14ac:dyDescent="0.35">
      <c r="A557" s="1" t="str">
        <f t="shared" si="8"/>
        <v>20</v>
      </c>
      <c r="B5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7" s="198" t="s">
        <v>4136</v>
      </c>
      <c r="D557" s="198" t="s">
        <v>991</v>
      </c>
      <c r="E557" s="198" t="s">
        <v>992</v>
      </c>
      <c r="F557" s="198" t="s">
        <v>112</v>
      </c>
      <c r="G557" s="198">
        <v>3860698</v>
      </c>
      <c r="H557" s="198"/>
      <c r="I557" s="198"/>
    </row>
    <row r="558" spans="1:10" x14ac:dyDescent="0.35">
      <c r="A558" s="1" t="str">
        <f t="shared" si="8"/>
        <v>20</v>
      </c>
      <c r="B5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8" s="198" t="s">
        <v>4137</v>
      </c>
      <c r="D558" s="198" t="s">
        <v>993</v>
      </c>
      <c r="E558" s="198" t="s">
        <v>994</v>
      </c>
      <c r="F558" s="198" t="s">
        <v>112</v>
      </c>
      <c r="G558" s="198">
        <v>2843423</v>
      </c>
      <c r="H558" s="198"/>
      <c r="I558" s="198"/>
    </row>
    <row r="559" spans="1:10" x14ac:dyDescent="0.35">
      <c r="A559" s="1" t="str">
        <f t="shared" si="8"/>
        <v>20</v>
      </c>
      <c r="B5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9" s="198" t="s">
        <v>4138</v>
      </c>
      <c r="D559" s="198" t="s">
        <v>995</v>
      </c>
      <c r="E559" s="198" t="s">
        <v>996</v>
      </c>
      <c r="F559" s="198" t="s">
        <v>112</v>
      </c>
      <c r="G559" s="198">
        <v>3551499</v>
      </c>
      <c r="H559" s="198"/>
      <c r="I559" s="198"/>
    </row>
    <row r="560" spans="1:10" x14ac:dyDescent="0.35">
      <c r="A560" s="1" t="str">
        <f t="shared" si="8"/>
        <v>20</v>
      </c>
      <c r="B5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0" s="198" t="s">
        <v>4139</v>
      </c>
      <c r="D560" s="198" t="s">
        <v>997</v>
      </c>
      <c r="E560" s="198" t="s">
        <v>998</v>
      </c>
      <c r="F560" s="198" t="s">
        <v>112</v>
      </c>
      <c r="G560" s="198">
        <v>3735310</v>
      </c>
      <c r="H560" s="198"/>
      <c r="I560" s="198"/>
    </row>
    <row r="561" spans="1:9" x14ac:dyDescent="0.35">
      <c r="A561" s="1" t="str">
        <f t="shared" si="8"/>
        <v>20</v>
      </c>
      <c r="B5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1" s="198" t="s">
        <v>4140</v>
      </c>
      <c r="D561" s="198" t="s">
        <v>999</v>
      </c>
      <c r="E561" s="198" t="s">
        <v>1000</v>
      </c>
      <c r="F561" s="198" t="s">
        <v>112</v>
      </c>
      <c r="G561" s="198">
        <v>3498030</v>
      </c>
      <c r="H561" s="198"/>
      <c r="I561" s="198"/>
    </row>
    <row r="562" spans="1:9" x14ac:dyDescent="0.35">
      <c r="A562" s="1" t="str">
        <f t="shared" si="8"/>
        <v>20</v>
      </c>
      <c r="B5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2" s="198" t="s">
        <v>4141</v>
      </c>
      <c r="D562" s="198" t="s">
        <v>1001</v>
      </c>
      <c r="E562" s="198" t="s">
        <v>1002</v>
      </c>
      <c r="F562" s="198" t="s">
        <v>112</v>
      </c>
      <c r="G562" s="198">
        <v>3513906</v>
      </c>
      <c r="H562" s="198"/>
      <c r="I562" s="198"/>
    </row>
    <row r="563" spans="1:9" x14ac:dyDescent="0.35">
      <c r="A563" s="1" t="str">
        <f t="shared" si="8"/>
        <v>20</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3" s="198" t="s">
        <v>4142</v>
      </c>
      <c r="D563" s="198" t="s">
        <v>1003</v>
      </c>
      <c r="E563" s="198" t="s">
        <v>1004</v>
      </c>
      <c r="F563" s="198" t="s">
        <v>112</v>
      </c>
      <c r="G563" s="198">
        <v>2329626</v>
      </c>
      <c r="H563" s="198"/>
      <c r="I563" s="198"/>
    </row>
    <row r="564" spans="1:9" x14ac:dyDescent="0.35">
      <c r="A564" s="1" t="str">
        <f t="shared" si="8"/>
        <v>20</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4" s="198" t="s">
        <v>4143</v>
      </c>
      <c r="D564" s="198" t="s">
        <v>1005</v>
      </c>
      <c r="E564" s="198" t="s">
        <v>1006</v>
      </c>
      <c r="F564" s="198" t="s">
        <v>112</v>
      </c>
      <c r="G564" s="198">
        <v>2910151</v>
      </c>
      <c r="H564" s="198"/>
      <c r="I564" s="198"/>
    </row>
    <row r="565" spans="1:9" x14ac:dyDescent="0.35">
      <c r="A565" s="1" t="str">
        <f t="shared" si="8"/>
        <v>20</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5" s="198" t="s">
        <v>4144</v>
      </c>
      <c r="D565" s="198" t="s">
        <v>1007</v>
      </c>
      <c r="E565" s="198" t="s">
        <v>1008</v>
      </c>
      <c r="F565" s="198" t="s">
        <v>112</v>
      </c>
      <c r="G565" s="198">
        <v>2459579</v>
      </c>
      <c r="H565" s="198"/>
      <c r="I565" s="198"/>
    </row>
    <row r="566" spans="1:9" x14ac:dyDescent="0.35">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6" s="198" t="s">
        <v>112</v>
      </c>
      <c r="D566" s="198"/>
      <c r="E566" s="198"/>
      <c r="F566" s="198"/>
      <c r="G566" s="198"/>
      <c r="H566" s="198"/>
      <c r="I566" s="198"/>
    </row>
    <row r="567" spans="1:9" x14ac:dyDescent="0.35">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7" s="198" t="s">
        <v>195</v>
      </c>
      <c r="D567" s="198" t="s">
        <v>112</v>
      </c>
      <c r="E567" s="198" t="s">
        <v>196</v>
      </c>
      <c r="F567" s="198" t="s">
        <v>197</v>
      </c>
      <c r="G567" s="198" t="s">
        <v>198</v>
      </c>
      <c r="H567" s="198" t="s">
        <v>199</v>
      </c>
      <c r="I567" s="198" t="s">
        <v>200</v>
      </c>
    </row>
    <row r="568" spans="1:9" x14ac:dyDescent="0.35">
      <c r="A568" s="1" t="str">
        <f t="shared" si="8"/>
        <v>20</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68" s="198" t="s">
        <v>4145</v>
      </c>
      <c r="D568" s="198" t="s">
        <v>112</v>
      </c>
      <c r="E568" s="198" t="s">
        <v>1009</v>
      </c>
      <c r="F568" s="198" t="s">
        <v>1010</v>
      </c>
      <c r="G568" s="198" t="s">
        <v>1011</v>
      </c>
      <c r="H568" s="198" t="s">
        <v>1012</v>
      </c>
      <c r="I568" s="198">
        <v>24</v>
      </c>
    </row>
    <row r="569" spans="1:9" x14ac:dyDescent="0.35">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9" s="198" t="s">
        <v>112</v>
      </c>
      <c r="D569" s="198"/>
      <c r="E569" s="198"/>
      <c r="F569" s="198"/>
      <c r="G569" s="198"/>
      <c r="H569" s="198"/>
      <c r="I569" s="198"/>
    </row>
    <row r="570" spans="1:9" x14ac:dyDescent="0.35">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0" s="198" t="s">
        <v>112</v>
      </c>
      <c r="D570" s="198"/>
      <c r="E570" s="198"/>
      <c r="F570" s="198"/>
      <c r="G570" s="198"/>
      <c r="H570" s="198"/>
      <c r="I570" s="198"/>
    </row>
    <row r="571" spans="1:9" x14ac:dyDescent="0.3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1" s="198" t="s">
        <v>112</v>
      </c>
      <c r="D571" s="198"/>
      <c r="E571" s="198"/>
      <c r="F571" s="198"/>
      <c r="G571" s="198"/>
      <c r="H571" s="198"/>
      <c r="I571" s="198"/>
    </row>
    <row r="572" spans="1:9" x14ac:dyDescent="0.3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2" s="198" t="s">
        <v>112</v>
      </c>
      <c r="D572" s="198"/>
      <c r="E572" s="198"/>
      <c r="F572" s="198"/>
      <c r="G572" s="198"/>
      <c r="H572" s="198"/>
      <c r="I572" s="198"/>
    </row>
    <row r="573" spans="1:9" x14ac:dyDescent="0.3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3" s="198" t="s">
        <v>112</v>
      </c>
      <c r="D573" s="198"/>
      <c r="E573" s="198"/>
      <c r="F573" s="198"/>
      <c r="G573" s="198"/>
      <c r="H573" s="198"/>
      <c r="I573" s="198"/>
    </row>
    <row r="574" spans="1:9" x14ac:dyDescent="0.3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4" s="198" t="s">
        <v>206</v>
      </c>
      <c r="D574" s="198" t="s">
        <v>110</v>
      </c>
      <c r="E574" s="198" t="s">
        <v>111</v>
      </c>
      <c r="F574" s="198" t="s">
        <v>112</v>
      </c>
      <c r="G574" s="198" t="s">
        <v>113</v>
      </c>
      <c r="H574" s="198"/>
      <c r="I574" s="198"/>
    </row>
    <row r="575" spans="1:9" x14ac:dyDescent="0.35">
      <c r="A575" s="1" t="str">
        <f t="shared" si="8"/>
        <v>21</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5" s="198" t="s">
        <v>4146</v>
      </c>
      <c r="D575" s="198" t="s">
        <v>1013</v>
      </c>
      <c r="E575" s="198" t="s">
        <v>1014</v>
      </c>
      <c r="F575" s="198" t="s">
        <v>112</v>
      </c>
      <c r="G575" s="198">
        <v>2159810</v>
      </c>
      <c r="H575" s="198"/>
      <c r="I575" s="198"/>
    </row>
    <row r="576" spans="1:9" x14ac:dyDescent="0.35">
      <c r="A576" s="1" t="str">
        <f t="shared" si="8"/>
        <v>21</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6" s="198" t="s">
        <v>4147</v>
      </c>
      <c r="D576" s="198" t="s">
        <v>402</v>
      </c>
      <c r="E576" s="198" t="s">
        <v>1015</v>
      </c>
      <c r="F576" s="198" t="s">
        <v>112</v>
      </c>
      <c r="G576" s="198">
        <v>2401264</v>
      </c>
      <c r="H576" s="198"/>
      <c r="I576" s="198"/>
    </row>
    <row r="577" spans="1:10" x14ac:dyDescent="0.35">
      <c r="A577" s="1" t="str">
        <f t="shared" si="8"/>
        <v>21</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7" s="198" t="s">
        <v>4148</v>
      </c>
      <c r="D577" s="198" t="s">
        <v>1016</v>
      </c>
      <c r="E577" s="198" t="s">
        <v>1017</v>
      </c>
      <c r="F577" s="198" t="s">
        <v>112</v>
      </c>
      <c r="G577" s="198">
        <v>2385712</v>
      </c>
      <c r="H577" s="198"/>
      <c r="I577" s="198"/>
    </row>
    <row r="578" spans="1:10" x14ac:dyDescent="0.35">
      <c r="A578" s="1" t="str">
        <f t="shared" ref="A578:A641" si="9">IFERROR(LEFT(RIGHT(C578,LEN(C578)-SEARCH("@",C578)),SEARCH("/",RIGHT(C578,LEN(C578)-SEARCH("@",C578)-1))),"")</f>
        <v>21</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78" s="198" t="s">
        <v>4149</v>
      </c>
      <c r="D578" s="198" t="s">
        <v>947</v>
      </c>
      <c r="E578" s="198" t="s">
        <v>1018</v>
      </c>
      <c r="F578" s="198" t="s">
        <v>112</v>
      </c>
      <c r="G578" s="198">
        <v>3936187</v>
      </c>
      <c r="H578" s="198"/>
      <c r="I578" s="198"/>
    </row>
    <row r="579" spans="1:10" x14ac:dyDescent="0.35">
      <c r="A579" s="1" t="str">
        <f t="shared" si="9"/>
        <v>21</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79" s="198" t="s">
        <v>4150</v>
      </c>
      <c r="D579" s="198" t="s">
        <v>1019</v>
      </c>
      <c r="E579" s="198" t="s">
        <v>1020</v>
      </c>
      <c r="F579" s="198" t="s">
        <v>112</v>
      </c>
      <c r="G579" s="198">
        <v>3286900</v>
      </c>
      <c r="H579" s="198"/>
      <c r="I579" s="198"/>
    </row>
    <row r="580" spans="1:10" x14ac:dyDescent="0.35">
      <c r="A580" s="1" t="str">
        <f t="shared" si="9"/>
        <v>21</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0" s="198" t="s">
        <v>4151</v>
      </c>
      <c r="D580" s="198" t="s">
        <v>1021</v>
      </c>
      <c r="E580" s="198" t="s">
        <v>1022</v>
      </c>
      <c r="F580" s="198" t="s">
        <v>112</v>
      </c>
      <c r="G580" s="198">
        <v>3454943</v>
      </c>
      <c r="H580" s="198"/>
      <c r="I580" s="198"/>
    </row>
    <row r="581" spans="1:10" x14ac:dyDescent="0.35">
      <c r="A581" s="1" t="str">
        <f t="shared" si="9"/>
        <v>21</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1" s="198" t="s">
        <v>4152</v>
      </c>
      <c r="D581" s="198" t="s">
        <v>1023</v>
      </c>
      <c r="E581" s="198" t="s">
        <v>1024</v>
      </c>
      <c r="F581" s="198" t="s">
        <v>112</v>
      </c>
      <c r="G581" s="198">
        <v>4311573</v>
      </c>
      <c r="H581" s="198"/>
      <c r="I581" s="198"/>
    </row>
    <row r="582" spans="1:10" x14ac:dyDescent="0.35">
      <c r="A582" s="1" t="str">
        <f t="shared" si="9"/>
        <v>21</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2" s="198" t="s">
        <v>4153</v>
      </c>
      <c r="D582" s="198" t="s">
        <v>1025</v>
      </c>
      <c r="E582" s="198" t="s">
        <v>1026</v>
      </c>
      <c r="F582" s="198" t="s">
        <v>112</v>
      </c>
      <c r="G582" s="198">
        <v>4215775</v>
      </c>
      <c r="H582" s="198"/>
      <c r="I582" s="198"/>
    </row>
    <row r="583" spans="1:10" x14ac:dyDescent="0.35">
      <c r="A583" s="1" t="str">
        <f t="shared" si="9"/>
        <v>21</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3" s="198" t="s">
        <v>4154</v>
      </c>
      <c r="D583" s="198" t="s">
        <v>1027</v>
      </c>
      <c r="E583" s="198" t="s">
        <v>1028</v>
      </c>
      <c r="F583" s="198" t="s">
        <v>112</v>
      </c>
      <c r="G583" s="198">
        <v>4144050</v>
      </c>
      <c r="H583" s="198"/>
      <c r="I583" s="198"/>
    </row>
    <row r="584" spans="1:10" x14ac:dyDescent="0.35">
      <c r="A584" s="1" t="str">
        <f t="shared" si="9"/>
        <v>21</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84" s="198" t="s">
        <v>4155</v>
      </c>
      <c r="D584" s="198" t="s">
        <v>1029</v>
      </c>
      <c r="E584" s="198" t="s">
        <v>1030</v>
      </c>
      <c r="F584" s="198" t="s">
        <v>112</v>
      </c>
      <c r="G584" s="198">
        <v>3702778</v>
      </c>
      <c r="H584" s="198"/>
      <c r="I584" s="198"/>
      <c r="J584" s="1" t="s">
        <v>201</v>
      </c>
    </row>
    <row r="585" spans="1:10" x14ac:dyDescent="0.35">
      <c r="A585" s="1" t="str">
        <f t="shared" si="9"/>
        <v>21</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85" s="198" t="s">
        <v>4156</v>
      </c>
      <c r="D585" s="198" t="s">
        <v>1031</v>
      </c>
      <c r="E585" s="198" t="s">
        <v>1032</v>
      </c>
      <c r="F585" s="198" t="s">
        <v>112</v>
      </c>
      <c r="G585" s="198">
        <v>3593634</v>
      </c>
      <c r="H585" s="198"/>
      <c r="I585" s="198"/>
      <c r="J585" s="1">
        <v>24</v>
      </c>
    </row>
    <row r="586" spans="1:10" x14ac:dyDescent="0.35">
      <c r="A586" s="1" t="str">
        <f t="shared" si="9"/>
        <v>21</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86" s="198" t="s">
        <v>4157</v>
      </c>
      <c r="D586" s="198" t="s">
        <v>1033</v>
      </c>
      <c r="E586" s="198" t="s">
        <v>1034</v>
      </c>
      <c r="F586" s="198" t="s">
        <v>112</v>
      </c>
      <c r="G586" s="198">
        <v>4533799</v>
      </c>
      <c r="H586" s="198"/>
      <c r="I586" s="198"/>
    </row>
    <row r="587" spans="1:10" x14ac:dyDescent="0.35">
      <c r="A587" s="1" t="str">
        <f t="shared" si="9"/>
        <v>21</v>
      </c>
      <c r="B5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87" s="198" t="s">
        <v>4158</v>
      </c>
      <c r="D587" s="198" t="s">
        <v>1035</v>
      </c>
      <c r="E587" s="198" t="s">
        <v>1036</v>
      </c>
      <c r="F587" s="198" t="s">
        <v>112</v>
      </c>
      <c r="G587" s="198">
        <v>3275199</v>
      </c>
      <c r="H587" s="198"/>
      <c r="I587" s="198"/>
    </row>
    <row r="588" spans="1:10" x14ac:dyDescent="0.35">
      <c r="A588" s="1" t="str">
        <f t="shared" si="9"/>
        <v>21</v>
      </c>
      <c r="B5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88" s="198" t="s">
        <v>4159</v>
      </c>
      <c r="D588" s="198"/>
      <c r="E588" s="198"/>
      <c r="F588" s="198"/>
      <c r="G588" s="198"/>
      <c r="H588" s="198"/>
      <c r="I588" s="198"/>
    </row>
    <row r="589" spans="1:10" x14ac:dyDescent="0.35">
      <c r="A589" s="1" t="str">
        <f t="shared" si="9"/>
        <v>21</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89" s="198" t="s">
        <v>4160</v>
      </c>
      <c r="D589" s="198"/>
      <c r="E589" s="198"/>
      <c r="F589" s="198"/>
      <c r="G589" s="198"/>
      <c r="H589" s="198"/>
      <c r="I589" s="198"/>
    </row>
    <row r="590" spans="1:10" x14ac:dyDescent="0.35">
      <c r="A590" s="1" t="str">
        <f t="shared" si="9"/>
        <v>21</v>
      </c>
      <c r="B5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0" s="198" t="s">
        <v>4161</v>
      </c>
      <c r="D590" s="198" t="s">
        <v>1037</v>
      </c>
      <c r="E590" s="198" t="s">
        <v>1038</v>
      </c>
      <c r="F590" s="198" t="s">
        <v>112</v>
      </c>
      <c r="G590" s="198">
        <v>2125981</v>
      </c>
      <c r="H590" s="198"/>
      <c r="I590" s="198"/>
    </row>
    <row r="591" spans="1:10" x14ac:dyDescent="0.35">
      <c r="A591" s="1" t="str">
        <f t="shared" si="9"/>
        <v>21</v>
      </c>
      <c r="B5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1" s="198" t="s">
        <v>4162</v>
      </c>
      <c r="D591" s="198" t="s">
        <v>1039</v>
      </c>
      <c r="E591" s="198" t="s">
        <v>1040</v>
      </c>
      <c r="F591" s="198" t="s">
        <v>112</v>
      </c>
      <c r="G591" s="198">
        <v>1886019</v>
      </c>
      <c r="H591" s="198"/>
      <c r="I591" s="198"/>
    </row>
    <row r="592" spans="1:10" x14ac:dyDescent="0.35">
      <c r="A592" s="1" t="str">
        <f t="shared" si="9"/>
        <v>21</v>
      </c>
      <c r="B5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2" s="198" t="s">
        <v>4163</v>
      </c>
      <c r="D592" s="198" t="s">
        <v>624</v>
      </c>
      <c r="E592" s="198" t="s">
        <v>1041</v>
      </c>
      <c r="F592" s="198" t="s">
        <v>112</v>
      </c>
      <c r="G592" s="198">
        <v>2080233</v>
      </c>
      <c r="H592" s="198"/>
      <c r="I592" s="198"/>
    </row>
    <row r="593" spans="1:9" x14ac:dyDescent="0.35">
      <c r="A593" s="1" t="str">
        <f t="shared" si="9"/>
        <v>21</v>
      </c>
      <c r="B5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93" s="198" t="s">
        <v>4164</v>
      </c>
      <c r="D593" s="198" t="s">
        <v>1042</v>
      </c>
      <c r="E593" s="198" t="s">
        <v>1043</v>
      </c>
      <c r="F593" s="198" t="s">
        <v>112</v>
      </c>
      <c r="G593" s="198">
        <v>5673392</v>
      </c>
      <c r="H593" s="198"/>
      <c r="I593" s="198"/>
    </row>
    <row r="594" spans="1:9" x14ac:dyDescent="0.35">
      <c r="A594" s="1" t="str">
        <f t="shared" si="9"/>
        <v>21</v>
      </c>
      <c r="B5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94" s="198" t="s">
        <v>4165</v>
      </c>
      <c r="D594" s="198" t="s">
        <v>1044</v>
      </c>
      <c r="E594" s="198" t="s">
        <v>1045</v>
      </c>
      <c r="F594" s="198" t="s">
        <v>112</v>
      </c>
      <c r="G594" s="198">
        <v>5837476</v>
      </c>
      <c r="H594" s="198"/>
      <c r="I594" s="198"/>
    </row>
    <row r="595" spans="1:9" x14ac:dyDescent="0.35">
      <c r="A595" s="1" t="str">
        <f t="shared" si="9"/>
        <v>21</v>
      </c>
      <c r="B5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95" s="198" t="s">
        <v>4166</v>
      </c>
      <c r="D595" s="198" t="s">
        <v>1046</v>
      </c>
      <c r="E595" s="198" t="s">
        <v>1047</v>
      </c>
      <c r="F595" s="198" t="s">
        <v>112</v>
      </c>
      <c r="G595" s="198">
        <v>5813207</v>
      </c>
      <c r="H595" s="198"/>
      <c r="I595" s="198"/>
    </row>
    <row r="596" spans="1:9" x14ac:dyDescent="0.35">
      <c r="A596" s="1" t="str">
        <f t="shared" si="9"/>
        <v>21</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96" s="198" t="s">
        <v>4167</v>
      </c>
      <c r="D596" s="198" t="s">
        <v>1048</v>
      </c>
      <c r="E596" s="198" t="s">
        <v>1049</v>
      </c>
      <c r="F596" s="198" t="s">
        <v>112</v>
      </c>
      <c r="G596" s="198">
        <v>1684212</v>
      </c>
      <c r="H596" s="198"/>
      <c r="I596" s="198"/>
    </row>
    <row r="597" spans="1:9" x14ac:dyDescent="0.35">
      <c r="A597" s="1" t="str">
        <f t="shared" si="9"/>
        <v>21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97" s="198" t="s">
        <v>4168</v>
      </c>
      <c r="D597" s="198" t="s">
        <v>1050</v>
      </c>
      <c r="E597" s="198" t="s">
        <v>1051</v>
      </c>
      <c r="F597" s="198" t="s">
        <v>112</v>
      </c>
      <c r="G597" s="198">
        <v>1718019</v>
      </c>
      <c r="H597" s="198"/>
      <c r="I597" s="198"/>
    </row>
    <row r="598" spans="1:9" x14ac:dyDescent="0.35">
      <c r="A598" s="1" t="str">
        <f t="shared" si="9"/>
        <v>21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98" s="198" t="s">
        <v>4169</v>
      </c>
      <c r="D598" s="198" t="s">
        <v>1052</v>
      </c>
      <c r="E598" s="198" t="s">
        <v>1053</v>
      </c>
      <c r="F598" s="198" t="s">
        <v>112</v>
      </c>
      <c r="G598" s="198">
        <v>1872889</v>
      </c>
      <c r="H598" s="198"/>
      <c r="I598" s="198"/>
    </row>
    <row r="599" spans="1:9" x14ac:dyDescent="0.35">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9" s="198" t="s">
        <v>112</v>
      </c>
      <c r="D599" s="198"/>
      <c r="E599" s="198"/>
      <c r="F599" s="198"/>
      <c r="G599" s="198"/>
      <c r="H599" s="198"/>
      <c r="I599" s="198"/>
    </row>
    <row r="600" spans="1:9" x14ac:dyDescent="0.35">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0" s="198" t="s">
        <v>195</v>
      </c>
      <c r="D600" s="198" t="s">
        <v>112</v>
      </c>
      <c r="E600" s="198" t="s">
        <v>196</v>
      </c>
      <c r="F600" s="198" t="s">
        <v>197</v>
      </c>
      <c r="G600" s="198" t="s">
        <v>198</v>
      </c>
      <c r="H600" s="198" t="s">
        <v>199</v>
      </c>
      <c r="I600" s="198" t="s">
        <v>200</v>
      </c>
    </row>
    <row r="601" spans="1:9" x14ac:dyDescent="0.35">
      <c r="A601" s="1" t="str">
        <f t="shared" si="9"/>
        <v>21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01" s="198" t="s">
        <v>4170</v>
      </c>
      <c r="D601" s="198" t="s">
        <v>112</v>
      </c>
      <c r="E601" s="198" t="s">
        <v>1054</v>
      </c>
      <c r="F601" s="198" t="s">
        <v>1055</v>
      </c>
      <c r="G601" s="198" t="s">
        <v>1056</v>
      </c>
      <c r="H601" s="198" t="s">
        <v>1057</v>
      </c>
      <c r="I601" s="198">
        <v>24</v>
      </c>
    </row>
    <row r="602" spans="1:9" x14ac:dyDescent="0.35">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2" s="198" t="s">
        <v>112</v>
      </c>
      <c r="D602" s="198"/>
      <c r="E602" s="198"/>
      <c r="F602" s="198"/>
      <c r="G602" s="198"/>
      <c r="H602" s="198"/>
      <c r="I602" s="198"/>
    </row>
    <row r="603" spans="1:9" x14ac:dyDescent="0.35">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3" s="198" t="s">
        <v>112</v>
      </c>
      <c r="D603" s="198"/>
      <c r="E603" s="198"/>
      <c r="F603" s="198"/>
      <c r="G603" s="198"/>
      <c r="H603" s="198"/>
      <c r="I603" s="198"/>
    </row>
    <row r="604" spans="1:9" x14ac:dyDescent="0.35">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4" s="198" t="s">
        <v>112</v>
      </c>
      <c r="D604" s="198"/>
      <c r="E604" s="198"/>
      <c r="F604" s="198"/>
      <c r="G604" s="198"/>
      <c r="H604" s="198"/>
      <c r="I604" s="198"/>
    </row>
    <row r="605" spans="1:9" x14ac:dyDescent="0.35">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5" s="198" t="s">
        <v>112</v>
      </c>
      <c r="D605" s="198"/>
      <c r="E605" s="198"/>
      <c r="F605" s="198"/>
      <c r="G605" s="198"/>
      <c r="H605" s="198"/>
      <c r="I605" s="198"/>
    </row>
    <row r="606" spans="1:9" x14ac:dyDescent="0.35">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6" s="198" t="s">
        <v>112</v>
      </c>
      <c r="D606" s="198"/>
      <c r="E606" s="198"/>
      <c r="F606" s="198"/>
      <c r="G606" s="198"/>
      <c r="H606" s="198"/>
      <c r="I606" s="198"/>
    </row>
    <row r="607" spans="1:9" x14ac:dyDescent="0.35">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7" s="198" t="s">
        <v>206</v>
      </c>
      <c r="D607" s="198" t="s">
        <v>110</v>
      </c>
      <c r="E607" s="198" t="s">
        <v>111</v>
      </c>
      <c r="F607" s="198" t="s">
        <v>112</v>
      </c>
      <c r="G607" s="198" t="s">
        <v>113</v>
      </c>
      <c r="H607" s="198"/>
      <c r="I607" s="198"/>
    </row>
    <row r="608" spans="1:9" x14ac:dyDescent="0.35">
      <c r="A608" s="1" t="str">
        <f t="shared" si="9"/>
        <v>8</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08" s="198" t="s">
        <v>4171</v>
      </c>
      <c r="D608" s="198">
        <v>0</v>
      </c>
      <c r="E608" s="198">
        <v>0</v>
      </c>
      <c r="F608" s="198" t="s">
        <v>112</v>
      </c>
      <c r="G608" s="198">
        <v>0</v>
      </c>
      <c r="H608" s="198"/>
      <c r="I608" s="198"/>
    </row>
    <row r="609" spans="1:10" x14ac:dyDescent="0.35">
      <c r="A609" s="1" t="str">
        <f t="shared" si="9"/>
        <v>8</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09" s="198" t="s">
        <v>4172</v>
      </c>
      <c r="D609" s="198" t="s">
        <v>1058</v>
      </c>
      <c r="E609" s="198" t="s">
        <v>1059</v>
      </c>
      <c r="F609" s="198" t="s">
        <v>112</v>
      </c>
      <c r="G609" s="198">
        <v>274267</v>
      </c>
      <c r="H609" s="198"/>
      <c r="I609" s="198"/>
    </row>
    <row r="610" spans="1:10" x14ac:dyDescent="0.35">
      <c r="A610" s="1" t="str">
        <f t="shared" si="9"/>
        <v>8</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10" s="198" t="s">
        <v>4173</v>
      </c>
      <c r="D610" s="198" t="s">
        <v>1060</v>
      </c>
      <c r="E610" s="198" t="s">
        <v>1061</v>
      </c>
      <c r="F610" s="198" t="s">
        <v>112</v>
      </c>
      <c r="G610" s="198">
        <v>382287</v>
      </c>
      <c r="H610" s="198"/>
      <c r="I610" s="198"/>
    </row>
    <row r="611" spans="1:10" x14ac:dyDescent="0.35">
      <c r="A611" s="1" t="str">
        <f t="shared" si="9"/>
        <v>8</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11" s="198" t="s">
        <v>4174</v>
      </c>
      <c r="D611" s="198" t="s">
        <v>774</v>
      </c>
      <c r="E611" s="198" t="s">
        <v>1062</v>
      </c>
      <c r="F611" s="198" t="s">
        <v>112</v>
      </c>
      <c r="G611" s="198">
        <v>150804</v>
      </c>
      <c r="H611" s="198"/>
      <c r="I611" s="198"/>
    </row>
    <row r="612" spans="1:10" x14ac:dyDescent="0.35">
      <c r="A612" s="1" t="str">
        <f t="shared" si="9"/>
        <v>8</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12" s="198" t="s">
        <v>4175</v>
      </c>
      <c r="D612" s="198" t="s">
        <v>510</v>
      </c>
      <c r="E612" s="198" t="s">
        <v>1063</v>
      </c>
      <c r="F612" s="198" t="s">
        <v>112</v>
      </c>
      <c r="G612" s="198">
        <v>103218</v>
      </c>
      <c r="H612" s="198"/>
      <c r="I612" s="198"/>
    </row>
    <row r="613" spans="1:10" x14ac:dyDescent="0.35">
      <c r="A613" s="1" t="str">
        <f t="shared" si="9"/>
        <v>8</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13" s="198" t="s">
        <v>4176</v>
      </c>
      <c r="D613" s="198" t="s">
        <v>1064</v>
      </c>
      <c r="E613" s="198" t="s">
        <v>1065</v>
      </c>
      <c r="F613" s="198" t="s">
        <v>112</v>
      </c>
      <c r="G613" s="198">
        <v>61494</v>
      </c>
      <c r="H613" s="198"/>
      <c r="I613" s="198"/>
    </row>
    <row r="614" spans="1:10" x14ac:dyDescent="0.35">
      <c r="A614" s="1" t="str">
        <f t="shared" si="9"/>
        <v>8</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14" s="198" t="s">
        <v>4177</v>
      </c>
      <c r="D614" s="198" t="s">
        <v>1066</v>
      </c>
      <c r="E614" s="198" t="s">
        <v>1067</v>
      </c>
      <c r="F614" s="198" t="s">
        <v>112</v>
      </c>
      <c r="G614" s="198">
        <v>213725</v>
      </c>
      <c r="H614" s="198"/>
      <c r="I614" s="198"/>
    </row>
    <row r="615" spans="1:10" x14ac:dyDescent="0.35">
      <c r="A615" s="1" t="str">
        <f t="shared" si="9"/>
        <v>8</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15" s="198" t="s">
        <v>4178</v>
      </c>
      <c r="D615" s="198" t="s">
        <v>1068</v>
      </c>
      <c r="E615" s="198" t="s">
        <v>1069</v>
      </c>
      <c r="F615" s="198" t="s">
        <v>112</v>
      </c>
      <c r="G615" s="198">
        <v>324470</v>
      </c>
      <c r="H615" s="198"/>
      <c r="I615" s="198"/>
    </row>
    <row r="616" spans="1:10" x14ac:dyDescent="0.35">
      <c r="A616" s="1" t="str">
        <f t="shared" si="9"/>
        <v>8</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16" s="198" t="s">
        <v>4179</v>
      </c>
      <c r="D616" s="198" t="s">
        <v>455</v>
      </c>
      <c r="E616" s="198" t="s">
        <v>1070</v>
      </c>
      <c r="F616" s="198" t="s">
        <v>112</v>
      </c>
      <c r="G616" s="198">
        <v>173558</v>
      </c>
      <c r="H616" s="198"/>
      <c r="I616" s="198"/>
    </row>
    <row r="617" spans="1:10" x14ac:dyDescent="0.35">
      <c r="A617" s="1" t="str">
        <f t="shared" si="9"/>
        <v>8</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17" s="198" t="s">
        <v>4180</v>
      </c>
      <c r="D617" s="198" t="s">
        <v>1071</v>
      </c>
      <c r="E617" s="198" t="s">
        <v>1072</v>
      </c>
      <c r="F617" s="198" t="s">
        <v>112</v>
      </c>
      <c r="G617" s="198">
        <v>331283</v>
      </c>
      <c r="H617" s="198"/>
      <c r="I617" s="198"/>
      <c r="J617" s="1" t="s">
        <v>201</v>
      </c>
    </row>
    <row r="618" spans="1:10" x14ac:dyDescent="0.35">
      <c r="A618" s="1" t="str">
        <f t="shared" si="9"/>
        <v>8</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18" s="198" t="s">
        <v>4181</v>
      </c>
      <c r="D618" s="198" t="s">
        <v>1074</v>
      </c>
      <c r="E618" s="198" t="s">
        <v>1075</v>
      </c>
      <c r="F618" s="198" t="s">
        <v>112</v>
      </c>
      <c r="G618" s="198">
        <v>152750</v>
      </c>
      <c r="H618" s="198"/>
      <c r="I618" s="198"/>
      <c r="J618" s="1">
        <v>24</v>
      </c>
    </row>
    <row r="619" spans="1:10" x14ac:dyDescent="0.35">
      <c r="A619" s="1" t="str">
        <f t="shared" si="9"/>
        <v>8</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19" s="198" t="s">
        <v>4182</v>
      </c>
      <c r="D619" s="198" t="s">
        <v>455</v>
      </c>
      <c r="E619" s="198" t="s">
        <v>1077</v>
      </c>
      <c r="F619" s="198" t="s">
        <v>112</v>
      </c>
      <c r="G619" s="198">
        <v>176111</v>
      </c>
      <c r="H619" s="198"/>
      <c r="I619" s="198"/>
    </row>
    <row r="620" spans="1:10" x14ac:dyDescent="0.35">
      <c r="A620" s="1" t="str">
        <f t="shared" si="9"/>
        <v>8</v>
      </c>
      <c r="B6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20" s="198" t="s">
        <v>4183</v>
      </c>
      <c r="D620" s="198" t="s">
        <v>1079</v>
      </c>
      <c r="E620" s="198" t="s">
        <v>1080</v>
      </c>
      <c r="F620" s="198" t="s">
        <v>112</v>
      </c>
      <c r="G620" s="198">
        <v>218094</v>
      </c>
      <c r="H620" s="198"/>
      <c r="I620" s="198"/>
    </row>
    <row r="621" spans="1:10" x14ac:dyDescent="0.35">
      <c r="A621" s="1" t="str">
        <f t="shared" si="9"/>
        <v>8</v>
      </c>
      <c r="B6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21" s="198" t="s">
        <v>4184</v>
      </c>
      <c r="D621" s="198" t="s">
        <v>258</v>
      </c>
      <c r="E621" s="198" t="s">
        <v>259</v>
      </c>
      <c r="F621" s="198" t="s">
        <v>112</v>
      </c>
      <c r="G621" s="198">
        <v>72482</v>
      </c>
      <c r="H621" s="198"/>
      <c r="I621" s="198"/>
    </row>
    <row r="622" spans="1:10" x14ac:dyDescent="0.35">
      <c r="A622" s="1" t="str">
        <f t="shared" si="9"/>
        <v>8</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22" s="198" t="s">
        <v>4185</v>
      </c>
      <c r="D622" s="198" t="s">
        <v>1083</v>
      </c>
      <c r="E622" s="198" t="s">
        <v>1084</v>
      </c>
      <c r="F622" s="198" t="s">
        <v>112</v>
      </c>
      <c r="G622" s="198">
        <v>149527</v>
      </c>
      <c r="H622" s="198"/>
      <c r="I622" s="198"/>
    </row>
    <row r="623" spans="1:10" x14ac:dyDescent="0.35">
      <c r="A623" s="1" t="str">
        <f t="shared" si="9"/>
        <v>8</v>
      </c>
      <c r="B6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23" s="198" t="s">
        <v>4186</v>
      </c>
      <c r="D623" s="198" t="s">
        <v>1086</v>
      </c>
      <c r="E623" s="198" t="s">
        <v>1087</v>
      </c>
      <c r="F623" s="198" t="s">
        <v>112</v>
      </c>
      <c r="G623" s="198">
        <v>71249</v>
      </c>
      <c r="H623" s="198"/>
      <c r="I623" s="198"/>
    </row>
    <row r="624" spans="1:10" x14ac:dyDescent="0.35">
      <c r="A624" s="1" t="str">
        <f t="shared" si="9"/>
        <v>8</v>
      </c>
      <c r="B6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24" s="198" t="s">
        <v>4187</v>
      </c>
      <c r="D624" s="198" t="s">
        <v>1089</v>
      </c>
      <c r="E624" s="198" t="s">
        <v>1090</v>
      </c>
      <c r="F624" s="198" t="s">
        <v>112</v>
      </c>
      <c r="G624" s="198">
        <v>45639</v>
      </c>
      <c r="H624" s="198"/>
      <c r="I624" s="198"/>
    </row>
    <row r="625" spans="1:9" x14ac:dyDescent="0.35">
      <c r="A625" s="1" t="str">
        <f t="shared" si="9"/>
        <v>8</v>
      </c>
      <c r="B6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25" s="198" t="s">
        <v>4188</v>
      </c>
      <c r="D625" s="198" t="s">
        <v>1092</v>
      </c>
      <c r="E625" s="198" t="s">
        <v>1093</v>
      </c>
      <c r="F625" s="198" t="s">
        <v>112</v>
      </c>
      <c r="G625" s="198">
        <v>85525</v>
      </c>
      <c r="H625" s="198"/>
      <c r="I625" s="198"/>
    </row>
    <row r="626" spans="1:9" x14ac:dyDescent="0.35">
      <c r="A626" s="1" t="str">
        <f t="shared" si="9"/>
        <v>8</v>
      </c>
      <c r="B6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26" s="198" t="s">
        <v>4189</v>
      </c>
      <c r="D626" s="198" t="s">
        <v>1095</v>
      </c>
      <c r="E626" s="198" t="s">
        <v>1096</v>
      </c>
      <c r="F626" s="198" t="s">
        <v>112</v>
      </c>
      <c r="G626" s="198">
        <v>322329</v>
      </c>
      <c r="H626" s="198"/>
      <c r="I626" s="198"/>
    </row>
    <row r="627" spans="1:9" x14ac:dyDescent="0.35">
      <c r="A627" s="1" t="str">
        <f t="shared" si="9"/>
        <v>8</v>
      </c>
      <c r="B6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27" s="198" t="s">
        <v>4190</v>
      </c>
      <c r="D627" s="198" t="s">
        <v>490</v>
      </c>
      <c r="E627" s="198" t="s">
        <v>1098</v>
      </c>
      <c r="F627" s="198" t="s">
        <v>112</v>
      </c>
      <c r="G627" s="198">
        <v>227438</v>
      </c>
      <c r="H627" s="198"/>
      <c r="I627" s="198"/>
    </row>
    <row r="628" spans="1:9" x14ac:dyDescent="0.35">
      <c r="A628" s="1" t="str">
        <f t="shared" si="9"/>
        <v>8</v>
      </c>
      <c r="B6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28" s="198" t="s">
        <v>4191</v>
      </c>
      <c r="D628" s="198" t="s">
        <v>774</v>
      </c>
      <c r="E628" s="198" t="s">
        <v>1100</v>
      </c>
      <c r="F628" s="198" t="s">
        <v>112</v>
      </c>
      <c r="G628" s="198">
        <v>162787</v>
      </c>
      <c r="H628" s="198"/>
      <c r="I628" s="198"/>
    </row>
    <row r="629" spans="1:9" x14ac:dyDescent="0.35">
      <c r="A629" s="1" t="str">
        <f t="shared" si="9"/>
        <v>8</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29" s="198" t="s">
        <v>4192</v>
      </c>
      <c r="D629" s="198" t="s">
        <v>1102</v>
      </c>
      <c r="E629" s="198" t="s">
        <v>1103</v>
      </c>
      <c r="F629" s="198" t="s">
        <v>112</v>
      </c>
      <c r="G629" s="198">
        <v>490566</v>
      </c>
      <c r="H629" s="198"/>
      <c r="I629" s="198"/>
    </row>
    <row r="630" spans="1:9" x14ac:dyDescent="0.35">
      <c r="A630" s="1" t="str">
        <f t="shared" si="9"/>
        <v>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30" s="198" t="s">
        <v>4193</v>
      </c>
      <c r="D630" s="198" t="s">
        <v>1105</v>
      </c>
      <c r="E630" s="198" t="s">
        <v>1106</v>
      </c>
      <c r="F630" s="198" t="s">
        <v>112</v>
      </c>
      <c r="G630" s="198">
        <v>304614</v>
      </c>
      <c r="H630" s="198"/>
      <c r="I630" s="198"/>
    </row>
    <row r="631" spans="1:9" x14ac:dyDescent="0.35">
      <c r="A631" s="1" t="str">
        <f t="shared" si="9"/>
        <v>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31" s="198" t="s">
        <v>4194</v>
      </c>
      <c r="D631" s="198" t="s">
        <v>1108</v>
      </c>
      <c r="E631" s="198" t="s">
        <v>1109</v>
      </c>
      <c r="F631" s="198" t="s">
        <v>112</v>
      </c>
      <c r="G631" s="198">
        <v>229255</v>
      </c>
      <c r="H631" s="198"/>
      <c r="I631" s="198"/>
    </row>
    <row r="632" spans="1:9" x14ac:dyDescent="0.35">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2" s="198" t="s">
        <v>112</v>
      </c>
      <c r="D632" s="198"/>
      <c r="E632" s="198"/>
      <c r="F632" s="198"/>
      <c r="G632" s="198"/>
      <c r="H632" s="198"/>
      <c r="I632" s="198"/>
    </row>
    <row r="633" spans="1:9" x14ac:dyDescent="0.35">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3" s="198" t="s">
        <v>195</v>
      </c>
      <c r="D633" s="198" t="s">
        <v>112</v>
      </c>
      <c r="E633" s="198" t="s">
        <v>196</v>
      </c>
      <c r="F633" s="198" t="s">
        <v>197</v>
      </c>
      <c r="G633" s="198" t="s">
        <v>198</v>
      </c>
      <c r="H633" s="198" t="s">
        <v>199</v>
      </c>
      <c r="I633" s="198" t="s">
        <v>200</v>
      </c>
    </row>
    <row r="634" spans="1:9" x14ac:dyDescent="0.35">
      <c r="A634" s="1" t="str">
        <f t="shared" si="9"/>
        <v>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34" s="198" t="s">
        <v>4195</v>
      </c>
      <c r="D634" s="198" t="s">
        <v>112</v>
      </c>
      <c r="E634" s="198" t="s">
        <v>1111</v>
      </c>
      <c r="F634" s="198" t="s">
        <v>1112</v>
      </c>
      <c r="G634" s="198" t="s">
        <v>1113</v>
      </c>
      <c r="H634" s="198" t="s">
        <v>1114</v>
      </c>
      <c r="I634" s="198">
        <v>23</v>
      </c>
    </row>
    <row r="635" spans="1:9" x14ac:dyDescent="0.35">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5" s="198" t="s">
        <v>112</v>
      </c>
      <c r="D635" s="198"/>
      <c r="E635" s="198"/>
      <c r="F635" s="198"/>
      <c r="G635" s="198"/>
      <c r="H635" s="198"/>
      <c r="I635" s="198"/>
    </row>
    <row r="636" spans="1:9" x14ac:dyDescent="0.35">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6" s="198" t="s">
        <v>112</v>
      </c>
      <c r="D636" s="198"/>
      <c r="E636" s="198"/>
      <c r="F636" s="198"/>
      <c r="G636" s="198"/>
      <c r="H636" s="198"/>
      <c r="I636" s="198"/>
    </row>
    <row r="637" spans="1:9" x14ac:dyDescent="0.35">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7" s="198" t="s">
        <v>112</v>
      </c>
      <c r="D637" s="198"/>
      <c r="E637" s="198"/>
      <c r="F637" s="198"/>
      <c r="G637" s="198"/>
      <c r="H637" s="198"/>
      <c r="I637" s="198"/>
    </row>
    <row r="638" spans="1:9" x14ac:dyDescent="0.35">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8" s="198" t="s">
        <v>112</v>
      </c>
      <c r="D638" s="198"/>
      <c r="E638" s="198"/>
      <c r="F638" s="198"/>
      <c r="G638" s="198"/>
      <c r="H638" s="198"/>
      <c r="I638" s="198"/>
    </row>
    <row r="639" spans="1:9" x14ac:dyDescent="0.35">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9" s="198" t="s">
        <v>112</v>
      </c>
      <c r="D639" s="198"/>
      <c r="E639" s="198"/>
      <c r="F639" s="198"/>
      <c r="G639" s="198"/>
      <c r="H639" s="198"/>
      <c r="I639" s="198"/>
    </row>
    <row r="640" spans="1:9" x14ac:dyDescent="0.35">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0" s="198" t="s">
        <v>206</v>
      </c>
      <c r="D640" s="198" t="s">
        <v>110</v>
      </c>
      <c r="E640" s="198" t="s">
        <v>111</v>
      </c>
      <c r="F640" s="198" t="s">
        <v>112</v>
      </c>
      <c r="G640" s="198" t="s">
        <v>113</v>
      </c>
      <c r="H640" s="198"/>
      <c r="I640" s="198"/>
    </row>
    <row r="641" spans="1:10" x14ac:dyDescent="0.35">
      <c r="A641" s="1" t="str">
        <f t="shared" si="9"/>
        <v>9</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41" s="198" t="s">
        <v>4196</v>
      </c>
      <c r="D641" s="198" t="s">
        <v>178</v>
      </c>
      <c r="E641" s="198" t="s">
        <v>1116</v>
      </c>
      <c r="F641" s="198" t="s">
        <v>112</v>
      </c>
      <c r="G641" s="198">
        <v>133911</v>
      </c>
      <c r="H641" s="198"/>
      <c r="I641" s="198"/>
    </row>
    <row r="642" spans="1:10" x14ac:dyDescent="0.35">
      <c r="A642" s="1" t="str">
        <f t="shared" ref="A642:A705" si="10">IFERROR(LEFT(RIGHT(C642,LEN(C642)-SEARCH("@",C642)),SEARCH("/",RIGHT(C642,LEN(C642)-SEARCH("@",C642)-1))),"")</f>
        <v>9</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42" s="198" t="s">
        <v>4197</v>
      </c>
      <c r="D642" s="198" t="s">
        <v>1118</v>
      </c>
      <c r="E642" s="198" t="s">
        <v>1119</v>
      </c>
      <c r="F642" s="198" t="s">
        <v>112</v>
      </c>
      <c r="G642" s="198">
        <v>132570</v>
      </c>
      <c r="H642" s="198"/>
      <c r="I642" s="198"/>
    </row>
    <row r="643" spans="1:10" x14ac:dyDescent="0.35">
      <c r="A643" s="1" t="str">
        <f t="shared" si="10"/>
        <v>9</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43" s="198" t="s">
        <v>4198</v>
      </c>
      <c r="D643" s="198" t="s">
        <v>750</v>
      </c>
      <c r="E643" s="198" t="s">
        <v>1121</v>
      </c>
      <c r="F643" s="198" t="s">
        <v>112</v>
      </c>
      <c r="G643" s="198">
        <v>8284</v>
      </c>
      <c r="H643" s="198"/>
      <c r="I643" s="198"/>
    </row>
    <row r="644" spans="1:10" x14ac:dyDescent="0.35">
      <c r="A644" s="1" t="str">
        <f t="shared" si="10"/>
        <v>9</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44" s="198" t="s">
        <v>4199</v>
      </c>
      <c r="D644" s="198" t="s">
        <v>1123</v>
      </c>
      <c r="E644" s="198" t="s">
        <v>1124</v>
      </c>
      <c r="F644" s="198" t="s">
        <v>112</v>
      </c>
      <c r="G644" s="198">
        <v>127573</v>
      </c>
      <c r="H644" s="198"/>
      <c r="I644" s="198"/>
    </row>
    <row r="645" spans="1:10" x14ac:dyDescent="0.35">
      <c r="A645" s="1" t="str">
        <f t="shared" si="10"/>
        <v>9</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45" s="198" t="s">
        <v>4200</v>
      </c>
      <c r="D645" s="198" t="s">
        <v>233</v>
      </c>
      <c r="E645" s="198" t="s">
        <v>1126</v>
      </c>
      <c r="F645" s="198" t="s">
        <v>112</v>
      </c>
      <c r="G645" s="198">
        <v>168519</v>
      </c>
      <c r="H645" s="198"/>
      <c r="I645" s="198"/>
    </row>
    <row r="646" spans="1:10" x14ac:dyDescent="0.35">
      <c r="A646" s="1" t="str">
        <f t="shared" si="10"/>
        <v>9</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46" s="198" t="s">
        <v>4201</v>
      </c>
      <c r="D646" s="198" t="s">
        <v>510</v>
      </c>
      <c r="E646" s="198" t="s">
        <v>1128</v>
      </c>
      <c r="F646" s="198" t="s">
        <v>112</v>
      </c>
      <c r="G646" s="198">
        <v>107803</v>
      </c>
      <c r="H646" s="198"/>
      <c r="I646" s="198"/>
    </row>
    <row r="647" spans="1:10" x14ac:dyDescent="0.35">
      <c r="A647" s="1" t="str">
        <f t="shared" si="10"/>
        <v>9</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47" s="198" t="s">
        <v>4202</v>
      </c>
      <c r="D647" s="198">
        <v>0</v>
      </c>
      <c r="E647" s="198">
        <v>0</v>
      </c>
      <c r="F647" s="198" t="s">
        <v>112</v>
      </c>
      <c r="G647" s="198">
        <v>0</v>
      </c>
      <c r="H647" s="198"/>
      <c r="I647" s="198"/>
    </row>
    <row r="648" spans="1:10" x14ac:dyDescent="0.35">
      <c r="A648" s="1" t="str">
        <f t="shared" si="10"/>
        <v>9</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48" s="198" t="s">
        <v>4203</v>
      </c>
      <c r="D648" s="198" t="s">
        <v>1089</v>
      </c>
      <c r="E648" s="198" t="s">
        <v>1131</v>
      </c>
      <c r="F648" s="198" t="s">
        <v>112</v>
      </c>
      <c r="G648" s="198">
        <v>44990</v>
      </c>
      <c r="H648" s="198"/>
      <c r="I648" s="198"/>
    </row>
    <row r="649" spans="1:10" x14ac:dyDescent="0.35">
      <c r="A649" s="1" t="str">
        <f t="shared" si="10"/>
        <v>9</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49" s="198" t="s">
        <v>4204</v>
      </c>
      <c r="D649" s="198" t="s">
        <v>1133</v>
      </c>
      <c r="E649" s="198" t="s">
        <v>1134</v>
      </c>
      <c r="F649" s="198" t="s">
        <v>112</v>
      </c>
      <c r="G649" s="198">
        <v>8976</v>
      </c>
      <c r="H649" s="198"/>
      <c r="I649" s="198"/>
    </row>
    <row r="650" spans="1:10" x14ac:dyDescent="0.35">
      <c r="A650" s="1" t="str">
        <f t="shared" si="10"/>
        <v>9</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50" s="198" t="s">
        <v>4205</v>
      </c>
      <c r="D650" s="198" t="s">
        <v>762</v>
      </c>
      <c r="E650" s="198" t="s">
        <v>1136</v>
      </c>
      <c r="F650" s="198" t="s">
        <v>112</v>
      </c>
      <c r="G650" s="198">
        <v>141395</v>
      </c>
      <c r="H650" s="198"/>
      <c r="I650" s="198"/>
      <c r="J650" s="1" t="s">
        <v>201</v>
      </c>
    </row>
    <row r="651" spans="1:10" x14ac:dyDescent="0.35">
      <c r="A651" s="1" t="str">
        <f t="shared" si="10"/>
        <v>9</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51" s="198" t="s">
        <v>4206</v>
      </c>
      <c r="D651" s="198" t="s">
        <v>1138</v>
      </c>
      <c r="E651" s="198" t="s">
        <v>1139</v>
      </c>
      <c r="F651" s="198" t="s">
        <v>112</v>
      </c>
      <c r="G651" s="198">
        <v>242904</v>
      </c>
      <c r="H651" s="198"/>
      <c r="I651" s="198"/>
      <c r="J651" s="1">
        <v>24</v>
      </c>
    </row>
    <row r="652" spans="1:10" x14ac:dyDescent="0.35">
      <c r="A652" s="1" t="str">
        <f t="shared" si="10"/>
        <v>9</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52" s="198" t="s">
        <v>4207</v>
      </c>
      <c r="D652" s="198" t="s">
        <v>1141</v>
      </c>
      <c r="E652" s="198" t="s">
        <v>1142</v>
      </c>
      <c r="F652" s="198" t="s">
        <v>112</v>
      </c>
      <c r="G652" s="198">
        <v>103023</v>
      </c>
      <c r="H652" s="198"/>
      <c r="I652" s="198"/>
    </row>
    <row r="653" spans="1:10" x14ac:dyDescent="0.35">
      <c r="A653" s="1" t="str">
        <f t="shared" si="10"/>
        <v>9</v>
      </c>
      <c r="B6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53" s="198" t="s">
        <v>4208</v>
      </c>
      <c r="D653" s="198" t="s">
        <v>1144</v>
      </c>
      <c r="E653" s="198" t="s">
        <v>1145</v>
      </c>
      <c r="F653" s="198" t="s">
        <v>112</v>
      </c>
      <c r="G653" s="198">
        <v>233819</v>
      </c>
      <c r="H653" s="198"/>
      <c r="I653" s="198"/>
    </row>
    <row r="654" spans="1:10" x14ac:dyDescent="0.35">
      <c r="A654" s="1" t="str">
        <f t="shared" si="10"/>
        <v>9</v>
      </c>
      <c r="B6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54" s="198" t="s">
        <v>4209</v>
      </c>
      <c r="D654" s="198" t="s">
        <v>1147</v>
      </c>
      <c r="E654" s="198" t="s">
        <v>1148</v>
      </c>
      <c r="F654" s="198" t="s">
        <v>112</v>
      </c>
      <c r="G654" s="198">
        <v>144358</v>
      </c>
      <c r="H654" s="198"/>
      <c r="I654" s="198"/>
    </row>
    <row r="655" spans="1:10" x14ac:dyDescent="0.35">
      <c r="A655" s="1" t="str">
        <f t="shared" si="10"/>
        <v>9</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55" s="198" t="s">
        <v>4210</v>
      </c>
      <c r="D655" s="198" t="s">
        <v>1150</v>
      </c>
      <c r="E655" s="198" t="s">
        <v>1151</v>
      </c>
      <c r="F655" s="198" t="s">
        <v>112</v>
      </c>
      <c r="G655" s="198">
        <v>125259</v>
      </c>
      <c r="H655" s="198"/>
      <c r="I655" s="198"/>
    </row>
    <row r="656" spans="1:10" x14ac:dyDescent="0.35">
      <c r="A656" s="1" t="str">
        <f t="shared" si="10"/>
        <v>9</v>
      </c>
      <c r="B6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56" s="198" t="s">
        <v>4211</v>
      </c>
      <c r="D656" s="198" t="s">
        <v>525</v>
      </c>
      <c r="E656" s="198" t="s">
        <v>1153</v>
      </c>
      <c r="F656" s="198" t="s">
        <v>112</v>
      </c>
      <c r="G656" s="198">
        <v>107674</v>
      </c>
      <c r="H656" s="198"/>
      <c r="I656" s="198"/>
    </row>
    <row r="657" spans="1:9" x14ac:dyDescent="0.35">
      <c r="A657" s="1" t="str">
        <f t="shared" si="10"/>
        <v>9</v>
      </c>
      <c r="B6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57" s="198" t="s">
        <v>4212</v>
      </c>
      <c r="D657" s="198" t="s">
        <v>1155</v>
      </c>
      <c r="E657" s="198" t="s">
        <v>1156</v>
      </c>
      <c r="F657" s="198" t="s">
        <v>112</v>
      </c>
      <c r="G657" s="198">
        <v>35149</v>
      </c>
      <c r="H657" s="198"/>
      <c r="I657" s="198"/>
    </row>
    <row r="658" spans="1:9" x14ac:dyDescent="0.35">
      <c r="A658" s="1" t="str">
        <f t="shared" si="10"/>
        <v>9</v>
      </c>
      <c r="B6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58" s="198" t="s">
        <v>4213</v>
      </c>
      <c r="D658" s="198" t="s">
        <v>461</v>
      </c>
      <c r="E658" s="198">
        <v>30</v>
      </c>
      <c r="F658" s="198" t="s">
        <v>112</v>
      </c>
      <c r="G658" s="198">
        <v>649</v>
      </c>
      <c r="H658" s="198"/>
      <c r="I658" s="198"/>
    </row>
    <row r="659" spans="1:9" x14ac:dyDescent="0.35">
      <c r="A659" s="1" t="str">
        <f t="shared" si="10"/>
        <v>9</v>
      </c>
      <c r="B6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59" s="198" t="s">
        <v>4214</v>
      </c>
      <c r="D659" s="198" t="s">
        <v>1159</v>
      </c>
      <c r="E659" s="198" t="s">
        <v>1160</v>
      </c>
      <c r="F659" s="198" t="s">
        <v>112</v>
      </c>
      <c r="G659" s="198">
        <v>237064</v>
      </c>
      <c r="H659" s="198"/>
      <c r="I659" s="198"/>
    </row>
    <row r="660" spans="1:9" x14ac:dyDescent="0.35">
      <c r="A660" s="1" t="str">
        <f t="shared" si="10"/>
        <v>9</v>
      </c>
      <c r="B6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60" s="198" t="s">
        <v>4215</v>
      </c>
      <c r="D660" s="198" t="s">
        <v>1162</v>
      </c>
      <c r="E660" s="198" t="s">
        <v>1163</v>
      </c>
      <c r="F660" s="198" t="s">
        <v>112</v>
      </c>
      <c r="G660" s="198">
        <v>212384</v>
      </c>
      <c r="H660" s="198"/>
      <c r="I660" s="198"/>
    </row>
    <row r="661" spans="1:9" x14ac:dyDescent="0.35">
      <c r="A661" s="1" t="str">
        <f t="shared" si="10"/>
        <v>9</v>
      </c>
      <c r="B6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61" s="198" t="s">
        <v>4216</v>
      </c>
      <c r="D661" s="198" t="s">
        <v>768</v>
      </c>
      <c r="E661" s="198" t="s">
        <v>1165</v>
      </c>
      <c r="F661" s="198" t="s">
        <v>112</v>
      </c>
      <c r="G661" s="198">
        <v>239681</v>
      </c>
      <c r="H661" s="198"/>
      <c r="I661" s="198"/>
    </row>
    <row r="662" spans="1:9" x14ac:dyDescent="0.35">
      <c r="A662" s="1" t="str">
        <f t="shared" si="10"/>
        <v>9</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62" s="198" t="s">
        <v>4217</v>
      </c>
      <c r="D662" s="198" t="s">
        <v>518</v>
      </c>
      <c r="E662" s="198" t="s">
        <v>1167</v>
      </c>
      <c r="F662" s="198" t="s">
        <v>112</v>
      </c>
      <c r="G662" s="198">
        <v>299401</v>
      </c>
      <c r="H662" s="198"/>
      <c r="I662" s="198"/>
    </row>
    <row r="663" spans="1:9" x14ac:dyDescent="0.35">
      <c r="A663" s="1" t="str">
        <f t="shared" si="10"/>
        <v>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63" s="198" t="s">
        <v>4218</v>
      </c>
      <c r="D663" s="198" t="s">
        <v>1169</v>
      </c>
      <c r="E663" s="198" t="s">
        <v>1170</v>
      </c>
      <c r="F663" s="198" t="s">
        <v>112</v>
      </c>
      <c r="G663" s="198">
        <v>3591</v>
      </c>
      <c r="H663" s="198"/>
      <c r="I663" s="198"/>
    </row>
    <row r="664" spans="1:9" x14ac:dyDescent="0.35">
      <c r="A664" s="1" t="str">
        <f t="shared" si="10"/>
        <v>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64" s="198" t="s">
        <v>4219</v>
      </c>
      <c r="D664" s="198" t="s">
        <v>1172</v>
      </c>
      <c r="E664" s="198" t="s">
        <v>1173</v>
      </c>
      <c r="F664" s="198" t="s">
        <v>112</v>
      </c>
      <c r="G664" s="198">
        <v>275284</v>
      </c>
      <c r="H664" s="198"/>
      <c r="I664" s="198"/>
    </row>
    <row r="665" spans="1:9" x14ac:dyDescent="0.35">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5" s="198" t="s">
        <v>112</v>
      </c>
      <c r="D665" s="198"/>
      <c r="E665" s="198"/>
      <c r="F665" s="198"/>
      <c r="G665" s="198"/>
      <c r="H665" s="198"/>
      <c r="I665" s="198"/>
    </row>
    <row r="666" spans="1:9" x14ac:dyDescent="0.35">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6" s="198" t="s">
        <v>195</v>
      </c>
      <c r="D666" s="198" t="s">
        <v>112</v>
      </c>
      <c r="E666" s="198" t="s">
        <v>196</v>
      </c>
      <c r="F666" s="198" t="s">
        <v>197</v>
      </c>
      <c r="G666" s="198" t="s">
        <v>198</v>
      </c>
      <c r="H666" s="198" t="s">
        <v>199</v>
      </c>
      <c r="I666" s="198" t="s">
        <v>200</v>
      </c>
    </row>
    <row r="667" spans="1:9" x14ac:dyDescent="0.35">
      <c r="A667" s="1" t="str">
        <f t="shared" si="10"/>
        <v>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67" s="198" t="s">
        <v>4220</v>
      </c>
      <c r="D667" s="198" t="s">
        <v>112</v>
      </c>
      <c r="E667" s="198" t="s">
        <v>1175</v>
      </c>
      <c r="F667" s="198" t="s">
        <v>1176</v>
      </c>
      <c r="G667" s="198" t="s">
        <v>1177</v>
      </c>
      <c r="H667" s="198" t="s">
        <v>1178</v>
      </c>
      <c r="I667" s="198">
        <v>23</v>
      </c>
    </row>
    <row r="668" spans="1:9" x14ac:dyDescent="0.35">
      <c r="A668" s="1" t="str">
        <f t="shared" si="10"/>
        <v>8</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68" s="1" t="s">
        <v>1073</v>
      </c>
      <c r="D668" s="1" t="s">
        <v>1074</v>
      </c>
      <c r="E668" s="1" t="s">
        <v>1075</v>
      </c>
      <c r="F668" s="1" t="s">
        <v>112</v>
      </c>
      <c r="G668" s="1">
        <v>152750</v>
      </c>
    </row>
    <row r="669" spans="1:9" x14ac:dyDescent="0.35">
      <c r="A669" s="1" t="str">
        <f t="shared" si="10"/>
        <v>8</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69" s="1" t="s">
        <v>1076</v>
      </c>
      <c r="D669" s="1" t="s">
        <v>455</v>
      </c>
      <c r="E669" s="1" t="s">
        <v>1077</v>
      </c>
      <c r="F669" s="1" t="s">
        <v>112</v>
      </c>
      <c r="G669" s="1">
        <v>176111</v>
      </c>
    </row>
    <row r="670" spans="1:9" x14ac:dyDescent="0.35">
      <c r="A670" s="1" t="str">
        <f t="shared" si="10"/>
        <v>8</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0" s="1" t="s">
        <v>1078</v>
      </c>
      <c r="D670" s="1" t="s">
        <v>1079</v>
      </c>
      <c r="E670" s="1" t="s">
        <v>1080</v>
      </c>
      <c r="F670" s="1" t="s">
        <v>112</v>
      </c>
      <c r="G670" s="1">
        <v>218094</v>
      </c>
    </row>
    <row r="671" spans="1:9" x14ac:dyDescent="0.35">
      <c r="A671" s="1" t="str">
        <f t="shared" si="10"/>
        <v>8</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1" s="1" t="s">
        <v>1081</v>
      </c>
      <c r="D671" s="1" t="s">
        <v>258</v>
      </c>
      <c r="E671" s="1" t="s">
        <v>259</v>
      </c>
      <c r="F671" s="1" t="s">
        <v>112</v>
      </c>
      <c r="G671" s="1">
        <v>72482</v>
      </c>
    </row>
    <row r="672" spans="1:9" x14ac:dyDescent="0.35">
      <c r="A672" s="1" t="str">
        <f t="shared" si="10"/>
        <v>8</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2" s="1" t="s">
        <v>1082</v>
      </c>
      <c r="D672" s="1" t="s">
        <v>1083</v>
      </c>
      <c r="E672" s="1" t="s">
        <v>1084</v>
      </c>
      <c r="F672" s="1" t="s">
        <v>112</v>
      </c>
      <c r="G672" s="1">
        <v>149527</v>
      </c>
    </row>
    <row r="673" spans="1:10" x14ac:dyDescent="0.35">
      <c r="A673" s="1" t="str">
        <f t="shared" si="10"/>
        <v>8</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3" s="1" t="s">
        <v>1085</v>
      </c>
      <c r="D673" s="1" t="s">
        <v>1086</v>
      </c>
      <c r="E673" s="1" t="s">
        <v>1087</v>
      </c>
      <c r="F673" s="1" t="s">
        <v>112</v>
      </c>
      <c r="G673" s="1">
        <v>71249</v>
      </c>
    </row>
    <row r="674" spans="1:10" x14ac:dyDescent="0.35">
      <c r="A674" s="1" t="str">
        <f t="shared" si="10"/>
        <v>8</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4" s="1" t="s">
        <v>1088</v>
      </c>
      <c r="D674" s="1" t="s">
        <v>1089</v>
      </c>
      <c r="E674" s="1" t="s">
        <v>1090</v>
      </c>
      <c r="F674" s="1" t="s">
        <v>112</v>
      </c>
      <c r="G674" s="1">
        <v>45639</v>
      </c>
    </row>
    <row r="675" spans="1:10" x14ac:dyDescent="0.35">
      <c r="A675" s="1" t="str">
        <f t="shared" si="10"/>
        <v>8</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5" s="1" t="s">
        <v>1091</v>
      </c>
      <c r="D675" s="1" t="s">
        <v>1092</v>
      </c>
      <c r="E675" s="1" t="s">
        <v>1093</v>
      </c>
      <c r="F675" s="1" t="s">
        <v>112</v>
      </c>
      <c r="G675" s="1">
        <v>85525</v>
      </c>
    </row>
    <row r="676" spans="1:10" x14ac:dyDescent="0.35">
      <c r="A676" s="1" t="str">
        <f t="shared" si="10"/>
        <v>8</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76" s="1" t="s">
        <v>1094</v>
      </c>
      <c r="D676" s="1" t="s">
        <v>1095</v>
      </c>
      <c r="E676" s="1" t="s">
        <v>1096</v>
      </c>
      <c r="F676" s="1" t="s">
        <v>112</v>
      </c>
      <c r="G676" s="1">
        <v>322329</v>
      </c>
    </row>
    <row r="677" spans="1:10" x14ac:dyDescent="0.35">
      <c r="A677" s="1" t="str">
        <f t="shared" si="10"/>
        <v>8</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77" s="1" t="s">
        <v>1097</v>
      </c>
      <c r="D677" s="1" t="s">
        <v>490</v>
      </c>
      <c r="E677" s="1" t="s">
        <v>1098</v>
      </c>
      <c r="F677" s="1" t="s">
        <v>112</v>
      </c>
      <c r="G677" s="1">
        <v>227438</v>
      </c>
    </row>
    <row r="678" spans="1:10" x14ac:dyDescent="0.35">
      <c r="A678" s="1" t="str">
        <f t="shared" si="10"/>
        <v>8</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78" s="1" t="s">
        <v>1099</v>
      </c>
      <c r="D678" s="1" t="s">
        <v>774</v>
      </c>
      <c r="E678" s="1" t="s">
        <v>1100</v>
      </c>
      <c r="F678" s="1" t="s">
        <v>112</v>
      </c>
      <c r="G678" s="1">
        <v>162787</v>
      </c>
    </row>
    <row r="679" spans="1:10" x14ac:dyDescent="0.35">
      <c r="A679" s="1" t="str">
        <f t="shared" si="10"/>
        <v>8</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79" s="1" t="s">
        <v>1101</v>
      </c>
      <c r="D679" s="1" t="s">
        <v>1102</v>
      </c>
      <c r="E679" s="1" t="s">
        <v>1103</v>
      </c>
      <c r="F679" s="1" t="s">
        <v>112</v>
      </c>
      <c r="G679" s="1">
        <v>490566</v>
      </c>
    </row>
    <row r="680" spans="1:10" x14ac:dyDescent="0.35">
      <c r="A680" s="1" t="str">
        <f t="shared" si="10"/>
        <v>8</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0" s="1" t="s">
        <v>1104</v>
      </c>
      <c r="D680" s="1" t="s">
        <v>1105</v>
      </c>
      <c r="E680" s="1" t="s">
        <v>1106</v>
      </c>
      <c r="F680" s="1" t="s">
        <v>112</v>
      </c>
      <c r="G680" s="1">
        <v>304614</v>
      </c>
    </row>
    <row r="681" spans="1:10" x14ac:dyDescent="0.35">
      <c r="A681" s="1" t="str">
        <f t="shared" si="10"/>
        <v>8</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1" s="1" t="s">
        <v>1107</v>
      </c>
      <c r="D681" s="1" t="s">
        <v>1108</v>
      </c>
      <c r="E681" s="1" t="s">
        <v>1109</v>
      </c>
      <c r="F681" s="1" t="s">
        <v>112</v>
      </c>
      <c r="G681" s="1">
        <v>229255</v>
      </c>
    </row>
    <row r="682" spans="1:10" x14ac:dyDescent="0.35">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2" s="1" t="s">
        <v>112</v>
      </c>
    </row>
    <row r="683" spans="1:10" x14ac:dyDescent="0.35">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3" s="1" t="s">
        <v>195</v>
      </c>
      <c r="D683" s="1" t="s">
        <v>112</v>
      </c>
      <c r="E683" s="1" t="s">
        <v>196</v>
      </c>
      <c r="F683" s="1" t="s">
        <v>197</v>
      </c>
      <c r="G683" s="1" t="s">
        <v>198</v>
      </c>
      <c r="H683" s="1" t="s">
        <v>199</v>
      </c>
      <c r="I683" s="1" t="s">
        <v>200</v>
      </c>
      <c r="J683" s="1" t="s">
        <v>201</v>
      </c>
    </row>
    <row r="684" spans="1:10" x14ac:dyDescent="0.35">
      <c r="A684" s="1" t="str">
        <f t="shared" si="10"/>
        <v>8</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4" s="1" t="s">
        <v>1110</v>
      </c>
      <c r="D684" s="1" t="s">
        <v>112</v>
      </c>
      <c r="E684" s="1" t="s">
        <v>1111</v>
      </c>
      <c r="F684" s="1" t="s">
        <v>1112</v>
      </c>
      <c r="G684" s="1" t="s">
        <v>1113</v>
      </c>
      <c r="H684" s="1" t="s">
        <v>1114</v>
      </c>
      <c r="I684" s="1">
        <v>23</v>
      </c>
      <c r="J684" s="1">
        <v>24</v>
      </c>
    </row>
    <row r="685" spans="1:10" x14ac:dyDescent="0.35">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5" s="1" t="s">
        <v>112</v>
      </c>
    </row>
    <row r="686" spans="1:10"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112</v>
      </c>
    </row>
    <row r="688" spans="1:10"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8" s="1" t="s">
        <v>112</v>
      </c>
    </row>
    <row r="689" spans="1:7"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7"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206</v>
      </c>
      <c r="D690" s="1" t="s">
        <v>110</v>
      </c>
      <c r="E690" s="1" t="s">
        <v>111</v>
      </c>
      <c r="F690" s="1" t="s">
        <v>112</v>
      </c>
      <c r="G690" s="1" t="s">
        <v>113</v>
      </c>
    </row>
    <row r="691" spans="1:7" x14ac:dyDescent="0.35">
      <c r="A691" s="1" t="str">
        <f t="shared" si="10"/>
        <v>9</v>
      </c>
      <c r="B6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1" s="1" t="s">
        <v>1115</v>
      </c>
      <c r="D691" s="1" t="s">
        <v>178</v>
      </c>
      <c r="E691" s="1" t="s">
        <v>1116</v>
      </c>
      <c r="F691" s="1" t="s">
        <v>112</v>
      </c>
      <c r="G691" s="1">
        <v>133911</v>
      </c>
    </row>
    <row r="692" spans="1:7" x14ac:dyDescent="0.35">
      <c r="A692" s="1" t="str">
        <f t="shared" si="10"/>
        <v>9</v>
      </c>
      <c r="B6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2" s="1" t="s">
        <v>1117</v>
      </c>
      <c r="D692" s="1" t="s">
        <v>1118</v>
      </c>
      <c r="E692" s="1" t="s">
        <v>1119</v>
      </c>
      <c r="F692" s="1" t="s">
        <v>112</v>
      </c>
      <c r="G692" s="1">
        <v>132570</v>
      </c>
    </row>
    <row r="693" spans="1:7" x14ac:dyDescent="0.35">
      <c r="A693" s="1" t="str">
        <f t="shared" si="10"/>
        <v>9</v>
      </c>
      <c r="B6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3" s="1" t="s">
        <v>1120</v>
      </c>
      <c r="D693" s="1" t="s">
        <v>750</v>
      </c>
      <c r="E693" s="1" t="s">
        <v>1121</v>
      </c>
      <c r="F693" s="1" t="s">
        <v>112</v>
      </c>
      <c r="G693" s="1">
        <v>8284</v>
      </c>
    </row>
    <row r="694" spans="1:7" x14ac:dyDescent="0.35">
      <c r="A694" s="1" t="str">
        <f t="shared" si="10"/>
        <v>9</v>
      </c>
      <c r="B6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94" s="1" t="s">
        <v>1122</v>
      </c>
      <c r="D694" s="1" t="s">
        <v>1123</v>
      </c>
      <c r="E694" s="1" t="s">
        <v>1124</v>
      </c>
      <c r="F694" s="1" t="s">
        <v>112</v>
      </c>
      <c r="G694" s="1">
        <v>127573</v>
      </c>
    </row>
    <row r="695" spans="1:7" x14ac:dyDescent="0.35">
      <c r="A695" s="1" t="str">
        <f t="shared" si="10"/>
        <v>9</v>
      </c>
      <c r="B6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95" s="1" t="s">
        <v>1125</v>
      </c>
      <c r="D695" s="1" t="s">
        <v>233</v>
      </c>
      <c r="E695" s="1" t="s">
        <v>1126</v>
      </c>
      <c r="F695" s="1" t="s">
        <v>112</v>
      </c>
      <c r="G695" s="1">
        <v>168519</v>
      </c>
    </row>
    <row r="696" spans="1:7" x14ac:dyDescent="0.35">
      <c r="A696" s="1" t="str">
        <f t="shared" si="10"/>
        <v>9</v>
      </c>
      <c r="B6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96" s="1" t="s">
        <v>1127</v>
      </c>
      <c r="D696" s="1" t="s">
        <v>510</v>
      </c>
      <c r="E696" s="1" t="s">
        <v>1128</v>
      </c>
      <c r="F696" s="1" t="s">
        <v>112</v>
      </c>
      <c r="G696" s="1">
        <v>107803</v>
      </c>
    </row>
    <row r="697" spans="1:7" x14ac:dyDescent="0.35">
      <c r="A697" s="1" t="str">
        <f t="shared" si="10"/>
        <v>9</v>
      </c>
      <c r="B6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97" s="1" t="s">
        <v>1129</v>
      </c>
      <c r="D697" s="1">
        <v>0</v>
      </c>
      <c r="E697" s="1">
        <v>0</v>
      </c>
      <c r="F697" s="1" t="s">
        <v>112</v>
      </c>
      <c r="G697" s="1">
        <v>0</v>
      </c>
    </row>
    <row r="698" spans="1:7" x14ac:dyDescent="0.35">
      <c r="A698" s="1" t="str">
        <f t="shared" si="10"/>
        <v>9</v>
      </c>
      <c r="B6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98" s="1" t="s">
        <v>1130</v>
      </c>
      <c r="D698" s="1" t="s">
        <v>1089</v>
      </c>
      <c r="E698" s="1" t="s">
        <v>1131</v>
      </c>
      <c r="F698" s="1" t="s">
        <v>112</v>
      </c>
      <c r="G698" s="1">
        <v>44990</v>
      </c>
    </row>
    <row r="699" spans="1:7" x14ac:dyDescent="0.35">
      <c r="A699" s="1" t="str">
        <f t="shared" si="10"/>
        <v>9</v>
      </c>
      <c r="B6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99" s="1" t="s">
        <v>1132</v>
      </c>
      <c r="D699" s="1" t="s">
        <v>1133</v>
      </c>
      <c r="E699" s="1" t="s">
        <v>1134</v>
      </c>
      <c r="F699" s="1" t="s">
        <v>112</v>
      </c>
      <c r="G699" s="1">
        <v>8976</v>
      </c>
    </row>
    <row r="700" spans="1:7" x14ac:dyDescent="0.35">
      <c r="A700" s="1" t="str">
        <f t="shared" si="10"/>
        <v>9</v>
      </c>
      <c r="B7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00" s="1" t="s">
        <v>1135</v>
      </c>
      <c r="D700" s="1" t="s">
        <v>762</v>
      </c>
      <c r="E700" s="1" t="s">
        <v>1136</v>
      </c>
      <c r="F700" s="1" t="s">
        <v>112</v>
      </c>
      <c r="G700" s="1">
        <v>141395</v>
      </c>
    </row>
    <row r="701" spans="1:7" x14ac:dyDescent="0.35">
      <c r="A701" s="1" t="str">
        <f t="shared" si="10"/>
        <v>9</v>
      </c>
      <c r="B7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01" s="1" t="s">
        <v>1137</v>
      </c>
      <c r="D701" s="1" t="s">
        <v>1138</v>
      </c>
      <c r="E701" s="1" t="s">
        <v>1139</v>
      </c>
      <c r="F701" s="1" t="s">
        <v>112</v>
      </c>
      <c r="G701" s="1">
        <v>242904</v>
      </c>
    </row>
    <row r="702" spans="1:7" x14ac:dyDescent="0.35">
      <c r="A702" s="1" t="str">
        <f t="shared" si="10"/>
        <v>9</v>
      </c>
      <c r="B7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02" s="1" t="s">
        <v>1140</v>
      </c>
      <c r="D702" s="1" t="s">
        <v>1141</v>
      </c>
      <c r="E702" s="1" t="s">
        <v>1142</v>
      </c>
      <c r="F702" s="1" t="s">
        <v>112</v>
      </c>
      <c r="G702" s="1">
        <v>103023</v>
      </c>
    </row>
    <row r="703" spans="1:7" x14ac:dyDescent="0.35">
      <c r="A703" s="1" t="str">
        <f t="shared" si="10"/>
        <v>9</v>
      </c>
      <c r="B7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03" s="1" t="s">
        <v>1143</v>
      </c>
      <c r="D703" s="1" t="s">
        <v>1144</v>
      </c>
      <c r="E703" s="1" t="s">
        <v>1145</v>
      </c>
      <c r="F703" s="1" t="s">
        <v>112</v>
      </c>
      <c r="G703" s="1">
        <v>233819</v>
      </c>
    </row>
    <row r="704" spans="1:7" x14ac:dyDescent="0.35">
      <c r="A704" s="1" t="str">
        <f t="shared" si="10"/>
        <v>9</v>
      </c>
      <c r="B7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04" s="1" t="s">
        <v>1146</v>
      </c>
      <c r="D704" s="1" t="s">
        <v>1147</v>
      </c>
      <c r="E704" s="1" t="s">
        <v>1148</v>
      </c>
      <c r="F704" s="1" t="s">
        <v>112</v>
      </c>
      <c r="G704" s="1">
        <v>144358</v>
      </c>
    </row>
    <row r="705" spans="1:10" x14ac:dyDescent="0.35">
      <c r="A705" s="1" t="str">
        <f t="shared" si="10"/>
        <v>9</v>
      </c>
      <c r="B7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05" s="1" t="s">
        <v>1149</v>
      </c>
      <c r="D705" s="1" t="s">
        <v>1150</v>
      </c>
      <c r="E705" s="1" t="s">
        <v>1151</v>
      </c>
      <c r="F705" s="1" t="s">
        <v>112</v>
      </c>
      <c r="G705" s="1">
        <v>125259</v>
      </c>
    </row>
    <row r="706" spans="1:10" x14ac:dyDescent="0.35">
      <c r="A706" s="1" t="str">
        <f t="shared" ref="A706:A769" si="11">IFERROR(LEFT(RIGHT(C706,LEN(C706)-SEARCH("@",C706)),SEARCH("/",RIGHT(C706,LEN(C706)-SEARCH("@",C706)-1))),"")</f>
        <v>9</v>
      </c>
      <c r="B7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06" s="1" t="s">
        <v>1152</v>
      </c>
      <c r="D706" s="1" t="s">
        <v>525</v>
      </c>
      <c r="E706" s="1" t="s">
        <v>1153</v>
      </c>
      <c r="F706" s="1" t="s">
        <v>112</v>
      </c>
      <c r="G706" s="1">
        <v>107674</v>
      </c>
    </row>
    <row r="707" spans="1:10" x14ac:dyDescent="0.35">
      <c r="A707" s="1" t="str">
        <f t="shared" si="11"/>
        <v>9</v>
      </c>
      <c r="B7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07" s="1" t="s">
        <v>1154</v>
      </c>
      <c r="D707" s="1" t="s">
        <v>1155</v>
      </c>
      <c r="E707" s="1" t="s">
        <v>1156</v>
      </c>
      <c r="F707" s="1" t="s">
        <v>112</v>
      </c>
      <c r="G707" s="1">
        <v>35149</v>
      </c>
    </row>
    <row r="708" spans="1:10" x14ac:dyDescent="0.35">
      <c r="A708" s="1" t="str">
        <f t="shared" si="11"/>
        <v>9</v>
      </c>
      <c r="B7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08" s="1" t="s">
        <v>1157</v>
      </c>
      <c r="D708" s="1" t="s">
        <v>461</v>
      </c>
      <c r="E708" s="1">
        <v>30</v>
      </c>
      <c r="F708" s="1" t="s">
        <v>112</v>
      </c>
      <c r="G708" s="1">
        <v>649</v>
      </c>
    </row>
    <row r="709" spans="1:10" x14ac:dyDescent="0.35">
      <c r="A709" s="1" t="str">
        <f t="shared" si="11"/>
        <v>9</v>
      </c>
      <c r="B7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09" s="1" t="s">
        <v>1158</v>
      </c>
      <c r="D709" s="1" t="s">
        <v>1159</v>
      </c>
      <c r="E709" s="1" t="s">
        <v>1160</v>
      </c>
      <c r="F709" s="1" t="s">
        <v>112</v>
      </c>
      <c r="G709" s="1">
        <v>237064</v>
      </c>
    </row>
    <row r="710" spans="1:10" x14ac:dyDescent="0.35">
      <c r="A710" s="1" t="str">
        <f t="shared" si="11"/>
        <v>9</v>
      </c>
      <c r="B7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10" s="1" t="s">
        <v>1161</v>
      </c>
      <c r="D710" s="1" t="s">
        <v>1162</v>
      </c>
      <c r="E710" s="1" t="s">
        <v>1163</v>
      </c>
      <c r="F710" s="1" t="s">
        <v>112</v>
      </c>
      <c r="G710" s="1">
        <v>212384</v>
      </c>
    </row>
    <row r="711" spans="1:10" x14ac:dyDescent="0.35">
      <c r="A711" s="1" t="str">
        <f t="shared" si="11"/>
        <v>9</v>
      </c>
      <c r="B7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11" s="1" t="s">
        <v>1164</v>
      </c>
      <c r="D711" s="1" t="s">
        <v>768</v>
      </c>
      <c r="E711" s="1" t="s">
        <v>1165</v>
      </c>
      <c r="F711" s="1" t="s">
        <v>112</v>
      </c>
      <c r="G711" s="1">
        <v>239681</v>
      </c>
    </row>
    <row r="712" spans="1:10" x14ac:dyDescent="0.35">
      <c r="A712" s="1" t="str">
        <f t="shared" si="11"/>
        <v>9</v>
      </c>
      <c r="B7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12" s="1" t="s">
        <v>1166</v>
      </c>
      <c r="D712" s="1" t="s">
        <v>518</v>
      </c>
      <c r="E712" s="1" t="s">
        <v>1167</v>
      </c>
      <c r="F712" s="1" t="s">
        <v>112</v>
      </c>
      <c r="G712" s="1">
        <v>299401</v>
      </c>
    </row>
    <row r="713" spans="1:10" x14ac:dyDescent="0.35">
      <c r="A713" s="1" t="str">
        <f t="shared" si="11"/>
        <v>9</v>
      </c>
      <c r="B7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13" s="1" t="s">
        <v>1168</v>
      </c>
      <c r="D713" s="1" t="s">
        <v>1169</v>
      </c>
      <c r="E713" s="1" t="s">
        <v>1170</v>
      </c>
      <c r="F713" s="1" t="s">
        <v>112</v>
      </c>
      <c r="G713" s="1">
        <v>3591</v>
      </c>
    </row>
    <row r="714" spans="1:10" x14ac:dyDescent="0.35">
      <c r="A714" s="1" t="str">
        <f t="shared" si="11"/>
        <v>9</v>
      </c>
      <c r="B7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14" s="1" t="s">
        <v>1171</v>
      </c>
      <c r="D714" s="1" t="s">
        <v>1172</v>
      </c>
      <c r="E714" s="1" t="s">
        <v>1173</v>
      </c>
      <c r="F714" s="1" t="s">
        <v>112</v>
      </c>
      <c r="G714" s="1">
        <v>275284</v>
      </c>
    </row>
    <row r="715" spans="1:10"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5" s="1" t="s">
        <v>112</v>
      </c>
    </row>
    <row r="716" spans="1:10"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6" s="1" t="s">
        <v>195</v>
      </c>
      <c r="D716" s="1" t="s">
        <v>112</v>
      </c>
      <c r="E716" s="1" t="s">
        <v>196</v>
      </c>
      <c r="F716" s="1" t="s">
        <v>197</v>
      </c>
      <c r="G716" s="1" t="s">
        <v>198</v>
      </c>
      <c r="H716" s="1" t="s">
        <v>199</v>
      </c>
      <c r="I716" s="1" t="s">
        <v>200</v>
      </c>
      <c r="J716" s="1" t="s">
        <v>201</v>
      </c>
    </row>
    <row r="717" spans="1:10" x14ac:dyDescent="0.35">
      <c r="A717" s="1" t="str">
        <f t="shared" si="11"/>
        <v>9</v>
      </c>
      <c r="B7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17" s="1" t="s">
        <v>1174</v>
      </c>
      <c r="D717" s="1" t="s">
        <v>112</v>
      </c>
      <c r="E717" s="1" t="s">
        <v>1175</v>
      </c>
      <c r="F717" s="1" t="s">
        <v>1176</v>
      </c>
      <c r="G717" s="1" t="s">
        <v>1177</v>
      </c>
      <c r="H717" s="1" t="s">
        <v>1178</v>
      </c>
      <c r="I717" s="1">
        <v>23</v>
      </c>
      <c r="J717" s="1">
        <v>24</v>
      </c>
    </row>
    <row r="718" spans="1:10"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8" s="1" t="s">
        <v>112</v>
      </c>
    </row>
    <row r="719" spans="1:10"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10"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74"/>
  <sheetViews>
    <sheetView showGridLines="0" topLeftCell="H1"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36" width="25.81640625" style="1" customWidth="1"/>
    <col min="37" max="37" width="25.81640625" style="1" bestFit="1" customWidth="1"/>
    <col min="38" max="16384" width="9.1796875" style="1"/>
  </cols>
  <sheetData>
    <row r="1" spans="1:37" ht="26.5" thickBot="1" x14ac:dyDescent="0.65">
      <c r="A1" s="225" t="s">
        <v>43</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38"/>
    </row>
    <row r="2" spans="1:37" ht="15" thickBot="1" x14ac:dyDescent="0.4"/>
    <row r="3" spans="1:37" ht="15" thickBot="1" x14ac:dyDescent="0.4">
      <c r="A3" s="153" t="s">
        <v>22</v>
      </c>
      <c r="B3" s="233" t="s">
        <v>6</v>
      </c>
      <c r="C3" s="234"/>
      <c r="D3" s="234"/>
      <c r="E3" s="234"/>
      <c r="F3" s="234"/>
      <c r="G3" s="234"/>
      <c r="H3" s="234"/>
      <c r="I3" s="234"/>
      <c r="J3" s="234"/>
      <c r="K3" s="234"/>
      <c r="L3" s="234"/>
      <c r="M3" s="234"/>
      <c r="O3" s="233" t="s">
        <v>3</v>
      </c>
      <c r="P3" s="234"/>
      <c r="Q3" s="234"/>
      <c r="R3" s="234"/>
      <c r="S3" s="234"/>
      <c r="T3" s="234"/>
      <c r="U3" s="234"/>
      <c r="V3" s="234"/>
      <c r="W3" s="234"/>
      <c r="X3" s="234"/>
      <c r="Y3" s="234"/>
      <c r="Z3" s="234"/>
      <c r="AA3" s="234"/>
      <c r="AB3" s="234"/>
      <c r="AC3" s="234"/>
      <c r="AD3" s="234"/>
      <c r="AE3" s="234"/>
      <c r="AF3" s="234"/>
      <c r="AG3" s="234"/>
      <c r="AH3" s="234"/>
      <c r="AI3" s="234"/>
      <c r="AJ3" s="234"/>
      <c r="AK3" s="239"/>
    </row>
    <row r="4" spans="1:37"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197" t="s">
        <v>1208</v>
      </c>
      <c r="J4" s="197" t="s">
        <v>1209</v>
      </c>
      <c r="K4" s="197" t="s">
        <v>1210</v>
      </c>
      <c r="L4" s="197" t="s">
        <v>1211</v>
      </c>
      <c r="M4" s="197" t="s">
        <v>1212</v>
      </c>
      <c r="N4" s="3"/>
      <c r="O4" s="36" t="str">
        <f>'Page de garde'!A36</f>
        <v>Testo -30µg/L</v>
      </c>
      <c r="P4" s="36" t="str">
        <f>'Page de garde'!A37</f>
        <v>Testo 30µg/L + EE2 -64ng/L</v>
      </c>
      <c r="Q4" s="36" t="str">
        <f>'Page de garde'!A38</f>
        <v>Testo 30µg/L + FAD-10mg/L</v>
      </c>
      <c r="R4" s="36" t="str">
        <f>'Page de garde'!A39</f>
        <v>BPA-1mg/L + Testostérone</v>
      </c>
      <c r="S4" s="36" t="str">
        <f>'Page de garde'!A40</f>
        <v>BPA-2mg/L + Testostérone</v>
      </c>
      <c r="T4" s="36" t="str">
        <f>'Page de garde'!A41</f>
        <v>BPA-3mg/L + Testostérone</v>
      </c>
      <c r="U4" s="36" t="str">
        <f>'Page de garde'!A42</f>
        <v>BPA-4mg/L + Testostérone</v>
      </c>
      <c r="V4" s="36" t="str">
        <f>'Page de garde'!A43</f>
        <v>BPA-5mg/L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35">
      <c r="A5" s="235" t="s">
        <v>33</v>
      </c>
      <c r="B5" s="196">
        <v>186788.66666666666</v>
      </c>
      <c r="C5" s="196">
        <v>182318.33333333334</v>
      </c>
      <c r="D5" s="196">
        <v>30678.666666666668</v>
      </c>
      <c r="E5" s="196">
        <v>159239.33333333334</v>
      </c>
      <c r="F5" s="196">
        <v>571389.66666666663</v>
      </c>
      <c r="G5" s="196">
        <v>2933893.6666666665</v>
      </c>
      <c r="H5" s="196">
        <v>4452795</v>
      </c>
      <c r="I5" s="196">
        <v>218851.33333333334</v>
      </c>
      <c r="J5" s="196">
        <v>91588.333333333328</v>
      </c>
      <c r="K5" s="196">
        <v>40000.666666666664</v>
      </c>
      <c r="L5" s="196">
        <v>446203</v>
      </c>
      <c r="M5" s="196">
        <v>2089614</v>
      </c>
      <c r="N5" s="3"/>
      <c r="O5" s="196">
        <v>422215.66666666669</v>
      </c>
      <c r="P5" s="196">
        <v>3171721.3333333335</v>
      </c>
      <c r="Q5" s="196">
        <v>272082</v>
      </c>
      <c r="R5" s="196">
        <v>3212508.3333333335</v>
      </c>
      <c r="S5" s="196"/>
      <c r="T5" s="196">
        <v>4726348.333333333</v>
      </c>
      <c r="U5" s="196">
        <v>4638877.333333333</v>
      </c>
      <c r="V5" s="196">
        <v>2315595.3333333335</v>
      </c>
      <c r="W5" s="32"/>
      <c r="X5" s="32"/>
      <c r="Y5" s="32"/>
      <c r="Z5" s="32"/>
      <c r="AA5" s="32"/>
      <c r="AB5" s="32"/>
      <c r="AC5" s="32"/>
      <c r="AD5" s="32"/>
      <c r="AE5" s="32"/>
      <c r="AF5" s="32"/>
      <c r="AG5" s="32"/>
      <c r="AH5" s="32"/>
      <c r="AI5" s="32"/>
      <c r="AJ5" s="32"/>
      <c r="AK5" s="32"/>
    </row>
    <row r="6" spans="1:37" x14ac:dyDescent="0.35">
      <c r="A6" s="235"/>
      <c r="B6" s="196">
        <v>285796</v>
      </c>
      <c r="C6" s="196">
        <v>33663.666666666664</v>
      </c>
      <c r="D6" s="196">
        <v>643489.33333333337</v>
      </c>
      <c r="E6" s="196">
        <v>929609.33333333337</v>
      </c>
      <c r="F6" s="196">
        <v>2308530</v>
      </c>
      <c r="G6" s="196">
        <v>3693218</v>
      </c>
      <c r="H6" s="196">
        <v>3993376</v>
      </c>
      <c r="I6" s="196">
        <v>105172</v>
      </c>
      <c r="J6" s="196">
        <v>134631.66666666666</v>
      </c>
      <c r="K6" s="196">
        <v>409245</v>
      </c>
      <c r="L6" s="196">
        <v>72020.333333333328</v>
      </c>
      <c r="M6" s="196">
        <v>1390139</v>
      </c>
      <c r="N6" s="3"/>
      <c r="O6" s="196">
        <v>1704209</v>
      </c>
      <c r="P6" s="196">
        <v>4704920.333333333</v>
      </c>
      <c r="Q6" s="196">
        <v>202218</v>
      </c>
      <c r="R6" s="196">
        <v>1255132</v>
      </c>
      <c r="S6" s="196"/>
      <c r="T6" s="196">
        <v>3533805.6666666665</v>
      </c>
      <c r="U6" s="196">
        <v>4240584</v>
      </c>
      <c r="V6" s="196">
        <v>3559343.3333333335</v>
      </c>
      <c r="W6" s="32"/>
      <c r="X6" s="32"/>
      <c r="Y6" s="32"/>
      <c r="Z6" s="32"/>
      <c r="AA6" s="32"/>
      <c r="AB6" s="32"/>
      <c r="AC6" s="32"/>
      <c r="AD6" s="32"/>
      <c r="AE6" s="32"/>
      <c r="AF6" s="32"/>
      <c r="AG6" s="32"/>
      <c r="AH6" s="32"/>
      <c r="AI6" s="32"/>
      <c r="AJ6" s="32"/>
      <c r="AK6" s="32"/>
    </row>
    <row r="7" spans="1:37" x14ac:dyDescent="0.35">
      <c r="A7" s="235"/>
      <c r="B7" s="196">
        <v>241616.5</v>
      </c>
      <c r="C7" s="196">
        <v>132259.33333333334</v>
      </c>
      <c r="D7" s="196">
        <v>149952.66666666666</v>
      </c>
      <c r="E7" s="196">
        <v>463802.66666666669</v>
      </c>
      <c r="F7" s="196">
        <v>2311652</v>
      </c>
      <c r="G7" s="196">
        <v>3003181</v>
      </c>
      <c r="H7" s="196">
        <v>2346483</v>
      </c>
      <c r="I7" s="196">
        <v>237251</v>
      </c>
      <c r="J7" s="196">
        <v>17988.666666666668</v>
      </c>
      <c r="K7" s="196">
        <v>15292.333333333334</v>
      </c>
      <c r="L7" s="196">
        <v>1741001</v>
      </c>
      <c r="M7" s="196">
        <v>2273842.6666666665</v>
      </c>
      <c r="N7" s="3"/>
      <c r="O7" s="196">
        <v>1350585</v>
      </c>
      <c r="P7" s="196">
        <v>4637096.333333333</v>
      </c>
      <c r="Q7" s="196">
        <v>154653.66666666666</v>
      </c>
      <c r="R7" s="196">
        <v>279783</v>
      </c>
      <c r="S7" s="196"/>
      <c r="T7" s="196">
        <v>2706440.6666666665</v>
      </c>
      <c r="U7" s="196">
        <v>5028453</v>
      </c>
      <c r="V7" s="196">
        <v>4223799.333333333</v>
      </c>
      <c r="W7" s="32"/>
      <c r="X7" s="32"/>
      <c r="Y7" s="32"/>
      <c r="Z7" s="32"/>
      <c r="AA7" s="32"/>
      <c r="AB7" s="32"/>
      <c r="AC7" s="32"/>
      <c r="AD7" s="32"/>
      <c r="AE7" s="32"/>
      <c r="AF7" s="32"/>
      <c r="AG7" s="32"/>
      <c r="AH7" s="32"/>
      <c r="AI7" s="32"/>
      <c r="AJ7" s="32"/>
      <c r="AK7" s="32"/>
    </row>
    <row r="8" spans="1:37" x14ac:dyDescent="0.35">
      <c r="A8" s="235"/>
      <c r="B8" s="196"/>
      <c r="C8" s="196">
        <v>219925.33333333334</v>
      </c>
      <c r="D8" s="196">
        <v>152794</v>
      </c>
      <c r="E8" s="196">
        <v>1012956.6666666666</v>
      </c>
      <c r="F8" s="196">
        <v>4124258.3333333335</v>
      </c>
      <c r="G8" s="196">
        <v>1289149</v>
      </c>
      <c r="H8" s="196">
        <v>4714783.333333333</v>
      </c>
      <c r="I8" s="196">
        <v>197801</v>
      </c>
      <c r="J8" s="196">
        <v>162440.66666666666</v>
      </c>
      <c r="K8" s="196">
        <v>117118.66666666667</v>
      </c>
      <c r="L8" s="196">
        <v>1513501.3333333333</v>
      </c>
      <c r="M8" s="196">
        <v>1546992</v>
      </c>
      <c r="N8" s="3"/>
      <c r="O8" s="196">
        <v>3397948.3333333335</v>
      </c>
      <c r="P8" s="196">
        <v>3897281.6666666665</v>
      </c>
      <c r="Q8" s="196">
        <v>68083.666666666672</v>
      </c>
      <c r="R8" s="196">
        <v>168511</v>
      </c>
      <c r="S8" s="196">
        <v>3793646</v>
      </c>
      <c r="T8" s="196">
        <v>4377530</v>
      </c>
      <c r="U8" s="196">
        <v>3551423.5</v>
      </c>
      <c r="V8" s="196">
        <v>3943403.6666666665</v>
      </c>
      <c r="W8" s="32"/>
      <c r="X8" s="32"/>
      <c r="Y8" s="32"/>
      <c r="Z8" s="32"/>
      <c r="AA8" s="32"/>
      <c r="AB8" s="32"/>
      <c r="AC8" s="32"/>
      <c r="AD8" s="32"/>
      <c r="AE8" s="32"/>
      <c r="AF8" s="32"/>
      <c r="AG8" s="32"/>
      <c r="AH8" s="32"/>
      <c r="AI8" s="32"/>
      <c r="AJ8" s="32"/>
      <c r="AK8" s="32"/>
    </row>
    <row r="9" spans="1:37" x14ac:dyDescent="0.35">
      <c r="A9" s="235"/>
      <c r="B9" s="196">
        <v>35285.666666666664</v>
      </c>
      <c r="C9" s="196">
        <v>710434</v>
      </c>
      <c r="D9" s="196">
        <v>402186.33333333331</v>
      </c>
      <c r="E9" s="196">
        <v>414998.66666666669</v>
      </c>
      <c r="F9" s="196">
        <v>2195729.6666666665</v>
      </c>
      <c r="G9" s="196">
        <v>5059001.333333333</v>
      </c>
      <c r="H9" s="196"/>
      <c r="I9" s="196">
        <v>146701</v>
      </c>
      <c r="J9" s="196">
        <v>167812</v>
      </c>
      <c r="K9" s="196">
        <v>312076.33333333331</v>
      </c>
      <c r="L9" s="196">
        <v>622933.66666666663</v>
      </c>
      <c r="M9" s="196">
        <v>1784650</v>
      </c>
      <c r="N9" s="3"/>
      <c r="O9" s="196">
        <v>836276.66666666663</v>
      </c>
      <c r="P9" s="196">
        <v>4072563</v>
      </c>
      <c r="Q9" s="196">
        <v>27870</v>
      </c>
      <c r="R9" s="196">
        <v>3203329.6666666665</v>
      </c>
      <c r="S9" s="196">
        <v>3286107.3333333335</v>
      </c>
      <c r="T9" s="196">
        <v>3723629.6666666665</v>
      </c>
      <c r="U9" s="196">
        <v>671</v>
      </c>
      <c r="V9" s="196">
        <v>3275199</v>
      </c>
      <c r="W9" s="32"/>
      <c r="X9" s="32"/>
      <c r="Y9" s="32"/>
      <c r="Z9" s="32"/>
      <c r="AA9" s="32"/>
      <c r="AB9" s="32"/>
      <c r="AC9" s="32"/>
      <c r="AD9" s="32"/>
      <c r="AE9" s="32"/>
      <c r="AF9" s="32"/>
      <c r="AG9" s="32"/>
      <c r="AH9" s="32"/>
      <c r="AI9" s="32"/>
      <c r="AJ9" s="32"/>
      <c r="AK9" s="32"/>
    </row>
    <row r="10" spans="1:37" x14ac:dyDescent="0.35">
      <c r="A10" s="235"/>
      <c r="B10" s="196">
        <v>13919</v>
      </c>
      <c r="C10" s="196">
        <v>582623</v>
      </c>
      <c r="D10" s="196">
        <v>152981.33333333334</v>
      </c>
      <c r="E10" s="196">
        <v>1028717.6666666666</v>
      </c>
      <c r="F10" s="196">
        <v>1511576.3333333333</v>
      </c>
      <c r="G10" s="196">
        <v>4806025.666666667</v>
      </c>
      <c r="H10" s="196">
        <v>3322460</v>
      </c>
      <c r="I10" s="196">
        <v>67471</v>
      </c>
      <c r="J10" s="196">
        <v>47824</v>
      </c>
      <c r="K10" s="196">
        <v>59792.333333333336</v>
      </c>
      <c r="L10" s="196">
        <v>1111604</v>
      </c>
      <c r="M10" s="196"/>
      <c r="N10" s="3"/>
      <c r="O10" s="196">
        <v>1452368</v>
      </c>
      <c r="P10" s="196">
        <v>2518685.6666666665</v>
      </c>
      <c r="Q10" s="196">
        <v>122886.33333333333</v>
      </c>
      <c r="R10" s="196">
        <v>1829009.6666666667</v>
      </c>
      <c r="S10" s="196">
        <v>2382497</v>
      </c>
      <c r="T10" s="196">
        <v>2108814</v>
      </c>
      <c r="U10" s="196">
        <v>3418540</v>
      </c>
      <c r="V10" s="196">
        <v>2030744.3333333333</v>
      </c>
      <c r="W10" s="32"/>
      <c r="X10" s="32"/>
      <c r="Y10" s="32"/>
      <c r="Z10" s="32"/>
      <c r="AA10" s="32"/>
      <c r="AB10" s="32"/>
      <c r="AC10" s="32"/>
      <c r="AD10" s="32"/>
      <c r="AE10" s="32"/>
      <c r="AF10" s="32"/>
      <c r="AG10" s="32"/>
      <c r="AH10" s="32"/>
      <c r="AI10" s="32"/>
      <c r="AJ10" s="32"/>
      <c r="AK10" s="32"/>
    </row>
    <row r="11" spans="1:37" x14ac:dyDescent="0.35">
      <c r="A11" s="235"/>
      <c r="B11" s="196">
        <v>40231.666666666664</v>
      </c>
      <c r="C11" s="196">
        <v>279746.66666666669</v>
      </c>
      <c r="D11" s="196">
        <v>369229.66666666669</v>
      </c>
      <c r="E11" s="196">
        <v>2110270.3333333335</v>
      </c>
      <c r="F11" s="196">
        <v>1713469.6666666667</v>
      </c>
      <c r="G11" s="196">
        <v>2120941</v>
      </c>
      <c r="H11" s="196">
        <v>4618415.333333333</v>
      </c>
      <c r="I11" s="196">
        <v>237518</v>
      </c>
      <c r="J11" s="196">
        <v>229709.66666666666</v>
      </c>
      <c r="K11" s="196">
        <v>226169.33333333334</v>
      </c>
      <c r="L11" s="196">
        <v>1096441</v>
      </c>
      <c r="M11" s="196"/>
      <c r="N11" s="3"/>
      <c r="O11" s="196">
        <v>1731192</v>
      </c>
      <c r="P11" s="196">
        <v>3911334</v>
      </c>
      <c r="Q11" s="196">
        <v>57247</v>
      </c>
      <c r="R11" s="196">
        <v>3102390</v>
      </c>
      <c r="S11" s="196">
        <v>3417430</v>
      </c>
      <c r="T11" s="196">
        <v>5087070</v>
      </c>
      <c r="U11" s="196">
        <v>3582415.3333333335</v>
      </c>
      <c r="V11" s="196">
        <v>5774691.666666667</v>
      </c>
      <c r="W11" s="32"/>
      <c r="X11" s="32"/>
      <c r="Y11" s="32"/>
      <c r="Z11" s="32"/>
      <c r="AA11" s="32"/>
      <c r="AB11" s="32"/>
      <c r="AC11" s="32"/>
      <c r="AD11" s="32"/>
      <c r="AE11" s="32"/>
      <c r="AF11" s="32"/>
      <c r="AG11" s="32"/>
      <c r="AH11" s="32"/>
      <c r="AI11" s="32"/>
      <c r="AJ11" s="32"/>
      <c r="AK11" s="32"/>
    </row>
    <row r="12" spans="1:37" x14ac:dyDescent="0.35">
      <c r="A12" s="235"/>
      <c r="B12" s="196">
        <v>179347.66666666666</v>
      </c>
      <c r="C12" s="196">
        <v>411227.66666666669</v>
      </c>
      <c r="D12" s="196">
        <v>98207</v>
      </c>
      <c r="E12" s="196">
        <v>417795.66666666669</v>
      </c>
      <c r="F12" s="196">
        <v>3282920.6666666665</v>
      </c>
      <c r="G12" s="196">
        <v>3838052</v>
      </c>
      <c r="H12" s="196">
        <v>3175996.6666666665</v>
      </c>
      <c r="I12" s="196">
        <v>341478.33333333331</v>
      </c>
      <c r="J12" s="196">
        <v>192758.66666666666</v>
      </c>
      <c r="K12" s="196">
        <v>230063</v>
      </c>
      <c r="L12" s="196">
        <v>1904825.5</v>
      </c>
      <c r="M12" s="196"/>
      <c r="N12" s="3"/>
      <c r="O12" s="196">
        <v>3280425.6666666665</v>
      </c>
      <c r="P12" s="196">
        <v>4231644</v>
      </c>
      <c r="Q12" s="196">
        <v>202109.5</v>
      </c>
      <c r="R12" s="196">
        <v>1615457.3333333333</v>
      </c>
      <c r="S12" s="196"/>
      <c r="T12" s="196">
        <v>3376610.5</v>
      </c>
      <c r="U12" s="196">
        <v>2566452</v>
      </c>
      <c r="V12" s="196">
        <v>1758373.3333333333</v>
      </c>
      <c r="W12" s="32"/>
      <c r="X12" s="32"/>
      <c r="Y12" s="32"/>
      <c r="Z12" s="32"/>
      <c r="AA12" s="32"/>
      <c r="AB12" s="32"/>
      <c r="AC12" s="32"/>
      <c r="AD12" s="32"/>
      <c r="AE12" s="32"/>
      <c r="AF12" s="32"/>
      <c r="AG12" s="32"/>
      <c r="AH12" s="32"/>
      <c r="AI12" s="32"/>
      <c r="AJ12" s="32"/>
      <c r="AK12" s="32"/>
    </row>
    <row r="13" spans="1:37" ht="16.5" x14ac:dyDescent="0.35">
      <c r="A13" s="235"/>
      <c r="B13" s="14"/>
      <c r="C13" s="13"/>
      <c r="D13" s="32"/>
      <c r="E13" s="32"/>
      <c r="F13" s="32"/>
      <c r="G13" s="32"/>
      <c r="H13" s="32"/>
      <c r="I13" s="32"/>
      <c r="J13" s="32"/>
      <c r="K13" s="13"/>
      <c r="L13" s="13"/>
      <c r="M13" s="13"/>
      <c r="N13" s="3"/>
      <c r="O13" s="196">
        <v>863645.66666666663</v>
      </c>
      <c r="P13" s="13"/>
      <c r="Q13" s="13"/>
      <c r="R13" s="32"/>
      <c r="S13" s="32"/>
      <c r="T13" s="32"/>
      <c r="U13" s="32"/>
      <c r="V13" s="32"/>
      <c r="W13" s="32"/>
      <c r="X13" s="32"/>
      <c r="Y13" s="32"/>
      <c r="Z13" s="32"/>
      <c r="AA13" s="32"/>
      <c r="AB13" s="32"/>
      <c r="AC13" s="32"/>
      <c r="AD13" s="32"/>
      <c r="AE13" s="32"/>
      <c r="AF13" s="32"/>
      <c r="AG13" s="32"/>
      <c r="AH13" s="32"/>
      <c r="AI13" s="32"/>
      <c r="AJ13" s="32"/>
      <c r="AK13" s="32"/>
    </row>
    <row r="14" spans="1:37" ht="16.5" x14ac:dyDescent="0.35">
      <c r="A14" s="235"/>
      <c r="B14" s="14"/>
      <c r="C14" s="32"/>
      <c r="D14" s="32"/>
      <c r="E14" s="32"/>
      <c r="F14" s="32"/>
      <c r="G14" s="32"/>
      <c r="H14" s="32"/>
      <c r="I14" s="32"/>
      <c r="J14" s="32"/>
      <c r="K14" s="13"/>
      <c r="L14" s="13"/>
      <c r="M14" s="13"/>
      <c r="N14" s="3"/>
      <c r="O14" s="196">
        <v>2295753.6666666665</v>
      </c>
      <c r="P14" s="13"/>
      <c r="Q14" s="13"/>
      <c r="R14" s="32"/>
      <c r="S14" s="32"/>
      <c r="T14" s="32"/>
      <c r="U14" s="32"/>
      <c r="V14" s="32"/>
      <c r="W14" s="32"/>
      <c r="X14" s="32"/>
      <c r="Y14" s="32"/>
      <c r="Z14" s="32"/>
      <c r="AA14" s="32"/>
      <c r="AB14" s="32"/>
      <c r="AC14" s="32"/>
      <c r="AD14" s="32"/>
      <c r="AE14" s="32"/>
      <c r="AF14" s="32"/>
      <c r="AG14" s="32"/>
      <c r="AH14" s="32"/>
      <c r="AI14" s="32"/>
      <c r="AJ14" s="32"/>
      <c r="AK14" s="32"/>
    </row>
    <row r="15" spans="1:37" ht="16.5" x14ac:dyDescent="0.35">
      <c r="A15" s="235"/>
      <c r="B15" s="14"/>
      <c r="C15" s="32"/>
      <c r="D15" s="32"/>
      <c r="E15" s="32"/>
      <c r="F15" s="32"/>
      <c r="G15" s="32"/>
      <c r="H15" s="32"/>
      <c r="I15" s="32"/>
      <c r="J15" s="32"/>
      <c r="K15" s="13"/>
      <c r="L15" s="13"/>
      <c r="M15" s="13"/>
      <c r="N15" s="3"/>
      <c r="O15" s="196">
        <v>2210741.3333333335</v>
      </c>
      <c r="P15" s="13"/>
      <c r="Q15" s="13"/>
      <c r="R15" s="32"/>
      <c r="S15" s="32"/>
      <c r="T15" s="32"/>
      <c r="U15" s="32"/>
      <c r="V15" s="32"/>
      <c r="W15" s="32"/>
      <c r="X15" s="32"/>
      <c r="Y15" s="32"/>
      <c r="Z15" s="32"/>
      <c r="AA15" s="32"/>
      <c r="AB15" s="32"/>
      <c r="AC15" s="32"/>
      <c r="AD15" s="32"/>
      <c r="AE15" s="32"/>
      <c r="AF15" s="32"/>
      <c r="AG15" s="32"/>
      <c r="AH15" s="32"/>
      <c r="AI15" s="32"/>
      <c r="AJ15" s="32"/>
      <c r="AK15" s="32"/>
    </row>
    <row r="16" spans="1:37" ht="16.5" x14ac:dyDescent="0.35">
      <c r="A16" s="235"/>
      <c r="B16" s="14"/>
      <c r="C16" s="32"/>
      <c r="D16" s="32"/>
      <c r="E16" s="32"/>
      <c r="F16" s="32"/>
      <c r="G16" s="32"/>
      <c r="H16" s="32"/>
      <c r="I16" s="32"/>
      <c r="J16" s="32"/>
      <c r="K16" s="13"/>
      <c r="L16" s="13"/>
      <c r="M16" s="13"/>
      <c r="N16" s="3"/>
      <c r="O16" s="196">
        <v>4224956.5</v>
      </c>
      <c r="P16" s="13"/>
      <c r="Q16" s="13"/>
      <c r="R16" s="32"/>
      <c r="S16" s="32"/>
      <c r="T16" s="32"/>
      <c r="U16" s="32"/>
      <c r="V16" s="32"/>
      <c r="W16" s="32"/>
      <c r="X16" s="32"/>
      <c r="Y16" s="32"/>
      <c r="Z16" s="32"/>
      <c r="AA16" s="32"/>
      <c r="AB16" s="32"/>
      <c r="AC16" s="32"/>
      <c r="AD16" s="32"/>
      <c r="AE16" s="32"/>
      <c r="AF16" s="32"/>
      <c r="AG16" s="32"/>
      <c r="AH16" s="32"/>
      <c r="AI16" s="32"/>
      <c r="AJ16" s="32"/>
      <c r="AK16" s="32"/>
    </row>
    <row r="17" spans="1:37" ht="16.5" x14ac:dyDescent="0.35">
      <c r="A17" s="235"/>
      <c r="B17" s="14"/>
      <c r="C17" s="32"/>
      <c r="D17" s="32"/>
      <c r="E17" s="32"/>
      <c r="F17" s="32"/>
      <c r="G17" s="32"/>
      <c r="H17" s="32"/>
      <c r="I17" s="32"/>
      <c r="J17" s="32"/>
      <c r="K17" s="13"/>
      <c r="L17" s="13"/>
      <c r="M17" s="13"/>
      <c r="N17" s="3"/>
      <c r="O17" s="196">
        <v>2149283.3333333335</v>
      </c>
      <c r="P17" s="13"/>
      <c r="Q17" s="13"/>
      <c r="R17" s="32"/>
      <c r="S17" s="32"/>
      <c r="T17" s="32"/>
      <c r="U17" s="32"/>
      <c r="V17" s="32"/>
      <c r="W17" s="32"/>
      <c r="X17" s="32"/>
      <c r="Y17" s="32"/>
      <c r="Z17" s="32"/>
      <c r="AA17" s="32"/>
      <c r="AB17" s="32"/>
      <c r="AC17" s="32"/>
      <c r="AD17" s="32"/>
      <c r="AE17" s="32"/>
      <c r="AF17" s="32"/>
      <c r="AG17" s="32"/>
      <c r="AH17" s="32"/>
      <c r="AI17" s="32"/>
      <c r="AJ17" s="32"/>
      <c r="AK17" s="32"/>
    </row>
    <row r="18" spans="1:37" ht="16.5" x14ac:dyDescent="0.35">
      <c r="A18" s="235"/>
      <c r="B18" s="14"/>
      <c r="C18" s="32"/>
      <c r="D18" s="32"/>
      <c r="E18" s="32"/>
      <c r="F18" s="32"/>
      <c r="G18" s="32"/>
      <c r="H18" s="32"/>
      <c r="I18" s="32"/>
      <c r="J18" s="32"/>
      <c r="K18" s="13"/>
      <c r="L18" s="13"/>
      <c r="M18" s="13"/>
      <c r="N18" s="3"/>
      <c r="O18" s="196">
        <v>1940619.6666666667</v>
      </c>
      <c r="P18" s="13"/>
      <c r="Q18" s="13"/>
      <c r="R18" s="32"/>
      <c r="S18" s="32"/>
      <c r="T18" s="32"/>
      <c r="U18" s="32"/>
      <c r="V18" s="32"/>
      <c r="W18" s="32"/>
      <c r="X18" s="32"/>
      <c r="Y18" s="32"/>
      <c r="Z18" s="32"/>
      <c r="AA18" s="32"/>
      <c r="AB18" s="32"/>
      <c r="AC18" s="32"/>
      <c r="AD18" s="32"/>
      <c r="AE18" s="32"/>
      <c r="AF18" s="32"/>
      <c r="AG18" s="32"/>
      <c r="AH18" s="32"/>
      <c r="AI18" s="32"/>
      <c r="AJ18" s="32"/>
      <c r="AK18" s="32"/>
    </row>
    <row r="19" spans="1:37" ht="16.5" x14ac:dyDescent="0.35">
      <c r="A19" s="235"/>
      <c r="B19" s="14"/>
      <c r="C19" s="32"/>
      <c r="D19" s="32"/>
      <c r="E19" s="32"/>
      <c r="F19" s="32"/>
      <c r="G19" s="32"/>
      <c r="H19" s="32"/>
      <c r="I19" s="32"/>
      <c r="J19" s="32"/>
      <c r="K19" s="13"/>
      <c r="L19" s="13"/>
      <c r="M19" s="13"/>
      <c r="N19" s="3"/>
      <c r="O19" s="196">
        <v>1695805.3333333333</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35">
      <c r="A20" s="235"/>
      <c r="B20" s="14"/>
      <c r="C20" s="32"/>
      <c r="D20" s="32"/>
      <c r="E20" s="32"/>
      <c r="F20" s="32"/>
      <c r="G20" s="32"/>
      <c r="H20" s="32"/>
      <c r="I20" s="32"/>
      <c r="J20" s="32"/>
      <c r="K20" s="13"/>
      <c r="L20" s="13"/>
      <c r="M20" s="13"/>
      <c r="N20" s="3"/>
      <c r="O20" s="196">
        <v>390160</v>
      </c>
      <c r="P20" s="13"/>
      <c r="Q20" s="13"/>
      <c r="R20" s="32"/>
      <c r="S20" s="32"/>
      <c r="T20" s="32"/>
      <c r="U20" s="32"/>
      <c r="V20" s="32"/>
      <c r="W20" s="32"/>
      <c r="X20" s="32"/>
      <c r="Y20" s="32"/>
      <c r="Z20" s="32"/>
      <c r="AA20" s="32"/>
      <c r="AB20" s="32"/>
      <c r="AC20" s="32"/>
      <c r="AD20" s="32"/>
      <c r="AE20" s="32"/>
      <c r="AF20" s="32"/>
      <c r="AG20" s="32"/>
      <c r="AH20" s="32"/>
      <c r="AI20" s="32"/>
      <c r="AJ20" s="32"/>
      <c r="AK20" s="32"/>
    </row>
    <row r="21" spans="1:37" x14ac:dyDescent="0.3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35">
      <c r="A22" s="3" t="str">
        <f>A4</f>
        <v>Noms des groupes</v>
      </c>
      <c r="B22" s="3" t="str">
        <f t="shared" ref="B22:AK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BPA-1mg/L</v>
      </c>
      <c r="J22" s="3" t="str">
        <f t="shared" si="0"/>
        <v>BPA-2mg/L</v>
      </c>
      <c r="K22" s="3" t="str">
        <f t="shared" si="0"/>
        <v>BPA-3mg/L</v>
      </c>
      <c r="L22" s="3" t="str">
        <f t="shared" si="0"/>
        <v>BPA-4mg/L</v>
      </c>
      <c r="M22" s="3" t="str">
        <f t="shared" si="0"/>
        <v>BPA-5mg/L</v>
      </c>
      <c r="N22" s="3" t="s">
        <v>41</v>
      </c>
      <c r="O22" s="3" t="str">
        <f t="shared" si="0"/>
        <v>Testo -30µg/L</v>
      </c>
      <c r="P22" s="3" t="str">
        <f t="shared" si="0"/>
        <v>Testo 30µg/L + EE2 -64ng/L</v>
      </c>
      <c r="Q22" s="3" t="str">
        <f t="shared" si="0"/>
        <v>Testo 30µg/L + FAD-10mg/L</v>
      </c>
      <c r="R22" s="3" t="str">
        <f t="shared" si="0"/>
        <v>BPA-1mg/L + Testostérone</v>
      </c>
      <c r="S22" s="3" t="str">
        <f t="shared" si="0"/>
        <v>BPA-2mg/L + Testostérone</v>
      </c>
      <c r="T22" s="3" t="str">
        <f t="shared" si="0"/>
        <v>BPA-3mg/L + Testostérone</v>
      </c>
      <c r="U22" s="3" t="str">
        <f t="shared" si="0"/>
        <v>BPA-4mg/L + Testostérone</v>
      </c>
      <c r="V22" s="3" t="str">
        <f t="shared" si="0"/>
        <v>BPA-5mg/L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si="0"/>
        <v>0-00 + Testostérone</v>
      </c>
      <c r="AF22" s="3" t="str">
        <f t="shared" si="0"/>
        <v>0-00 + Testostérone</v>
      </c>
      <c r="AG22" s="3" t="str">
        <f t="shared" si="0"/>
        <v>0-00 + Testostérone</v>
      </c>
      <c r="AH22" s="3" t="str">
        <f t="shared" si="0"/>
        <v>0-00 + Testostérone</v>
      </c>
      <c r="AI22" s="3" t="str">
        <f t="shared" si="0"/>
        <v>0-00 + Testostérone</v>
      </c>
      <c r="AJ22" s="3" t="str">
        <f t="shared" si="0"/>
        <v>0-00 + Testostérone</v>
      </c>
      <c r="AK22" s="3" t="str">
        <f t="shared" si="0"/>
        <v>0-00 + Testostérone</v>
      </c>
    </row>
    <row r="23" spans="1:37" x14ac:dyDescent="0.35">
      <c r="A23" s="5" t="s">
        <v>0</v>
      </c>
      <c r="B23" s="5">
        <f t="shared" ref="B23:J23" si="1">AVERAGE(B5:B20)</f>
        <v>140426.45238095237</v>
      </c>
      <c r="C23" s="5">
        <f t="shared" si="1"/>
        <v>319024.75</v>
      </c>
      <c r="D23" s="5">
        <f t="shared" si="1"/>
        <v>249939.875</v>
      </c>
      <c r="E23" s="5">
        <f t="shared" si="1"/>
        <v>817173.79166666663</v>
      </c>
      <c r="F23" s="5">
        <f t="shared" si="1"/>
        <v>2252440.7916666665</v>
      </c>
      <c r="G23" s="5">
        <f t="shared" si="1"/>
        <v>3342932.7083333335</v>
      </c>
      <c r="H23" s="5">
        <f t="shared" si="1"/>
        <v>3803472.7619047617</v>
      </c>
      <c r="I23" s="5">
        <f t="shared" si="1"/>
        <v>194030.45833333334</v>
      </c>
      <c r="J23" s="5">
        <f t="shared" si="1"/>
        <v>130594.20833333331</v>
      </c>
      <c r="K23" s="5"/>
      <c r="L23" s="5">
        <f>AVERAGE(L5:L20)</f>
        <v>1063566.2291666667</v>
      </c>
      <c r="M23" s="5"/>
      <c r="N23" s="5" t="s">
        <v>0</v>
      </c>
      <c r="O23" s="5">
        <f>AVERAGE(O5:O20)</f>
        <v>1871636.6145833333</v>
      </c>
      <c r="P23" s="5">
        <f>AVERAGE(P5:P20)</f>
        <v>3893155.7916666665</v>
      </c>
      <c r="Q23" s="5">
        <f>AVERAGE(Q5:Q20)</f>
        <v>138393.77083333331</v>
      </c>
      <c r="R23" s="5">
        <f>AVERAGE(R5:R20)</f>
        <v>1833265.125</v>
      </c>
      <c r="S23" s="5">
        <f>AVERAGE(S5:S20)</f>
        <v>3219920.0833333335</v>
      </c>
      <c r="T23" s="5">
        <f t="shared" ref="T23:AK23" si="2">AVERAGE(T5:T20)</f>
        <v>3705031.1041666665</v>
      </c>
      <c r="U23" s="5">
        <f t="shared" si="2"/>
        <v>3378427.020833333</v>
      </c>
      <c r="V23" s="5">
        <f t="shared" si="2"/>
        <v>3360143.7499999995</v>
      </c>
      <c r="W23" s="5" t="e">
        <f t="shared" si="2"/>
        <v>#DIV/0!</v>
      </c>
      <c r="X23" s="5" t="e">
        <f t="shared" si="2"/>
        <v>#DIV/0!</v>
      </c>
      <c r="Y23" s="5" t="e">
        <f t="shared" si="2"/>
        <v>#DIV/0!</v>
      </c>
      <c r="Z23" s="5" t="e">
        <f t="shared" si="2"/>
        <v>#DIV/0!</v>
      </c>
      <c r="AA23" s="5" t="e">
        <f t="shared" si="2"/>
        <v>#DIV/0!</v>
      </c>
      <c r="AB23" s="5" t="e">
        <f t="shared" si="2"/>
        <v>#DIV/0!</v>
      </c>
      <c r="AC23" s="5" t="e">
        <f t="shared" si="2"/>
        <v>#DIV/0!</v>
      </c>
      <c r="AD23" s="5" t="e">
        <f t="shared" si="2"/>
        <v>#DIV/0!</v>
      </c>
      <c r="AE23" s="5" t="e">
        <f t="shared" si="2"/>
        <v>#DIV/0!</v>
      </c>
      <c r="AF23" s="5" t="e">
        <f t="shared" si="2"/>
        <v>#DIV/0!</v>
      </c>
      <c r="AG23" s="5" t="e">
        <f t="shared" si="2"/>
        <v>#DIV/0!</v>
      </c>
      <c r="AH23" s="5" t="e">
        <f t="shared" si="2"/>
        <v>#DIV/0!</v>
      </c>
      <c r="AI23" s="5" t="e">
        <f t="shared" si="2"/>
        <v>#DIV/0!</v>
      </c>
      <c r="AJ23" s="5" t="e">
        <f t="shared" si="2"/>
        <v>#DIV/0!</v>
      </c>
      <c r="AK23" s="5" t="e">
        <f t="shared" si="2"/>
        <v>#DIV/0!</v>
      </c>
    </row>
    <row r="24" spans="1:37" x14ac:dyDescent="0.35">
      <c r="A24" s="3" t="s">
        <v>1</v>
      </c>
      <c r="B24" s="3">
        <f t="shared" ref="B24:J24" si="3">STDEV(B5:B20)</f>
        <v>109646.22075865073</v>
      </c>
      <c r="C24" s="3">
        <f t="shared" si="3"/>
        <v>232240.94370968844</v>
      </c>
      <c r="D24" s="3">
        <f t="shared" si="3"/>
        <v>204319.17577403781</v>
      </c>
      <c r="E24" s="3">
        <f t="shared" si="3"/>
        <v>614912.16372013837</v>
      </c>
      <c r="F24" s="3">
        <f t="shared" si="3"/>
        <v>1085012.2253638215</v>
      </c>
      <c r="G24" s="3">
        <f t="shared" si="3"/>
        <v>1278805.8517754709</v>
      </c>
      <c r="H24" s="3">
        <f t="shared" si="3"/>
        <v>885081.88458789443</v>
      </c>
      <c r="I24" s="3">
        <f t="shared" si="3"/>
        <v>86423.830957456928</v>
      </c>
      <c r="J24" s="3">
        <f t="shared" si="3"/>
        <v>72856.345582365509</v>
      </c>
      <c r="K24" s="3"/>
      <c r="L24" s="3">
        <f>STDEV(L5:L20)</f>
        <v>647072.82443420636</v>
      </c>
      <c r="M24" s="3"/>
      <c r="N24" s="3" t="s">
        <v>1</v>
      </c>
      <c r="O24" s="3">
        <f>STDEV(O5:O20)</f>
        <v>1068915.5405816576</v>
      </c>
      <c r="P24" s="3">
        <f>STDEV(P5:P20)</f>
        <v>733791.8823789017</v>
      </c>
      <c r="Q24" s="3">
        <f>STDEV(Q5:Q20)</f>
        <v>84730.199460092932</v>
      </c>
      <c r="R24" s="3">
        <f>STDEV(R5:R20)</f>
        <v>1251083.8664972133</v>
      </c>
      <c r="S24" s="3">
        <f>STDEV(S5:S20)</f>
        <v>598283.59139534656</v>
      </c>
      <c r="T24" s="3">
        <f t="shared" ref="T24:AK24" si="4">STDEV(T5:T20)</f>
        <v>1006265.4586427081</v>
      </c>
      <c r="U24" s="3">
        <f t="shared" si="4"/>
        <v>1567360.0468031543</v>
      </c>
      <c r="V24" s="3">
        <f t="shared" si="4"/>
        <v>1330256.8761036871</v>
      </c>
      <c r="W24" s="3" t="e">
        <f t="shared" si="4"/>
        <v>#DIV/0!</v>
      </c>
      <c r="X24" s="3" t="e">
        <f t="shared" si="4"/>
        <v>#DIV/0!</v>
      </c>
      <c r="Y24" s="3" t="e">
        <f t="shared" si="4"/>
        <v>#DIV/0!</v>
      </c>
      <c r="Z24" s="3" t="e">
        <f t="shared" si="4"/>
        <v>#DIV/0!</v>
      </c>
      <c r="AA24" s="3" t="e">
        <f t="shared" si="4"/>
        <v>#DIV/0!</v>
      </c>
      <c r="AB24" s="3" t="e">
        <f t="shared" si="4"/>
        <v>#DIV/0!</v>
      </c>
      <c r="AC24" s="3" t="e">
        <f t="shared" si="4"/>
        <v>#DIV/0!</v>
      </c>
      <c r="AD24" s="3" t="e">
        <f t="shared" si="4"/>
        <v>#DIV/0!</v>
      </c>
      <c r="AE24" s="3" t="e">
        <f t="shared" si="4"/>
        <v>#DIV/0!</v>
      </c>
      <c r="AF24" s="3" t="e">
        <f t="shared" si="4"/>
        <v>#DIV/0!</v>
      </c>
      <c r="AG24" s="3" t="e">
        <f t="shared" si="4"/>
        <v>#DIV/0!</v>
      </c>
      <c r="AH24" s="3" t="e">
        <f t="shared" si="4"/>
        <v>#DIV/0!</v>
      </c>
      <c r="AI24" s="3" t="e">
        <f t="shared" si="4"/>
        <v>#DIV/0!</v>
      </c>
      <c r="AJ24" s="3" t="e">
        <f t="shared" si="4"/>
        <v>#DIV/0!</v>
      </c>
      <c r="AK24" s="3" t="e">
        <f t="shared" si="4"/>
        <v>#DIV/0!</v>
      </c>
    </row>
    <row r="25" spans="1:37" ht="15" thickBot="1" x14ac:dyDescent="0.4"/>
    <row r="26" spans="1:37" ht="15" thickBot="1" x14ac:dyDescent="0.4">
      <c r="B26" s="233" t="s">
        <v>6</v>
      </c>
      <c r="C26" s="234"/>
      <c r="D26" s="234"/>
      <c r="E26" s="234"/>
      <c r="F26" s="234"/>
      <c r="G26" s="234"/>
      <c r="H26" s="234"/>
      <c r="I26" s="234"/>
      <c r="J26" s="234"/>
      <c r="K26" s="234"/>
      <c r="L26" s="234"/>
      <c r="M26" s="234"/>
      <c r="O26" s="233" t="s">
        <v>3</v>
      </c>
      <c r="P26" s="234"/>
      <c r="Q26" s="234"/>
      <c r="R26" s="234"/>
      <c r="S26" s="234"/>
      <c r="T26" s="234"/>
      <c r="U26" s="234"/>
      <c r="V26" s="234"/>
      <c r="W26" s="234"/>
      <c r="X26" s="234"/>
      <c r="Y26" s="234"/>
      <c r="Z26" s="234"/>
      <c r="AA26" s="234"/>
      <c r="AB26" s="234"/>
      <c r="AC26" s="234"/>
      <c r="AD26" s="234"/>
      <c r="AE26" s="234"/>
      <c r="AF26" s="234"/>
      <c r="AG26" s="234"/>
      <c r="AH26" s="234"/>
      <c r="AI26" s="234"/>
      <c r="AJ26" s="234"/>
      <c r="AK26" s="239"/>
    </row>
    <row r="27" spans="1:37"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BPA-1mg/L</v>
      </c>
      <c r="J27" s="35" t="str">
        <f t="shared" si="5"/>
        <v>BPA-2mg/L</v>
      </c>
      <c r="K27" s="35" t="str">
        <f t="shared" si="5"/>
        <v>BPA-3mg/L</v>
      </c>
      <c r="L27" s="35" t="str">
        <f t="shared" si="5"/>
        <v>BPA-4mg/L</v>
      </c>
      <c r="M27" s="35" t="str">
        <f t="shared" si="5"/>
        <v>BPA-5mg/L</v>
      </c>
      <c r="N27" s="3"/>
      <c r="O27" s="36" t="str">
        <f>O4</f>
        <v>Testo -30µg/L</v>
      </c>
      <c r="P27" s="36" t="str">
        <f t="shared" ref="P27:AK27" si="6">P4</f>
        <v>Testo 30µg/L + EE2 -64ng/L</v>
      </c>
      <c r="Q27" s="36" t="str">
        <f t="shared" si="6"/>
        <v>Testo 30µg/L + FAD-10mg/L</v>
      </c>
      <c r="R27" s="36" t="str">
        <f t="shared" si="6"/>
        <v>BPA-1mg/L + Testostérone</v>
      </c>
      <c r="S27" s="36" t="str">
        <f t="shared" si="6"/>
        <v>BPA-2mg/L + Testostérone</v>
      </c>
      <c r="T27" s="36" t="str">
        <f t="shared" si="6"/>
        <v>BPA-3mg/L + Testostérone</v>
      </c>
      <c r="U27" s="36" t="str">
        <f t="shared" si="6"/>
        <v>BPA-4mg/L + Testostérone</v>
      </c>
      <c r="V27" s="36" t="str">
        <f t="shared" si="6"/>
        <v>BPA-5mg/L + Testostérone</v>
      </c>
      <c r="W27" s="36" t="str">
        <f t="shared" si="6"/>
        <v>0-00 + Testostérone</v>
      </c>
      <c r="X27" s="36" t="str">
        <f t="shared" si="6"/>
        <v>0-00 + Testostérone</v>
      </c>
      <c r="Y27" s="36" t="str">
        <f t="shared" si="6"/>
        <v>0-00 + Testostérone</v>
      </c>
      <c r="Z27" s="36" t="str">
        <f t="shared" si="6"/>
        <v>0-00 + Testostérone</v>
      </c>
      <c r="AA27" s="36" t="str">
        <f t="shared" si="6"/>
        <v>0-00 + Testostérone</v>
      </c>
      <c r="AB27" s="36" t="str">
        <f t="shared" si="6"/>
        <v>0-00 + Testostérone</v>
      </c>
      <c r="AC27" s="36" t="str">
        <f t="shared" si="6"/>
        <v>0-00 + Testostérone</v>
      </c>
      <c r="AD27" s="36" t="str">
        <f t="shared" si="6"/>
        <v>0-00 + Testostérone</v>
      </c>
      <c r="AE27" s="36" t="str">
        <f t="shared" si="6"/>
        <v>0-00 + Testostérone</v>
      </c>
      <c r="AF27" s="36" t="str">
        <f t="shared" si="6"/>
        <v>0-00 + Testostérone</v>
      </c>
      <c r="AG27" s="36" t="str">
        <f t="shared" si="6"/>
        <v>0-00 + Testostérone</v>
      </c>
      <c r="AH27" s="36" t="str">
        <f t="shared" si="6"/>
        <v>0-00 + Testostérone</v>
      </c>
      <c r="AI27" s="36" t="str">
        <f t="shared" si="6"/>
        <v>0-00 + Testostérone</v>
      </c>
      <c r="AJ27" s="36" t="str">
        <f t="shared" si="6"/>
        <v>0-00 + Testostérone</v>
      </c>
      <c r="AK27" s="36" t="str">
        <f t="shared" si="6"/>
        <v>0-00 + Testostérone</v>
      </c>
    </row>
    <row r="28" spans="1:37" x14ac:dyDescent="0.35">
      <c r="A28" s="236" t="s">
        <v>34</v>
      </c>
      <c r="B28" s="11">
        <f t="shared" ref="B28:M28" si="7">IF(B5="","",(B5/$O$23))</f>
        <v>9.9799643376954267E-2</v>
      </c>
      <c r="C28" s="11">
        <f t="shared" si="7"/>
        <v>9.741118116238677E-2</v>
      </c>
      <c r="D28" s="11">
        <f t="shared" si="7"/>
        <v>1.6391358465433954E-2</v>
      </c>
      <c r="E28" s="11">
        <f t="shared" si="7"/>
        <v>8.5080261890892461E-2</v>
      </c>
      <c r="F28" s="11">
        <f t="shared" si="7"/>
        <v>0.30528878427283296</v>
      </c>
      <c r="G28" s="11">
        <f t="shared" si="7"/>
        <v>1.5675551780759613</v>
      </c>
      <c r="H28" s="11">
        <f t="shared" si="7"/>
        <v>2.3790916277790859</v>
      </c>
      <c r="I28" s="11">
        <f t="shared" si="7"/>
        <v>0.11693046162278374</v>
      </c>
      <c r="J28" s="11">
        <f t="shared" si="7"/>
        <v>4.8934890790070844E-2</v>
      </c>
      <c r="K28" s="11">
        <f t="shared" si="7"/>
        <v>2.1372026148126878E-2</v>
      </c>
      <c r="L28" s="11">
        <f t="shared" si="7"/>
        <v>0.23840258120796298</v>
      </c>
      <c r="M28" s="11">
        <f t="shared" si="7"/>
        <v>1.1164635184619922</v>
      </c>
      <c r="N28" s="6"/>
      <c r="O28" s="11">
        <f t="shared" ref="O28:AK39" si="8">IF(O5="","",(O5/$O$23))</f>
        <v>0.22558634693127172</v>
      </c>
      <c r="P28" s="11">
        <f t="shared" si="8"/>
        <v>1.694624538021996</v>
      </c>
      <c r="Q28" s="11">
        <f t="shared" si="8"/>
        <v>0.14537116760807298</v>
      </c>
      <c r="R28" s="11">
        <f t="shared" si="8"/>
        <v>1.7164166955819611</v>
      </c>
      <c r="S28" s="11" t="str">
        <f t="shared" si="8"/>
        <v/>
      </c>
      <c r="T28" s="11">
        <f t="shared" si="8"/>
        <v>2.5252489166469529</v>
      </c>
      <c r="U28" s="11">
        <f t="shared" si="8"/>
        <v>2.4785138830841089</v>
      </c>
      <c r="V28" s="11">
        <f t="shared" si="8"/>
        <v>1.2372034802540102</v>
      </c>
      <c r="W28" s="11" t="str">
        <f t="shared" si="8"/>
        <v/>
      </c>
      <c r="X28" s="11" t="str">
        <f t="shared" si="8"/>
        <v/>
      </c>
      <c r="Y28" s="11" t="str">
        <f t="shared" si="8"/>
        <v/>
      </c>
      <c r="Z28" s="11" t="str">
        <f t="shared" si="8"/>
        <v/>
      </c>
      <c r="AA28" s="11" t="str">
        <f t="shared" si="8"/>
        <v/>
      </c>
      <c r="AB28" s="11" t="str">
        <f t="shared" si="8"/>
        <v/>
      </c>
      <c r="AC28" s="11" t="str">
        <f t="shared" si="8"/>
        <v/>
      </c>
      <c r="AD28" s="11" t="str">
        <f t="shared" si="8"/>
        <v/>
      </c>
      <c r="AE28" s="11" t="str">
        <f t="shared" si="8"/>
        <v/>
      </c>
      <c r="AF28" s="11" t="str">
        <f t="shared" si="8"/>
        <v/>
      </c>
      <c r="AG28" s="11" t="str">
        <f t="shared" si="8"/>
        <v/>
      </c>
      <c r="AH28" s="11" t="str">
        <f t="shared" si="8"/>
        <v/>
      </c>
      <c r="AI28" s="11" t="str">
        <f t="shared" si="8"/>
        <v/>
      </c>
      <c r="AJ28" s="11" t="str">
        <f t="shared" si="8"/>
        <v/>
      </c>
      <c r="AK28" s="11" t="str">
        <f t="shared" si="8"/>
        <v/>
      </c>
    </row>
    <row r="29" spans="1:37" x14ac:dyDescent="0.35">
      <c r="A29" s="236"/>
      <c r="B29" s="11">
        <f t="shared" ref="B29:M29" si="9">IF(B6="","",(B6/$O$23))</f>
        <v>0.1526984446516742</v>
      </c>
      <c r="C29" s="11">
        <f t="shared" si="9"/>
        <v>1.7986219335723416E-2</v>
      </c>
      <c r="D29" s="11">
        <f t="shared" si="9"/>
        <v>0.34381104126699724</v>
      </c>
      <c r="E29" s="11">
        <f t="shared" si="9"/>
        <v>0.49668259644529583</v>
      </c>
      <c r="F29" s="11">
        <f t="shared" si="9"/>
        <v>1.233428530951201</v>
      </c>
      <c r="G29" s="11">
        <f t="shared" si="9"/>
        <v>1.9732559040699202</v>
      </c>
      <c r="H29" s="11">
        <f t="shared" si="9"/>
        <v>2.1336278468184444</v>
      </c>
      <c r="I29" s="11">
        <f t="shared" si="9"/>
        <v>5.619253180907318E-2</v>
      </c>
      <c r="J29" s="11">
        <f t="shared" si="9"/>
        <v>7.1932588632670325E-2</v>
      </c>
      <c r="K29" s="11">
        <f t="shared" si="9"/>
        <v>0.21865622675430871</v>
      </c>
      <c r="L29" s="11">
        <f t="shared" si="9"/>
        <v>3.8479869848756197E-2</v>
      </c>
      <c r="M29" s="11">
        <f t="shared" si="9"/>
        <v>0.74273979744164975</v>
      </c>
      <c r="N29" s="6"/>
      <c r="O29" s="11">
        <f t="shared" si="8"/>
        <v>0.9105448070000457</v>
      </c>
      <c r="P29" s="11">
        <f t="shared" si="8"/>
        <v>2.5138001130527945</v>
      </c>
      <c r="Q29" s="11">
        <f t="shared" si="8"/>
        <v>0.10804340886706691</v>
      </c>
      <c r="R29" s="11">
        <f t="shared" si="8"/>
        <v>0.67060667130591456</v>
      </c>
      <c r="S29" s="11" t="str">
        <f t="shared" si="8"/>
        <v/>
      </c>
      <c r="T29" s="11">
        <f t="shared" si="8"/>
        <v>1.8880832097064781</v>
      </c>
      <c r="U29" s="11">
        <f t="shared" si="8"/>
        <v>2.2657090414658541</v>
      </c>
      <c r="V29" s="11">
        <f t="shared" si="8"/>
        <v>1.9017277742911223</v>
      </c>
      <c r="W29" s="11" t="str">
        <f t="shared" si="8"/>
        <v/>
      </c>
      <c r="X29" s="11" t="str">
        <f t="shared" si="8"/>
        <v/>
      </c>
      <c r="Y29" s="11" t="str">
        <f t="shared" si="8"/>
        <v/>
      </c>
      <c r="Z29" s="11" t="str">
        <f t="shared" si="8"/>
        <v/>
      </c>
      <c r="AA29" s="11" t="str">
        <f t="shared" si="8"/>
        <v/>
      </c>
      <c r="AB29" s="11" t="str">
        <f t="shared" si="8"/>
        <v/>
      </c>
      <c r="AC29" s="11" t="str">
        <f t="shared" si="8"/>
        <v/>
      </c>
      <c r="AD29" s="11" t="str">
        <f t="shared" si="8"/>
        <v/>
      </c>
      <c r="AE29" s="11" t="str">
        <f t="shared" si="8"/>
        <v/>
      </c>
      <c r="AF29" s="11" t="str">
        <f t="shared" si="8"/>
        <v/>
      </c>
      <c r="AG29" s="11" t="str">
        <f t="shared" si="8"/>
        <v/>
      </c>
      <c r="AH29" s="11" t="str">
        <f t="shared" si="8"/>
        <v/>
      </c>
      <c r="AI29" s="11" t="str">
        <f t="shared" si="8"/>
        <v/>
      </c>
      <c r="AJ29" s="11" t="str">
        <f t="shared" si="8"/>
        <v/>
      </c>
      <c r="AK29" s="11" t="str">
        <f t="shared" si="8"/>
        <v/>
      </c>
    </row>
    <row r="30" spans="1:37" x14ac:dyDescent="0.35">
      <c r="A30" s="236"/>
      <c r="B30" s="11">
        <f t="shared" ref="B30:M30" si="10">IF(B7="","",(B7/$O$23))</f>
        <v>0.12909370233376688</v>
      </c>
      <c r="C30" s="11">
        <f t="shared" si="10"/>
        <v>7.0665070507170608E-2</v>
      </c>
      <c r="D30" s="11">
        <f t="shared" si="10"/>
        <v>8.0118472516658559E-2</v>
      </c>
      <c r="E30" s="11">
        <f t="shared" si="10"/>
        <v>0.24780593789030952</v>
      </c>
      <c r="F30" s="11">
        <f t="shared" si="10"/>
        <v>1.2350965897910817</v>
      </c>
      <c r="G30" s="11">
        <f t="shared" si="10"/>
        <v>1.604574828575136</v>
      </c>
      <c r="H30" s="11">
        <f t="shared" si="10"/>
        <v>1.2537065056949519</v>
      </c>
      <c r="I30" s="11">
        <f t="shared" si="10"/>
        <v>0.12676125170420285</v>
      </c>
      <c r="J30" s="11">
        <f t="shared" si="10"/>
        <v>9.6111961726455825E-3</v>
      </c>
      <c r="K30" s="11">
        <f t="shared" si="10"/>
        <v>8.1705675205214646E-3</v>
      </c>
      <c r="L30" s="11">
        <f t="shared" si="10"/>
        <v>0.93020246902339232</v>
      </c>
      <c r="M30" s="11">
        <f t="shared" si="10"/>
        <v>1.2148953749619142</v>
      </c>
      <c r="N30" s="6"/>
      <c r="O30" s="11">
        <f t="shared" si="8"/>
        <v>0.72160642160800503</v>
      </c>
      <c r="P30" s="11">
        <f t="shared" si="8"/>
        <v>2.4775623094794237</v>
      </c>
      <c r="Q30" s="11">
        <f t="shared" si="8"/>
        <v>8.2630178027958648E-2</v>
      </c>
      <c r="R30" s="11">
        <f t="shared" si="8"/>
        <v>0.14948574836589512</v>
      </c>
      <c r="S30" s="11" t="str">
        <f t="shared" si="8"/>
        <v/>
      </c>
      <c r="T30" s="11">
        <f t="shared" si="8"/>
        <v>1.4460289169268996</v>
      </c>
      <c r="U30" s="11">
        <f t="shared" si="8"/>
        <v>2.6866609473332206</v>
      </c>
      <c r="V30" s="11">
        <f t="shared" si="8"/>
        <v>2.2567411325588123</v>
      </c>
      <c r="W30" s="11" t="str">
        <f t="shared" si="8"/>
        <v/>
      </c>
      <c r="X30" s="11" t="str">
        <f t="shared" si="8"/>
        <v/>
      </c>
      <c r="Y30" s="11" t="str">
        <f t="shared" si="8"/>
        <v/>
      </c>
      <c r="Z30" s="11" t="str">
        <f t="shared" si="8"/>
        <v/>
      </c>
      <c r="AA30" s="11" t="str">
        <f t="shared" si="8"/>
        <v/>
      </c>
      <c r="AB30" s="11" t="str">
        <f t="shared" si="8"/>
        <v/>
      </c>
      <c r="AC30" s="11" t="str">
        <f t="shared" si="8"/>
        <v/>
      </c>
      <c r="AD30" s="11" t="str">
        <f t="shared" si="8"/>
        <v/>
      </c>
      <c r="AE30" s="11" t="str">
        <f t="shared" si="8"/>
        <v/>
      </c>
      <c r="AF30" s="11" t="str">
        <f t="shared" si="8"/>
        <v/>
      </c>
      <c r="AG30" s="11" t="str">
        <f t="shared" si="8"/>
        <v/>
      </c>
      <c r="AH30" s="11" t="str">
        <f t="shared" si="8"/>
        <v/>
      </c>
      <c r="AI30" s="11" t="str">
        <f t="shared" si="8"/>
        <v/>
      </c>
      <c r="AJ30" s="11" t="str">
        <f t="shared" si="8"/>
        <v/>
      </c>
      <c r="AK30" s="11" t="str">
        <f t="shared" si="8"/>
        <v/>
      </c>
    </row>
    <row r="31" spans="1:37" x14ac:dyDescent="0.35">
      <c r="A31" s="236"/>
      <c r="B31" s="11" t="str">
        <f t="shared" ref="B31:M31" si="11">IF(B8="","",(B8/$O$23))</f>
        <v/>
      </c>
      <c r="C31" s="11">
        <f t="shared" si="11"/>
        <v>0.11750429096103865</v>
      </c>
      <c r="D31" s="11">
        <f t="shared" si="11"/>
        <v>8.1636573472364582E-2</v>
      </c>
      <c r="E31" s="11">
        <f t="shared" si="11"/>
        <v>0.54121438893317053</v>
      </c>
      <c r="F31" s="11">
        <f t="shared" si="11"/>
        <v>2.2035571975874615</v>
      </c>
      <c r="G31" s="11">
        <f t="shared" si="11"/>
        <v>0.68878167372622834</v>
      </c>
      <c r="H31" s="11">
        <f t="shared" si="11"/>
        <v>2.5190698325716103</v>
      </c>
      <c r="I31" s="11">
        <f t="shared" si="11"/>
        <v>0.10568344221243757</v>
      </c>
      <c r="J31" s="11">
        <f t="shared" si="11"/>
        <v>8.6790707876181108E-2</v>
      </c>
      <c r="K31" s="11">
        <f t="shared" si="11"/>
        <v>6.2575537235223314E-2</v>
      </c>
      <c r="L31" s="11">
        <f t="shared" si="11"/>
        <v>0.80865127425938466</v>
      </c>
      <c r="M31" s="11">
        <f t="shared" si="11"/>
        <v>0.82654506112255866</v>
      </c>
      <c r="N31" s="6"/>
      <c r="O31" s="11">
        <f t="shared" si="8"/>
        <v>1.815495757486979</v>
      </c>
      <c r="P31" s="11">
        <f t="shared" si="8"/>
        <v>2.0822854374080975</v>
      </c>
      <c r="Q31" s="11">
        <f t="shared" si="8"/>
        <v>3.6376541330820016E-2</v>
      </c>
      <c r="R31" s="11">
        <f t="shared" si="8"/>
        <v>9.0034036888893734E-2</v>
      </c>
      <c r="S31" s="11">
        <f t="shared" si="8"/>
        <v>2.026913755822493</v>
      </c>
      <c r="T31" s="11">
        <f t="shared" si="8"/>
        <v>2.3388781593025914</v>
      </c>
      <c r="U31" s="11">
        <f t="shared" si="8"/>
        <v>1.8974962726889288</v>
      </c>
      <c r="V31" s="11">
        <f t="shared" si="8"/>
        <v>2.1069280414481275</v>
      </c>
      <c r="W31" s="11" t="str">
        <f t="shared" si="8"/>
        <v/>
      </c>
      <c r="X31" s="11" t="str">
        <f t="shared" si="8"/>
        <v/>
      </c>
      <c r="Y31" s="11" t="str">
        <f t="shared" si="8"/>
        <v/>
      </c>
      <c r="Z31" s="11" t="str">
        <f t="shared" si="8"/>
        <v/>
      </c>
      <c r="AA31" s="11" t="str">
        <f t="shared" si="8"/>
        <v/>
      </c>
      <c r="AB31" s="11" t="str">
        <f t="shared" si="8"/>
        <v/>
      </c>
      <c r="AC31" s="11" t="str">
        <f t="shared" si="8"/>
        <v/>
      </c>
      <c r="AD31" s="11" t="str">
        <f t="shared" si="8"/>
        <v/>
      </c>
      <c r="AE31" s="11" t="str">
        <f t="shared" si="8"/>
        <v/>
      </c>
      <c r="AF31" s="11" t="str">
        <f t="shared" si="8"/>
        <v/>
      </c>
      <c r="AG31" s="11" t="str">
        <f t="shared" si="8"/>
        <v/>
      </c>
      <c r="AH31" s="11" t="str">
        <f t="shared" si="8"/>
        <v/>
      </c>
      <c r="AI31" s="11" t="str">
        <f t="shared" si="8"/>
        <v/>
      </c>
      <c r="AJ31" s="11" t="str">
        <f t="shared" si="8"/>
        <v/>
      </c>
      <c r="AK31" s="11" t="str">
        <f t="shared" si="8"/>
        <v/>
      </c>
    </row>
    <row r="32" spans="1:37" x14ac:dyDescent="0.35">
      <c r="A32" s="236"/>
      <c r="B32" s="11">
        <f t="shared" ref="B32:M32" si="12">IF(B9="","",(B9/$O$23))</f>
        <v>1.8852840552343018E-2</v>
      </c>
      <c r="C32" s="11">
        <f t="shared" si="12"/>
        <v>0.37957902429588769</v>
      </c>
      <c r="D32" s="11">
        <f t="shared" si="12"/>
        <v>0.21488483939649186</v>
      </c>
      <c r="E32" s="11">
        <f t="shared" si="12"/>
        <v>0.22173036337988844</v>
      </c>
      <c r="F32" s="11">
        <f t="shared" si="12"/>
        <v>1.1731602435847213</v>
      </c>
      <c r="G32" s="11">
        <f t="shared" si="12"/>
        <v>2.7029826697740553</v>
      </c>
      <c r="H32" s="11" t="str">
        <f t="shared" si="12"/>
        <v/>
      </c>
      <c r="I32" s="11">
        <f t="shared" si="12"/>
        <v>7.8381133846678247E-2</v>
      </c>
      <c r="J32" s="11">
        <f t="shared" si="12"/>
        <v>8.966056695645408E-2</v>
      </c>
      <c r="K32" s="11">
        <f t="shared" si="12"/>
        <v>0.16673980990845719</v>
      </c>
      <c r="L32" s="11">
        <f t="shared" si="12"/>
        <v>0.33282831817507758</v>
      </c>
      <c r="M32" s="11">
        <f t="shared" si="12"/>
        <v>0.95352376956853968</v>
      </c>
      <c r="N32" s="6"/>
      <c r="O32" s="11">
        <f t="shared" si="8"/>
        <v>0.44681572274799713</v>
      </c>
      <c r="P32" s="11">
        <f t="shared" si="8"/>
        <v>2.1759368075338923</v>
      </c>
      <c r="Q32" s="11">
        <f t="shared" si="8"/>
        <v>1.4890711040190066E-2</v>
      </c>
      <c r="R32" s="11">
        <f t="shared" si="8"/>
        <v>1.7115126097166018</v>
      </c>
      <c r="S32" s="11">
        <f t="shared" si="8"/>
        <v>1.7557400340048872</v>
      </c>
      <c r="T32" s="11">
        <f t="shared" si="8"/>
        <v>1.9895046066384137</v>
      </c>
      <c r="U32" s="11">
        <f t="shared" si="8"/>
        <v>3.5850976347210386E-4</v>
      </c>
      <c r="V32" s="11">
        <f t="shared" si="8"/>
        <v>1.7499118015112833</v>
      </c>
      <c r="W32" s="11" t="str">
        <f t="shared" si="8"/>
        <v/>
      </c>
      <c r="X32" s="11" t="str">
        <f t="shared" si="8"/>
        <v/>
      </c>
      <c r="Y32" s="11" t="str">
        <f t="shared" si="8"/>
        <v/>
      </c>
      <c r="Z32" s="11" t="str">
        <f t="shared" si="8"/>
        <v/>
      </c>
      <c r="AA32" s="11" t="str">
        <f t="shared" si="8"/>
        <v/>
      </c>
      <c r="AB32" s="11" t="str">
        <f t="shared" si="8"/>
        <v/>
      </c>
      <c r="AC32" s="11" t="str">
        <f t="shared" si="8"/>
        <v/>
      </c>
      <c r="AD32" s="11" t="str">
        <f t="shared" si="8"/>
        <v/>
      </c>
      <c r="AE32" s="11" t="str">
        <f t="shared" si="8"/>
        <v/>
      </c>
      <c r="AF32" s="11" t="str">
        <f t="shared" si="8"/>
        <v/>
      </c>
      <c r="AG32" s="11" t="str">
        <f t="shared" si="8"/>
        <v/>
      </c>
      <c r="AH32" s="11" t="str">
        <f t="shared" si="8"/>
        <v/>
      </c>
      <c r="AI32" s="11" t="str">
        <f t="shared" si="8"/>
        <v/>
      </c>
      <c r="AJ32" s="11" t="str">
        <f t="shared" si="8"/>
        <v/>
      </c>
      <c r="AK32" s="11" t="str">
        <f t="shared" si="8"/>
        <v/>
      </c>
    </row>
    <row r="33" spans="1:37" x14ac:dyDescent="0.35">
      <c r="A33" s="236"/>
      <c r="B33" s="11">
        <f t="shared" ref="B33:M33" si="13">IF(B10="","",(B10/$O$23))</f>
        <v>7.4368068521135818E-3</v>
      </c>
      <c r="C33" s="11">
        <f t="shared" si="13"/>
        <v>0.31129066158481006</v>
      </c>
      <c r="D33" s="11">
        <f t="shared" si="13"/>
        <v>8.1736664126647415E-2</v>
      </c>
      <c r="E33" s="11">
        <f t="shared" si="13"/>
        <v>0.54963536118664857</v>
      </c>
      <c r="F33" s="11">
        <f t="shared" si="13"/>
        <v>0.80762276264286637</v>
      </c>
      <c r="G33" s="11">
        <f t="shared" si="13"/>
        <v>2.5678198584165828</v>
      </c>
      <c r="H33" s="11">
        <f t="shared" si="13"/>
        <v>1.7751629638532431</v>
      </c>
      <c r="I33" s="11">
        <f t="shared" si="13"/>
        <v>3.6049198586030284E-2</v>
      </c>
      <c r="J33" s="11">
        <f t="shared" si="13"/>
        <v>2.5551968596557218E-2</v>
      </c>
      <c r="K33" s="11">
        <f t="shared" si="13"/>
        <v>3.1946550343932227E-2</v>
      </c>
      <c r="L33" s="11">
        <f t="shared" si="13"/>
        <v>0.59392084517830779</v>
      </c>
      <c r="M33" s="11" t="str">
        <f t="shared" si="13"/>
        <v/>
      </c>
      <c r="N33" s="6"/>
      <c r="O33" s="11">
        <f t="shared" si="8"/>
        <v>0.77598823868025713</v>
      </c>
      <c r="P33" s="11">
        <f t="shared" si="8"/>
        <v>1.3457129696233157</v>
      </c>
      <c r="Q33" s="11">
        <f t="shared" si="8"/>
        <v>6.5657153945286803E-2</v>
      </c>
      <c r="R33" s="11">
        <f t="shared" si="8"/>
        <v>0.97722477344986314</v>
      </c>
      <c r="S33" s="11">
        <f t="shared" si="8"/>
        <v>1.2729484887377005</v>
      </c>
      <c r="T33" s="11">
        <f t="shared" si="8"/>
        <v>1.1267219200397336</v>
      </c>
      <c r="U33" s="11">
        <f t="shared" si="8"/>
        <v>1.8264977150818569</v>
      </c>
      <c r="V33" s="11">
        <f t="shared" si="8"/>
        <v>1.0850099413049903</v>
      </c>
      <c r="W33" s="11" t="str">
        <f t="shared" si="8"/>
        <v/>
      </c>
      <c r="X33" s="11" t="str">
        <f t="shared" si="8"/>
        <v/>
      </c>
      <c r="Y33" s="11" t="str">
        <f t="shared" si="8"/>
        <v/>
      </c>
      <c r="Z33" s="11" t="str">
        <f t="shared" si="8"/>
        <v/>
      </c>
      <c r="AA33" s="11" t="str">
        <f t="shared" si="8"/>
        <v/>
      </c>
      <c r="AB33" s="11" t="str">
        <f t="shared" si="8"/>
        <v/>
      </c>
      <c r="AC33" s="11" t="str">
        <f t="shared" si="8"/>
        <v/>
      </c>
      <c r="AD33" s="11" t="str">
        <f t="shared" si="8"/>
        <v/>
      </c>
      <c r="AE33" s="11" t="str">
        <f t="shared" si="8"/>
        <v/>
      </c>
      <c r="AF33" s="11" t="str">
        <f t="shared" si="8"/>
        <v/>
      </c>
      <c r="AG33" s="11" t="str">
        <f t="shared" si="8"/>
        <v/>
      </c>
      <c r="AH33" s="11" t="str">
        <f t="shared" si="8"/>
        <v/>
      </c>
      <c r="AI33" s="11" t="str">
        <f t="shared" si="8"/>
        <v/>
      </c>
      <c r="AJ33" s="11" t="str">
        <f t="shared" si="8"/>
        <v/>
      </c>
      <c r="AK33" s="11" t="str">
        <f t="shared" si="8"/>
        <v/>
      </c>
    </row>
    <row r="34" spans="1:37" x14ac:dyDescent="0.35">
      <c r="A34" s="236"/>
      <c r="B34" s="11">
        <f t="shared" ref="B34:M34" si="14">IF(B11="","",(B11/$O$23))</f>
        <v>2.1495447542109077E-2</v>
      </c>
      <c r="C34" s="11">
        <f t="shared" si="14"/>
        <v>0.14946633576568727</v>
      </c>
      <c r="D34" s="11">
        <f t="shared" si="14"/>
        <v>0.19727636432719883</v>
      </c>
      <c r="E34" s="11">
        <f t="shared" si="14"/>
        <v>1.1275000269232953</v>
      </c>
      <c r="F34" s="11">
        <f t="shared" si="14"/>
        <v>0.91549270478880973</v>
      </c>
      <c r="G34" s="11">
        <f t="shared" si="14"/>
        <v>1.1332012760779246</v>
      </c>
      <c r="H34" s="11">
        <f t="shared" si="14"/>
        <v>2.4675812053193305</v>
      </c>
      <c r="I34" s="11">
        <f t="shared" si="14"/>
        <v>0.12690390760114331</v>
      </c>
      <c r="J34" s="11">
        <f t="shared" si="14"/>
        <v>0.12273197952894557</v>
      </c>
      <c r="K34" s="11">
        <f t="shared" si="14"/>
        <v>0.12084040864079992</v>
      </c>
      <c r="L34" s="11">
        <f t="shared" si="14"/>
        <v>0.58581937939063644</v>
      </c>
      <c r="M34" s="11" t="str">
        <f t="shared" si="14"/>
        <v/>
      </c>
      <c r="N34" s="6"/>
      <c r="O34" s="11">
        <f t="shared" si="8"/>
        <v>0.92496160125901405</v>
      </c>
      <c r="P34" s="11">
        <f t="shared" si="8"/>
        <v>2.0897934831600562</v>
      </c>
      <c r="Q34" s="11">
        <f t="shared" si="8"/>
        <v>3.0586599745883052E-2</v>
      </c>
      <c r="R34" s="11">
        <f t="shared" si="8"/>
        <v>1.6575813786858722</v>
      </c>
      <c r="S34" s="11">
        <f t="shared" si="8"/>
        <v>1.8259046512406436</v>
      </c>
      <c r="T34" s="11">
        <f t="shared" si="8"/>
        <v>2.7179795267750153</v>
      </c>
      <c r="U34" s="11">
        <f t="shared" si="8"/>
        <v>1.9140549535203748</v>
      </c>
      <c r="V34" s="11">
        <f t="shared" si="8"/>
        <v>3.0853701095990997</v>
      </c>
      <c r="W34" s="11" t="str">
        <f t="shared" si="8"/>
        <v/>
      </c>
      <c r="X34" s="11" t="str">
        <f t="shared" si="8"/>
        <v/>
      </c>
      <c r="Y34" s="11" t="str">
        <f t="shared" si="8"/>
        <v/>
      </c>
      <c r="Z34" s="11" t="str">
        <f t="shared" si="8"/>
        <v/>
      </c>
      <c r="AA34" s="11" t="str">
        <f t="shared" si="8"/>
        <v/>
      </c>
      <c r="AB34" s="11" t="str">
        <f t="shared" si="8"/>
        <v/>
      </c>
      <c r="AC34" s="11" t="str">
        <f t="shared" si="8"/>
        <v/>
      </c>
      <c r="AD34" s="11" t="str">
        <f t="shared" si="8"/>
        <v/>
      </c>
      <c r="AE34" s="11" t="str">
        <f t="shared" si="8"/>
        <v/>
      </c>
      <c r="AF34" s="11" t="str">
        <f t="shared" si="8"/>
        <v/>
      </c>
      <c r="AG34" s="11" t="str">
        <f t="shared" si="8"/>
        <v/>
      </c>
      <c r="AH34" s="11" t="str">
        <f t="shared" si="8"/>
        <v/>
      </c>
      <c r="AI34" s="11" t="str">
        <f t="shared" si="8"/>
        <v/>
      </c>
      <c r="AJ34" s="11" t="str">
        <f t="shared" si="8"/>
        <v/>
      </c>
      <c r="AK34" s="11" t="str">
        <f t="shared" si="8"/>
        <v/>
      </c>
    </row>
    <row r="35" spans="1:37" x14ac:dyDescent="0.35">
      <c r="A35" s="236"/>
      <c r="B35" s="11">
        <f t="shared" ref="B35:M35" si="15">IF(B12="","",(B12/$O$23))</f>
        <v>9.5823978473830687E-2</v>
      </c>
      <c r="C35" s="11">
        <f t="shared" si="15"/>
        <v>0.21971554919501018</v>
      </c>
      <c r="D35" s="11">
        <f t="shared" si="15"/>
        <v>5.2471189778397771E-2</v>
      </c>
      <c r="E35" s="11">
        <f t="shared" si="15"/>
        <v>0.22322477740139585</v>
      </c>
      <c r="F35" s="11">
        <f t="shared" si="15"/>
        <v>1.7540374242985814</v>
      </c>
      <c r="G35" s="11">
        <f t="shared" si="15"/>
        <v>2.0506395152215129</v>
      </c>
      <c r="H35" s="11">
        <f t="shared" si="15"/>
        <v>1.6969088133455392</v>
      </c>
      <c r="I35" s="11">
        <f t="shared" si="15"/>
        <v>0.18244905590787119</v>
      </c>
      <c r="J35" s="11">
        <f t="shared" si="15"/>
        <v>0.10298936511753319</v>
      </c>
      <c r="K35" s="11">
        <f t="shared" si="15"/>
        <v>0.12292076261353596</v>
      </c>
      <c r="L35" s="11">
        <f t="shared" si="15"/>
        <v>1.0177325476313441</v>
      </c>
      <c r="M35" s="11" t="str">
        <f t="shared" si="15"/>
        <v/>
      </c>
      <c r="N35" s="6"/>
      <c r="O35" s="11">
        <f t="shared" si="8"/>
        <v>1.7527043663852238</v>
      </c>
      <c r="P35" s="11">
        <f t="shared" si="8"/>
        <v>2.2609324732312182</v>
      </c>
      <c r="Q35" s="11">
        <f t="shared" si="8"/>
        <v>0.10798543821231769</v>
      </c>
      <c r="R35" s="11">
        <f t="shared" si="8"/>
        <v>0.86312552380418617</v>
      </c>
      <c r="S35" s="11" t="str">
        <f t="shared" si="8"/>
        <v/>
      </c>
      <c r="T35" s="11">
        <f t="shared" si="8"/>
        <v>1.804095129198841</v>
      </c>
      <c r="U35" s="11">
        <f t="shared" si="8"/>
        <v>1.3712341273956898</v>
      </c>
      <c r="V35" s="11">
        <f t="shared" si="8"/>
        <v>0.93948436338150243</v>
      </c>
      <c r="W35" s="11" t="str">
        <f t="shared" si="8"/>
        <v/>
      </c>
      <c r="X35" s="11" t="str">
        <f t="shared" si="8"/>
        <v/>
      </c>
      <c r="Y35" s="11" t="str">
        <f t="shared" si="8"/>
        <v/>
      </c>
      <c r="Z35" s="11" t="str">
        <f t="shared" si="8"/>
        <v/>
      </c>
      <c r="AA35" s="11" t="str">
        <f t="shared" si="8"/>
        <v/>
      </c>
      <c r="AB35" s="11" t="str">
        <f t="shared" si="8"/>
        <v/>
      </c>
      <c r="AC35" s="11" t="str">
        <f t="shared" si="8"/>
        <v/>
      </c>
      <c r="AD35" s="11" t="str">
        <f t="shared" si="8"/>
        <v/>
      </c>
      <c r="AE35" s="11" t="str">
        <f t="shared" si="8"/>
        <v/>
      </c>
      <c r="AF35" s="11" t="str">
        <f t="shared" si="8"/>
        <v/>
      </c>
      <c r="AG35" s="11" t="str">
        <f t="shared" si="8"/>
        <v/>
      </c>
      <c r="AH35" s="11" t="str">
        <f t="shared" si="8"/>
        <v/>
      </c>
      <c r="AI35" s="11" t="str">
        <f t="shared" si="8"/>
        <v/>
      </c>
      <c r="AJ35" s="11" t="str">
        <f t="shared" si="8"/>
        <v/>
      </c>
      <c r="AK35" s="11" t="str">
        <f t="shared" si="8"/>
        <v/>
      </c>
    </row>
    <row r="36" spans="1:37" x14ac:dyDescent="0.35">
      <c r="A36" s="236"/>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0.46143875362201803</v>
      </c>
      <c r="P36" s="11" t="str">
        <f t="shared" si="8"/>
        <v/>
      </c>
      <c r="Q36" s="11" t="str">
        <f t="shared" si="8"/>
        <v/>
      </c>
      <c r="R36" s="11" t="str">
        <f t="shared" si="8"/>
        <v/>
      </c>
      <c r="S36" s="11" t="str">
        <f t="shared" si="8"/>
        <v/>
      </c>
      <c r="T36" s="11" t="str">
        <f t="shared" si="8"/>
        <v/>
      </c>
      <c r="U36" s="11" t="str">
        <f t="shared" si="8"/>
        <v/>
      </c>
      <c r="V36" s="11" t="str">
        <f t="shared" si="8"/>
        <v/>
      </c>
      <c r="W36" s="11" t="str">
        <f t="shared" si="8"/>
        <v/>
      </c>
      <c r="X36" s="11" t="str">
        <f t="shared" si="8"/>
        <v/>
      </c>
      <c r="Y36" s="11" t="str">
        <f t="shared" si="8"/>
        <v/>
      </c>
      <c r="Z36" s="11" t="str">
        <f t="shared" si="8"/>
        <v/>
      </c>
      <c r="AA36" s="11" t="str">
        <f t="shared" si="8"/>
        <v/>
      </c>
      <c r="AB36" s="11" t="str">
        <f t="shared" si="8"/>
        <v/>
      </c>
      <c r="AC36" s="11" t="str">
        <f t="shared" si="8"/>
        <v/>
      </c>
      <c r="AD36" s="11" t="str">
        <f t="shared" si="8"/>
        <v/>
      </c>
      <c r="AE36" s="11" t="str">
        <f t="shared" si="8"/>
        <v/>
      </c>
      <c r="AF36" s="11" t="str">
        <f t="shared" si="8"/>
        <v/>
      </c>
      <c r="AG36" s="11" t="str">
        <f t="shared" si="8"/>
        <v/>
      </c>
      <c r="AH36" s="11" t="str">
        <f t="shared" si="8"/>
        <v/>
      </c>
      <c r="AI36" s="11" t="str">
        <f t="shared" si="8"/>
        <v/>
      </c>
      <c r="AJ36" s="11" t="str">
        <f t="shared" si="8"/>
        <v/>
      </c>
      <c r="AK36" s="11" t="str">
        <f t="shared" si="8"/>
        <v/>
      </c>
    </row>
    <row r="37" spans="1:37" x14ac:dyDescent="0.35">
      <c r="A37" s="236"/>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1.2266022414707627</v>
      </c>
      <c r="P37" s="11" t="str">
        <f t="shared" si="8"/>
        <v/>
      </c>
      <c r="Q37" s="11" t="str">
        <f t="shared" si="8"/>
        <v/>
      </c>
      <c r="R37" s="11" t="str">
        <f t="shared" si="8"/>
        <v/>
      </c>
      <c r="S37" s="11" t="str">
        <f t="shared" si="8"/>
        <v/>
      </c>
      <c r="T37" s="11" t="str">
        <f t="shared" si="8"/>
        <v/>
      </c>
      <c r="U37" s="11" t="str">
        <f t="shared" si="8"/>
        <v/>
      </c>
      <c r="V37" s="11" t="str">
        <f t="shared" si="8"/>
        <v/>
      </c>
      <c r="W37" s="11" t="str">
        <f t="shared" si="8"/>
        <v/>
      </c>
      <c r="X37" s="11" t="str">
        <f t="shared" si="8"/>
        <v/>
      </c>
      <c r="Y37" s="11" t="str">
        <f t="shared" si="8"/>
        <v/>
      </c>
      <c r="Z37" s="11" t="str">
        <f t="shared" si="8"/>
        <v/>
      </c>
      <c r="AA37" s="11" t="str">
        <f t="shared" si="8"/>
        <v/>
      </c>
      <c r="AB37" s="11" t="str">
        <f t="shared" si="8"/>
        <v/>
      </c>
      <c r="AC37" s="11" t="str">
        <f t="shared" si="8"/>
        <v/>
      </c>
      <c r="AD37" s="11" t="str">
        <f t="shared" si="8"/>
        <v/>
      </c>
      <c r="AE37" s="11" t="str">
        <f t="shared" si="8"/>
        <v/>
      </c>
      <c r="AF37" s="11" t="str">
        <f t="shared" si="8"/>
        <v/>
      </c>
      <c r="AG37" s="11" t="str">
        <f t="shared" si="8"/>
        <v/>
      </c>
      <c r="AH37" s="11" t="str">
        <f t="shared" si="8"/>
        <v/>
      </c>
      <c r="AI37" s="11" t="str">
        <f t="shared" si="8"/>
        <v/>
      </c>
      <c r="AJ37" s="11" t="str">
        <f t="shared" si="8"/>
        <v/>
      </c>
      <c r="AK37" s="11" t="str">
        <f t="shared" si="8"/>
        <v/>
      </c>
    </row>
    <row r="38" spans="1:37" x14ac:dyDescent="0.35">
      <c r="A38" s="236"/>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1.1811808532210684</v>
      </c>
      <c r="P38" s="11" t="str">
        <f t="shared" si="8"/>
        <v/>
      </c>
      <c r="Q38" s="11" t="str">
        <f t="shared" si="8"/>
        <v/>
      </c>
      <c r="R38" s="11" t="str">
        <f t="shared" si="8"/>
        <v/>
      </c>
      <c r="S38" s="11" t="str">
        <f t="shared" si="8"/>
        <v/>
      </c>
      <c r="T38" s="11" t="str">
        <f t="shared" si="8"/>
        <v/>
      </c>
      <c r="U38" s="11" t="str">
        <f t="shared" si="8"/>
        <v/>
      </c>
      <c r="V38" s="11" t="str">
        <f t="shared" si="8"/>
        <v/>
      </c>
      <c r="W38" s="11" t="str">
        <f t="shared" si="8"/>
        <v/>
      </c>
      <c r="X38" s="11" t="str">
        <f t="shared" si="8"/>
        <v/>
      </c>
      <c r="Y38" s="11" t="str">
        <f t="shared" si="8"/>
        <v/>
      </c>
      <c r="Z38" s="11" t="str">
        <f t="shared" si="8"/>
        <v/>
      </c>
      <c r="AA38" s="11" t="str">
        <f t="shared" si="8"/>
        <v/>
      </c>
      <c r="AB38" s="11" t="str">
        <f t="shared" si="8"/>
        <v/>
      </c>
      <c r="AC38" s="11" t="str">
        <f t="shared" si="8"/>
        <v/>
      </c>
      <c r="AD38" s="11" t="str">
        <f t="shared" si="8"/>
        <v/>
      </c>
      <c r="AE38" s="11" t="str">
        <f t="shared" si="8"/>
        <v/>
      </c>
      <c r="AF38" s="11" t="str">
        <f t="shared" si="8"/>
        <v/>
      </c>
      <c r="AG38" s="11" t="str">
        <f t="shared" si="8"/>
        <v/>
      </c>
      <c r="AH38" s="11" t="str">
        <f t="shared" si="8"/>
        <v/>
      </c>
      <c r="AI38" s="11" t="str">
        <f t="shared" si="8"/>
        <v/>
      </c>
      <c r="AJ38" s="11" t="str">
        <f t="shared" si="8"/>
        <v/>
      </c>
      <c r="AK38" s="11" t="str">
        <f t="shared" si="8"/>
        <v/>
      </c>
    </row>
    <row r="39" spans="1:37" x14ac:dyDescent="0.35">
      <c r="A39" s="236"/>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2.2573593971608461</v>
      </c>
      <c r="P39" s="11" t="str">
        <f t="shared" si="8"/>
        <v/>
      </c>
      <c r="Q39" s="11" t="str">
        <f t="shared" ref="Q39:AK39" si="20">IF(Q16="","",(Q16/$O$23))</f>
        <v/>
      </c>
      <c r="R39" s="11" t="str">
        <f t="shared" si="20"/>
        <v/>
      </c>
      <c r="S39" s="11" t="str">
        <f t="shared" si="20"/>
        <v/>
      </c>
      <c r="T39" s="11" t="str">
        <f t="shared" si="20"/>
        <v/>
      </c>
      <c r="U39" s="11" t="str">
        <f t="shared" si="20"/>
        <v/>
      </c>
      <c r="V39" s="11" t="str">
        <f t="shared" si="20"/>
        <v/>
      </c>
      <c r="W39" s="11" t="str">
        <f t="shared" si="20"/>
        <v/>
      </c>
      <c r="X39" s="11" t="str">
        <f t="shared" si="20"/>
        <v/>
      </c>
      <c r="Y39" s="11" t="str">
        <f t="shared" si="20"/>
        <v/>
      </c>
      <c r="Z39" s="11" t="str">
        <f t="shared" si="20"/>
        <v/>
      </c>
      <c r="AA39" s="11" t="str">
        <f t="shared" si="20"/>
        <v/>
      </c>
      <c r="AB39" s="11" t="str">
        <f t="shared" si="20"/>
        <v/>
      </c>
      <c r="AC39" s="11" t="str">
        <f t="shared" si="20"/>
        <v/>
      </c>
      <c r="AD39" s="11" t="str">
        <f t="shared" si="20"/>
        <v/>
      </c>
      <c r="AE39" s="11" t="str">
        <f t="shared" si="20"/>
        <v/>
      </c>
      <c r="AF39" s="11" t="str">
        <f t="shared" si="20"/>
        <v/>
      </c>
      <c r="AG39" s="11" t="str">
        <f t="shared" si="20"/>
        <v/>
      </c>
      <c r="AH39" s="11" t="str">
        <f t="shared" si="20"/>
        <v/>
      </c>
      <c r="AI39" s="11" t="str">
        <f t="shared" si="20"/>
        <v/>
      </c>
      <c r="AJ39" s="11" t="str">
        <f t="shared" si="20"/>
        <v/>
      </c>
      <c r="AK39" s="11" t="str">
        <f t="shared" si="20"/>
        <v/>
      </c>
    </row>
    <row r="40" spans="1:37" x14ac:dyDescent="0.35">
      <c r="A40" s="236"/>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AK43" si="22">IF(O17="","",(O17/$O$23))</f>
        <v>1.1483443509208171</v>
      </c>
      <c r="P40" s="11" t="str">
        <f t="shared" si="22"/>
        <v/>
      </c>
      <c r="Q40" s="11" t="str">
        <f t="shared" si="22"/>
        <v/>
      </c>
      <c r="R40" s="11" t="str">
        <f t="shared" si="22"/>
        <v/>
      </c>
      <c r="S40" s="11" t="str">
        <f t="shared" si="22"/>
        <v/>
      </c>
      <c r="T40" s="11" t="str">
        <f t="shared" si="22"/>
        <v/>
      </c>
      <c r="U40" s="11" t="str">
        <f t="shared" si="22"/>
        <v/>
      </c>
      <c r="V40" s="11" t="str">
        <f t="shared" si="22"/>
        <v/>
      </c>
      <c r="W40" s="11" t="str">
        <f t="shared" si="22"/>
        <v/>
      </c>
      <c r="X40" s="11" t="str">
        <f t="shared" si="22"/>
        <v/>
      </c>
      <c r="Y40" s="11" t="str">
        <f t="shared" si="22"/>
        <v/>
      </c>
      <c r="Z40" s="11" t="str">
        <f t="shared" si="22"/>
        <v/>
      </c>
      <c r="AA40" s="11" t="str">
        <f t="shared" si="22"/>
        <v/>
      </c>
      <c r="AB40" s="11" t="str">
        <f t="shared" si="22"/>
        <v/>
      </c>
      <c r="AC40" s="11" t="str">
        <f t="shared" si="22"/>
        <v/>
      </c>
      <c r="AD40" s="11" t="str">
        <f t="shared" si="22"/>
        <v/>
      </c>
      <c r="AE40" s="11" t="str">
        <f t="shared" si="22"/>
        <v/>
      </c>
      <c r="AF40" s="11" t="str">
        <f t="shared" si="22"/>
        <v/>
      </c>
      <c r="AG40" s="11" t="str">
        <f t="shared" si="22"/>
        <v/>
      </c>
      <c r="AH40" s="11" t="str">
        <f t="shared" si="22"/>
        <v/>
      </c>
      <c r="AI40" s="11" t="str">
        <f t="shared" si="22"/>
        <v/>
      </c>
      <c r="AJ40" s="11" t="str">
        <f t="shared" si="22"/>
        <v/>
      </c>
      <c r="AK40" s="11" t="str">
        <f t="shared" si="22"/>
        <v/>
      </c>
    </row>
    <row r="41" spans="1:37" x14ac:dyDescent="0.35">
      <c r="A41" s="236"/>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1.0368570755379727</v>
      </c>
      <c r="P41" s="11" t="str">
        <f t="shared" si="22"/>
        <v/>
      </c>
      <c r="Q41" s="11" t="str">
        <f t="shared" si="22"/>
        <v/>
      </c>
      <c r="R41" s="11" t="str">
        <f t="shared" si="22"/>
        <v/>
      </c>
      <c r="S41" s="11" t="str">
        <f t="shared" si="22"/>
        <v/>
      </c>
      <c r="T41" s="11" t="str">
        <f t="shared" si="22"/>
        <v/>
      </c>
      <c r="U41" s="11" t="str">
        <f t="shared" si="22"/>
        <v/>
      </c>
      <c r="V41" s="11" t="str">
        <f t="shared" si="22"/>
        <v/>
      </c>
      <c r="W41" s="11" t="str">
        <f t="shared" si="22"/>
        <v/>
      </c>
      <c r="X41" s="11" t="str">
        <f t="shared" si="22"/>
        <v/>
      </c>
      <c r="Y41" s="11" t="str">
        <f t="shared" si="22"/>
        <v/>
      </c>
      <c r="Z41" s="11" t="str">
        <f t="shared" si="22"/>
        <v/>
      </c>
      <c r="AA41" s="11" t="str">
        <f t="shared" si="22"/>
        <v/>
      </c>
      <c r="AB41" s="11" t="str">
        <f t="shared" si="22"/>
        <v/>
      </c>
      <c r="AC41" s="11" t="str">
        <f t="shared" si="22"/>
        <v/>
      </c>
      <c r="AD41" s="11" t="str">
        <f t="shared" si="22"/>
        <v/>
      </c>
      <c r="AE41" s="11" t="str">
        <f t="shared" si="22"/>
        <v/>
      </c>
      <c r="AF41" s="11" t="str">
        <f t="shared" si="22"/>
        <v/>
      </c>
      <c r="AG41" s="11" t="str">
        <f t="shared" si="22"/>
        <v/>
      </c>
      <c r="AH41" s="11" t="str">
        <f t="shared" si="22"/>
        <v/>
      </c>
      <c r="AI41" s="11" t="str">
        <f t="shared" si="22"/>
        <v/>
      </c>
      <c r="AJ41" s="11" t="str">
        <f t="shared" si="22"/>
        <v/>
      </c>
      <c r="AK41" s="11" t="str">
        <f t="shared" si="22"/>
        <v/>
      </c>
    </row>
    <row r="42" spans="1:37" x14ac:dyDescent="0.35">
      <c r="A42" s="236"/>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0.90605479724003801</v>
      </c>
      <c r="P42" s="11" t="str">
        <f t="shared" si="22"/>
        <v/>
      </c>
      <c r="Q42" s="11" t="str">
        <f t="shared" si="22"/>
        <v/>
      </c>
      <c r="R42" s="11" t="str">
        <f t="shared" si="22"/>
        <v/>
      </c>
      <c r="S42" s="11" t="str">
        <f t="shared" si="22"/>
        <v/>
      </c>
      <c r="T42" s="11" t="str">
        <f t="shared" si="22"/>
        <v/>
      </c>
      <c r="U42" s="11" t="str">
        <f t="shared" si="22"/>
        <v/>
      </c>
      <c r="V42" s="11" t="str">
        <f t="shared" si="22"/>
        <v/>
      </c>
      <c r="W42" s="11" t="str">
        <f t="shared" si="22"/>
        <v/>
      </c>
      <c r="X42" s="11" t="str">
        <f t="shared" si="22"/>
        <v/>
      </c>
      <c r="Y42" s="11" t="str">
        <f t="shared" si="22"/>
        <v/>
      </c>
      <c r="Z42" s="11" t="str">
        <f t="shared" si="22"/>
        <v/>
      </c>
      <c r="AA42" s="11" t="str">
        <f t="shared" si="22"/>
        <v/>
      </c>
      <c r="AB42" s="11" t="str">
        <f t="shared" si="22"/>
        <v/>
      </c>
      <c r="AC42" s="11" t="str">
        <f t="shared" si="22"/>
        <v/>
      </c>
      <c r="AD42" s="11" t="str">
        <f t="shared" si="22"/>
        <v/>
      </c>
      <c r="AE42" s="11" t="str">
        <f t="shared" si="22"/>
        <v/>
      </c>
      <c r="AF42" s="11" t="str">
        <f t="shared" si="22"/>
        <v/>
      </c>
      <c r="AG42" s="11" t="str">
        <f t="shared" si="22"/>
        <v/>
      </c>
      <c r="AH42" s="11" t="str">
        <f t="shared" si="22"/>
        <v/>
      </c>
      <c r="AI42" s="11" t="str">
        <f t="shared" si="22"/>
        <v/>
      </c>
      <c r="AJ42" s="11" t="str">
        <f t="shared" si="22"/>
        <v/>
      </c>
      <c r="AK42" s="11" t="str">
        <f t="shared" si="22"/>
        <v/>
      </c>
    </row>
    <row r="43" spans="1:37" x14ac:dyDescent="0.35">
      <c r="A43" s="236"/>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0.20845926872768411</v>
      </c>
      <c r="P43" s="11" t="str">
        <f t="shared" si="22"/>
        <v/>
      </c>
      <c r="Q43" s="11" t="str">
        <f t="shared" si="22"/>
        <v/>
      </c>
      <c r="R43" s="11" t="str">
        <f t="shared" si="22"/>
        <v/>
      </c>
      <c r="S43" s="11" t="str">
        <f t="shared" si="22"/>
        <v/>
      </c>
      <c r="T43" s="11" t="str">
        <f t="shared" si="22"/>
        <v/>
      </c>
      <c r="U43" s="11" t="str">
        <f t="shared" si="22"/>
        <v/>
      </c>
      <c r="V43" s="11" t="str">
        <f t="shared" si="22"/>
        <v/>
      </c>
      <c r="W43" s="11" t="str">
        <f t="shared" si="22"/>
        <v/>
      </c>
      <c r="X43" s="11" t="str">
        <f t="shared" si="22"/>
        <v/>
      </c>
      <c r="Y43" s="11" t="str">
        <f t="shared" si="22"/>
        <v/>
      </c>
      <c r="Z43" s="11" t="str">
        <f t="shared" si="22"/>
        <v/>
      </c>
      <c r="AA43" s="11" t="str">
        <f t="shared" si="22"/>
        <v/>
      </c>
      <c r="AB43" s="11" t="str">
        <f t="shared" si="22"/>
        <v/>
      </c>
      <c r="AC43" s="11" t="str">
        <f t="shared" si="22"/>
        <v/>
      </c>
      <c r="AD43" s="11" t="str">
        <f t="shared" si="22"/>
        <v/>
      </c>
      <c r="AE43" s="11" t="str">
        <f t="shared" si="22"/>
        <v/>
      </c>
      <c r="AF43" s="11" t="str">
        <f t="shared" si="22"/>
        <v/>
      </c>
      <c r="AG43" s="11" t="str">
        <f t="shared" si="22"/>
        <v/>
      </c>
      <c r="AH43" s="11" t="str">
        <f t="shared" si="22"/>
        <v/>
      </c>
      <c r="AI43" s="11" t="str">
        <f t="shared" si="22"/>
        <v/>
      </c>
      <c r="AJ43" s="11" t="str">
        <f t="shared" si="22"/>
        <v/>
      </c>
      <c r="AK43" s="11" t="str">
        <f t="shared" si="22"/>
        <v/>
      </c>
    </row>
    <row r="44" spans="1:37" x14ac:dyDescent="0.3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35">
      <c r="A45" s="7" t="str">
        <f>A4</f>
        <v>Noms des groupes</v>
      </c>
      <c r="B45" s="7" t="str">
        <f t="shared" ref="B45:AK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BPA-1mg/L</v>
      </c>
      <c r="J45" s="7" t="str">
        <f t="shared" si="26"/>
        <v>BPA-2mg/L</v>
      </c>
      <c r="K45" s="7" t="str">
        <f t="shared" si="26"/>
        <v>BPA-3mg/L</v>
      </c>
      <c r="L45" s="7" t="str">
        <f t="shared" si="26"/>
        <v>BPA-4mg/L</v>
      </c>
      <c r="M45" s="7" t="str">
        <f t="shared" si="26"/>
        <v>BPA-5mg/L</v>
      </c>
      <c r="N45" s="7"/>
      <c r="O45" s="7" t="str">
        <f t="shared" si="26"/>
        <v>Testo -30µg/L</v>
      </c>
      <c r="P45" s="7" t="str">
        <f t="shared" si="26"/>
        <v>Testo 30µg/L + EE2 -64ng/L</v>
      </c>
      <c r="Q45" s="7" t="str">
        <f t="shared" si="26"/>
        <v>Testo 30µg/L + FAD-10mg/L</v>
      </c>
      <c r="R45" s="7" t="str">
        <f t="shared" si="26"/>
        <v>BPA-1mg/L + Testostérone</v>
      </c>
      <c r="S45" s="7" t="str">
        <f t="shared" si="26"/>
        <v>BPA-2mg/L + Testostérone</v>
      </c>
      <c r="T45" s="7" t="str">
        <f t="shared" si="26"/>
        <v>BPA-3mg/L + Testostérone</v>
      </c>
      <c r="U45" s="7" t="str">
        <f t="shared" si="26"/>
        <v>BPA-4mg/L + Testostérone</v>
      </c>
      <c r="V45" s="7" t="str">
        <f t="shared" si="26"/>
        <v>BPA-5mg/L + Testostérone</v>
      </c>
      <c r="W45" s="7" t="str">
        <f t="shared" si="26"/>
        <v>0-00 + Testostérone</v>
      </c>
      <c r="X45" s="7" t="str">
        <f t="shared" si="26"/>
        <v>0-00 + Testostérone</v>
      </c>
      <c r="Y45" s="7" t="str">
        <f t="shared" si="26"/>
        <v>0-00 + Testostérone</v>
      </c>
      <c r="Z45" s="7" t="str">
        <f t="shared" si="26"/>
        <v>0-00 + Testostérone</v>
      </c>
      <c r="AA45" s="7" t="str">
        <f t="shared" si="26"/>
        <v>0-00 + Testostérone</v>
      </c>
      <c r="AB45" s="7" t="str">
        <f t="shared" si="26"/>
        <v>0-00 + Testostérone</v>
      </c>
      <c r="AC45" s="7" t="str">
        <f t="shared" si="26"/>
        <v>0-00 + Testostérone</v>
      </c>
      <c r="AD45" s="7" t="str">
        <f t="shared" si="26"/>
        <v>0-00 + Testostérone</v>
      </c>
      <c r="AE45" s="7" t="str">
        <f t="shared" si="26"/>
        <v>0-00 + Testostérone</v>
      </c>
      <c r="AF45" s="7" t="str">
        <f t="shared" si="26"/>
        <v>0-00 + Testostérone</v>
      </c>
      <c r="AG45" s="7" t="str">
        <f t="shared" si="26"/>
        <v>0-00 + Testostérone</v>
      </c>
      <c r="AH45" s="7" t="str">
        <f t="shared" si="26"/>
        <v>0-00 + Testostérone</v>
      </c>
      <c r="AI45" s="7" t="str">
        <f t="shared" si="26"/>
        <v>0-00 + Testostérone</v>
      </c>
      <c r="AJ45" s="7" t="str">
        <f t="shared" si="26"/>
        <v>0-00 + Testostérone</v>
      </c>
      <c r="AK45" s="7" t="str">
        <f t="shared" si="26"/>
        <v>0-00 + Testostérone</v>
      </c>
    </row>
    <row r="46" spans="1:37" x14ac:dyDescent="0.35">
      <c r="A46" s="8" t="s">
        <v>0</v>
      </c>
      <c r="B46" s="10">
        <f t="shared" ref="B46:H46" si="27">AVERAGE(B28:B43)</f>
        <v>7.5028694826113101E-2</v>
      </c>
      <c r="C46" s="10">
        <f t="shared" si="27"/>
        <v>0.17045229160096434</v>
      </c>
      <c r="D46" s="10">
        <f t="shared" si="27"/>
        <v>0.13354081291877376</v>
      </c>
      <c r="E46" s="10">
        <f t="shared" si="27"/>
        <v>0.43660921425636201</v>
      </c>
      <c r="F46" s="10">
        <f t="shared" si="27"/>
        <v>1.2034605297396945</v>
      </c>
      <c r="G46" s="10">
        <f t="shared" si="27"/>
        <v>1.7861013629921652</v>
      </c>
      <c r="H46" s="10">
        <f t="shared" si="27"/>
        <v>2.0321641136260289</v>
      </c>
      <c r="I46" s="10">
        <f>AVERAGE(I28:I43)</f>
        <v>0.10366887291127755</v>
      </c>
      <c r="J46" s="9">
        <f>AVERAGE(J28:J43)</f>
        <v>6.9775407958882249E-2</v>
      </c>
      <c r="K46" s="9">
        <f t="shared" ref="K46:M46" si="28">AVERAGE(K28:K43)</f>
        <v>9.4152736145613203E-2</v>
      </c>
      <c r="L46" s="9">
        <f t="shared" si="28"/>
        <v>0.5682546605893577</v>
      </c>
      <c r="M46" s="9">
        <f t="shared" si="28"/>
        <v>0.97083350431133086</v>
      </c>
      <c r="N46" s="8" t="s">
        <v>0</v>
      </c>
      <c r="O46" s="10">
        <f t="shared" ref="O46:AK46" si="29">AVERAGE(O28:O43)</f>
        <v>1</v>
      </c>
      <c r="P46" s="10">
        <f t="shared" si="29"/>
        <v>2.0800810164388492</v>
      </c>
      <c r="Q46" s="10">
        <f t="shared" si="29"/>
        <v>7.3942649847199518E-2</v>
      </c>
      <c r="R46" s="10">
        <f t="shared" si="29"/>
        <v>0.97949842972489842</v>
      </c>
      <c r="S46" s="10">
        <f t="shared" si="29"/>
        <v>1.720376732451431</v>
      </c>
      <c r="T46" s="10">
        <f t="shared" si="29"/>
        <v>1.9795675481543655</v>
      </c>
      <c r="U46" s="10">
        <f t="shared" si="29"/>
        <v>1.8050656812916881</v>
      </c>
      <c r="V46" s="10">
        <f t="shared" si="29"/>
        <v>1.7952970805436186</v>
      </c>
      <c r="W46" s="10" t="e">
        <f t="shared" si="29"/>
        <v>#DIV/0!</v>
      </c>
      <c r="X46" s="10" t="e">
        <f t="shared" si="29"/>
        <v>#DIV/0!</v>
      </c>
      <c r="Y46" s="10" t="e">
        <f t="shared" si="29"/>
        <v>#DIV/0!</v>
      </c>
      <c r="Z46" s="10" t="e">
        <f t="shared" si="29"/>
        <v>#DIV/0!</v>
      </c>
      <c r="AA46" s="10" t="e">
        <f t="shared" si="29"/>
        <v>#DIV/0!</v>
      </c>
      <c r="AB46" s="10" t="e">
        <f t="shared" si="29"/>
        <v>#DIV/0!</v>
      </c>
      <c r="AC46" s="10" t="e">
        <f t="shared" si="29"/>
        <v>#DIV/0!</v>
      </c>
      <c r="AD46" s="10" t="e">
        <f t="shared" si="29"/>
        <v>#DIV/0!</v>
      </c>
      <c r="AE46" s="10" t="e">
        <f t="shared" si="29"/>
        <v>#DIV/0!</v>
      </c>
      <c r="AF46" s="10" t="e">
        <f t="shared" si="29"/>
        <v>#DIV/0!</v>
      </c>
      <c r="AG46" s="10" t="e">
        <f t="shared" si="29"/>
        <v>#DIV/0!</v>
      </c>
      <c r="AH46" s="10" t="e">
        <f t="shared" si="29"/>
        <v>#DIV/0!</v>
      </c>
      <c r="AI46" s="10" t="e">
        <f t="shared" si="29"/>
        <v>#DIV/0!</v>
      </c>
      <c r="AJ46" s="10" t="e">
        <f t="shared" si="29"/>
        <v>#DIV/0!</v>
      </c>
      <c r="AK46" s="10" t="e">
        <f t="shared" si="29"/>
        <v>#DIV/0!</v>
      </c>
    </row>
    <row r="47" spans="1:37" x14ac:dyDescent="0.35">
      <c r="A47" s="8" t="s">
        <v>1</v>
      </c>
      <c r="B47" s="8">
        <f t="shared" ref="B47:M47" si="30">STDEV(B28:B43)</f>
        <v>5.8583071042911994E-2</v>
      </c>
      <c r="C47" s="8">
        <f t="shared" si="30"/>
        <v>0.12408441996706195</v>
      </c>
      <c r="D47" s="8">
        <f t="shared" si="30"/>
        <v>0.10916604974599925</v>
      </c>
      <c r="E47" s="8">
        <f t="shared" si="30"/>
        <v>0.32854249533744628</v>
      </c>
      <c r="F47" s="8">
        <f t="shared" si="30"/>
        <v>0.57971307940316608</v>
      </c>
      <c r="G47" s="8">
        <f t="shared" si="30"/>
        <v>0.68325541497282616</v>
      </c>
      <c r="H47" s="8">
        <f t="shared" si="30"/>
        <v>0.47289194798368178</v>
      </c>
      <c r="I47" s="8">
        <f t="shared" si="30"/>
        <v>4.6175539783771945E-2</v>
      </c>
      <c r="J47" s="8">
        <f t="shared" si="30"/>
        <v>3.8926544295343798E-2</v>
      </c>
      <c r="K47" s="8">
        <f t="shared" si="30"/>
        <v>7.5466669817592813E-2</v>
      </c>
      <c r="L47" s="8">
        <f t="shared" si="30"/>
        <v>0.34572567099423784</v>
      </c>
      <c r="M47" s="8">
        <f t="shared" si="30"/>
        <v>0.19616308176823277</v>
      </c>
      <c r="N47" s="8" t="s">
        <v>1</v>
      </c>
      <c r="O47" s="8">
        <f t="shared" ref="O47:AK47" si="31">STDEV(O28:O43)</f>
        <v>0.57111275354036661</v>
      </c>
      <c r="P47" s="8">
        <f t="shared" si="31"/>
        <v>0.39205894812132686</v>
      </c>
      <c r="Q47" s="8">
        <f t="shared" si="31"/>
        <v>4.5270646449153629E-2</v>
      </c>
      <c r="R47" s="8">
        <f t="shared" si="31"/>
        <v>0.66844378697717022</v>
      </c>
      <c r="S47" s="8">
        <f t="shared" si="31"/>
        <v>0.31965798634931131</v>
      </c>
      <c r="T47" s="8">
        <f t="shared" si="31"/>
        <v>0.53763933169619382</v>
      </c>
      <c r="U47" s="8">
        <f t="shared" si="31"/>
        <v>0.83742754046948453</v>
      </c>
      <c r="V47" s="8">
        <f t="shared" si="31"/>
        <v>0.71074527274079247</v>
      </c>
      <c r="W47" s="8" t="e">
        <f t="shared" si="31"/>
        <v>#DIV/0!</v>
      </c>
      <c r="X47" s="8" t="e">
        <f t="shared" si="31"/>
        <v>#DIV/0!</v>
      </c>
      <c r="Y47" s="8" t="e">
        <f t="shared" si="31"/>
        <v>#DIV/0!</v>
      </c>
      <c r="Z47" s="8" t="e">
        <f t="shared" si="31"/>
        <v>#DIV/0!</v>
      </c>
      <c r="AA47" s="8" t="e">
        <f t="shared" si="31"/>
        <v>#DIV/0!</v>
      </c>
      <c r="AB47" s="8" t="e">
        <f t="shared" si="31"/>
        <v>#DIV/0!</v>
      </c>
      <c r="AC47" s="8" t="e">
        <f t="shared" si="31"/>
        <v>#DIV/0!</v>
      </c>
      <c r="AD47" s="8" t="e">
        <f t="shared" si="31"/>
        <v>#DIV/0!</v>
      </c>
      <c r="AE47" s="8" t="e">
        <f t="shared" si="31"/>
        <v>#DIV/0!</v>
      </c>
      <c r="AF47" s="8" t="e">
        <f t="shared" si="31"/>
        <v>#DIV/0!</v>
      </c>
      <c r="AG47" s="8" t="e">
        <f t="shared" si="31"/>
        <v>#DIV/0!</v>
      </c>
      <c r="AH47" s="8" t="e">
        <f t="shared" si="31"/>
        <v>#DIV/0!</v>
      </c>
      <c r="AI47" s="8" t="e">
        <f t="shared" si="31"/>
        <v>#DIV/0!</v>
      </c>
      <c r="AJ47" s="8" t="e">
        <f t="shared" si="31"/>
        <v>#DIV/0!</v>
      </c>
      <c r="AK47" s="8" t="e">
        <f t="shared" si="31"/>
        <v>#DIV/0!</v>
      </c>
    </row>
    <row r="48" spans="1:37" x14ac:dyDescent="0.35">
      <c r="A48" s="8" t="s">
        <v>2</v>
      </c>
      <c r="B48" s="8">
        <f t="shared" ref="B48:M48" si="32" xml:space="preserve"> B47/SQRT(COUNT(B28:B43))</f>
        <v>2.2142319573996351E-2</v>
      </c>
      <c r="C48" s="8">
        <f t="shared" si="32"/>
        <v>4.387046739915447E-2</v>
      </c>
      <c r="D48" s="8">
        <f t="shared" si="32"/>
        <v>3.8596027025372022E-2</v>
      </c>
      <c r="E48" s="8">
        <f t="shared" si="32"/>
        <v>0.11615731318052896</v>
      </c>
      <c r="F48" s="8">
        <f t="shared" si="32"/>
        <v>0.20495952479425708</v>
      </c>
      <c r="G48" s="8">
        <f t="shared" si="32"/>
        <v>0.24156726860485694</v>
      </c>
      <c r="H48" s="8">
        <f t="shared" si="32"/>
        <v>0.17873635590995918</v>
      </c>
      <c r="I48" s="8">
        <f t="shared" si="32"/>
        <v>1.6325518653027175E-2</v>
      </c>
      <c r="J48" s="8">
        <f t="shared" si="32"/>
        <v>1.3762611719698057E-2</v>
      </c>
      <c r="K48" s="8">
        <f t="shared" si="32"/>
        <v>2.6681496990793013E-2</v>
      </c>
      <c r="L48" s="8">
        <f t="shared" si="32"/>
        <v>0.12223248319514742</v>
      </c>
      <c r="M48" s="8">
        <f t="shared" si="32"/>
        <v>8.7726797101923618E-2</v>
      </c>
      <c r="N48" s="8" t="s">
        <v>2</v>
      </c>
      <c r="O48" s="8">
        <f t="shared" ref="O48:AK48" si="33" xml:space="preserve"> O47/SQRT(COUNT(O28:O43))</f>
        <v>0.14277818838509165</v>
      </c>
      <c r="P48" s="8">
        <f t="shared" si="33"/>
        <v>0.13861377042072751</v>
      </c>
      <c r="Q48" s="8">
        <f t="shared" si="33"/>
        <v>1.6005590546447613E-2</v>
      </c>
      <c r="R48" s="8">
        <f t="shared" si="33"/>
        <v>0.23633056730678653</v>
      </c>
      <c r="S48" s="8">
        <f t="shared" si="33"/>
        <v>0.15982899317465565</v>
      </c>
      <c r="T48" s="8">
        <f t="shared" si="33"/>
        <v>0.19008420863749106</v>
      </c>
      <c r="U48" s="8">
        <f t="shared" si="33"/>
        <v>0.2960753463091722</v>
      </c>
      <c r="V48" s="8">
        <f t="shared" si="33"/>
        <v>0.25128640102564825</v>
      </c>
      <c r="W48" s="8" t="e">
        <f t="shared" si="33"/>
        <v>#DIV/0!</v>
      </c>
      <c r="X48" s="8" t="e">
        <f t="shared" si="33"/>
        <v>#DIV/0!</v>
      </c>
      <c r="Y48" s="8" t="e">
        <f t="shared" si="33"/>
        <v>#DIV/0!</v>
      </c>
      <c r="Z48" s="8" t="e">
        <f t="shared" si="33"/>
        <v>#DIV/0!</v>
      </c>
      <c r="AA48" s="8" t="e">
        <f t="shared" si="33"/>
        <v>#DIV/0!</v>
      </c>
      <c r="AB48" s="8" t="e">
        <f t="shared" si="33"/>
        <v>#DIV/0!</v>
      </c>
      <c r="AC48" s="8" t="e">
        <f t="shared" si="33"/>
        <v>#DIV/0!</v>
      </c>
      <c r="AD48" s="8" t="e">
        <f t="shared" si="33"/>
        <v>#DIV/0!</v>
      </c>
      <c r="AE48" s="8" t="e">
        <f t="shared" si="33"/>
        <v>#DIV/0!</v>
      </c>
      <c r="AF48" s="8" t="e">
        <f t="shared" si="33"/>
        <v>#DIV/0!</v>
      </c>
      <c r="AG48" s="8" t="e">
        <f t="shared" si="33"/>
        <v>#DIV/0!</v>
      </c>
      <c r="AH48" s="8" t="e">
        <f t="shared" si="33"/>
        <v>#DIV/0!</v>
      </c>
      <c r="AI48" s="8" t="e">
        <f t="shared" si="33"/>
        <v>#DIV/0!</v>
      </c>
      <c r="AJ48" s="8" t="e">
        <f t="shared" si="33"/>
        <v>#DIV/0!</v>
      </c>
      <c r="AK48" s="8" t="e">
        <f t="shared" si="33"/>
        <v>#DIV/0!</v>
      </c>
    </row>
    <row r="49" spans="1:37" ht="15" thickBot="1" x14ac:dyDescent="0.4">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6.5" thickBot="1" x14ac:dyDescent="0.65">
      <c r="A50" s="227" t="s">
        <v>44</v>
      </c>
      <c r="B50" s="228"/>
      <c r="C50" s="228"/>
      <c r="D50" s="228"/>
      <c r="E50" s="228"/>
      <c r="F50" s="228"/>
      <c r="G50" s="228"/>
      <c r="H50" s="228"/>
      <c r="I50" s="228"/>
      <c r="J50" s="228"/>
      <c r="K50" s="228"/>
      <c r="L50" s="228"/>
      <c r="M50" s="228"/>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37"/>
    </row>
    <row r="51" spans="1:37" ht="15" thickBot="1" x14ac:dyDescent="0.4"/>
    <row r="52" spans="1:37"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BPA-1mg/L</v>
      </c>
      <c r="J52" s="46" t="str">
        <f>J4</f>
        <v>BPA-2mg/L</v>
      </c>
      <c r="K52" s="46" t="str">
        <f t="shared" ref="K52:M52" si="35">K4</f>
        <v>BPA-3mg/L</v>
      </c>
      <c r="L52" s="46" t="str">
        <f t="shared" si="35"/>
        <v>BPA-4mg/L</v>
      </c>
      <c r="M52" s="46" t="str">
        <f t="shared" si="35"/>
        <v>BPA-5mg/L</v>
      </c>
      <c r="N52" s="47"/>
      <c r="O52" s="46" t="str">
        <f>O27</f>
        <v>Testo -30µg/L</v>
      </c>
      <c r="P52" s="46" t="str">
        <f>P27</f>
        <v>Testo 30µg/L + EE2 -64ng/L</v>
      </c>
      <c r="Q52" s="46" t="str">
        <f>Q27</f>
        <v>Testo 30µg/L + FAD-10mg/L</v>
      </c>
      <c r="R52" s="46" t="str">
        <f>R27</f>
        <v>BPA-1mg/L + Testostérone</v>
      </c>
      <c r="S52" s="46" t="str">
        <f t="shared" ref="S52:AK52" si="36">S27</f>
        <v>BPA-2mg/L + Testostérone</v>
      </c>
      <c r="T52" s="46" t="str">
        <f t="shared" si="36"/>
        <v>BPA-3mg/L + Testostérone</v>
      </c>
      <c r="U52" s="46" t="str">
        <f t="shared" si="36"/>
        <v>BPA-4mg/L + Testostérone</v>
      </c>
      <c r="V52" s="46" t="str">
        <f t="shared" si="36"/>
        <v>BPA-5mg/L + Testostérone</v>
      </c>
      <c r="W52" s="46" t="str">
        <f t="shared" si="36"/>
        <v>0-00 + Testostérone</v>
      </c>
      <c r="X52" s="46" t="str">
        <f t="shared" si="36"/>
        <v>0-00 + Testostérone</v>
      </c>
      <c r="Y52" s="46" t="str">
        <f t="shared" si="36"/>
        <v>0-00 + Testostérone</v>
      </c>
      <c r="Z52" s="46" t="str">
        <f t="shared" si="36"/>
        <v>0-00 + Testostérone</v>
      </c>
      <c r="AA52" s="46" t="str">
        <f t="shared" si="36"/>
        <v>0-00 + Testostérone</v>
      </c>
      <c r="AB52" s="46" t="str">
        <f t="shared" si="36"/>
        <v>0-00 + Testostérone</v>
      </c>
      <c r="AC52" s="46" t="str">
        <f t="shared" si="36"/>
        <v>0-00 + Testostérone</v>
      </c>
      <c r="AD52" s="46" t="str">
        <f t="shared" si="36"/>
        <v>0-00 + Testostérone</v>
      </c>
      <c r="AE52" s="46" t="str">
        <f t="shared" si="36"/>
        <v>0-00 + Testostérone</v>
      </c>
      <c r="AF52" s="46" t="str">
        <f t="shared" si="36"/>
        <v>0-00 + Testostérone</v>
      </c>
      <c r="AG52" s="46" t="str">
        <f t="shared" si="36"/>
        <v>0-00 + Testostérone</v>
      </c>
      <c r="AH52" s="46" t="str">
        <f t="shared" si="36"/>
        <v>0-00 + Testostérone</v>
      </c>
      <c r="AI52" s="46" t="str">
        <f t="shared" si="36"/>
        <v>0-00 + Testostérone</v>
      </c>
      <c r="AJ52" s="46" t="str">
        <f t="shared" si="36"/>
        <v>0-00 + Testostérone</v>
      </c>
      <c r="AK52" s="46" t="str">
        <f t="shared" si="36"/>
        <v>0-00 + Testostérone</v>
      </c>
    </row>
    <row r="53" spans="1:37" s="3" customFormat="1" x14ac:dyDescent="0.35">
      <c r="A53" s="61" t="s">
        <v>32</v>
      </c>
      <c r="B53" s="141">
        <f t="shared" ref="B53:AK53" si="37">B46</f>
        <v>7.5028694826113101E-2</v>
      </c>
      <c r="C53" s="141">
        <f t="shared" si="37"/>
        <v>0.17045229160096434</v>
      </c>
      <c r="D53" s="141">
        <f t="shared" si="37"/>
        <v>0.13354081291877376</v>
      </c>
      <c r="E53" s="141">
        <f t="shared" si="37"/>
        <v>0.43660921425636201</v>
      </c>
      <c r="F53" s="141">
        <f t="shared" si="37"/>
        <v>1.2034605297396945</v>
      </c>
      <c r="G53" s="141">
        <f t="shared" si="37"/>
        <v>1.7861013629921652</v>
      </c>
      <c r="H53" s="141">
        <f t="shared" si="37"/>
        <v>2.0321641136260289</v>
      </c>
      <c r="I53" s="141">
        <f t="shared" si="37"/>
        <v>0.10366887291127755</v>
      </c>
      <c r="J53" s="141">
        <f t="shared" si="37"/>
        <v>6.9775407958882249E-2</v>
      </c>
      <c r="K53" s="141">
        <f t="shared" si="37"/>
        <v>9.4152736145613203E-2</v>
      </c>
      <c r="L53" s="141">
        <f t="shared" si="37"/>
        <v>0.5682546605893577</v>
      </c>
      <c r="M53" s="141">
        <f t="shared" si="37"/>
        <v>0.97083350431133086</v>
      </c>
      <c r="N53" s="141"/>
      <c r="O53" s="141">
        <f t="shared" si="37"/>
        <v>1</v>
      </c>
      <c r="P53" s="141">
        <f t="shared" si="37"/>
        <v>2.0800810164388492</v>
      </c>
      <c r="Q53" s="141">
        <f t="shared" si="37"/>
        <v>7.3942649847199518E-2</v>
      </c>
      <c r="R53" s="141">
        <f t="shared" si="37"/>
        <v>0.97949842972489842</v>
      </c>
      <c r="S53" s="141">
        <f t="shared" si="37"/>
        <v>1.720376732451431</v>
      </c>
      <c r="T53" s="141">
        <f t="shared" si="37"/>
        <v>1.9795675481543655</v>
      </c>
      <c r="U53" s="141">
        <f t="shared" si="37"/>
        <v>1.8050656812916881</v>
      </c>
      <c r="V53" s="141">
        <f t="shared" si="37"/>
        <v>1.7952970805436186</v>
      </c>
      <c r="W53" s="141" t="e">
        <f t="shared" si="37"/>
        <v>#DIV/0!</v>
      </c>
      <c r="X53" s="141" t="e">
        <f t="shared" si="37"/>
        <v>#DIV/0!</v>
      </c>
      <c r="Y53" s="141" t="e">
        <f t="shared" si="37"/>
        <v>#DIV/0!</v>
      </c>
      <c r="Z53" s="141" t="e">
        <f t="shared" si="37"/>
        <v>#DIV/0!</v>
      </c>
      <c r="AA53" s="141" t="e">
        <f t="shared" si="37"/>
        <v>#DIV/0!</v>
      </c>
      <c r="AB53" s="141" t="e">
        <f t="shared" si="37"/>
        <v>#DIV/0!</v>
      </c>
      <c r="AC53" s="141" t="e">
        <f t="shared" si="37"/>
        <v>#DIV/0!</v>
      </c>
      <c r="AD53" s="141" t="e">
        <f t="shared" si="37"/>
        <v>#DIV/0!</v>
      </c>
      <c r="AE53" s="141" t="e">
        <f t="shared" si="37"/>
        <v>#DIV/0!</v>
      </c>
      <c r="AF53" s="141" t="e">
        <f t="shared" si="37"/>
        <v>#DIV/0!</v>
      </c>
      <c r="AG53" s="141" t="e">
        <f t="shared" si="37"/>
        <v>#DIV/0!</v>
      </c>
      <c r="AH53" s="141" t="e">
        <f t="shared" si="37"/>
        <v>#DIV/0!</v>
      </c>
      <c r="AI53" s="141" t="e">
        <f t="shared" si="37"/>
        <v>#DIV/0!</v>
      </c>
      <c r="AJ53" s="141" t="e">
        <f t="shared" si="37"/>
        <v>#DIV/0!</v>
      </c>
      <c r="AK53" s="141" t="e">
        <f t="shared" si="37"/>
        <v>#DIV/0!</v>
      </c>
    </row>
    <row r="54" spans="1:37" s="3" customFormat="1" x14ac:dyDescent="0.35">
      <c r="A54" s="61" t="s">
        <v>2</v>
      </c>
      <c r="B54" s="141">
        <f t="shared" ref="B54:AK54" si="38">B48</f>
        <v>2.2142319573996351E-2</v>
      </c>
      <c r="C54" s="141">
        <f t="shared" si="38"/>
        <v>4.387046739915447E-2</v>
      </c>
      <c r="D54" s="141">
        <f t="shared" si="38"/>
        <v>3.8596027025372022E-2</v>
      </c>
      <c r="E54" s="141">
        <f t="shared" si="38"/>
        <v>0.11615731318052896</v>
      </c>
      <c r="F54" s="141">
        <f t="shared" si="38"/>
        <v>0.20495952479425708</v>
      </c>
      <c r="G54" s="141">
        <f t="shared" si="38"/>
        <v>0.24156726860485694</v>
      </c>
      <c r="H54" s="141">
        <f t="shared" si="38"/>
        <v>0.17873635590995918</v>
      </c>
      <c r="I54" s="141">
        <f t="shared" si="38"/>
        <v>1.6325518653027175E-2</v>
      </c>
      <c r="J54" s="141">
        <f t="shared" si="38"/>
        <v>1.3762611719698057E-2</v>
      </c>
      <c r="K54" s="141">
        <f t="shared" si="38"/>
        <v>2.6681496990793013E-2</v>
      </c>
      <c r="L54" s="141">
        <f t="shared" si="38"/>
        <v>0.12223248319514742</v>
      </c>
      <c r="M54" s="141">
        <f t="shared" si="38"/>
        <v>8.7726797101923618E-2</v>
      </c>
      <c r="N54" s="141"/>
      <c r="O54" s="141">
        <f t="shared" si="38"/>
        <v>0.14277818838509165</v>
      </c>
      <c r="P54" s="141">
        <f t="shared" si="38"/>
        <v>0.13861377042072751</v>
      </c>
      <c r="Q54" s="141">
        <f t="shared" si="38"/>
        <v>1.6005590546447613E-2</v>
      </c>
      <c r="R54" s="141">
        <f t="shared" si="38"/>
        <v>0.23633056730678653</v>
      </c>
      <c r="S54" s="141">
        <f t="shared" si="38"/>
        <v>0.15982899317465565</v>
      </c>
      <c r="T54" s="141">
        <f t="shared" si="38"/>
        <v>0.19008420863749106</v>
      </c>
      <c r="U54" s="141">
        <f t="shared" si="38"/>
        <v>0.2960753463091722</v>
      </c>
      <c r="V54" s="141">
        <f t="shared" si="38"/>
        <v>0.25128640102564825</v>
      </c>
      <c r="W54" s="141" t="e">
        <f t="shared" si="38"/>
        <v>#DIV/0!</v>
      </c>
      <c r="X54" s="141" t="e">
        <f t="shared" si="38"/>
        <v>#DIV/0!</v>
      </c>
      <c r="Y54" s="141" t="e">
        <f t="shared" si="38"/>
        <v>#DIV/0!</v>
      </c>
      <c r="Z54" s="141" t="e">
        <f t="shared" si="38"/>
        <v>#DIV/0!</v>
      </c>
      <c r="AA54" s="141" t="e">
        <f t="shared" si="38"/>
        <v>#DIV/0!</v>
      </c>
      <c r="AB54" s="141" t="e">
        <f t="shared" si="38"/>
        <v>#DIV/0!</v>
      </c>
      <c r="AC54" s="141" t="e">
        <f t="shared" si="38"/>
        <v>#DIV/0!</v>
      </c>
      <c r="AD54" s="141" t="e">
        <f t="shared" si="38"/>
        <v>#DIV/0!</v>
      </c>
      <c r="AE54" s="141" t="e">
        <f t="shared" si="38"/>
        <v>#DIV/0!</v>
      </c>
      <c r="AF54" s="141" t="e">
        <f t="shared" si="38"/>
        <v>#DIV/0!</v>
      </c>
      <c r="AG54" s="141" t="e">
        <f t="shared" si="38"/>
        <v>#DIV/0!</v>
      </c>
      <c r="AH54" s="141" t="e">
        <f t="shared" si="38"/>
        <v>#DIV/0!</v>
      </c>
      <c r="AI54" s="141" t="e">
        <f t="shared" si="38"/>
        <v>#DIV/0!</v>
      </c>
      <c r="AJ54" s="141" t="e">
        <f t="shared" si="38"/>
        <v>#DIV/0!</v>
      </c>
      <c r="AK54" s="141" t="e">
        <f t="shared" si="38"/>
        <v>#DIV/0!</v>
      </c>
    </row>
    <row r="55" spans="1:37" s="3" customFormat="1" x14ac:dyDescent="0.35">
      <c r="A55" s="61" t="s">
        <v>79</v>
      </c>
      <c r="B55" s="141">
        <f>(B53*100/$B53)-100</f>
        <v>0</v>
      </c>
      <c r="C55" s="141">
        <f t="shared" ref="C55:M55" si="39">(C53*100/$B53)-100</f>
        <v>127.18280252109605</v>
      </c>
      <c r="D55" s="141">
        <f t="shared" si="39"/>
        <v>77.986320071632122</v>
      </c>
      <c r="E55" s="141">
        <f t="shared" si="39"/>
        <v>481.92297662680903</v>
      </c>
      <c r="F55" s="141">
        <f t="shared" si="39"/>
        <v>1504.0003528367927</v>
      </c>
      <c r="G55" s="141">
        <f t="shared" si="39"/>
        <v>2280.5576881373763</v>
      </c>
      <c r="H55" s="141">
        <f t="shared" si="39"/>
        <v>2608.5158796055071</v>
      </c>
      <c r="I55" s="141">
        <f t="shared" si="39"/>
        <v>38.172299480273608</v>
      </c>
      <c r="J55" s="141">
        <f t="shared" si="39"/>
        <v>-7.0017036540564845</v>
      </c>
      <c r="K55" s="141">
        <f t="shared" si="39"/>
        <v>25.488969738607452</v>
      </c>
      <c r="L55" s="141">
        <f t="shared" si="39"/>
        <v>657.38310776476612</v>
      </c>
      <c r="M55" s="141">
        <f t="shared" si="39"/>
        <v>1193.949610294221</v>
      </c>
      <c r="N55" s="141"/>
      <c r="O55" s="141">
        <f>(O53*100/$O53)-100</f>
        <v>0</v>
      </c>
      <c r="P55" s="141">
        <f t="shared" ref="P55:AK55" si="40">(P53*100/$O53)-100</f>
        <v>108.00810164388491</v>
      </c>
      <c r="Q55" s="141">
        <f t="shared" si="40"/>
        <v>-92.605735015280047</v>
      </c>
      <c r="R55" s="141">
        <f t="shared" si="40"/>
        <v>-2.0501570275101528</v>
      </c>
      <c r="S55" s="141">
        <f t="shared" si="40"/>
        <v>72.037673245143083</v>
      </c>
      <c r="T55" s="141">
        <f t="shared" si="40"/>
        <v>97.95675481543654</v>
      </c>
      <c r="U55" s="141">
        <f t="shared" si="40"/>
        <v>80.506568129168812</v>
      </c>
      <c r="V55" s="141">
        <f t="shared" si="40"/>
        <v>79.529708054361862</v>
      </c>
      <c r="W55" s="141" t="e">
        <f t="shared" si="40"/>
        <v>#DIV/0!</v>
      </c>
      <c r="X55" s="141" t="e">
        <f t="shared" si="40"/>
        <v>#DIV/0!</v>
      </c>
      <c r="Y55" s="141" t="e">
        <f t="shared" si="40"/>
        <v>#DIV/0!</v>
      </c>
      <c r="Z55" s="141" t="e">
        <f t="shared" si="40"/>
        <v>#DIV/0!</v>
      </c>
      <c r="AA55" s="141" t="e">
        <f t="shared" si="40"/>
        <v>#DIV/0!</v>
      </c>
      <c r="AB55" s="141" t="e">
        <f t="shared" si="40"/>
        <v>#DIV/0!</v>
      </c>
      <c r="AC55" s="141" t="e">
        <f t="shared" si="40"/>
        <v>#DIV/0!</v>
      </c>
      <c r="AD55" s="141" t="e">
        <f t="shared" si="40"/>
        <v>#DIV/0!</v>
      </c>
      <c r="AE55" s="141" t="e">
        <f t="shared" si="40"/>
        <v>#DIV/0!</v>
      </c>
      <c r="AF55" s="141" t="e">
        <f t="shared" si="40"/>
        <v>#DIV/0!</v>
      </c>
      <c r="AG55" s="141" t="e">
        <f t="shared" si="40"/>
        <v>#DIV/0!</v>
      </c>
      <c r="AH55" s="141" t="e">
        <f t="shared" si="40"/>
        <v>#DIV/0!</v>
      </c>
      <c r="AI55" s="141" t="e">
        <f t="shared" si="40"/>
        <v>#DIV/0!</v>
      </c>
      <c r="AJ55" s="141" t="e">
        <f t="shared" si="40"/>
        <v>#DIV/0!</v>
      </c>
      <c r="AK55" s="141" t="e">
        <f t="shared" si="40"/>
        <v>#DIV/0!</v>
      </c>
    </row>
    <row r="56" spans="1:37" s="3" customFormat="1" x14ac:dyDescent="0.35">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c r="W56" s="141" t="e">
        <f ca="1">[1]!SWTEST(W28:W43)</f>
        <v>#NAME?</v>
      </c>
      <c r="X56" s="141" t="e">
        <f ca="1">[1]!SWTEST(X28:X43)</f>
        <v>#NAME?</v>
      </c>
      <c r="Y56" s="141" t="e">
        <f ca="1">[1]!SWTEST(Y28:Y43)</f>
        <v>#NAME?</v>
      </c>
      <c r="Z56" s="141" t="e">
        <f ca="1">[1]!SWTEST(Z28:Z43)</f>
        <v>#NAME?</v>
      </c>
      <c r="AA56" s="141" t="e">
        <f ca="1">[1]!SWTEST(AA28:AA43)</f>
        <v>#NAME?</v>
      </c>
      <c r="AB56" s="141" t="e">
        <f ca="1">[1]!SWTEST(AB28:AB43)</f>
        <v>#NAME?</v>
      </c>
      <c r="AC56" s="141" t="e">
        <f ca="1">[1]!SWTEST(AC28:AC43)</f>
        <v>#NAME?</v>
      </c>
      <c r="AD56" s="141" t="e">
        <f ca="1">[1]!SWTEST(AD28:AD43)</f>
        <v>#NAME?</v>
      </c>
      <c r="AE56" s="141" t="e">
        <f ca="1">[1]!SWTEST(AE28:AE43)</f>
        <v>#NAME?</v>
      </c>
      <c r="AF56" s="141" t="e">
        <f ca="1">[1]!SWTEST(AF28:AF43)</f>
        <v>#NAME?</v>
      </c>
      <c r="AG56" s="141" t="e">
        <f ca="1">[1]!SWTEST(AG28:AG43)</f>
        <v>#NAME?</v>
      </c>
      <c r="AH56" s="141" t="e">
        <f ca="1">[1]!SWTEST(AH28:AH43)</f>
        <v>#NAME?</v>
      </c>
      <c r="AI56" s="141" t="e">
        <f ca="1">[1]!SWTEST(AI28:AI43)</f>
        <v>#NAME?</v>
      </c>
      <c r="AJ56" s="141" t="e">
        <f ca="1">[1]!SWTEST(AJ28:AJ43)</f>
        <v>#NAME?</v>
      </c>
      <c r="AK56" s="141" t="e">
        <f ca="1">[1]!SWTEST(AK28:AK43)</f>
        <v>#NAME?</v>
      </c>
    </row>
    <row r="57" spans="1:37" s="3" customFormat="1" x14ac:dyDescent="0.35">
      <c r="A57" s="61" t="s">
        <v>85</v>
      </c>
      <c r="B57" s="141" t="e">
        <f ca="1">IF(B56&gt;0.05,"Oui","Non")</f>
        <v>#NAME?</v>
      </c>
      <c r="C57" s="141" t="e">
        <f t="shared" ref="C57:AK57" ca="1" si="41">IF(C56&gt;0.05,"Oui","Non")</f>
        <v>#NAME?</v>
      </c>
      <c r="D57" s="141" t="e">
        <f t="shared" ca="1" si="41"/>
        <v>#NAME?</v>
      </c>
      <c r="E57" s="141" t="e">
        <f t="shared" ca="1" si="41"/>
        <v>#NAME?</v>
      </c>
      <c r="F57" s="141" t="e">
        <f t="shared" ca="1" si="41"/>
        <v>#NAME?</v>
      </c>
      <c r="G57" s="141" t="e">
        <f t="shared" ca="1" si="41"/>
        <v>#NAME?</v>
      </c>
      <c r="H57" s="141" t="e">
        <f t="shared" ca="1" si="41"/>
        <v>#NAME?</v>
      </c>
      <c r="I57" s="141" t="e">
        <f t="shared" ca="1" si="41"/>
        <v>#NAME?</v>
      </c>
      <c r="J57" s="141" t="e">
        <f t="shared" ca="1" si="41"/>
        <v>#NAME?</v>
      </c>
      <c r="K57" s="141" t="e">
        <f t="shared" ca="1" si="41"/>
        <v>#NAME?</v>
      </c>
      <c r="L57" s="141" t="e">
        <f t="shared" ca="1" si="41"/>
        <v>#NAME?</v>
      </c>
      <c r="M57" s="141" t="e">
        <f t="shared" ca="1" si="41"/>
        <v>#NAME?</v>
      </c>
      <c r="N57" s="141"/>
      <c r="O57" s="141" t="e">
        <f t="shared" ca="1" si="41"/>
        <v>#NAME?</v>
      </c>
      <c r="P57" s="141" t="e">
        <f t="shared" ca="1" si="41"/>
        <v>#NAME?</v>
      </c>
      <c r="Q57" s="141" t="e">
        <f t="shared" ca="1" si="41"/>
        <v>#NAME?</v>
      </c>
      <c r="R57" s="141" t="e">
        <f t="shared" ca="1" si="41"/>
        <v>#NAME?</v>
      </c>
      <c r="S57" s="141" t="e">
        <f t="shared" ca="1" si="41"/>
        <v>#NAME?</v>
      </c>
      <c r="T57" s="141" t="e">
        <f t="shared" ca="1" si="41"/>
        <v>#NAME?</v>
      </c>
      <c r="U57" s="141" t="e">
        <f t="shared" ca="1" si="41"/>
        <v>#NAME?</v>
      </c>
      <c r="V57" s="141" t="e">
        <f t="shared" ca="1" si="41"/>
        <v>#NAME?</v>
      </c>
      <c r="W57" s="141" t="e">
        <f t="shared" ca="1" si="41"/>
        <v>#NAME?</v>
      </c>
      <c r="X57" s="141" t="e">
        <f t="shared" ca="1" si="41"/>
        <v>#NAME?</v>
      </c>
      <c r="Y57" s="141" t="e">
        <f t="shared" ca="1" si="41"/>
        <v>#NAME?</v>
      </c>
      <c r="Z57" s="141" t="e">
        <f t="shared" ca="1" si="41"/>
        <v>#NAME?</v>
      </c>
      <c r="AA57" s="141" t="e">
        <f t="shared" ca="1" si="41"/>
        <v>#NAME?</v>
      </c>
      <c r="AB57" s="141" t="e">
        <f t="shared" ca="1" si="41"/>
        <v>#NAME?</v>
      </c>
      <c r="AC57" s="141" t="e">
        <f t="shared" ca="1" si="41"/>
        <v>#NAME?</v>
      </c>
      <c r="AD57" s="141" t="e">
        <f t="shared" ca="1" si="41"/>
        <v>#NAME?</v>
      </c>
      <c r="AE57" s="141" t="e">
        <f t="shared" ca="1" si="41"/>
        <v>#NAME?</v>
      </c>
      <c r="AF57" s="141" t="e">
        <f t="shared" ca="1" si="41"/>
        <v>#NAME?</v>
      </c>
      <c r="AG57" s="141" t="e">
        <f t="shared" ca="1" si="41"/>
        <v>#NAME?</v>
      </c>
      <c r="AH57" s="141" t="e">
        <f t="shared" ca="1" si="41"/>
        <v>#NAME?</v>
      </c>
      <c r="AI57" s="141" t="e">
        <f t="shared" ca="1" si="41"/>
        <v>#NAME?</v>
      </c>
      <c r="AJ57" s="141" t="e">
        <f t="shared" ca="1" si="41"/>
        <v>#NAME?</v>
      </c>
      <c r="AK57" s="141" t="e">
        <f t="shared" ca="1" si="41"/>
        <v>#NAME?</v>
      </c>
    </row>
    <row r="58" spans="1:37" s="3" customFormat="1" x14ac:dyDescent="0.35">
      <c r="A58" s="61"/>
      <c r="B58" s="141"/>
      <c r="C58" s="141"/>
      <c r="D58" s="141"/>
      <c r="E58" s="141"/>
      <c r="F58" s="141"/>
      <c r="G58" s="141"/>
      <c r="H58" s="141"/>
      <c r="I58" s="141"/>
      <c r="J58" s="141"/>
      <c r="K58" s="141"/>
      <c r="L58" s="141"/>
      <c r="M58" s="141"/>
      <c r="N58" s="147"/>
      <c r="O58" s="148"/>
      <c r="P58" s="141"/>
      <c r="Q58" s="141"/>
      <c r="R58" s="141"/>
      <c r="S58" s="141"/>
      <c r="T58" s="141"/>
      <c r="U58" s="141"/>
      <c r="V58" s="141"/>
      <c r="W58" s="141"/>
      <c r="X58" s="141"/>
      <c r="Y58" s="141"/>
      <c r="Z58" s="141"/>
      <c r="AA58" s="141"/>
      <c r="AB58" s="141"/>
      <c r="AC58" s="141"/>
      <c r="AD58" s="141"/>
      <c r="AE58" s="149"/>
      <c r="AF58" s="149"/>
      <c r="AG58" s="149"/>
      <c r="AH58" s="149"/>
      <c r="AI58" s="149"/>
      <c r="AJ58" s="149"/>
      <c r="AK58" s="150"/>
    </row>
    <row r="59" spans="1:37" s="3" customFormat="1" x14ac:dyDescent="0.35">
      <c r="A59" s="61" t="s">
        <v>82</v>
      </c>
      <c r="B59" s="151"/>
      <c r="C59" s="151" t="e">
        <f t="shared" ref="C59:O59" ca="1" si="42">IF($B57="Non",IF(C57="Non","MW",IF(C57="Oui","MW","")),IF($B57="Oui",IF(C57="Oui","T-Test Welch",IF(C57="Non","MW",""))))</f>
        <v>#NAME?</v>
      </c>
      <c r="D59" s="151" t="e">
        <f t="shared" ca="1" si="42"/>
        <v>#NAME?</v>
      </c>
      <c r="E59" s="151" t="e">
        <f t="shared" ca="1" si="42"/>
        <v>#NAME?</v>
      </c>
      <c r="F59" s="151" t="e">
        <f t="shared" ca="1" si="42"/>
        <v>#NAME?</v>
      </c>
      <c r="G59" s="151" t="e">
        <f t="shared" ca="1" si="42"/>
        <v>#NAME?</v>
      </c>
      <c r="H59" s="151" t="e">
        <f t="shared" ca="1" si="42"/>
        <v>#NAME?</v>
      </c>
      <c r="I59" s="151" t="e">
        <f t="shared" ca="1" si="42"/>
        <v>#NAME?</v>
      </c>
      <c r="J59" s="151" t="e">
        <f t="shared" ca="1" si="42"/>
        <v>#NAME?</v>
      </c>
      <c r="K59" s="151" t="e">
        <f t="shared" ca="1" si="42"/>
        <v>#NAME?</v>
      </c>
      <c r="L59" s="151" t="e">
        <f t="shared" ca="1" si="42"/>
        <v>#NAME?</v>
      </c>
      <c r="M59" s="151" t="e">
        <f t="shared" ca="1" si="42"/>
        <v>#NAME?</v>
      </c>
      <c r="N59" s="151"/>
      <c r="O59" s="151" t="e">
        <f t="shared" ca="1" si="42"/>
        <v>#NAME?</v>
      </c>
      <c r="P59" s="151" t="e">
        <f ca="1">IF($O57="Non",IF(P57="Non","MW",IF(P57="Oui","MW","")),IF($O57="Oui",IF(P57="Oui","T-Test Welch",IF(P57="Non","MW",""))))</f>
        <v>#NAME?</v>
      </c>
      <c r="Q59" s="151" t="e">
        <f t="shared" ref="Q59:AK59" ca="1" si="43">IF($O57="Non",IF(Q57="Non","MW",IF(Q57="Oui","MW","")),IF($O57="Oui",IF(Q57="Oui","T-Test Welch",IF(Q57="Non","MW",""))))</f>
        <v>#NAME?</v>
      </c>
      <c r="R59" s="151" t="e">
        <f t="shared" ca="1" si="43"/>
        <v>#NAME?</v>
      </c>
      <c r="S59" s="151" t="e">
        <f t="shared" ca="1" si="43"/>
        <v>#NAME?</v>
      </c>
      <c r="T59" s="151" t="e">
        <f t="shared" ca="1" si="43"/>
        <v>#NAME?</v>
      </c>
      <c r="U59" s="151" t="e">
        <f t="shared" ca="1" si="43"/>
        <v>#NAME?</v>
      </c>
      <c r="V59" s="151" t="e">
        <f t="shared" ca="1" si="43"/>
        <v>#NAME?</v>
      </c>
      <c r="W59" s="151" t="e">
        <f t="shared" ca="1" si="43"/>
        <v>#NAME?</v>
      </c>
      <c r="X59" s="151" t="e">
        <f t="shared" ca="1" si="43"/>
        <v>#NAME?</v>
      </c>
      <c r="Y59" s="151" t="e">
        <f t="shared" ca="1" si="43"/>
        <v>#NAME?</v>
      </c>
      <c r="Z59" s="151" t="e">
        <f t="shared" ca="1" si="43"/>
        <v>#NAME?</v>
      </c>
      <c r="AA59" s="151" t="e">
        <f t="shared" ca="1" si="43"/>
        <v>#NAME?</v>
      </c>
      <c r="AB59" s="151" t="e">
        <f t="shared" ca="1" si="43"/>
        <v>#NAME?</v>
      </c>
      <c r="AC59" s="151" t="e">
        <f t="shared" ca="1" si="43"/>
        <v>#NAME?</v>
      </c>
      <c r="AD59" s="151" t="e">
        <f t="shared" ca="1" si="43"/>
        <v>#NAME?</v>
      </c>
      <c r="AE59" s="151" t="e">
        <f t="shared" ca="1" si="43"/>
        <v>#NAME?</v>
      </c>
      <c r="AF59" s="151" t="e">
        <f t="shared" ca="1" si="43"/>
        <v>#NAME?</v>
      </c>
      <c r="AG59" s="151" t="e">
        <f t="shared" ca="1" si="43"/>
        <v>#NAME?</v>
      </c>
      <c r="AH59" s="151" t="e">
        <f t="shared" ca="1" si="43"/>
        <v>#NAME?</v>
      </c>
      <c r="AI59" s="151" t="e">
        <f t="shared" ca="1" si="43"/>
        <v>#NAME?</v>
      </c>
      <c r="AJ59" s="151" t="e">
        <f t="shared" ca="1" si="43"/>
        <v>#NAME?</v>
      </c>
      <c r="AK59" s="151" t="e">
        <f t="shared" ca="1" si="43"/>
        <v>#NAME?</v>
      </c>
    </row>
    <row r="60" spans="1:37" s="3" customFormat="1" x14ac:dyDescent="0.35">
      <c r="A60" s="61" t="s">
        <v>83</v>
      </c>
      <c r="B60" s="152"/>
      <c r="C60" s="152" t="e">
        <f ca="1">IF(C59="MW",[1]!MTEST($B28:$B43,C28:C43,2), IF(C59="T-Test Welch",_xlfn.T.TEST($B28:$B43,C28:C43,2,3),""))</f>
        <v>#NAME?</v>
      </c>
      <c r="D60" s="152" t="e">
        <f ca="1">IF(D59="MW",[1]!MTEST($B28:$B43,D28:D43,2), IF(D59="T-Test Welch",_xlfn.T.TEST($B28:$B43,D28:D43,2,3),""))</f>
        <v>#NAME?</v>
      </c>
      <c r="E60" s="152" t="e">
        <f ca="1">IF(E59="MW",[1]!MTEST($B28:$B43,E28:E43,2), IF(E59="T-Test Welch",_xlfn.T.TEST($B28:$B43,E28:E43,2,3),""))</f>
        <v>#NAME?</v>
      </c>
      <c r="F60" s="152" t="e">
        <f ca="1">IF(F59="MW",[1]!MTEST($B28:$B43,F28:F43,2), IF(F59="T-Test Welch",_xlfn.T.TEST($B28:$B43,F28:F43,2,3),""))</f>
        <v>#NAME?</v>
      </c>
      <c r="G60" s="152" t="e">
        <f ca="1">IF(G59="MW",[1]!MTEST($B28:$B43,G28:G43,2), IF(G59="T-Test Welch",_xlfn.T.TEST($B28:$B43,G28:G43,2,3),""))</f>
        <v>#NAME?</v>
      </c>
      <c r="H60" s="152" t="e">
        <f ca="1">IF(H59="MW",[1]!MTEST($B28:$B43,H28:H43,2), IF(H59="T-Test Welch",_xlfn.T.TEST($B28:$B43,H28:H43,2,3),""))</f>
        <v>#NAME?</v>
      </c>
      <c r="I60" s="152" t="e">
        <f ca="1">IF(I59="MW",[1]!MTEST($B28:$B43,I28:I43,2), IF(I59="T-Test Welch",_xlfn.T.TEST($B28:$B43,I28:I43,2,3),""))</f>
        <v>#NAME?</v>
      </c>
      <c r="J60" s="152" t="e">
        <f ca="1">IF(J59="MW",[1]!MTEST($B28:$B43,J28:J43,2), IF(J59="T-Test Welch",_xlfn.T.TEST($B28:$B43,J28:J43,2,3),""))</f>
        <v>#NAME?</v>
      </c>
      <c r="K60" s="152" t="e">
        <f ca="1">IF(K59="MW",[1]!MTEST($B28:$B43,K28:K43,2), IF(K59="T-Test Welch",_xlfn.T.TEST($B28:$B43,K28:K43,2,3),""))</f>
        <v>#NAME?</v>
      </c>
      <c r="L60" s="152" t="e">
        <f ca="1">IF(L59="MW",[1]!MTEST($B28:$B43,L28:L43,2), IF(L59="T-Test Welch",_xlfn.T.TEST($B28:$B43,L28:L43,2,3),""))</f>
        <v>#NAME?</v>
      </c>
      <c r="M60" s="152" t="e">
        <f ca="1">IF(M59="MW",[1]!MTEST($B28:$B43,M28:M43,2), IF(M59="T-Test Welch",_xlfn.T.TEST($B28:$B43,M28:M43,2,3),""))</f>
        <v>#NAME?</v>
      </c>
      <c r="N60" s="152"/>
      <c r="O60" s="152" t="e">
        <f ca="1">IF(O59="MW",[1]!MTEST($B28:$B43,O28:O43,2), IF(O59="T-Test Welch",_xlfn.T.TEST($B28:$B43,O28:O43,2,3),""))</f>
        <v>#NAME?</v>
      </c>
      <c r="P60" s="152" t="e">
        <f ca="1">IF(P59="MW",[1]!MTEST($O28:$O43,P28:P43,2), IF(P59="T-Test Welch",_xlfn.T.TEST($O28:$O43,P28:P43,2,3),""))</f>
        <v>#NAME?</v>
      </c>
      <c r="Q60" s="152" t="e">
        <f ca="1">IF(Q59="MW",[1]!MTEST($O28:$O43,Q28:Q43,2), IF(Q59="T-Test Welch",_xlfn.T.TEST($O28:$O43,Q28:Q43,2,3),""))</f>
        <v>#NAME?</v>
      </c>
      <c r="R60" s="152" t="e">
        <f ca="1">IF(R59="MW",[1]!MTEST($O28:$O43,R28:R43,2), IF(R59="T-Test Welch",_xlfn.T.TEST($O28:$O43,R28:R43,2,3),""))</f>
        <v>#NAME?</v>
      </c>
      <c r="S60" s="152" t="e">
        <f ca="1">IF(S59="MW",[1]!MTEST($O28:$O43,S28:S43,2), IF(S59="T-Test Welch",_xlfn.T.TEST($O28:$O43,S28:S43,2,3),""))</f>
        <v>#NAME?</v>
      </c>
      <c r="T60" s="152" t="e">
        <f ca="1">IF(T59="MW",[1]!MTEST($O28:$O43,T28:T43,2), IF(T59="T-Test Welch",_xlfn.T.TEST($O28:$O43,T28:T43,2,3),""))</f>
        <v>#NAME?</v>
      </c>
      <c r="U60" s="152" t="e">
        <f ca="1">IF(U59="MW",[1]!MTEST($O28:$O43,U28:U43,2), IF(U59="T-Test Welch",_xlfn.T.TEST($O28:$O43,U28:U43,2,3),""))</f>
        <v>#NAME?</v>
      </c>
      <c r="V60" s="152" t="e">
        <f ca="1">IF(V59="MW",[1]!MTEST($O28:$O43,V28:V43,2), IF(V59="T-Test Welch",_xlfn.T.TEST($O28:$O43,V28:V43,2,3),""))</f>
        <v>#NAME?</v>
      </c>
      <c r="W60" s="152" t="e">
        <f ca="1">IF(W59="MW",[1]!MTEST($O28:$O43,W28:W43,2), IF(W59="T-Test Welch",_xlfn.T.TEST($O28:$O43,W28:W43,2,3),""))</f>
        <v>#NAME?</v>
      </c>
      <c r="X60" s="152" t="e">
        <f ca="1">IF(X59="MW",[1]!MTEST($O28:$O43,X28:X43,2), IF(X59="T-Test Welch",_xlfn.T.TEST($O28:$O43,X28:X43,2,3),""))</f>
        <v>#NAME?</v>
      </c>
      <c r="Y60" s="152" t="e">
        <f ca="1">IF(Y59="MW",[1]!MTEST($O28:$O43,Y28:Y43,2), IF(Y59="T-Test Welch",_xlfn.T.TEST($O28:$O43,Y28:Y43,2,3),""))</f>
        <v>#NAME?</v>
      </c>
      <c r="Z60" s="152" t="e">
        <f ca="1">IF(Z59="MW",[1]!MTEST($O28:$O43,Z28:Z43,2), IF(Z59="T-Test Welch",_xlfn.T.TEST($O28:$O43,Z28:Z43,2,3),""))</f>
        <v>#NAME?</v>
      </c>
      <c r="AA60" s="152" t="e">
        <f ca="1">IF(AA59="MW",[1]!MTEST($O28:$O43,AA28:AA43,2), IF(AA59="T-Test Welch",_xlfn.T.TEST($O28:$O43,AA28:AA43,2,3),""))</f>
        <v>#NAME?</v>
      </c>
      <c r="AB60" s="152" t="e">
        <f ca="1">IF(AB59="MW",[1]!MTEST($O28:$O43,AB28:AB43,2), IF(AB59="T-Test Welch",_xlfn.T.TEST($O28:$O43,AB28:AB43,2,3),""))</f>
        <v>#NAME?</v>
      </c>
      <c r="AC60" s="152" t="e">
        <f ca="1">IF(AC59="MW",[1]!MTEST($O28:$O43,AC28:AC43,2), IF(AC59="T-Test Welch",_xlfn.T.TEST($O28:$O43,AC28:AC43,2,3),""))</f>
        <v>#NAME?</v>
      </c>
      <c r="AD60" s="152" t="e">
        <f ca="1">IF(AD59="MW",[1]!MTEST($O28:$O43,AD28:AD43,2), IF(AD59="T-Test Welch",_xlfn.T.TEST($O28:$O43,AD28:AD43,2,3),""))</f>
        <v>#NAME?</v>
      </c>
      <c r="AE60" s="152" t="e">
        <f ca="1">IF(AE59="MW",[1]!MTEST($O28:$O43,AE28:AE43,2), IF(AE59="T-Test Welch",_xlfn.T.TEST($O28:$O43,AE28:AE43,2,3),""))</f>
        <v>#NAME?</v>
      </c>
      <c r="AF60" s="152" t="e">
        <f ca="1">IF(AF59="MW",[1]!MTEST($O28:$O43,AF28:AF43,2), IF(AF59="T-Test Welch",_xlfn.T.TEST($O28:$O43,AF28:AF43,2,3),""))</f>
        <v>#NAME?</v>
      </c>
      <c r="AG60" s="152" t="e">
        <f ca="1">IF(AG59="MW",[1]!MTEST($O28:$O43,AG28:AG43,2), IF(AG59="T-Test Welch",_xlfn.T.TEST($O28:$O43,AG28:AG43,2,3),""))</f>
        <v>#NAME?</v>
      </c>
      <c r="AH60" s="152" t="e">
        <f ca="1">IF(AH59="MW",[1]!MTEST($O28:$O43,AH28:AH43,2), IF(AH59="T-Test Welch",_xlfn.T.TEST($O28:$O43,AH28:AH43,2,3),""))</f>
        <v>#NAME?</v>
      </c>
      <c r="AI60" s="152" t="e">
        <f ca="1">IF(AI59="MW",[1]!MTEST($O28:$O43,AI28:AI43,2), IF(AI59="T-Test Welch",_xlfn.T.TEST($O28:$O43,AI28:AI43,2,3),""))</f>
        <v>#NAME?</v>
      </c>
      <c r="AJ60" s="152" t="e">
        <f ca="1">IF(AJ59="MW",[1]!MTEST($O28:$O43,AJ28:AJ43,2), IF(AJ59="T-Test Welch",_xlfn.T.TEST($O28:$O43,AJ28:AJ43,2,3),""))</f>
        <v>#NAME?</v>
      </c>
      <c r="AK60" s="152" t="e">
        <f ca="1">IF(AK59="MW",[1]!MTEST($O28:$O43,AK28:AK43,2), IF(AK59="T-Test Welch",_xlfn.T.TEST($O28:$O43,AK28:AK43,2,3),""))</f>
        <v>#NAME?</v>
      </c>
    </row>
    <row r="61" spans="1:37" s="3" customFormat="1" ht="15" thickBot="1" x14ac:dyDescent="0.4">
      <c r="A61" s="62" t="s">
        <v>84</v>
      </c>
      <c r="B61" s="142"/>
      <c r="C61" s="142" t="e">
        <f t="shared" ref="C61:O61" ca="1" si="44">IF(C60&gt;0.05,"NS",IF(C60&gt;0.01,"*",IF(C60&gt;0.001,"**","***")))</f>
        <v>#NAME?</v>
      </c>
      <c r="D61" s="142" t="e">
        <f t="shared" ca="1" si="44"/>
        <v>#NAME?</v>
      </c>
      <c r="E61" s="142" t="e">
        <f t="shared" ca="1" si="44"/>
        <v>#NAME?</v>
      </c>
      <c r="F61" s="142" t="e">
        <f t="shared" ca="1" si="44"/>
        <v>#NAME?</v>
      </c>
      <c r="G61" s="142" t="e">
        <f t="shared" ca="1" si="44"/>
        <v>#NAME?</v>
      </c>
      <c r="H61" s="142" t="e">
        <f t="shared" ca="1" si="44"/>
        <v>#NAME?</v>
      </c>
      <c r="I61" s="142" t="e">
        <f t="shared" ca="1" si="44"/>
        <v>#NAME?</v>
      </c>
      <c r="J61" s="142" t="e">
        <f t="shared" ca="1" si="44"/>
        <v>#NAME?</v>
      </c>
      <c r="K61" s="142" t="e">
        <f t="shared" ca="1" si="44"/>
        <v>#NAME?</v>
      </c>
      <c r="L61" s="142" t="e">
        <f t="shared" ca="1" si="44"/>
        <v>#NAME?</v>
      </c>
      <c r="M61" s="142" t="e">
        <f t="shared" ca="1" si="44"/>
        <v>#NAME?</v>
      </c>
      <c r="N61" s="142"/>
      <c r="O61" s="142" t="e">
        <f t="shared" ca="1" si="44"/>
        <v>#NAME?</v>
      </c>
      <c r="P61" s="142" t="e">
        <f ca="1">IF(P60&gt;0.05,"NS",IF(P60&gt;0.01,"*",IF(P60&gt;0.001,"**","***")))</f>
        <v>#NAME?</v>
      </c>
      <c r="Q61" s="142" t="e">
        <f t="shared" ref="Q61:AK61" ca="1" si="45">IF(Q60&gt;0.05,"NS",IF(Q60&gt;0.01,"*",IF(Q60&gt;0.001,"**","***")))</f>
        <v>#NAME?</v>
      </c>
      <c r="R61" s="142" t="e">
        <f t="shared" ca="1" si="45"/>
        <v>#NAME?</v>
      </c>
      <c r="S61" s="142" t="e">
        <f t="shared" ca="1" si="45"/>
        <v>#NAME?</v>
      </c>
      <c r="T61" s="142" t="e">
        <f t="shared" ca="1" si="45"/>
        <v>#NAME?</v>
      </c>
      <c r="U61" s="142" t="e">
        <f t="shared" ca="1" si="45"/>
        <v>#NAME?</v>
      </c>
      <c r="V61" s="142" t="e">
        <f t="shared" ca="1" si="45"/>
        <v>#NAME?</v>
      </c>
      <c r="W61" s="142" t="e">
        <f t="shared" ca="1" si="45"/>
        <v>#NAME?</v>
      </c>
      <c r="X61" s="142" t="e">
        <f t="shared" ca="1" si="45"/>
        <v>#NAME?</v>
      </c>
      <c r="Y61" s="142" t="e">
        <f t="shared" ca="1" si="45"/>
        <v>#NAME?</v>
      </c>
      <c r="Z61" s="142" t="e">
        <f t="shared" ca="1" si="45"/>
        <v>#NAME?</v>
      </c>
      <c r="AA61" s="142" t="e">
        <f t="shared" ca="1" si="45"/>
        <v>#NAME?</v>
      </c>
      <c r="AB61" s="142" t="e">
        <f t="shared" ca="1" si="45"/>
        <v>#NAME?</v>
      </c>
      <c r="AC61" s="142" t="e">
        <f t="shared" ca="1" si="45"/>
        <v>#NAME?</v>
      </c>
      <c r="AD61" s="142" t="e">
        <f t="shared" ca="1" si="45"/>
        <v>#NAME?</v>
      </c>
      <c r="AE61" s="142" t="e">
        <f t="shared" ca="1" si="45"/>
        <v>#NAME?</v>
      </c>
      <c r="AF61" s="142" t="e">
        <f t="shared" ca="1" si="45"/>
        <v>#NAME?</v>
      </c>
      <c r="AG61" s="142" t="e">
        <f t="shared" ca="1" si="45"/>
        <v>#NAME?</v>
      </c>
      <c r="AH61" s="142" t="e">
        <f t="shared" ca="1" si="45"/>
        <v>#NAME?</v>
      </c>
      <c r="AI61" s="142" t="e">
        <f t="shared" ca="1" si="45"/>
        <v>#NAME?</v>
      </c>
      <c r="AJ61" s="142" t="e">
        <f t="shared" ca="1" si="45"/>
        <v>#NAME?</v>
      </c>
      <c r="AK61" s="142" t="e">
        <f t="shared" ca="1" si="45"/>
        <v>#NAME?</v>
      </c>
    </row>
    <row r="63" spans="1:37" x14ac:dyDescent="0.35">
      <c r="A63" s="2" t="s">
        <v>39</v>
      </c>
    </row>
    <row r="64" spans="1:37" x14ac:dyDescent="0.35">
      <c r="A64" s="1" t="s">
        <v>23</v>
      </c>
      <c r="B64" s="1">
        <f>B46+(3*B47)</f>
        <v>0.25077790795484911</v>
      </c>
    </row>
    <row r="65" spans="1:37" x14ac:dyDescent="0.35">
      <c r="A65" s="1" t="s">
        <v>24</v>
      </c>
      <c r="B65" s="1">
        <f>B46+(10*B47)</f>
        <v>0.66085940525523301</v>
      </c>
    </row>
    <row r="66" spans="1:37" ht="15" thickBot="1" x14ac:dyDescent="0.4"/>
    <row r="67" spans="1:37" ht="26.5" thickBot="1" x14ac:dyDescent="0.65">
      <c r="A67" s="227" t="s">
        <v>45</v>
      </c>
      <c r="B67" s="228"/>
      <c r="C67" s="228"/>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c r="AC67" s="228"/>
      <c r="AD67" s="228"/>
      <c r="AE67" s="228"/>
      <c r="AF67" s="228"/>
      <c r="AG67" s="228"/>
      <c r="AH67" s="228"/>
      <c r="AI67" s="228"/>
      <c r="AJ67" s="228"/>
      <c r="AK67" s="237"/>
    </row>
    <row r="68" spans="1:37" ht="16.5" x14ac:dyDescent="0.3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3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3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3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3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3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3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28:A43"/>
    <mergeCell ref="A50:AK50"/>
    <mergeCell ref="A67:AK67"/>
    <mergeCell ref="A1:AK1"/>
    <mergeCell ref="B3:M3"/>
    <mergeCell ref="O3:AK3"/>
    <mergeCell ref="A5:A20"/>
    <mergeCell ref="B26:M26"/>
    <mergeCell ref="O26:AK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94"/>
  <sheetViews>
    <sheetView showGridLines="0" tabSelected="1" topLeftCell="H73" zoomScale="70" zoomScaleNormal="70"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33" t="s">
        <v>6</v>
      </c>
      <c r="C3" s="234"/>
      <c r="D3" s="234"/>
      <c r="E3" s="234"/>
      <c r="F3" s="234"/>
      <c r="G3" s="234"/>
      <c r="H3" s="234"/>
      <c r="I3" s="234"/>
      <c r="J3" s="234"/>
      <c r="K3" s="234"/>
      <c r="L3" s="234"/>
      <c r="M3" s="234"/>
      <c r="N3" s="72"/>
      <c r="O3" s="233" t="s">
        <v>3</v>
      </c>
      <c r="P3" s="234"/>
      <c r="Q3" s="234"/>
      <c r="R3" s="234"/>
      <c r="S3" s="234"/>
      <c r="T3" s="234"/>
      <c r="U3" s="234"/>
      <c r="V3" s="234"/>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BPA-1mg/L</v>
      </c>
      <c r="J4" s="35" t="str">
        <f>'R1'!J4</f>
        <v>BPA-2mg/L</v>
      </c>
      <c r="K4" s="35" t="str">
        <f>'R1'!K4</f>
        <v>BPA-3mg/L</v>
      </c>
      <c r="L4" s="35" t="str">
        <f>'R1'!L4</f>
        <v>BPA-4mg/L</v>
      </c>
      <c r="M4" s="35" t="str">
        <f>'R1'!M4</f>
        <v>BPA-5mg/L</v>
      </c>
      <c r="O4" s="35" t="str">
        <f>'R1'!O4</f>
        <v>Testo -30µg/L</v>
      </c>
      <c r="P4" s="35" t="str">
        <f>'R1'!P4</f>
        <v>Testo 30µg/L + EE2 -64ng/L</v>
      </c>
      <c r="Q4" s="35" t="str">
        <f>'R1'!Q4</f>
        <v>Testo 30µg/L + FAD-10mg/L</v>
      </c>
      <c r="R4" s="35" t="str">
        <f>'R1'!R4</f>
        <v>BPA-1mg/L + Testostérone</v>
      </c>
      <c r="S4" s="35" t="str">
        <f>'R1'!S4</f>
        <v>BPA-2mg/L + Testostérone</v>
      </c>
      <c r="T4" s="35" t="str">
        <f>'R1'!T4</f>
        <v>BPA-3mg/L + Testostérone</v>
      </c>
      <c r="U4" s="35" t="str">
        <f>'R1'!U4</f>
        <v>BPA-4mg/L + Testostérone</v>
      </c>
      <c r="V4" s="35" t="str">
        <f>'R1'!V4</f>
        <v>BPA-5mg/L + Testostérone</v>
      </c>
    </row>
    <row r="5" spans="1:22" s="1" customFormat="1" x14ac:dyDescent="0.35">
      <c r="A5" s="34"/>
      <c r="B5" s="35"/>
      <c r="C5" s="195"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0.28883449711217046</v>
      </c>
      <c r="C6" s="53">
        <f>'R1'!C28</f>
        <v>0.34313222944839611</v>
      </c>
      <c r="D6" s="53">
        <f>'R1'!D28</f>
        <v>0.20867401586296927</v>
      </c>
      <c r="E6" s="53">
        <f>'R1'!E28</f>
        <v>0.79232806662530919</v>
      </c>
      <c r="F6" s="53">
        <f>'R1'!F28</f>
        <v>3.9109972293801056</v>
      </c>
      <c r="G6" s="53">
        <f>'R1'!G28</f>
        <v>4.2083867233606442</v>
      </c>
      <c r="H6" s="53">
        <f>'R1'!H28</f>
        <v>5.7100040972523658</v>
      </c>
      <c r="I6" s="53">
        <f>'R1'!I28</f>
        <v>0.35753233788051514</v>
      </c>
      <c r="J6" s="53">
        <f>'R1'!J28</f>
        <v>0.11951163149976916</v>
      </c>
      <c r="K6" s="53">
        <f>'R1'!K28</f>
        <v>0.22484110165846111</v>
      </c>
      <c r="L6" s="53">
        <f>'R1'!L28</f>
        <v>0.32937678556977967</v>
      </c>
      <c r="M6" s="53">
        <f>'R1'!M28</f>
        <v>3.7858377857884764</v>
      </c>
      <c r="N6"/>
      <c r="O6" s="53">
        <f>'R1'!O28</f>
        <v>2.3276597907392858</v>
      </c>
      <c r="P6" s="53">
        <f>'R1'!P28</f>
        <v>7.0241167709430057</v>
      </c>
      <c r="Q6" s="53">
        <f>'R1'!Q28</f>
        <v>6.9075003944842353E-2</v>
      </c>
      <c r="R6" s="53">
        <f>'R1'!R28</f>
        <v>0.66401320799137498</v>
      </c>
      <c r="S6" s="53">
        <f>'R1'!S28</f>
        <v>5.1282656867112886</v>
      </c>
      <c r="T6" s="53">
        <f>'R1'!T28</f>
        <v>5.9308854443935832</v>
      </c>
      <c r="U6" s="53">
        <f>'R1'!U28</f>
        <v>4.7346569109776064</v>
      </c>
      <c r="V6" s="53">
        <f>'R1'!V28</f>
        <v>4.7829998699505882</v>
      </c>
    </row>
    <row r="7" spans="1:22" s="1" customFormat="1" x14ac:dyDescent="0.35">
      <c r="A7" s="240" t="s">
        <v>34</v>
      </c>
      <c r="B7" s="53">
        <f>'R1'!B29</f>
        <v>0.29836268509653779</v>
      </c>
      <c r="C7" s="53">
        <f>'R1'!C29</f>
        <v>5.3731987571479185E-2</v>
      </c>
      <c r="D7" s="53">
        <f>'R1'!D29</f>
        <v>0.13499413401139909</v>
      </c>
      <c r="E7" s="53">
        <f>'R1'!E29</f>
        <v>2.5293367873078503</v>
      </c>
      <c r="F7" s="53">
        <f>'R1'!F29</f>
        <v>2.2373360925078187</v>
      </c>
      <c r="G7" s="53">
        <f>'R1'!G29</f>
        <v>0.63045899152653828</v>
      </c>
      <c r="H7" s="53">
        <f>'R1'!H29</f>
        <v>5.1668225918785016</v>
      </c>
      <c r="I7" s="53">
        <f>'R1'!I29</f>
        <v>1.4380378484930014E-2</v>
      </c>
      <c r="J7" s="53">
        <f>'R1'!J29</f>
        <v>0.29548440698684231</v>
      </c>
      <c r="K7" s="53">
        <f>'R1'!K29</f>
        <v>0.20381081329885922</v>
      </c>
      <c r="L7" s="53">
        <f>'R1'!L29</f>
        <v>2.015621958060831</v>
      </c>
      <c r="M7" s="53">
        <f>'R1'!M29</f>
        <v>2.9414254115999636</v>
      </c>
      <c r="N7"/>
      <c r="O7" s="53">
        <f>'R1'!O29</f>
        <v>9.9692211294397551E-2</v>
      </c>
      <c r="P7" s="53">
        <f>'R1'!P29</f>
        <v>5.6731141432046366</v>
      </c>
      <c r="Q7" s="53">
        <f>'R1'!Q29</f>
        <v>0.183157688115755</v>
      </c>
      <c r="R7" s="53">
        <f>'R1'!R29</f>
        <v>3.3204744039800898</v>
      </c>
      <c r="S7" s="53">
        <f>'R1'!S29</f>
        <v>3.5685596776071566</v>
      </c>
      <c r="T7" s="53">
        <f>'R1'!T29</f>
        <v>4.0345179402650917</v>
      </c>
      <c r="U7" s="53">
        <f>'R1'!U29</f>
        <v>3.0794464865789482</v>
      </c>
      <c r="V7" s="53">
        <f>'R1'!V29</f>
        <v>4.1126840909222651</v>
      </c>
    </row>
    <row r="8" spans="1:22" s="1" customFormat="1" x14ac:dyDescent="0.35">
      <c r="A8" s="241"/>
      <c r="B8" s="53">
        <f>'R1'!B30</f>
        <v>0.57688576120453372</v>
      </c>
      <c r="C8" s="53">
        <f>'R1'!C30</f>
        <v>0.2181521907253923</v>
      </c>
      <c r="D8" s="53">
        <f>'R1'!D30</f>
        <v>0.27663771906148893</v>
      </c>
      <c r="E8" s="53">
        <f>'R1'!E30</f>
        <v>0.38998626566257655</v>
      </c>
      <c r="F8" s="53">
        <f>'R1'!F30</f>
        <v>3.9713281960323501</v>
      </c>
      <c r="G8" s="53">
        <f>'R1'!G30</f>
        <v>4.3719881337062114</v>
      </c>
      <c r="H8" s="53">
        <f>'R1'!H30</f>
        <v>7.1525711157152063</v>
      </c>
      <c r="I8" s="53" t="str">
        <f>'R1'!I30</f>
        <v/>
      </c>
      <c r="J8" s="53">
        <f>'R1'!J30</f>
        <v>0.23703833854512377</v>
      </c>
      <c r="K8" s="53">
        <f>'R1'!K30</f>
        <v>0.30535901613697086</v>
      </c>
      <c r="L8" s="53">
        <f>'R1'!L30</f>
        <v>1.9830193674208803</v>
      </c>
      <c r="M8" s="53">
        <f>'R1'!M30</f>
        <v>2.6718046711980592</v>
      </c>
      <c r="N8"/>
      <c r="O8" s="53">
        <f>'R1'!O30</f>
        <v>2.0381898057932353</v>
      </c>
      <c r="P8" s="53">
        <f>'R1'!P30</f>
        <v>5.4581687571514363</v>
      </c>
      <c r="Q8" s="53">
        <f>'R1'!Q30</f>
        <v>0.12077687171776459</v>
      </c>
      <c r="R8" s="53">
        <f>'R1'!R30</f>
        <v>0.37090098302703001</v>
      </c>
      <c r="S8" s="53">
        <f>'R1'!S30</f>
        <v>1.0538407164044767</v>
      </c>
      <c r="T8" s="53">
        <f>'R1'!T30</f>
        <v>2.4434993578819864</v>
      </c>
      <c r="U8" s="53">
        <f>'R1'!U30</f>
        <v>4.5272736007295853</v>
      </c>
      <c r="V8" s="53">
        <f>'R1'!V30</f>
        <v>5.7229561193280052</v>
      </c>
    </row>
    <row r="9" spans="1:22" s="1" customFormat="1" x14ac:dyDescent="0.35">
      <c r="A9" s="241"/>
      <c r="B9" s="53">
        <f>'R1'!B31</f>
        <v>0.2941051460275334</v>
      </c>
      <c r="C9" s="53">
        <f>'R1'!C31</f>
        <v>0.23521217134018388</v>
      </c>
      <c r="D9" s="53">
        <f>'R1'!D31</f>
        <v>0.27045444537963714</v>
      </c>
      <c r="E9" s="53">
        <f>'R1'!E31</f>
        <v>3.7062026717376813</v>
      </c>
      <c r="F9" s="53">
        <f>'R1'!F31</f>
        <v>3.074364878087815</v>
      </c>
      <c r="G9" s="53">
        <f>'R1'!G31</f>
        <v>5.3896888634741336</v>
      </c>
      <c r="H9" s="53">
        <f>'R1'!H31</f>
        <v>5.8743651105647112</v>
      </c>
      <c r="I9" s="53">
        <f>'R1'!I31</f>
        <v>0.51056973801429029</v>
      </c>
      <c r="J9" s="53">
        <f>'R1'!J31</f>
        <v>0.15715545306451276</v>
      </c>
      <c r="K9" s="53">
        <f>'R1'!K31</f>
        <v>0.34462069337121642</v>
      </c>
      <c r="L9" s="53">
        <f>'R1'!L31</f>
        <v>1.5105798171113427</v>
      </c>
      <c r="M9" s="53">
        <f>'R1'!M31</f>
        <v>3.9405820557720945</v>
      </c>
      <c r="N9"/>
      <c r="O9" s="53">
        <f>'R1'!O31</f>
        <v>1.458704050501568</v>
      </c>
      <c r="P9" s="53">
        <f>'R1'!P31</f>
        <v>4.8032161832796465</v>
      </c>
      <c r="Q9" s="53">
        <f>'R1'!Q31</f>
        <v>7.5734549375118157E-2</v>
      </c>
      <c r="R9" s="53">
        <f>'R1'!R31</f>
        <v>0.54136543256050929</v>
      </c>
      <c r="S9" s="53">
        <f>'R1'!S31</f>
        <v>3.4116515371364788</v>
      </c>
      <c r="T9" s="53">
        <f>'R1'!T31</f>
        <v>3.9587735259163792</v>
      </c>
      <c r="U9" s="53">
        <f>'R1'!U31</f>
        <v>3.6603369682268774</v>
      </c>
      <c r="V9" s="53">
        <f>'R1'!V31</f>
        <v>4.1882897073866827</v>
      </c>
    </row>
    <row r="10" spans="1:22" s="1" customFormat="1" x14ac:dyDescent="0.35">
      <c r="A10" s="241"/>
      <c r="B10" s="53">
        <f>'R1'!B32</f>
        <v>0.40893206215985622</v>
      </c>
      <c r="C10" s="53" t="str">
        <f>'R1'!C32</f>
        <v/>
      </c>
      <c r="D10" s="53">
        <f>'R1'!D32</f>
        <v>0.16897598561065891</v>
      </c>
      <c r="E10" s="53">
        <f>'R1'!E32</f>
        <v>0.29884859240056577</v>
      </c>
      <c r="F10" s="53">
        <f>'R1'!F32</f>
        <v>4.1561932128339292</v>
      </c>
      <c r="G10" s="53">
        <f>'R1'!G32</f>
        <v>6.4298732445719207</v>
      </c>
      <c r="H10" s="53">
        <f>'R1'!H32</f>
        <v>5.8144507669833434</v>
      </c>
      <c r="I10" s="53">
        <f>'R1'!I32</f>
        <v>0.63691917272300846</v>
      </c>
      <c r="J10" s="53">
        <f>'R1'!J32</f>
        <v>6.6871444145414238E-2</v>
      </c>
      <c r="K10" s="53">
        <f>'R1'!K32</f>
        <v>0.34912646270601794</v>
      </c>
      <c r="L10" s="53">
        <f>'R1'!L32</f>
        <v>2.5508339412782628</v>
      </c>
      <c r="M10" s="53">
        <f>'R1'!M32</f>
        <v>5.5535336863076958</v>
      </c>
      <c r="N10"/>
      <c r="O10" s="53">
        <f>'R1'!O32</f>
        <v>0.46433100085081952</v>
      </c>
      <c r="P10" s="53">
        <f>'R1'!P32</f>
        <v>2.5820269877841495</v>
      </c>
      <c r="Q10" s="53">
        <f>'R1'!Q32</f>
        <v>0.38222459620560079</v>
      </c>
      <c r="R10" s="53">
        <f>'R1'!R32</f>
        <v>4.3712193540198108</v>
      </c>
      <c r="S10" s="53">
        <f>'R1'!S32</f>
        <v>4.5355799084961754</v>
      </c>
      <c r="T10" s="53">
        <f>'R1'!T32</f>
        <v>4.9047542917261735</v>
      </c>
      <c r="U10" s="53">
        <f>'R1'!U32</f>
        <v>2.1752381484922014</v>
      </c>
      <c r="V10" s="53">
        <f>'R1'!V32</f>
        <v>8.1763300863601209</v>
      </c>
    </row>
    <row r="11" spans="1:22" s="1" customFormat="1" x14ac:dyDescent="0.35">
      <c r="A11" s="241"/>
      <c r="B11" s="53">
        <f>'R1'!B33</f>
        <v>0.17214195388052958</v>
      </c>
      <c r="C11" s="53">
        <f>'R1'!C33</f>
        <v>0.7546447851661876</v>
      </c>
      <c r="D11" s="53">
        <f>'R1'!D33</f>
        <v>0.17650869591304544</v>
      </c>
      <c r="E11" s="53">
        <f>'R1'!E33</f>
        <v>0.17790768681954336</v>
      </c>
      <c r="F11" s="53">
        <f>'R1'!F33</f>
        <v>2.0239778201133838</v>
      </c>
      <c r="G11" s="53">
        <f>'R1'!G33</f>
        <v>4.157393986596575</v>
      </c>
      <c r="H11" s="53">
        <f>'R1'!H33</f>
        <v>5.5408799076197992</v>
      </c>
      <c r="I11" s="53">
        <f>'R1'!I33</f>
        <v>0.42847388659663777</v>
      </c>
      <c r="J11" s="53">
        <f>'R1'!J33</f>
        <v>0.24526067932716475</v>
      </c>
      <c r="K11" s="53">
        <f>'R1'!K33</f>
        <v>0.19556874256962922</v>
      </c>
      <c r="L11" s="53">
        <f>'R1'!L33</f>
        <v>1.5151548706792966</v>
      </c>
      <c r="M11" s="53">
        <f>'R1'!M33</f>
        <v>0.134056043847957</v>
      </c>
      <c r="N11"/>
      <c r="O11" s="53">
        <f>'R1'!O33</f>
        <v>2.8204840471829602</v>
      </c>
      <c r="P11" s="53">
        <f>'R1'!P33</f>
        <v>4.1185493912691866</v>
      </c>
      <c r="Q11" s="53">
        <f>'R1'!Q33</f>
        <v>4.422398837028204E-2</v>
      </c>
      <c r="R11" s="53">
        <f>'R1'!R33</f>
        <v>0.25571663366539854</v>
      </c>
      <c r="S11" s="53">
        <f>'R1'!S33</f>
        <v>2.7979359293977448</v>
      </c>
      <c r="T11" s="53">
        <f>'R1'!T33</f>
        <v>2.9663257520424966</v>
      </c>
      <c r="U11" s="53">
        <f>'R1'!U33</f>
        <v>3.8591409632995299</v>
      </c>
      <c r="V11" s="53">
        <f>'R1'!V33</f>
        <v>5.3901600880267653</v>
      </c>
    </row>
    <row r="12" spans="1:22" s="1" customFormat="1" x14ac:dyDescent="0.35">
      <c r="A12" s="241"/>
      <c r="B12" s="53">
        <f>'R1'!B34</f>
        <v>0.14327153511117693</v>
      </c>
      <c r="C12" s="53">
        <f>'R1'!C34</f>
        <v>0.25444657566960116</v>
      </c>
      <c r="D12" s="53">
        <f>'R1'!D34</f>
        <v>0.91745722704218369</v>
      </c>
      <c r="E12" s="53">
        <f>'R1'!E34</f>
        <v>1.7004172394405435</v>
      </c>
      <c r="F12" s="53">
        <f>'R1'!F34</f>
        <v>3.7501990774613172</v>
      </c>
      <c r="G12" s="53" t="str">
        <f>'R1'!G34</f>
        <v/>
      </c>
      <c r="H12" s="53">
        <f>'R1'!H34</f>
        <v>7.192884445018227</v>
      </c>
      <c r="I12" s="53">
        <f>'R1'!I34</f>
        <v>0.59298356276687325</v>
      </c>
      <c r="J12" s="53">
        <f>'R1'!J34</f>
        <v>0.272707788883019</v>
      </c>
      <c r="K12" s="53">
        <f>'R1'!K34</f>
        <v>0.19863055507178098</v>
      </c>
      <c r="L12" s="53">
        <f>'R1'!L34</f>
        <v>1.5130309189225963</v>
      </c>
      <c r="M12" s="53" t="str">
        <f>'R1'!M34</f>
        <v/>
      </c>
      <c r="N12"/>
      <c r="O12" s="53">
        <f>'R1'!O34</f>
        <v>3.4170433187508627E-2</v>
      </c>
      <c r="P12" s="53">
        <f>'R1'!P34</f>
        <v>5.0502383339384105</v>
      </c>
      <c r="Q12" s="53">
        <f>'R1'!Q34</f>
        <v>0.11727847677955749</v>
      </c>
      <c r="R12" s="53">
        <f>'R1'!R34</f>
        <v>3.1830291681574376</v>
      </c>
      <c r="S12" s="53">
        <f>'R1'!S34</f>
        <v>2.1694522267700176</v>
      </c>
      <c r="T12" s="53">
        <f>'R1'!T34</f>
        <v>2.8340311795261388</v>
      </c>
      <c r="U12" s="53">
        <f>'R1'!U34</f>
        <v>3.391613711004084</v>
      </c>
      <c r="V12" s="53">
        <f>'R1'!V34</f>
        <v>5.7345977058415061</v>
      </c>
    </row>
    <row r="13" spans="1:22" s="1" customFormat="1" x14ac:dyDescent="0.35">
      <c r="A13" s="241"/>
      <c r="B13" s="53">
        <f>'R1'!B35</f>
        <v>0.11436073877548392</v>
      </c>
      <c r="C13" s="53">
        <f>'R1'!C35</f>
        <v>9.2665597079209197E-2</v>
      </c>
      <c r="D13" s="53">
        <f>'R1'!D35</f>
        <v>0.21267368911057261</v>
      </c>
      <c r="E13" s="53">
        <f>'R1'!E35</f>
        <v>3.1219929706021796</v>
      </c>
      <c r="F13" s="53">
        <f>'R1'!F35</f>
        <v>3.656233139211555</v>
      </c>
      <c r="G13" s="53">
        <f>'R1'!G35</f>
        <v>2.0104013222674126</v>
      </c>
      <c r="H13" s="53">
        <f>'R1'!H35</f>
        <v>5.385322121441618</v>
      </c>
      <c r="I13" s="53">
        <f>'R1'!I35</f>
        <v>0.27350157513039242</v>
      </c>
      <c r="J13" s="53">
        <f>'R1'!J35</f>
        <v>0.21420161292777107</v>
      </c>
      <c r="K13" s="53">
        <f>'R1'!K35</f>
        <v>0.33369397331633233</v>
      </c>
      <c r="L13" s="53">
        <f>'R1'!L35</f>
        <v>1.1518857065265793</v>
      </c>
      <c r="M13" s="53">
        <f>'R1'!M35</f>
        <v>2.5910183376705822</v>
      </c>
      <c r="N13"/>
      <c r="O13" s="53">
        <f>'R1'!O35</f>
        <v>0.66722918938318998</v>
      </c>
      <c r="P13" s="53">
        <f>'R1'!P35</f>
        <v>4.6462786773061753</v>
      </c>
      <c r="Q13" s="53">
        <f>'R1'!Q35</f>
        <v>0.27217140962106556</v>
      </c>
      <c r="R13" s="53">
        <f>'R1'!R35</f>
        <v>0.74903735064066723</v>
      </c>
      <c r="S13" s="53">
        <f>'R1'!S35</f>
        <v>3.1152145866527881</v>
      </c>
      <c r="T13" s="53">
        <f>'R1'!T35</f>
        <v>2.4788806592237247</v>
      </c>
      <c r="U13" s="53">
        <f>'R1'!U35</f>
        <v>7.5382695591340241</v>
      </c>
      <c r="V13" s="53">
        <f>'R1'!V35</f>
        <v>4.9726881705859185</v>
      </c>
    </row>
    <row r="14" spans="1:22" s="1" customFormat="1" x14ac:dyDescent="0.35">
      <c r="A14" s="241"/>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9.591094397381722E-2</v>
      </c>
      <c r="P14" s="53" t="str">
        <f>'R1'!P36</f>
        <v/>
      </c>
      <c r="Q14" s="53" t="str">
        <f>'R1'!Q36</f>
        <v/>
      </c>
      <c r="R14" s="53" t="str">
        <f>'R1'!R36</f>
        <v/>
      </c>
      <c r="S14" s="53" t="str">
        <f>'R1'!S36</f>
        <v/>
      </c>
      <c r="T14" s="53" t="str">
        <f>'R1'!T36</f>
        <v/>
      </c>
      <c r="U14" s="53" t="str">
        <f>'R1'!U36</f>
        <v/>
      </c>
      <c r="V14" s="53" t="str">
        <f>'R1'!V36</f>
        <v/>
      </c>
    </row>
    <row r="15" spans="1:22" s="1" customFormat="1" x14ac:dyDescent="0.35">
      <c r="A15" s="241"/>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9.2824354328683883E-2</v>
      </c>
      <c r="P15" s="53" t="str">
        <f>'R1'!P37</f>
        <v/>
      </c>
      <c r="Q15" s="53" t="str">
        <f>'R1'!Q37</f>
        <v/>
      </c>
      <c r="R15" s="53" t="str">
        <f>'R1'!R37</f>
        <v/>
      </c>
      <c r="S15" s="53" t="str">
        <f>'R1'!S37</f>
        <v/>
      </c>
      <c r="T15" s="53" t="str">
        <f>'R1'!T37</f>
        <v/>
      </c>
      <c r="U15" s="53" t="str">
        <f>'R1'!U37</f>
        <v/>
      </c>
      <c r="V15" s="53" t="str">
        <f>'R1'!V37</f>
        <v/>
      </c>
    </row>
    <row r="16" spans="1:22" s="1" customFormat="1" x14ac:dyDescent="0.35">
      <c r="A16" s="241"/>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2.4395496977563269</v>
      </c>
      <c r="P16" s="53" t="str">
        <f>'R1'!P38</f>
        <v/>
      </c>
      <c r="Q16" s="53" t="str">
        <f>'R1'!Q38</f>
        <v/>
      </c>
      <c r="R16" s="53" t="str">
        <f>'R1'!R38</f>
        <v/>
      </c>
      <c r="S16" s="53" t="str">
        <f>'R1'!S38</f>
        <v/>
      </c>
      <c r="T16" s="53" t="str">
        <f>'R1'!T38</f>
        <v/>
      </c>
      <c r="U16" s="53" t="str">
        <f>'R1'!U38</f>
        <v/>
      </c>
      <c r="V16" s="53" t="str">
        <f>'R1'!V38</f>
        <v/>
      </c>
    </row>
    <row r="17" spans="1:22" s="1" customFormat="1" x14ac:dyDescent="0.35">
      <c r="A17" s="241"/>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t="str">
        <f>'R1'!O39</f>
        <v/>
      </c>
      <c r="P17" s="53" t="str">
        <f>'R1'!P39</f>
        <v/>
      </c>
      <c r="Q17" s="53" t="str">
        <f>'R1'!Q39</f>
        <v/>
      </c>
      <c r="R17" s="53" t="str">
        <f>'R1'!R39</f>
        <v/>
      </c>
      <c r="S17" s="53" t="str">
        <f>'R1'!S39</f>
        <v/>
      </c>
      <c r="T17" s="53" t="str">
        <f>'R1'!T39</f>
        <v/>
      </c>
      <c r="U17" s="53" t="str">
        <f>'R1'!U39</f>
        <v/>
      </c>
      <c r="V17" s="53" t="str">
        <f>'R1'!V39</f>
        <v/>
      </c>
    </row>
    <row r="18" spans="1:22" s="1" customFormat="1" x14ac:dyDescent="0.35">
      <c r="A18" s="241"/>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0.5212289566921694</v>
      </c>
      <c r="P18" s="53" t="str">
        <f>'R1'!P40</f>
        <v/>
      </c>
      <c r="Q18" s="53" t="str">
        <f>'R1'!Q40</f>
        <v/>
      </c>
      <c r="R18" s="53" t="str">
        <f>'R1'!R40</f>
        <v/>
      </c>
      <c r="S18" s="53" t="str">
        <f>'R1'!S40</f>
        <v/>
      </c>
      <c r="T18" s="53" t="str">
        <f>'R1'!T40</f>
        <v/>
      </c>
      <c r="U18" s="53" t="str">
        <f>'R1'!U40</f>
        <v/>
      </c>
      <c r="V18" s="53" t="str">
        <f>'R1'!V40</f>
        <v/>
      </c>
    </row>
    <row r="19" spans="1:22" s="1" customFormat="1" x14ac:dyDescent="0.35">
      <c r="A19" s="241"/>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0.73005163541302831</v>
      </c>
      <c r="P19" s="53" t="str">
        <f>'R1'!P41</f>
        <v/>
      </c>
      <c r="Q19" s="53" t="str">
        <f>'R1'!Q41</f>
        <v/>
      </c>
      <c r="R19" s="53" t="str">
        <f>'R1'!R41</f>
        <v/>
      </c>
      <c r="S19" s="53" t="str">
        <f>'R1'!S41</f>
        <v/>
      </c>
      <c r="T19" s="53" t="str">
        <f>'R1'!T41</f>
        <v/>
      </c>
      <c r="U19" s="53" t="str">
        <f>'R1'!U41</f>
        <v/>
      </c>
      <c r="V19" s="53" t="str">
        <f>'R1'!V41</f>
        <v/>
      </c>
    </row>
    <row r="20" spans="1:22" s="1" customFormat="1" x14ac:dyDescent="0.35">
      <c r="A20" s="241"/>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0.2553197405417118</v>
      </c>
      <c r="P20" s="53" t="str">
        <f>'R1'!P42</f>
        <v/>
      </c>
      <c r="Q20" s="53" t="str">
        <f>'R1'!Q42</f>
        <v/>
      </c>
      <c r="R20" s="53" t="str">
        <f>'R1'!R42</f>
        <v/>
      </c>
      <c r="S20" s="53" t="str">
        <f>'R1'!S42</f>
        <v/>
      </c>
      <c r="T20" s="53" t="str">
        <f>'R1'!T42</f>
        <v/>
      </c>
      <c r="U20" s="53" t="str">
        <f>'R1'!U42</f>
        <v/>
      </c>
      <c r="V20" s="53" t="str">
        <f>'R1'!V42</f>
        <v/>
      </c>
    </row>
    <row r="21" spans="1:22" s="1" customFormat="1" x14ac:dyDescent="0.35">
      <c r="A21" s="242"/>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0.95465414236129631</v>
      </c>
      <c r="P21" s="53" t="str">
        <f>'R1'!P43</f>
        <v/>
      </c>
      <c r="Q21" s="53" t="str">
        <f>'R1'!Q43</f>
        <v/>
      </c>
      <c r="R21" s="53" t="str">
        <f>'R1'!R43</f>
        <v/>
      </c>
      <c r="S21" s="53" t="str">
        <f>'R1'!S43</f>
        <v/>
      </c>
      <c r="T21" s="53" t="str">
        <f>'R1'!T43</f>
        <v/>
      </c>
      <c r="U21" s="53" t="str">
        <f>'R1'!U43</f>
        <v/>
      </c>
      <c r="V21" s="53" t="str">
        <f>'R1'!V43</f>
        <v/>
      </c>
    </row>
    <row r="22" spans="1:22" x14ac:dyDescent="0.35">
      <c r="A22" s="39" t="s">
        <v>5</v>
      </c>
      <c r="B22" s="54">
        <f>'R2'!B28</f>
        <v>1.0648990933458035E-2</v>
      </c>
      <c r="C22" s="54" t="str">
        <f>'R2'!C28</f>
        <v/>
      </c>
      <c r="D22" s="54">
        <f>'R2'!D28</f>
        <v>7.1403242858637625E-2</v>
      </c>
      <c r="E22" s="54">
        <f>'R2'!E28</f>
        <v>1.4769910442285466E-2</v>
      </c>
      <c r="F22" s="54">
        <f>'R2'!F28</f>
        <v>4.6817181239151373E-4</v>
      </c>
      <c r="G22" s="54">
        <f>'R2'!G28</f>
        <v>1.6289285404711882</v>
      </c>
      <c r="H22" s="54">
        <f>'R2'!H28</f>
        <v>3.3701480157224517</v>
      </c>
      <c r="I22" s="54">
        <f>'R2'!I28</f>
        <v>0.12368013866709429</v>
      </c>
      <c r="J22" s="54">
        <f>'R2'!J28</f>
        <v>0.10220846723319413</v>
      </c>
      <c r="K22" s="54">
        <f>'R2'!K28</f>
        <v>0.15168938464629722</v>
      </c>
      <c r="L22" s="54">
        <f>'R2'!L28</f>
        <v>0.31129166294047655</v>
      </c>
      <c r="M22" s="54">
        <f>'R2'!M28</f>
        <v>1.6281535209069724</v>
      </c>
      <c r="O22" s="54">
        <f>'R2'!O28</f>
        <v>0.7484895991893602</v>
      </c>
      <c r="P22" s="54">
        <f>'R2'!P28</f>
        <v>2.9531955048544689</v>
      </c>
      <c r="Q22" s="54">
        <f>'R2'!Q28</f>
        <v>0.14005745044813361</v>
      </c>
      <c r="R22" s="54">
        <f>'R2'!R28</f>
        <v>1.4343087509406565</v>
      </c>
      <c r="S22" s="54">
        <f>'R2'!S28</f>
        <v>1.8072359371293689</v>
      </c>
      <c r="T22" s="54">
        <f>'R2'!T28</f>
        <v>1.0990640716119757</v>
      </c>
      <c r="U22" s="54">
        <f>'R2'!U28</f>
        <v>2.9660339918917087</v>
      </c>
      <c r="V22" s="54">
        <f>'R2'!V28</f>
        <v>2.2181063362717341</v>
      </c>
    </row>
    <row r="23" spans="1:22" x14ac:dyDescent="0.35">
      <c r="A23" s="240" t="s">
        <v>34</v>
      </c>
      <c r="B23" s="54">
        <f>'R2'!B29</f>
        <v>0.10155240842052517</v>
      </c>
      <c r="C23" s="54">
        <f>'R2'!C29</f>
        <v>9.4380185707923253E-2</v>
      </c>
      <c r="D23" s="54">
        <f>'R2'!D29</f>
        <v>1.9190578986290441E-2</v>
      </c>
      <c r="E23" s="54">
        <f>'R2'!E29</f>
        <v>5.2502108318844068E-2</v>
      </c>
      <c r="F23" s="54">
        <f>'R2'!F29</f>
        <v>0.78631614130006178</v>
      </c>
      <c r="G23" s="54">
        <f>'R2'!G29</f>
        <v>1.5484517637929363</v>
      </c>
      <c r="H23" s="54">
        <f>'R2'!H29</f>
        <v>2.5044940982796406</v>
      </c>
      <c r="I23" s="54">
        <f>'R2'!I29</f>
        <v>0.29129114328388589</v>
      </c>
      <c r="J23" s="54">
        <f>'R2'!J29</f>
        <v>0.29506537063132388</v>
      </c>
      <c r="K23" s="54" t="str">
        <f>'R2'!K29</f>
        <v/>
      </c>
      <c r="L23" s="54">
        <f>'R2'!L29</f>
        <v>0.43060299949325853</v>
      </c>
      <c r="M23" s="54">
        <f>'R2'!M29</f>
        <v>0.95343687648651332</v>
      </c>
      <c r="O23" s="54">
        <f>'R2'!O29</f>
        <v>1.8476999959606013</v>
      </c>
      <c r="P23" s="54">
        <f>'R2'!P29</f>
        <v>1.6577754350146994</v>
      </c>
      <c r="Q23" s="54">
        <f>'R2'!Q29</f>
        <v>0.16614500513382244</v>
      </c>
      <c r="R23" s="54">
        <f>'R2'!R29</f>
        <v>0.63644677600562949</v>
      </c>
      <c r="S23" s="54">
        <f>'R2'!S29</f>
        <v>1.8162854269087283</v>
      </c>
      <c r="T23" s="54">
        <f>'R2'!T29</f>
        <v>3.3665029392198114</v>
      </c>
      <c r="U23" s="54" t="str">
        <f>'R2'!U29</f>
        <v/>
      </c>
      <c r="V23" s="54">
        <f>'R2'!V29</f>
        <v>2.3352334435105044</v>
      </c>
    </row>
    <row r="24" spans="1:22" x14ac:dyDescent="0.35">
      <c r="A24" s="241"/>
      <c r="B24" s="54">
        <f>'R2'!B30</f>
        <v>6.3403905161267732E-2</v>
      </c>
      <c r="C24" s="54">
        <f>'R2'!C30</f>
        <v>0.14599106160131964</v>
      </c>
      <c r="D24" s="54">
        <f>'R2'!D30</f>
        <v>0.16013674296041644</v>
      </c>
      <c r="E24" s="54" t="str">
        <f>'R2'!E30</f>
        <v/>
      </c>
      <c r="F24" s="54">
        <f>'R2'!F30</f>
        <v>2.0708559394382074E-2</v>
      </c>
      <c r="G24" s="54">
        <f>'R2'!G30</f>
        <v>1.9946965564262944</v>
      </c>
      <c r="H24" s="54">
        <f>'R2'!H30</f>
        <v>3.1631503542687058</v>
      </c>
      <c r="I24" s="54">
        <f>'R2'!I30</f>
        <v>0.11635460657401005</v>
      </c>
      <c r="J24" s="54">
        <f>'R2'!J30</f>
        <v>0.20175732012790881</v>
      </c>
      <c r="K24" s="54">
        <f>'R2'!K30</f>
        <v>4.6033689013131533E-2</v>
      </c>
      <c r="L24" s="54" t="str">
        <f>'R2'!L30</f>
        <v/>
      </c>
      <c r="M24" s="54">
        <f>'R2'!M30</f>
        <v>1.6881695063008975</v>
      </c>
      <c r="O24" s="54">
        <f>'R2'!O30</f>
        <v>0.27704894227748023</v>
      </c>
      <c r="P24" s="54">
        <f>'R2'!P30</f>
        <v>1.1155500395558813</v>
      </c>
      <c r="Q24" s="54">
        <f>'R2'!Q30</f>
        <v>0.15070644138159162</v>
      </c>
      <c r="R24" s="54">
        <f>'R2'!R30</f>
        <v>0.80106361063810938</v>
      </c>
      <c r="S24" s="54">
        <f>'R2'!S30</f>
        <v>1.9729673847708074</v>
      </c>
      <c r="T24" s="54">
        <f>'R2'!T30</f>
        <v>2.0145804052399341</v>
      </c>
      <c r="U24" s="54">
        <f>'R2'!U30</f>
        <v>2.031393715617595</v>
      </c>
      <c r="V24" s="54">
        <f>'R2'!V30</f>
        <v>2.0891883751782583</v>
      </c>
    </row>
    <row r="25" spans="1:22" x14ac:dyDescent="0.35">
      <c r="A25" s="241"/>
      <c r="B25" s="54">
        <f>'R2'!B31</f>
        <v>0.11180524516692655</v>
      </c>
      <c r="C25" s="54">
        <f>'R2'!C31</f>
        <v>0.1258224626538044</v>
      </c>
      <c r="D25" s="54">
        <f>'R2'!D31</f>
        <v>3.9753271203126224E-2</v>
      </c>
      <c r="E25" s="54">
        <f>'R2'!E31</f>
        <v>7.13487430340599E-2</v>
      </c>
      <c r="F25" s="54">
        <f>'R2'!F31</f>
        <v>0</v>
      </c>
      <c r="G25" s="54" t="str">
        <f>'R2'!G31</f>
        <v/>
      </c>
      <c r="H25" s="54">
        <f>'R2'!H31</f>
        <v>3.0236230176604777</v>
      </c>
      <c r="I25" s="54">
        <f>'R2'!I31</f>
        <v>0.12893273100391822</v>
      </c>
      <c r="J25" s="54">
        <f>'R2'!J31</f>
        <v>0.14486190767277843</v>
      </c>
      <c r="K25" s="54">
        <f>'R2'!K31</f>
        <v>0.17705412968375234</v>
      </c>
      <c r="L25" s="54">
        <f>'R2'!L31</f>
        <v>0.32901109014945745</v>
      </c>
      <c r="M25" s="54">
        <f>'R2'!M31</f>
        <v>0.80469700860691162</v>
      </c>
      <c r="O25" s="54">
        <f>'R2'!O31</f>
        <v>0.79934778212734892</v>
      </c>
      <c r="P25" s="54">
        <f>'R2'!P31</f>
        <v>1.856085412247207</v>
      </c>
      <c r="Q25" s="54">
        <f>'R2'!Q31</f>
        <v>1.8098521576999597E-2</v>
      </c>
      <c r="R25" s="54">
        <f>'R2'!R31</f>
        <v>2.4733269538515334</v>
      </c>
      <c r="S25" s="54">
        <f>'R2'!S31</f>
        <v>1.7738624657693014</v>
      </c>
      <c r="T25" s="54">
        <f>'R2'!T31</f>
        <v>1.9525141501848462</v>
      </c>
      <c r="U25" s="54">
        <f>'R2'!U31</f>
        <v>3.0308343978100658</v>
      </c>
      <c r="V25" s="54">
        <f>'R2'!V31</f>
        <v>2.9598670390526203</v>
      </c>
    </row>
    <row r="26" spans="1:22" x14ac:dyDescent="0.35">
      <c r="A26" s="241"/>
      <c r="B26" s="54">
        <f>'R2'!B32</f>
        <v>8.2200619869097227E-2</v>
      </c>
      <c r="C26" s="54">
        <f>'R2'!C32</f>
        <v>0.2098484831599664</v>
      </c>
      <c r="D26" s="54">
        <f>'R2'!D32</f>
        <v>0.13097361203983868</v>
      </c>
      <c r="E26" s="54">
        <f>'R2'!E32</f>
        <v>9.6495374277774285E-2</v>
      </c>
      <c r="F26" s="54">
        <f>'R2'!F32</f>
        <v>0.35180506930194644</v>
      </c>
      <c r="G26" s="54">
        <f>'R2'!G32</f>
        <v>3.1824622984105684</v>
      </c>
      <c r="H26" s="54">
        <f>'R2'!H32</f>
        <v>2.6761470205587079</v>
      </c>
      <c r="I26" s="54">
        <f>'R2'!I32</f>
        <v>2.5706513895363821E-3</v>
      </c>
      <c r="J26" s="54">
        <f>'R2'!J32</f>
        <v>4.8255014846393392E-2</v>
      </c>
      <c r="K26" s="54">
        <f>'R2'!K32</f>
        <v>0.13901474056908017</v>
      </c>
      <c r="L26" s="54">
        <f>'R2'!L32</f>
        <v>1.0889449655275634</v>
      </c>
      <c r="M26" s="54">
        <f>'R2'!M32</f>
        <v>2.489768612064112</v>
      </c>
      <c r="O26" s="54">
        <f>'R2'!O32</f>
        <v>1.6600884716872191</v>
      </c>
      <c r="P26" s="54">
        <f>'R2'!P32</f>
        <v>3.7169952039238408</v>
      </c>
      <c r="Q26" s="54">
        <f>'R2'!Q32</f>
        <v>3.0352280454326416E-2</v>
      </c>
      <c r="R26" s="54">
        <f>'R2'!R32</f>
        <v>1.2955021630629258</v>
      </c>
      <c r="S26" s="54">
        <f>'R2'!S32</f>
        <v>2.3673439157846117</v>
      </c>
      <c r="T26" s="54">
        <f>'R2'!T32</f>
        <v>2.3601149033388364</v>
      </c>
      <c r="U26" s="54">
        <f>'R2'!U32</f>
        <v>3.4793502072932125</v>
      </c>
      <c r="V26" s="54">
        <f>'R2'!V32</f>
        <v>2.092761663046423</v>
      </c>
    </row>
    <row r="27" spans="1:22" x14ac:dyDescent="0.35">
      <c r="A27" s="241"/>
      <c r="B27" s="54">
        <f>'R2'!B33</f>
        <v>6.0430687840606727E-4</v>
      </c>
      <c r="C27" s="54">
        <f>'R2'!C33</f>
        <v>0</v>
      </c>
      <c r="D27" s="54">
        <f>'R2'!D33</f>
        <v>8.1383580482150331E-2</v>
      </c>
      <c r="E27" s="54">
        <f>'R2'!E33</f>
        <v>0.12542104167697762</v>
      </c>
      <c r="F27" s="54">
        <f>'R2'!F33</f>
        <v>5.0918407534055752E-3</v>
      </c>
      <c r="G27" s="54">
        <f>'R2'!G33</f>
        <v>1.540259157810089</v>
      </c>
      <c r="H27" s="54">
        <f>'R2'!H33</f>
        <v>2.6753592920017861</v>
      </c>
      <c r="I27" s="54">
        <f>'R2'!I33</f>
        <v>0.29603881077535726</v>
      </c>
      <c r="J27" s="54">
        <f>'R2'!J33</f>
        <v>1.6278158738845361E-2</v>
      </c>
      <c r="K27" s="54">
        <f>'R2'!K33</f>
        <v>4.937684106742838E-2</v>
      </c>
      <c r="L27" s="54">
        <f>'R2'!L33</f>
        <v>0.39685066275603204</v>
      </c>
      <c r="M27" s="54">
        <f>'R2'!M33</f>
        <v>1.0913150209241163</v>
      </c>
      <c r="O27" s="54">
        <f>'R2'!O33</f>
        <v>1.851023569296405</v>
      </c>
      <c r="P27" s="54">
        <f>'R2'!P33</f>
        <v>2.9372268272623332</v>
      </c>
      <c r="Q27" s="54">
        <f>'R2'!Q33</f>
        <v>0.22508152761573286</v>
      </c>
      <c r="R27" s="54">
        <f>'R2'!R33</f>
        <v>0.74495581224447105</v>
      </c>
      <c r="S27" s="54">
        <f>'R2'!S33</f>
        <v>2.1373393136789769</v>
      </c>
      <c r="T27" s="54">
        <f>'R2'!T33</f>
        <v>2.1732690100044278</v>
      </c>
      <c r="U27" s="54">
        <f>'R2'!U33</f>
        <v>1.7936397193378111</v>
      </c>
      <c r="V27" s="54">
        <f>'R2'!V33</f>
        <v>3.1546110561244691</v>
      </c>
    </row>
    <row r="28" spans="1:22" x14ac:dyDescent="0.35">
      <c r="A28" s="241"/>
      <c r="B28" s="54">
        <f>'R2'!B34</f>
        <v>0.15808154999577284</v>
      </c>
      <c r="C28" s="54">
        <f>'R2'!C34</f>
        <v>4.3017192420011743E-2</v>
      </c>
      <c r="D28" s="54">
        <f>'R2'!D34</f>
        <v>9.9254256153877465E-2</v>
      </c>
      <c r="E28" s="54">
        <f>'R2'!E34</f>
        <v>0.32709409316856458</v>
      </c>
      <c r="F28" s="54">
        <f>'R2'!F34</f>
        <v>0.12280092826177405</v>
      </c>
      <c r="G28" s="54">
        <f>'R2'!G34</f>
        <v>1.8205918290138075</v>
      </c>
      <c r="H28" s="54">
        <f>'R2'!H34</f>
        <v>3.114328129063157</v>
      </c>
      <c r="I28" s="54">
        <f>'R2'!I34</f>
        <v>0.16641498535725582</v>
      </c>
      <c r="J28" s="54">
        <f>'R2'!J34</f>
        <v>0.24617147128672928</v>
      </c>
      <c r="K28" s="54">
        <f>'R2'!K34</f>
        <v>4.9064955516693605E-2</v>
      </c>
      <c r="L28" s="54">
        <f>'R2'!L34</f>
        <v>1.9775738793973536</v>
      </c>
      <c r="M28" s="54">
        <f>'R2'!M34</f>
        <v>1.2561252383375032</v>
      </c>
      <c r="O28" s="54">
        <f>'R2'!O34</f>
        <v>0.84922496822293858</v>
      </c>
      <c r="P28" s="54">
        <f>'R2'!P34</f>
        <v>2.2568613218225635</v>
      </c>
      <c r="Q28" s="54">
        <f>'R2'!Q34</f>
        <v>9.542049118295122E-2</v>
      </c>
      <c r="R28" s="54">
        <f>'R2'!R34</f>
        <v>1.6026256198820734</v>
      </c>
      <c r="S28" s="54">
        <f>'R2'!S34</f>
        <v>1.4757654851481261</v>
      </c>
      <c r="T28" s="54">
        <f>'R2'!T34</f>
        <v>2.1068930324767967</v>
      </c>
      <c r="U28" s="54">
        <f>'R2'!U34</f>
        <v>2.7778948726778765</v>
      </c>
      <c r="V28" s="54">
        <f>'R2'!V34</f>
        <v>2.3324027729999259</v>
      </c>
    </row>
    <row r="29" spans="1:22" x14ac:dyDescent="0.35">
      <c r="A29" s="241"/>
      <c r="B29" s="54" t="str">
        <f>'R2'!B35</f>
        <v/>
      </c>
      <c r="C29" s="54">
        <f>'R2'!C35</f>
        <v>9.8065564601847954E-2</v>
      </c>
      <c r="D29" s="54">
        <f>'R2'!D35</f>
        <v>5.8841491275188739E-3</v>
      </c>
      <c r="E29" s="54">
        <f>'R2'!E35</f>
        <v>0.13703614504696285</v>
      </c>
      <c r="F29" s="54">
        <f>'R2'!F35</f>
        <v>9.0155533339710478E-2</v>
      </c>
      <c r="G29" s="54">
        <f>'R2'!G35</f>
        <v>1.8190960607190945</v>
      </c>
      <c r="H29" s="54">
        <f>'R2'!H35</f>
        <v>3.4755786133406597</v>
      </c>
      <c r="I29" s="54">
        <f>'R2'!I35</f>
        <v>9.7431259920838176E-2</v>
      </c>
      <c r="J29" s="54">
        <f>'R2'!J35</f>
        <v>0.14077545128831634</v>
      </c>
      <c r="K29" s="54">
        <f>'R2'!K35</f>
        <v>8.4154827864670323E-2</v>
      </c>
      <c r="L29" s="54">
        <f>'R2'!L35</f>
        <v>0.17749241818896994</v>
      </c>
      <c r="M29" s="54">
        <f>'R2'!M35</f>
        <v>2.6137754061923832</v>
      </c>
      <c r="O29" s="54">
        <f>'R2'!O35</f>
        <v>0.12639677172960675</v>
      </c>
      <c r="P29" s="54">
        <f>'R2'!P35</f>
        <v>2.5931089811161621</v>
      </c>
      <c r="Q29" s="54">
        <f>'R2'!Q35</f>
        <v>0.11562389674112118</v>
      </c>
      <c r="R29" s="54">
        <f>'R2'!R35</f>
        <v>1.9590517247301489</v>
      </c>
      <c r="S29" s="54">
        <f>'R2'!S35</f>
        <v>1.7354290978807385</v>
      </c>
      <c r="T29" s="54">
        <f>'R2'!T35</f>
        <v>1.4772661767463202</v>
      </c>
      <c r="U29" s="54">
        <f>'R2'!U35</f>
        <v>2.7388896001175365</v>
      </c>
      <c r="V29" s="54">
        <f>'R2'!V35</f>
        <v>2.9831516311217388</v>
      </c>
    </row>
    <row r="30" spans="1:22" x14ac:dyDescent="0.35">
      <c r="A30" s="241"/>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t="str">
        <f>'R2'!O36</f>
        <v/>
      </c>
      <c r="P30" s="54" t="str">
        <f>'R2'!P36</f>
        <v/>
      </c>
      <c r="Q30" s="54" t="str">
        <f>'R2'!Q36</f>
        <v/>
      </c>
      <c r="R30" s="54" t="str">
        <f>'R2'!R36</f>
        <v/>
      </c>
      <c r="S30" s="54" t="str">
        <f>'R2'!S36</f>
        <v/>
      </c>
      <c r="T30" s="54" t="str">
        <f>'R2'!T36</f>
        <v/>
      </c>
      <c r="U30" s="54" t="str">
        <f>'R2'!U36</f>
        <v/>
      </c>
      <c r="V30" s="54" t="str">
        <f>'R2'!V36</f>
        <v/>
      </c>
    </row>
    <row r="31" spans="1:22" s="1" customFormat="1" x14ac:dyDescent="0.35">
      <c r="A31" s="241"/>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1.9351113028392213</v>
      </c>
      <c r="P31" s="54" t="str">
        <f>'R2'!P37</f>
        <v/>
      </c>
      <c r="Q31" s="54" t="str">
        <f>'R2'!Q37</f>
        <v/>
      </c>
      <c r="R31" s="54" t="str">
        <f>'R2'!R37</f>
        <v/>
      </c>
      <c r="S31" s="54" t="str">
        <f>'R2'!S37</f>
        <v/>
      </c>
      <c r="T31" s="54" t="str">
        <f>'R2'!T37</f>
        <v/>
      </c>
      <c r="U31" s="54" t="str">
        <f>'R2'!U37</f>
        <v/>
      </c>
      <c r="V31" s="54" t="str">
        <f>'R2'!V37</f>
        <v/>
      </c>
    </row>
    <row r="32" spans="1:22" s="1" customFormat="1" x14ac:dyDescent="0.35">
      <c r="A32" s="241"/>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1.155526347856229</v>
      </c>
      <c r="P32" s="54" t="str">
        <f>'R2'!P38</f>
        <v/>
      </c>
      <c r="Q32" s="54" t="str">
        <f>'R2'!Q38</f>
        <v/>
      </c>
      <c r="R32" s="54" t="str">
        <f>'R2'!R38</f>
        <v/>
      </c>
      <c r="S32" s="54" t="str">
        <f>'R2'!S38</f>
        <v/>
      </c>
      <c r="T32" s="54" t="str">
        <f>'R2'!T38</f>
        <v/>
      </c>
      <c r="U32" s="54" t="str">
        <f>'R2'!U38</f>
        <v/>
      </c>
      <c r="V32" s="54" t="str">
        <f>'R2'!V38</f>
        <v/>
      </c>
    </row>
    <row r="33" spans="1:22" s="1" customFormat="1" x14ac:dyDescent="0.35">
      <c r="A33" s="241"/>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2.2817404917422999</v>
      </c>
      <c r="P33" s="54" t="str">
        <f>'R2'!P39</f>
        <v/>
      </c>
      <c r="Q33" s="54" t="str">
        <f>'R2'!Q39</f>
        <v/>
      </c>
      <c r="R33" s="54" t="str">
        <f>'R2'!R39</f>
        <v/>
      </c>
      <c r="S33" s="54" t="str">
        <f>'R2'!S39</f>
        <v/>
      </c>
      <c r="T33" s="54" t="str">
        <f>'R2'!T39</f>
        <v/>
      </c>
      <c r="U33" s="54" t="str">
        <f>'R2'!U39</f>
        <v/>
      </c>
      <c r="V33" s="54" t="str">
        <f>'R2'!V39</f>
        <v/>
      </c>
    </row>
    <row r="34" spans="1:22" s="1" customFormat="1" x14ac:dyDescent="0.35">
      <c r="A34" s="241"/>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6.8763207238651439E-2</v>
      </c>
      <c r="P34" s="54" t="str">
        <f>'R2'!P40</f>
        <v/>
      </c>
      <c r="Q34" s="54" t="str">
        <f>'R2'!Q40</f>
        <v/>
      </c>
      <c r="R34" s="54" t="str">
        <f>'R2'!R40</f>
        <v/>
      </c>
      <c r="S34" s="54" t="str">
        <f>'R2'!S40</f>
        <v/>
      </c>
      <c r="T34" s="54" t="str">
        <f>'R2'!T40</f>
        <v/>
      </c>
      <c r="U34" s="54" t="str">
        <f>'R2'!U40</f>
        <v/>
      </c>
      <c r="V34" s="54" t="str">
        <f>'R2'!V40</f>
        <v/>
      </c>
    </row>
    <row r="35" spans="1:22" s="1" customFormat="1" x14ac:dyDescent="0.35">
      <c r="A35" s="241"/>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0.6117312200550562</v>
      </c>
      <c r="P35" s="54" t="str">
        <f>'R2'!P41</f>
        <v/>
      </c>
      <c r="Q35" s="54" t="str">
        <f>'R2'!Q41</f>
        <v/>
      </c>
      <c r="R35" s="54" t="str">
        <f>'R2'!R41</f>
        <v/>
      </c>
      <c r="S35" s="54" t="str">
        <f>'R2'!S41</f>
        <v/>
      </c>
      <c r="T35" s="54" t="str">
        <f>'R2'!T41</f>
        <v/>
      </c>
      <c r="U35" s="54" t="str">
        <f>'R2'!U41</f>
        <v/>
      </c>
      <c r="V35" s="54" t="str">
        <f>'R2'!V41</f>
        <v/>
      </c>
    </row>
    <row r="36" spans="1:22" x14ac:dyDescent="0.35">
      <c r="A36" s="241"/>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0.17329730564164172</v>
      </c>
      <c r="P36" s="54" t="str">
        <f>'R2'!P42</f>
        <v/>
      </c>
      <c r="Q36" s="54" t="str">
        <f>'R2'!Q42</f>
        <v/>
      </c>
      <c r="R36" s="54" t="str">
        <f>'R2'!R42</f>
        <v/>
      </c>
      <c r="S36" s="54" t="str">
        <f>'R2'!S42</f>
        <v/>
      </c>
      <c r="T36" s="54" t="str">
        <f>'R2'!T42</f>
        <v/>
      </c>
      <c r="U36" s="54" t="str">
        <f>'R2'!U42</f>
        <v/>
      </c>
      <c r="V36" s="54" t="str">
        <f>'R2'!V42</f>
        <v/>
      </c>
    </row>
    <row r="37" spans="1:22" x14ac:dyDescent="0.35">
      <c r="A37" s="242"/>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0.61451002413594202</v>
      </c>
      <c r="P37" s="54" t="str">
        <f>'R2'!P43</f>
        <v/>
      </c>
      <c r="Q37" s="54" t="str">
        <f>'R2'!Q43</f>
        <v/>
      </c>
      <c r="R37" s="54" t="str">
        <f>'R2'!R43</f>
        <v/>
      </c>
      <c r="S37" s="54" t="str">
        <f>'R2'!S43</f>
        <v/>
      </c>
      <c r="T37" s="54" t="str">
        <f>'R2'!T43</f>
        <v/>
      </c>
      <c r="U37" s="54" t="str">
        <f>'R2'!U43</f>
        <v/>
      </c>
      <c r="V37" s="54" t="str">
        <f>'R2'!V43</f>
        <v/>
      </c>
    </row>
    <row r="38" spans="1:22" s="1" customFormat="1" x14ac:dyDescent="0.35">
      <c r="A38" s="154" t="s">
        <v>116</v>
      </c>
      <c r="B38" s="155">
        <f>'R3'!B28</f>
        <v>9.9799643376954267E-2</v>
      </c>
      <c r="C38" s="155">
        <f>'R3'!C28</f>
        <v>9.741118116238677E-2</v>
      </c>
      <c r="D38" s="155">
        <f>'R3'!D28</f>
        <v>1.6391358465433954E-2</v>
      </c>
      <c r="E38" s="155">
        <f>'R3'!E28</f>
        <v>8.5080261890892461E-2</v>
      </c>
      <c r="F38" s="155">
        <f>'R3'!F28</f>
        <v>0.30528878427283296</v>
      </c>
      <c r="G38" s="155">
        <f>'R3'!G28</f>
        <v>1.5675551780759613</v>
      </c>
      <c r="H38" s="155">
        <f>'R3'!H28</f>
        <v>2.3790916277790859</v>
      </c>
      <c r="I38" s="155">
        <f>'R3'!I28</f>
        <v>0.11693046162278374</v>
      </c>
      <c r="J38" s="155">
        <f>'R3'!J28</f>
        <v>4.8934890790070844E-2</v>
      </c>
      <c r="K38" s="155">
        <f>'R3'!K28</f>
        <v>2.1372026148126878E-2</v>
      </c>
      <c r="L38" s="155">
        <f>'R3'!L28</f>
        <v>0.23840258120796298</v>
      </c>
      <c r="M38" s="155">
        <f>'R3'!M28</f>
        <v>1.1164635184619922</v>
      </c>
      <c r="N38"/>
      <c r="O38" s="155">
        <f>'R3'!O28</f>
        <v>0.22558634693127172</v>
      </c>
      <c r="P38" s="155">
        <f>'R3'!P28</f>
        <v>1.694624538021996</v>
      </c>
      <c r="Q38" s="155">
        <f>'R3'!Q28</f>
        <v>0.14537116760807298</v>
      </c>
      <c r="R38" s="155">
        <f>'R3'!R28</f>
        <v>1.7164166955819611</v>
      </c>
      <c r="S38" s="155" t="str">
        <f>'R3'!S28</f>
        <v/>
      </c>
      <c r="T38" s="155">
        <f>'R3'!T28</f>
        <v>2.5252489166469529</v>
      </c>
      <c r="U38" s="155">
        <f>'R3'!U28</f>
        <v>2.4785138830841089</v>
      </c>
      <c r="V38" s="155">
        <f>'R3'!V28</f>
        <v>1.2372034802540102</v>
      </c>
    </row>
    <row r="39" spans="1:22" s="1" customFormat="1" x14ac:dyDescent="0.35">
      <c r="A39" s="240" t="s">
        <v>34</v>
      </c>
      <c r="B39" s="155">
        <f>'R3'!B29</f>
        <v>0.1526984446516742</v>
      </c>
      <c r="C39" s="155">
        <f>'R3'!C29</f>
        <v>1.7986219335723416E-2</v>
      </c>
      <c r="D39" s="155">
        <f>'R3'!D29</f>
        <v>0.34381104126699724</v>
      </c>
      <c r="E39" s="155">
        <f>'R3'!E29</f>
        <v>0.49668259644529583</v>
      </c>
      <c r="F39" s="155">
        <f>'R3'!F29</f>
        <v>1.233428530951201</v>
      </c>
      <c r="G39" s="155">
        <f>'R3'!G29</f>
        <v>1.9732559040699202</v>
      </c>
      <c r="H39" s="155">
        <f>'R3'!H29</f>
        <v>2.1336278468184444</v>
      </c>
      <c r="I39" s="155">
        <f>'R3'!I29</f>
        <v>5.619253180907318E-2</v>
      </c>
      <c r="J39" s="155">
        <f>'R3'!J29</f>
        <v>7.1932588632670325E-2</v>
      </c>
      <c r="K39" s="155">
        <f>'R3'!K29</f>
        <v>0.21865622675430871</v>
      </c>
      <c r="L39" s="155">
        <f>'R3'!L29</f>
        <v>3.8479869848756197E-2</v>
      </c>
      <c r="M39" s="155">
        <f>'R3'!M29</f>
        <v>0.74273979744164975</v>
      </c>
      <c r="N39"/>
      <c r="O39" s="155">
        <f>'R3'!O29</f>
        <v>0.9105448070000457</v>
      </c>
      <c r="P39" s="155">
        <f>'R3'!P29</f>
        <v>2.5138001130527945</v>
      </c>
      <c r="Q39" s="155">
        <f>'R3'!Q29</f>
        <v>0.10804340886706691</v>
      </c>
      <c r="R39" s="155">
        <f>'R3'!R29</f>
        <v>0.67060667130591456</v>
      </c>
      <c r="S39" s="155" t="str">
        <f>'R3'!S29</f>
        <v/>
      </c>
      <c r="T39" s="155">
        <f>'R3'!T29</f>
        <v>1.8880832097064781</v>
      </c>
      <c r="U39" s="155">
        <f>'R3'!U29</f>
        <v>2.2657090414658541</v>
      </c>
      <c r="V39" s="155">
        <f>'R3'!V29</f>
        <v>1.9017277742911223</v>
      </c>
    </row>
    <row r="40" spans="1:22" s="1" customFormat="1" x14ac:dyDescent="0.35">
      <c r="A40" s="241"/>
      <c r="B40" s="155">
        <f>'R3'!B30</f>
        <v>0.12909370233376688</v>
      </c>
      <c r="C40" s="155">
        <f>'R3'!C30</f>
        <v>7.0665070507170608E-2</v>
      </c>
      <c r="D40" s="155">
        <f>'R3'!D30</f>
        <v>8.0118472516658559E-2</v>
      </c>
      <c r="E40" s="155">
        <f>'R3'!E30</f>
        <v>0.24780593789030952</v>
      </c>
      <c r="F40" s="155">
        <f>'R3'!F30</f>
        <v>1.2350965897910817</v>
      </c>
      <c r="G40" s="155">
        <f>'R3'!G30</f>
        <v>1.604574828575136</v>
      </c>
      <c r="H40" s="155">
        <f>'R3'!H30</f>
        <v>1.2537065056949519</v>
      </c>
      <c r="I40" s="155">
        <f>'R3'!I30</f>
        <v>0.12676125170420285</v>
      </c>
      <c r="J40" s="155">
        <f>'R3'!J30</f>
        <v>9.6111961726455825E-3</v>
      </c>
      <c r="K40" s="155">
        <f>'R3'!K30</f>
        <v>8.1705675205214646E-3</v>
      </c>
      <c r="L40" s="155">
        <f>'R3'!L30</f>
        <v>0.93020246902339232</v>
      </c>
      <c r="M40" s="155">
        <f>'R3'!M30</f>
        <v>1.2148953749619142</v>
      </c>
      <c r="N40"/>
      <c r="O40" s="155">
        <f>'R3'!O30</f>
        <v>0.72160642160800503</v>
      </c>
      <c r="P40" s="155">
        <f>'R3'!P30</f>
        <v>2.4775623094794237</v>
      </c>
      <c r="Q40" s="155">
        <f>'R3'!Q30</f>
        <v>8.2630178027958648E-2</v>
      </c>
      <c r="R40" s="155">
        <f>'R3'!R30</f>
        <v>0.14948574836589512</v>
      </c>
      <c r="S40" s="155" t="str">
        <f>'R3'!S30</f>
        <v/>
      </c>
      <c r="T40" s="155">
        <f>'R3'!T30</f>
        <v>1.4460289169268996</v>
      </c>
      <c r="U40" s="155">
        <f>'R3'!U30</f>
        <v>2.6866609473332206</v>
      </c>
      <c r="V40" s="155">
        <f>'R3'!V30</f>
        <v>2.2567411325588123</v>
      </c>
    </row>
    <row r="41" spans="1:22" s="1" customFormat="1" x14ac:dyDescent="0.35">
      <c r="A41" s="241"/>
      <c r="B41" s="155" t="str">
        <f>'R3'!B31</f>
        <v/>
      </c>
      <c r="C41" s="155">
        <f>'R3'!C31</f>
        <v>0.11750429096103865</v>
      </c>
      <c r="D41" s="155">
        <f>'R3'!D31</f>
        <v>8.1636573472364582E-2</v>
      </c>
      <c r="E41" s="155">
        <f>'R3'!E31</f>
        <v>0.54121438893317053</v>
      </c>
      <c r="F41" s="155">
        <f>'R3'!F31</f>
        <v>2.2035571975874615</v>
      </c>
      <c r="G41" s="155">
        <f>'R3'!G31</f>
        <v>0.68878167372622834</v>
      </c>
      <c r="H41" s="155">
        <f>'R3'!H31</f>
        <v>2.5190698325716103</v>
      </c>
      <c r="I41" s="155">
        <f>'R3'!I31</f>
        <v>0.10568344221243757</v>
      </c>
      <c r="J41" s="155">
        <f>'R3'!J31</f>
        <v>8.6790707876181108E-2</v>
      </c>
      <c r="K41" s="155">
        <f>'R3'!K31</f>
        <v>6.2575537235223314E-2</v>
      </c>
      <c r="L41" s="155">
        <f>'R3'!L31</f>
        <v>0.80865127425938466</v>
      </c>
      <c r="M41" s="155">
        <f>'R3'!M31</f>
        <v>0.82654506112255866</v>
      </c>
      <c r="N41"/>
      <c r="O41" s="155">
        <f>'R3'!O31</f>
        <v>1.815495757486979</v>
      </c>
      <c r="P41" s="155">
        <f>'R3'!P31</f>
        <v>2.0822854374080975</v>
      </c>
      <c r="Q41" s="155">
        <f>'R3'!Q31</f>
        <v>3.6376541330820016E-2</v>
      </c>
      <c r="R41" s="155">
        <f>'R3'!R31</f>
        <v>9.0034036888893734E-2</v>
      </c>
      <c r="S41" s="155">
        <f>'R3'!S31</f>
        <v>2.026913755822493</v>
      </c>
      <c r="T41" s="155">
        <f>'R3'!T31</f>
        <v>2.3388781593025914</v>
      </c>
      <c r="U41" s="155">
        <f>'R3'!U31</f>
        <v>1.8974962726889288</v>
      </c>
      <c r="V41" s="155">
        <f>'R3'!V31</f>
        <v>2.1069280414481275</v>
      </c>
    </row>
    <row r="42" spans="1:22" s="1" customFormat="1" x14ac:dyDescent="0.35">
      <c r="A42" s="241"/>
      <c r="B42" s="155">
        <f>'R3'!B32</f>
        <v>1.8852840552343018E-2</v>
      </c>
      <c r="C42" s="155">
        <f>'R3'!C32</f>
        <v>0.37957902429588769</v>
      </c>
      <c r="D42" s="155">
        <f>'R3'!D32</f>
        <v>0.21488483939649186</v>
      </c>
      <c r="E42" s="155">
        <f>'R3'!E32</f>
        <v>0.22173036337988844</v>
      </c>
      <c r="F42" s="155">
        <f>'R3'!F32</f>
        <v>1.1731602435847213</v>
      </c>
      <c r="G42" s="155">
        <f>'R3'!G32</f>
        <v>2.7029826697740553</v>
      </c>
      <c r="H42" s="155" t="str">
        <f>'R3'!H32</f>
        <v/>
      </c>
      <c r="I42" s="155">
        <f>'R3'!I32</f>
        <v>7.8381133846678247E-2</v>
      </c>
      <c r="J42" s="155">
        <f>'R3'!J32</f>
        <v>8.966056695645408E-2</v>
      </c>
      <c r="K42" s="155">
        <f>'R3'!K32</f>
        <v>0.16673980990845719</v>
      </c>
      <c r="L42" s="155">
        <f>'R3'!L32</f>
        <v>0.33282831817507758</v>
      </c>
      <c r="M42" s="155">
        <f>'R3'!M32</f>
        <v>0.95352376956853968</v>
      </c>
      <c r="N42"/>
      <c r="O42" s="155">
        <f>'R3'!O32</f>
        <v>0.44681572274799713</v>
      </c>
      <c r="P42" s="155">
        <f>'R3'!P32</f>
        <v>2.1759368075338923</v>
      </c>
      <c r="Q42" s="155">
        <f>'R3'!Q32</f>
        <v>1.4890711040190066E-2</v>
      </c>
      <c r="R42" s="155">
        <f>'R3'!R32</f>
        <v>1.7115126097166018</v>
      </c>
      <c r="S42" s="155">
        <f>'R3'!S32</f>
        <v>1.7557400340048872</v>
      </c>
      <c r="T42" s="155">
        <f>'R3'!T32</f>
        <v>1.9895046066384137</v>
      </c>
      <c r="U42" s="155">
        <f>'R3'!U32</f>
        <v>3.5850976347210386E-4</v>
      </c>
      <c r="V42" s="155">
        <f>'R3'!V32</f>
        <v>1.7499118015112833</v>
      </c>
    </row>
    <row r="43" spans="1:22" s="1" customFormat="1" x14ac:dyDescent="0.35">
      <c r="A43" s="241"/>
      <c r="B43" s="155">
        <f>'R3'!B33</f>
        <v>7.4368068521135818E-3</v>
      </c>
      <c r="C43" s="155">
        <f>'R3'!C33</f>
        <v>0.31129066158481006</v>
      </c>
      <c r="D43" s="155">
        <f>'R3'!D33</f>
        <v>8.1736664126647415E-2</v>
      </c>
      <c r="E43" s="155">
        <f>'R3'!E33</f>
        <v>0.54963536118664857</v>
      </c>
      <c r="F43" s="155">
        <f>'R3'!F33</f>
        <v>0.80762276264286637</v>
      </c>
      <c r="G43" s="155">
        <f>'R3'!G33</f>
        <v>2.5678198584165828</v>
      </c>
      <c r="H43" s="155">
        <f>'R3'!H33</f>
        <v>1.7751629638532431</v>
      </c>
      <c r="I43" s="155">
        <f>'R3'!I33</f>
        <v>3.6049198586030284E-2</v>
      </c>
      <c r="J43" s="155">
        <f>'R3'!J33</f>
        <v>2.5551968596557218E-2</v>
      </c>
      <c r="K43" s="155">
        <f>'R3'!K33</f>
        <v>3.1946550343932227E-2</v>
      </c>
      <c r="L43" s="155">
        <f>'R3'!L33</f>
        <v>0.59392084517830779</v>
      </c>
      <c r="M43" s="155" t="str">
        <f>'R3'!M33</f>
        <v/>
      </c>
      <c r="N43"/>
      <c r="O43" s="155">
        <f>'R3'!O33</f>
        <v>0.77598823868025713</v>
      </c>
      <c r="P43" s="155">
        <f>'R3'!P33</f>
        <v>1.3457129696233157</v>
      </c>
      <c r="Q43" s="155">
        <f>'R3'!Q33</f>
        <v>6.5657153945286803E-2</v>
      </c>
      <c r="R43" s="155">
        <f>'R3'!R33</f>
        <v>0.97722477344986314</v>
      </c>
      <c r="S43" s="155">
        <f>'R3'!S33</f>
        <v>1.2729484887377005</v>
      </c>
      <c r="T43" s="155">
        <f>'R3'!T33</f>
        <v>1.1267219200397336</v>
      </c>
      <c r="U43" s="155">
        <f>'R3'!U33</f>
        <v>1.8264977150818569</v>
      </c>
      <c r="V43" s="155">
        <f>'R3'!V33</f>
        <v>1.0850099413049903</v>
      </c>
    </row>
    <row r="44" spans="1:22" s="1" customFormat="1" x14ac:dyDescent="0.35">
      <c r="A44" s="241"/>
      <c r="B44" s="155">
        <f>'R3'!B34</f>
        <v>2.1495447542109077E-2</v>
      </c>
      <c r="C44" s="155">
        <f>'R3'!C34</f>
        <v>0.14946633576568727</v>
      </c>
      <c r="D44" s="155">
        <f>'R3'!D34</f>
        <v>0.19727636432719883</v>
      </c>
      <c r="E44" s="155">
        <f>'R3'!E34</f>
        <v>1.1275000269232953</v>
      </c>
      <c r="F44" s="155">
        <f>'R3'!F34</f>
        <v>0.91549270478880973</v>
      </c>
      <c r="G44" s="155">
        <f>'R3'!G34</f>
        <v>1.1332012760779246</v>
      </c>
      <c r="H44" s="155">
        <f>'R3'!H34</f>
        <v>2.4675812053193305</v>
      </c>
      <c r="I44" s="155">
        <f>'R3'!I34</f>
        <v>0.12690390760114331</v>
      </c>
      <c r="J44" s="155">
        <f>'R3'!J34</f>
        <v>0.12273197952894557</v>
      </c>
      <c r="K44" s="155">
        <f>'R3'!K34</f>
        <v>0.12084040864079992</v>
      </c>
      <c r="L44" s="155">
        <f>'R3'!L34</f>
        <v>0.58581937939063644</v>
      </c>
      <c r="M44" s="155" t="str">
        <f>'R3'!M34</f>
        <v/>
      </c>
      <c r="N44"/>
      <c r="O44" s="155">
        <f>'R3'!O34</f>
        <v>0.92496160125901405</v>
      </c>
      <c r="P44" s="155">
        <f>'R3'!P34</f>
        <v>2.0897934831600562</v>
      </c>
      <c r="Q44" s="155">
        <f>'R3'!Q34</f>
        <v>3.0586599745883052E-2</v>
      </c>
      <c r="R44" s="155">
        <f>'R3'!R34</f>
        <v>1.6575813786858722</v>
      </c>
      <c r="S44" s="155">
        <f>'R3'!S34</f>
        <v>1.8259046512406436</v>
      </c>
      <c r="T44" s="155">
        <f>'R3'!T34</f>
        <v>2.7179795267750153</v>
      </c>
      <c r="U44" s="155">
        <f>'R3'!U34</f>
        <v>1.9140549535203748</v>
      </c>
      <c r="V44" s="155">
        <f>'R3'!V34</f>
        <v>3.0853701095990997</v>
      </c>
    </row>
    <row r="45" spans="1:22" s="1" customFormat="1" x14ac:dyDescent="0.35">
      <c r="A45" s="241"/>
      <c r="B45" s="155">
        <f>'R3'!B35</f>
        <v>9.5823978473830687E-2</v>
      </c>
      <c r="C45" s="155">
        <f>'R3'!C35</f>
        <v>0.21971554919501018</v>
      </c>
      <c r="D45" s="155">
        <f>'R3'!D35</f>
        <v>5.2471189778397771E-2</v>
      </c>
      <c r="E45" s="155">
        <f>'R3'!E35</f>
        <v>0.22322477740139585</v>
      </c>
      <c r="F45" s="155">
        <f>'R3'!F35</f>
        <v>1.7540374242985814</v>
      </c>
      <c r="G45" s="155">
        <f>'R3'!G35</f>
        <v>2.0506395152215129</v>
      </c>
      <c r="H45" s="155">
        <f>'R3'!H35</f>
        <v>1.6969088133455392</v>
      </c>
      <c r="I45" s="155">
        <f>'R3'!I35</f>
        <v>0.18244905590787119</v>
      </c>
      <c r="J45" s="155">
        <f>'R3'!J35</f>
        <v>0.10298936511753319</v>
      </c>
      <c r="K45" s="155">
        <f>'R3'!K35</f>
        <v>0.12292076261353596</v>
      </c>
      <c r="L45" s="155">
        <f>'R3'!L35</f>
        <v>1.0177325476313441</v>
      </c>
      <c r="M45" s="155" t="str">
        <f>'R3'!M35</f>
        <v/>
      </c>
      <c r="N45"/>
      <c r="O45" s="155">
        <f>'R3'!O35</f>
        <v>1.7527043663852238</v>
      </c>
      <c r="P45" s="155">
        <f>'R3'!P35</f>
        <v>2.2609324732312182</v>
      </c>
      <c r="Q45" s="155">
        <f>'R3'!Q35</f>
        <v>0.10798543821231769</v>
      </c>
      <c r="R45" s="155">
        <f>'R3'!R35</f>
        <v>0.86312552380418617</v>
      </c>
      <c r="S45" s="155" t="str">
        <f>'R3'!S35</f>
        <v/>
      </c>
      <c r="T45" s="155">
        <f>'R3'!T35</f>
        <v>1.804095129198841</v>
      </c>
      <c r="U45" s="155">
        <f>'R3'!U35</f>
        <v>1.3712341273956898</v>
      </c>
      <c r="V45" s="155">
        <f>'R3'!V35</f>
        <v>0.93948436338150243</v>
      </c>
    </row>
    <row r="46" spans="1:22" s="1" customFormat="1" x14ac:dyDescent="0.35">
      <c r="A46" s="241"/>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0.46143875362201803</v>
      </c>
      <c r="P46" s="155" t="str">
        <f>'R3'!P36</f>
        <v/>
      </c>
      <c r="Q46" s="155" t="str">
        <f>'R3'!Q36</f>
        <v/>
      </c>
      <c r="R46" s="155" t="str">
        <f>'R3'!R36</f>
        <v/>
      </c>
      <c r="S46" s="155" t="str">
        <f>'R3'!S36</f>
        <v/>
      </c>
      <c r="T46" s="155" t="str">
        <f>'R3'!T36</f>
        <v/>
      </c>
      <c r="U46" s="155" t="str">
        <f>'R3'!U36</f>
        <v/>
      </c>
      <c r="V46" s="155" t="str">
        <f>'R3'!V36</f>
        <v/>
      </c>
    </row>
    <row r="47" spans="1:22" s="1" customFormat="1" x14ac:dyDescent="0.35">
      <c r="A47" s="241"/>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1.2266022414707627</v>
      </c>
      <c r="P47" s="155" t="str">
        <f>'R3'!P37</f>
        <v/>
      </c>
      <c r="Q47" s="155" t="str">
        <f>'R3'!Q37</f>
        <v/>
      </c>
      <c r="R47" s="155" t="str">
        <f>'R3'!R37</f>
        <v/>
      </c>
      <c r="S47" s="155" t="str">
        <f>'R3'!S37</f>
        <v/>
      </c>
      <c r="T47" s="155" t="str">
        <f>'R3'!T37</f>
        <v/>
      </c>
      <c r="U47" s="155" t="str">
        <f>'R3'!U37</f>
        <v/>
      </c>
      <c r="V47" s="155" t="str">
        <f>'R3'!V37</f>
        <v/>
      </c>
    </row>
    <row r="48" spans="1:22" s="1" customFormat="1" x14ac:dyDescent="0.35">
      <c r="A48" s="241"/>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1.1811808532210684</v>
      </c>
      <c r="P48" s="155" t="str">
        <f>'R3'!P38</f>
        <v/>
      </c>
      <c r="Q48" s="155" t="str">
        <f>'R3'!Q38</f>
        <v/>
      </c>
      <c r="R48" s="155" t="str">
        <f>'R3'!R38</f>
        <v/>
      </c>
      <c r="S48" s="155" t="str">
        <f>'R3'!S38</f>
        <v/>
      </c>
      <c r="T48" s="155" t="str">
        <f>'R3'!T38</f>
        <v/>
      </c>
      <c r="U48" s="155" t="str">
        <f>'R3'!U38</f>
        <v/>
      </c>
      <c r="V48" s="155" t="str">
        <f>'R3'!V38</f>
        <v/>
      </c>
    </row>
    <row r="49" spans="1:24" s="1" customFormat="1" x14ac:dyDescent="0.35">
      <c r="A49" s="241"/>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2.2573593971608461</v>
      </c>
      <c r="P49" s="155" t="str">
        <f>'R3'!P39</f>
        <v/>
      </c>
      <c r="Q49" s="155" t="str">
        <f>'R3'!Q39</f>
        <v/>
      </c>
      <c r="R49" s="155" t="str">
        <f>'R3'!R39</f>
        <v/>
      </c>
      <c r="S49" s="155" t="str">
        <f>'R3'!S39</f>
        <v/>
      </c>
      <c r="T49" s="155" t="str">
        <f>'R3'!T39</f>
        <v/>
      </c>
      <c r="U49" s="155" t="str">
        <f>'R3'!U39</f>
        <v/>
      </c>
      <c r="V49" s="155" t="str">
        <f>'R3'!V39</f>
        <v/>
      </c>
    </row>
    <row r="50" spans="1:24" s="1" customFormat="1" x14ac:dyDescent="0.35">
      <c r="A50" s="241"/>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1.1483443509208171</v>
      </c>
      <c r="P50" s="155" t="str">
        <f>'R3'!P40</f>
        <v/>
      </c>
      <c r="Q50" s="155" t="str">
        <f>'R3'!Q40</f>
        <v/>
      </c>
      <c r="R50" s="155" t="str">
        <f>'R3'!R40</f>
        <v/>
      </c>
      <c r="S50" s="155" t="str">
        <f>'R3'!S40</f>
        <v/>
      </c>
      <c r="T50" s="155" t="str">
        <f>'R3'!T40</f>
        <v/>
      </c>
      <c r="U50" s="155" t="str">
        <f>'R3'!U40</f>
        <v/>
      </c>
      <c r="V50" s="155" t="str">
        <f>'R3'!V40</f>
        <v/>
      </c>
    </row>
    <row r="51" spans="1:24" s="1" customFormat="1" x14ac:dyDescent="0.35">
      <c r="A51" s="241"/>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1.0368570755379727</v>
      </c>
      <c r="P51" s="155" t="str">
        <f>'R3'!P41</f>
        <v/>
      </c>
      <c r="Q51" s="155" t="str">
        <f>'R3'!Q41</f>
        <v/>
      </c>
      <c r="R51" s="155" t="str">
        <f>'R3'!R41</f>
        <v/>
      </c>
      <c r="S51" s="155" t="str">
        <f>'R3'!S41</f>
        <v/>
      </c>
      <c r="T51" s="155" t="str">
        <f>'R3'!T41</f>
        <v/>
      </c>
      <c r="U51" s="155" t="str">
        <f>'R3'!U41</f>
        <v/>
      </c>
      <c r="V51" s="155" t="str">
        <f>'R3'!V41</f>
        <v/>
      </c>
    </row>
    <row r="52" spans="1:24" s="1" customFormat="1" x14ac:dyDescent="0.35">
      <c r="A52" s="241"/>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0.90605479724003801</v>
      </c>
      <c r="P52" s="155" t="str">
        <f>'R3'!P42</f>
        <v/>
      </c>
      <c r="Q52" s="155" t="str">
        <f>'R3'!Q42</f>
        <v/>
      </c>
      <c r="R52" s="155" t="str">
        <f>'R3'!R42</f>
        <v/>
      </c>
      <c r="S52" s="155" t="str">
        <f>'R3'!S42</f>
        <v/>
      </c>
      <c r="T52" s="155" t="str">
        <f>'R3'!T42</f>
        <v/>
      </c>
      <c r="U52" s="155" t="str">
        <f>'R3'!U42</f>
        <v/>
      </c>
      <c r="V52" s="155" t="str">
        <f>'R3'!V42</f>
        <v/>
      </c>
    </row>
    <row r="53" spans="1:24" s="1" customFormat="1" x14ac:dyDescent="0.35">
      <c r="A53" s="242"/>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0.20845926872768411</v>
      </c>
      <c r="P53" s="155" t="str">
        <f>'R3'!P43</f>
        <v/>
      </c>
      <c r="Q53" s="155" t="str">
        <f>'R3'!Q43</f>
        <v/>
      </c>
      <c r="R53" s="155" t="str">
        <f>'R3'!R43</f>
        <v/>
      </c>
      <c r="S53" s="155" t="str">
        <f>'R3'!S43</f>
        <v/>
      </c>
      <c r="T53" s="155" t="str">
        <f>'R3'!T43</f>
        <v/>
      </c>
      <c r="U53" s="155" t="str">
        <f>'R3'!U43</f>
        <v/>
      </c>
      <c r="V53" s="155"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BPA-1mg/L</v>
      </c>
      <c r="J55" s="15" t="str">
        <f t="shared" si="0"/>
        <v>BPA-2mg/L</v>
      </c>
      <c r="K55" s="15" t="str">
        <f t="shared" si="0"/>
        <v>BPA-3mg/L</v>
      </c>
      <c r="L55" s="15" t="str">
        <f t="shared" si="0"/>
        <v>BPA-4mg/L</v>
      </c>
      <c r="M55" s="15" t="str">
        <f t="shared" si="0"/>
        <v>BPA-5mg/L</v>
      </c>
      <c r="O55" s="15" t="str">
        <f t="shared" ref="O55:V55" si="1">O4</f>
        <v>Testo -30µg/L</v>
      </c>
      <c r="P55" s="15" t="str">
        <f t="shared" si="1"/>
        <v>Testo 30µg/L + EE2 -64ng/L</v>
      </c>
      <c r="Q55" s="15" t="str">
        <f t="shared" si="1"/>
        <v>Testo 30µg/L + FAD-10mg/L</v>
      </c>
      <c r="R55" s="15" t="str">
        <f t="shared" si="1"/>
        <v>BPA-1mg/L + Testostérone</v>
      </c>
      <c r="S55" s="15" t="str">
        <f t="shared" si="1"/>
        <v>BPA-2mg/L + Testostérone</v>
      </c>
      <c r="T55" s="15" t="str">
        <f t="shared" si="1"/>
        <v>BPA-3mg/L + Testostérone</v>
      </c>
      <c r="U55" s="15" t="str">
        <f t="shared" si="1"/>
        <v>BPA-4mg/L + Testostérone</v>
      </c>
      <c r="V55" s="15" t="str">
        <f t="shared" si="1"/>
        <v>BPA-5mg/L + Testostérone</v>
      </c>
    </row>
    <row r="56" spans="1:24" x14ac:dyDescent="0.35">
      <c r="A56" t="s">
        <v>48</v>
      </c>
      <c r="B56" s="9">
        <f t="shared" ref="B56:V56" si="2">AVERAGE(B6:B53)</f>
        <v>0.15229055770800312</v>
      </c>
      <c r="C56" s="9">
        <f t="shared" si="2"/>
        <v>0.18330585545241077</v>
      </c>
      <c r="D56" s="9">
        <f t="shared" si="2"/>
        <v>0.1684450770480834</v>
      </c>
      <c r="E56" s="9">
        <f t="shared" si="2"/>
        <v>0.74063310480924405</v>
      </c>
      <c r="F56" s="9">
        <f t="shared" si="2"/>
        <v>1.5744025053212292</v>
      </c>
      <c r="G56" s="9">
        <f t="shared" si="2"/>
        <v>2.5009767443674882</v>
      </c>
      <c r="H56" s="9">
        <f t="shared" si="2"/>
        <v>3.7419685866413728</v>
      </c>
      <c r="I56" s="9">
        <f t="shared" si="2"/>
        <v>0.21158373747212017</v>
      </c>
      <c r="J56" s="9">
        <f t="shared" si="2"/>
        <v>0.14007532420317351</v>
      </c>
      <c r="K56" s="9">
        <f t="shared" si="2"/>
        <v>0.15675051372414034</v>
      </c>
      <c r="L56" s="9">
        <f t="shared" si="2"/>
        <v>0.94901340559728442</v>
      </c>
      <c r="M56" s="9">
        <f t="shared" si="2"/>
        <v>1.9498933351780448</v>
      </c>
      <c r="N56" s="9"/>
      <c r="O56" s="9">
        <f t="shared" si="2"/>
        <v>1.0000000000000002</v>
      </c>
      <c r="P56" s="9">
        <f t="shared" si="2"/>
        <v>3.1284648375910251</v>
      </c>
      <c r="Q56" s="9">
        <f t="shared" si="2"/>
        <v>0.11656955822676086</v>
      </c>
      <c r="R56" s="9">
        <f t="shared" si="2"/>
        <v>1.3432927242998771</v>
      </c>
      <c r="S56" s="9">
        <f t="shared" si="2"/>
        <v>2.3874118113026253</v>
      </c>
      <c r="T56" s="9">
        <f t="shared" si="2"/>
        <v>2.5807672177097269</v>
      </c>
      <c r="U56" s="9">
        <f t="shared" si="2"/>
        <v>2.8793277523270513</v>
      </c>
      <c r="V56" s="9">
        <f t="shared" si="2"/>
        <v>3.2336835333356859</v>
      </c>
    </row>
    <row r="57" spans="1:24" x14ac:dyDescent="0.35">
      <c r="A57" t="s">
        <v>1</v>
      </c>
      <c r="B57" s="3">
        <f>STDEV(B6:B53)</f>
        <v>0.14320511457544849</v>
      </c>
      <c r="C57" s="3">
        <f t="shared" ref="C57:V57" si="3">STDEV(C6:C53)</f>
        <v>0.16459248515883065</v>
      </c>
      <c r="D57" s="3">
        <f t="shared" si="3"/>
        <v>0.18292056781584792</v>
      </c>
      <c r="E57" s="3">
        <f t="shared" si="3"/>
        <v>1.0334341438645287</v>
      </c>
      <c r="F57" s="3">
        <f t="shared" si="3"/>
        <v>1.4676525923808525</v>
      </c>
      <c r="G57" s="3">
        <f t="shared" si="3"/>
        <v>1.5161928254192851</v>
      </c>
      <c r="H57" s="3">
        <f t="shared" si="3"/>
        <v>1.8001053569124315</v>
      </c>
      <c r="I57" s="3">
        <f t="shared" si="3"/>
        <v>0.18225786334083555</v>
      </c>
      <c r="J57" s="3">
        <f t="shared" si="3"/>
        <v>9.0462048219653313E-2</v>
      </c>
      <c r="K57" s="3">
        <f t="shared" si="3"/>
        <v>0.10626497819212787</v>
      </c>
      <c r="L57" s="3">
        <f t="shared" si="3"/>
        <v>0.71305154516981073</v>
      </c>
      <c r="M57" s="3">
        <f t="shared" si="3"/>
        <v>1.3554210401570432</v>
      </c>
      <c r="N57" s="3"/>
      <c r="O57" s="3">
        <f t="shared" si="3"/>
        <v>0.75501527336403429</v>
      </c>
      <c r="P57" s="3">
        <f t="shared" si="3"/>
        <v>1.564858539033066</v>
      </c>
      <c r="Q57" s="3">
        <f t="shared" si="3"/>
        <v>8.6175755389044151E-2</v>
      </c>
      <c r="R57" s="3">
        <f t="shared" si="3"/>
        <v>1.0858843472468114</v>
      </c>
      <c r="S57" s="3">
        <f t="shared" si="3"/>
        <v>1.068979624557473</v>
      </c>
      <c r="T57" s="3">
        <f t="shared" si="3"/>
        <v>1.1605574080282126</v>
      </c>
      <c r="U57" s="3">
        <f t="shared" si="3"/>
        <v>1.4568252214509743</v>
      </c>
      <c r="V57" s="3">
        <f t="shared" si="3"/>
        <v>1.7953305159171713</v>
      </c>
      <c r="W57" s="3"/>
      <c r="X57" s="3"/>
    </row>
    <row r="58" spans="1:24" x14ac:dyDescent="0.35">
      <c r="A58" t="s">
        <v>2</v>
      </c>
      <c r="B58" s="3">
        <f xml:space="preserve"> B57/SQRT(COUNT(B6:B53))</f>
        <v>3.0531433013272886E-2</v>
      </c>
      <c r="C58" s="3">
        <f t="shared" ref="C58:V58" si="4" xml:space="preserve"> C57/SQRT(COUNT(C6:C53))</f>
        <v>3.5091235742612872E-2</v>
      </c>
      <c r="D58" s="3">
        <f t="shared" si="4"/>
        <v>3.7338504550749524E-2</v>
      </c>
      <c r="E58" s="3">
        <f t="shared" si="4"/>
        <v>0.21548591497448694</v>
      </c>
      <c r="F58" s="3">
        <f t="shared" si="4"/>
        <v>0.29958333091716993</v>
      </c>
      <c r="G58" s="3">
        <f t="shared" si="4"/>
        <v>0.32325339651262858</v>
      </c>
      <c r="H58" s="3">
        <f t="shared" si="4"/>
        <v>0.37534791373759713</v>
      </c>
      <c r="I58" s="3">
        <f t="shared" si="4"/>
        <v>3.8003391581808731E-2</v>
      </c>
      <c r="J58" s="3">
        <f t="shared" si="4"/>
        <v>1.8465488268766504E-2</v>
      </c>
      <c r="K58" s="3">
        <f t="shared" si="4"/>
        <v>2.2157779662519372E-2</v>
      </c>
      <c r="L58" s="3">
        <f t="shared" si="4"/>
        <v>0.14868152513357488</v>
      </c>
      <c r="M58" s="3">
        <f t="shared" si="4"/>
        <v>0.30308135839246209</v>
      </c>
      <c r="N58" s="3"/>
      <c r="O58" s="3">
        <f t="shared" si="4"/>
        <v>0.11132092883161762</v>
      </c>
      <c r="P58" s="3">
        <f t="shared" si="4"/>
        <v>0.31942541168901378</v>
      </c>
      <c r="Q58" s="3">
        <f t="shared" si="4"/>
        <v>1.7590552408504653E-2</v>
      </c>
      <c r="R58" s="3">
        <f t="shared" si="4"/>
        <v>0.22165521420248929</v>
      </c>
      <c r="S58" s="3">
        <f t="shared" si="4"/>
        <v>0.23903111070727129</v>
      </c>
      <c r="T58" s="3">
        <f t="shared" si="4"/>
        <v>0.23689778890634489</v>
      </c>
      <c r="U58" s="3">
        <f t="shared" si="4"/>
        <v>0.30376905743441812</v>
      </c>
      <c r="V58" s="3">
        <f t="shared" si="4"/>
        <v>0.36647030697039523</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43" t="s">
        <v>46</v>
      </c>
      <c r="B60" s="244"/>
      <c r="C60" s="244"/>
      <c r="D60" s="244"/>
      <c r="E60" s="244"/>
      <c r="F60" s="244"/>
      <c r="G60" s="244"/>
      <c r="H60" s="244"/>
      <c r="I60" s="244"/>
      <c r="J60" s="244"/>
      <c r="K60" s="244"/>
      <c r="L60" s="244"/>
      <c r="M60" s="244"/>
      <c r="N60" s="244"/>
      <c r="O60" s="244"/>
      <c r="P60" s="244"/>
      <c r="Q60" s="244"/>
      <c r="R60" s="244"/>
      <c r="S60" s="244"/>
      <c r="T60" s="244"/>
      <c r="U60" s="244"/>
      <c r="V60" s="244"/>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BPA-1mg/L</v>
      </c>
      <c r="J62" s="3" t="str">
        <f t="shared" si="6"/>
        <v>BPA-2mg/L</v>
      </c>
      <c r="K62" s="3" t="str">
        <f t="shared" si="6"/>
        <v>BPA-3mg/L</v>
      </c>
      <c r="L62" s="3" t="str">
        <f t="shared" si="6"/>
        <v>BPA-4mg/L</v>
      </c>
      <c r="M62" s="3" t="str">
        <f t="shared" si="6"/>
        <v>BPA-5mg/L</v>
      </c>
      <c r="N62" s="3"/>
      <c r="O62" s="3" t="str">
        <f t="shared" si="6"/>
        <v>Testo -30µg/L</v>
      </c>
      <c r="P62" s="3" t="str">
        <f t="shared" si="6"/>
        <v>Testo 30µg/L + EE2 -64ng/L</v>
      </c>
      <c r="Q62" s="3" t="str">
        <f t="shared" si="6"/>
        <v>Testo 30µg/L + FAD-10mg/L</v>
      </c>
      <c r="R62" s="3" t="str">
        <f t="shared" si="6"/>
        <v>BPA-1mg/L + Testostérone</v>
      </c>
      <c r="S62" s="3" t="str">
        <f t="shared" si="6"/>
        <v>BPA-2mg/L + Testostérone</v>
      </c>
      <c r="T62" s="3" t="str">
        <f t="shared" si="6"/>
        <v>BPA-3mg/L + Testostérone</v>
      </c>
      <c r="U62" s="3" t="str">
        <f t="shared" si="6"/>
        <v>BPA-4mg/L + Testostérone</v>
      </c>
      <c r="V62" s="3" t="str">
        <f t="shared" si="6"/>
        <v>BPA-5mg/L + Testostérone</v>
      </c>
    </row>
    <row r="63" spans="1:24" s="1" customFormat="1" x14ac:dyDescent="0.35">
      <c r="A63" s="1" t="s">
        <v>49</v>
      </c>
      <c r="B63" s="3">
        <f>COUNT(B6:B53)</f>
        <v>22</v>
      </c>
      <c r="C63" s="3">
        <f t="shared" ref="C63:V63" si="7">COUNT(C6:C53)</f>
        <v>22</v>
      </c>
      <c r="D63" s="3">
        <f t="shared" si="7"/>
        <v>24</v>
      </c>
      <c r="E63" s="3">
        <f t="shared" si="7"/>
        <v>23</v>
      </c>
      <c r="F63" s="3">
        <f t="shared" si="7"/>
        <v>24</v>
      </c>
      <c r="G63" s="3">
        <f t="shared" si="7"/>
        <v>22</v>
      </c>
      <c r="H63" s="3">
        <f t="shared" si="7"/>
        <v>23</v>
      </c>
      <c r="I63" s="3">
        <f t="shared" si="7"/>
        <v>23</v>
      </c>
      <c r="J63" s="3">
        <f t="shared" si="7"/>
        <v>24</v>
      </c>
      <c r="K63" s="3">
        <f t="shared" si="7"/>
        <v>23</v>
      </c>
      <c r="L63" s="3">
        <f t="shared" si="7"/>
        <v>23</v>
      </c>
      <c r="M63" s="3">
        <f t="shared" si="7"/>
        <v>20</v>
      </c>
      <c r="N63" s="3"/>
      <c r="O63" s="3">
        <f t="shared" si="7"/>
        <v>46</v>
      </c>
      <c r="P63" s="3">
        <f t="shared" si="7"/>
        <v>24</v>
      </c>
      <c r="Q63" s="3">
        <f t="shared" si="7"/>
        <v>24</v>
      </c>
      <c r="R63" s="3">
        <f t="shared" si="7"/>
        <v>24</v>
      </c>
      <c r="S63" s="3">
        <f t="shared" si="7"/>
        <v>20</v>
      </c>
      <c r="T63" s="3">
        <f t="shared" si="7"/>
        <v>24</v>
      </c>
      <c r="U63" s="3">
        <f t="shared" si="7"/>
        <v>23</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ATTENTION</v>
      </c>
      <c r="N64" s="3"/>
      <c r="O64" s="3" t="str">
        <f>IF(O63&gt;=41,"OK","ATTENTION")</f>
        <v>OK</v>
      </c>
      <c r="P64" s="3" t="str">
        <f t="shared" si="8"/>
        <v>OK</v>
      </c>
      <c r="Q64" s="3" t="str">
        <f t="shared" si="8"/>
        <v>OK</v>
      </c>
      <c r="R64" s="3" t="str">
        <f t="shared" si="8"/>
        <v>OK</v>
      </c>
      <c r="S64" s="3" t="str">
        <f t="shared" si="8"/>
        <v>ATTENTION</v>
      </c>
      <c r="T64" s="3" t="str">
        <f t="shared" si="8"/>
        <v>OK</v>
      </c>
      <c r="U64" s="3" t="str">
        <f t="shared" si="8"/>
        <v>OK</v>
      </c>
      <c r="V64" s="3" t="str">
        <f t="shared" si="8"/>
        <v>OK</v>
      </c>
    </row>
    <row r="65" spans="1:22" s="48" customFormat="1" ht="26.5" thickBot="1" x14ac:dyDescent="0.4">
      <c r="A65" s="243" t="s">
        <v>58</v>
      </c>
      <c r="B65" s="244"/>
      <c r="C65" s="244"/>
      <c r="D65" s="244"/>
      <c r="E65" s="244"/>
      <c r="F65" s="244"/>
      <c r="G65" s="244"/>
      <c r="H65" s="244"/>
      <c r="I65" s="244"/>
      <c r="J65" s="244"/>
      <c r="K65" s="244"/>
      <c r="L65" s="244"/>
      <c r="M65" s="244"/>
      <c r="N65" s="244"/>
      <c r="O65" s="244"/>
      <c r="P65" s="244"/>
      <c r="Q65" s="244"/>
      <c r="R65" s="244"/>
      <c r="S65" s="244"/>
      <c r="T65" s="244"/>
      <c r="U65" s="244"/>
      <c r="V65" s="244"/>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43" t="s">
        <v>53</v>
      </c>
      <c r="B70" s="244"/>
      <c r="C70" s="244"/>
      <c r="D70" s="244"/>
      <c r="E70" s="244"/>
      <c r="F70" s="244"/>
      <c r="G70" s="244"/>
      <c r="H70" s="244"/>
      <c r="I70" s="244"/>
      <c r="J70" s="244"/>
      <c r="K70" s="244"/>
      <c r="L70" s="244"/>
      <c r="M70" s="244"/>
      <c r="N70" s="244"/>
      <c r="O70" s="244"/>
      <c r="P70" s="244"/>
      <c r="Q70" s="244"/>
      <c r="R70" s="244"/>
      <c r="S70" s="244"/>
      <c r="T70" s="244"/>
      <c r="U70" s="244"/>
      <c r="V70" s="244"/>
    </row>
    <row r="71" spans="1:22" ht="15" thickBot="1" x14ac:dyDescent="0.4"/>
    <row r="72" spans="1:22" s="48" customFormat="1" ht="26.5" thickBot="1" x14ac:dyDescent="0.4">
      <c r="A72" s="243" t="s">
        <v>54</v>
      </c>
      <c r="B72" s="244"/>
      <c r="C72" s="244"/>
      <c r="D72" s="244"/>
      <c r="E72" s="244"/>
      <c r="F72" s="244"/>
      <c r="G72" s="244"/>
      <c r="H72" s="244"/>
      <c r="I72" s="244"/>
      <c r="J72" s="244"/>
      <c r="K72" s="244"/>
      <c r="L72" s="244"/>
      <c r="M72" s="244"/>
      <c r="N72" s="244"/>
      <c r="O72" s="244"/>
      <c r="P72" s="244"/>
      <c r="Q72" s="244"/>
      <c r="R72" s="244"/>
      <c r="S72" s="244"/>
      <c r="T72" s="244"/>
      <c r="U72" s="244"/>
      <c r="V72" s="244"/>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BPA-1mg/L</v>
      </c>
      <c r="J74" s="46" t="str">
        <f t="shared" si="9"/>
        <v>BPA-2mg/L</v>
      </c>
      <c r="K74" s="46" t="str">
        <f t="shared" si="9"/>
        <v>BPA-3mg/L</v>
      </c>
      <c r="L74" s="46" t="str">
        <f t="shared" si="9"/>
        <v>BPA-4mg/L</v>
      </c>
      <c r="M74" s="46" t="str">
        <f t="shared" si="9"/>
        <v>BPA-5mg/L</v>
      </c>
      <c r="N74" s="46"/>
      <c r="O74" s="46" t="str">
        <f t="shared" ref="O74:V74" si="10">O4</f>
        <v>Testo -30µg/L</v>
      </c>
      <c r="P74" s="46" t="str">
        <f t="shared" si="10"/>
        <v>Testo 30µg/L + EE2 -64ng/L</v>
      </c>
      <c r="Q74" s="46" t="str">
        <f t="shared" si="10"/>
        <v>Testo 30µg/L + FAD-10mg/L</v>
      </c>
      <c r="R74" s="46" t="str">
        <f t="shared" si="10"/>
        <v>BPA-1mg/L + Testostérone</v>
      </c>
      <c r="S74" s="46" t="str">
        <f t="shared" si="10"/>
        <v>BPA-2mg/L + Testostérone</v>
      </c>
      <c r="T74" s="46" t="str">
        <f t="shared" si="10"/>
        <v>BPA-3mg/L + Testostérone</v>
      </c>
      <c r="U74" s="46" t="str">
        <f t="shared" si="10"/>
        <v>BPA-4mg/L + Testostérone</v>
      </c>
      <c r="V74" s="46" t="str">
        <f t="shared" si="10"/>
        <v>BPA-5mg/L + Testostérone</v>
      </c>
    </row>
    <row r="75" spans="1:22" s="3" customFormat="1" x14ac:dyDescent="0.35">
      <c r="A75" s="61" t="s">
        <v>32</v>
      </c>
      <c r="B75" s="141">
        <f>B56</f>
        <v>0.15229055770800312</v>
      </c>
      <c r="C75" s="141">
        <f t="shared" ref="C75:V75" si="11">C56</f>
        <v>0.18330585545241077</v>
      </c>
      <c r="D75" s="141">
        <f t="shared" si="11"/>
        <v>0.1684450770480834</v>
      </c>
      <c r="E75" s="141">
        <f t="shared" si="11"/>
        <v>0.74063310480924405</v>
      </c>
      <c r="F75" s="141">
        <f t="shared" si="11"/>
        <v>1.5744025053212292</v>
      </c>
      <c r="G75" s="141">
        <f t="shared" si="11"/>
        <v>2.5009767443674882</v>
      </c>
      <c r="H75" s="141">
        <f t="shared" si="11"/>
        <v>3.7419685866413728</v>
      </c>
      <c r="I75" s="141">
        <f t="shared" si="11"/>
        <v>0.21158373747212017</v>
      </c>
      <c r="J75" s="141">
        <f t="shared" si="11"/>
        <v>0.14007532420317351</v>
      </c>
      <c r="K75" s="141">
        <f t="shared" si="11"/>
        <v>0.15675051372414034</v>
      </c>
      <c r="L75" s="141">
        <f t="shared" si="11"/>
        <v>0.94901340559728442</v>
      </c>
      <c r="M75" s="141">
        <f t="shared" si="11"/>
        <v>1.9498933351780448</v>
      </c>
      <c r="N75" s="141"/>
      <c r="O75" s="141">
        <f t="shared" si="11"/>
        <v>1.0000000000000002</v>
      </c>
      <c r="P75" s="141">
        <f t="shared" si="11"/>
        <v>3.1284648375910251</v>
      </c>
      <c r="Q75" s="141">
        <f t="shared" si="11"/>
        <v>0.11656955822676086</v>
      </c>
      <c r="R75" s="141">
        <f t="shared" si="11"/>
        <v>1.3432927242998771</v>
      </c>
      <c r="S75" s="141">
        <f t="shared" si="11"/>
        <v>2.3874118113026253</v>
      </c>
      <c r="T75" s="141">
        <f t="shared" si="11"/>
        <v>2.5807672177097269</v>
      </c>
      <c r="U75" s="141">
        <f t="shared" si="11"/>
        <v>2.8793277523270513</v>
      </c>
      <c r="V75" s="141">
        <f t="shared" si="11"/>
        <v>3.2336835333356859</v>
      </c>
    </row>
    <row r="76" spans="1:22" s="3" customFormat="1" x14ac:dyDescent="0.35">
      <c r="A76" s="61" t="s">
        <v>2</v>
      </c>
      <c r="B76" s="141">
        <f>B58</f>
        <v>3.0531433013272886E-2</v>
      </c>
      <c r="C76" s="141">
        <f t="shared" ref="C76:V76" si="12">C58</f>
        <v>3.5091235742612872E-2</v>
      </c>
      <c r="D76" s="141">
        <f t="shared" si="12"/>
        <v>3.7338504550749524E-2</v>
      </c>
      <c r="E76" s="141">
        <f t="shared" si="12"/>
        <v>0.21548591497448694</v>
      </c>
      <c r="F76" s="141">
        <f t="shared" si="12"/>
        <v>0.29958333091716993</v>
      </c>
      <c r="G76" s="141">
        <f t="shared" si="12"/>
        <v>0.32325339651262858</v>
      </c>
      <c r="H76" s="141">
        <f t="shared" si="12"/>
        <v>0.37534791373759713</v>
      </c>
      <c r="I76" s="141">
        <f t="shared" si="12"/>
        <v>3.8003391581808731E-2</v>
      </c>
      <c r="J76" s="141">
        <f t="shared" si="12"/>
        <v>1.8465488268766504E-2</v>
      </c>
      <c r="K76" s="141">
        <f t="shared" si="12"/>
        <v>2.2157779662519372E-2</v>
      </c>
      <c r="L76" s="141">
        <f t="shared" si="12"/>
        <v>0.14868152513357488</v>
      </c>
      <c r="M76" s="141">
        <f t="shared" si="12"/>
        <v>0.30308135839246209</v>
      </c>
      <c r="N76" s="141"/>
      <c r="O76" s="141">
        <f t="shared" si="12"/>
        <v>0.11132092883161762</v>
      </c>
      <c r="P76" s="141">
        <f t="shared" si="12"/>
        <v>0.31942541168901378</v>
      </c>
      <c r="Q76" s="141">
        <f t="shared" si="12"/>
        <v>1.7590552408504653E-2</v>
      </c>
      <c r="R76" s="141">
        <f t="shared" si="12"/>
        <v>0.22165521420248929</v>
      </c>
      <c r="S76" s="141">
        <f t="shared" si="12"/>
        <v>0.23903111070727129</v>
      </c>
      <c r="T76" s="141">
        <f t="shared" si="12"/>
        <v>0.23689778890634489</v>
      </c>
      <c r="U76" s="141">
        <f t="shared" si="12"/>
        <v>0.30376905743441812</v>
      </c>
      <c r="V76" s="141">
        <f t="shared" si="12"/>
        <v>0.36647030697039523</v>
      </c>
    </row>
    <row r="77" spans="1:22" s="3" customFormat="1" x14ac:dyDescent="0.35">
      <c r="A77" s="61" t="s">
        <v>79</v>
      </c>
      <c r="B77" s="141">
        <f>(B75*100/$B$75)-100</f>
        <v>0</v>
      </c>
      <c r="C77" s="141">
        <f t="shared" ref="C77:M77" si="13">(C75*100/$B$75)-100</f>
        <v>20.365870485467241</v>
      </c>
      <c r="D77" s="141">
        <f t="shared" si="13"/>
        <v>10.607695961724971</v>
      </c>
      <c r="E77" s="141">
        <f t="shared" si="13"/>
        <v>386.32897269265334</v>
      </c>
      <c r="F77" s="141">
        <f t="shared" si="13"/>
        <v>933.81491867666318</v>
      </c>
      <c r="G77" s="141">
        <f t="shared" si="13"/>
        <v>1542.2401900732273</v>
      </c>
      <c r="H77" s="141">
        <f t="shared" si="13"/>
        <v>2357.1244881879675</v>
      </c>
      <c r="I77" s="141">
        <f t="shared" si="13"/>
        <v>38.934245600310845</v>
      </c>
      <c r="J77" s="141">
        <f t="shared" si="13"/>
        <v>-8.0210051684561421</v>
      </c>
      <c r="K77" s="141">
        <f t="shared" si="13"/>
        <v>2.928583415321512</v>
      </c>
      <c r="L77" s="141">
        <f t="shared" si="13"/>
        <v>523.15971513932686</v>
      </c>
      <c r="M77" s="141">
        <f t="shared" si="13"/>
        <v>1180.3770401292415</v>
      </c>
      <c r="N77" s="141"/>
      <c r="O77" s="141">
        <f>(O75*100/$O$75)-100</f>
        <v>0</v>
      </c>
      <c r="P77" s="141">
        <f t="shared" ref="P77:V77" si="14">(P75*100/$O$75)-100</f>
        <v>212.84648375910245</v>
      </c>
      <c r="Q77" s="141">
        <f t="shared" si="14"/>
        <v>-88.343044177323918</v>
      </c>
      <c r="R77" s="141">
        <f t="shared" si="14"/>
        <v>34.329272429987697</v>
      </c>
      <c r="S77" s="141">
        <f t="shared" si="14"/>
        <v>138.74118113026248</v>
      </c>
      <c r="T77" s="141">
        <f t="shared" si="14"/>
        <v>158.07672177097265</v>
      </c>
      <c r="U77" s="141">
        <f t="shared" si="14"/>
        <v>187.93277523270507</v>
      </c>
      <c r="V77" s="141">
        <f t="shared" si="14"/>
        <v>223.36835333356856</v>
      </c>
    </row>
    <row r="78" spans="1:22" s="3" customFormat="1" x14ac:dyDescent="0.35">
      <c r="A78" s="61" t="s">
        <v>81</v>
      </c>
      <c r="B78" s="141">
        <f>[2]!DPTEST(B6:B53)</f>
        <v>2.1392763693871553E-3</v>
      </c>
      <c r="C78" s="141">
        <f>[2]!DPTEST(C6:C53)</f>
        <v>1.0374141656388502E-5</v>
      </c>
      <c r="D78" s="141">
        <f>[2]!DPTEST(D6:D53)</f>
        <v>2.1761660251584658E-9</v>
      </c>
      <c r="E78" s="141">
        <f>[2]!DPTEST(E6:E53)</f>
        <v>2.194246601304739E-4</v>
      </c>
      <c r="F78" s="141">
        <f>[2]!DPTEST(F6:F53)</f>
        <v>0.10995117669905707</v>
      </c>
      <c r="G78" s="141">
        <f>[2]!DPTEST(G6:G53)</f>
        <v>3.3799780628154363E-2</v>
      </c>
      <c r="H78" s="141">
        <f>[2]!DPTEST(H6:H53)</f>
        <v>0.19486788132566923</v>
      </c>
      <c r="I78" s="141">
        <f>[2]!DPTEST(I6:I53)</f>
        <v>6.2224860635147539E-2</v>
      </c>
      <c r="J78" s="141">
        <f>[2]!DPTEST(J6:J53)</f>
        <v>0.17078531254388096</v>
      </c>
      <c r="K78" s="141">
        <f>[2]!DPTEST(K6:K53)</f>
        <v>0.41862687560667966</v>
      </c>
      <c r="L78" s="141">
        <f>[2]!DPTEST(L6:L53)</f>
        <v>0.28720912018780065</v>
      </c>
      <c r="M78" s="141">
        <f>[2]!DPTEST(M6:M53)</f>
        <v>4.8586693484086285E-2</v>
      </c>
      <c r="N78" s="141" t="e">
        <f>[2]!DPTEST(N6:N53)</f>
        <v>#VALUE!</v>
      </c>
      <c r="O78" s="141">
        <f>[2]!DPTEST(O6:O53)</f>
        <v>0.11771998127473593</v>
      </c>
      <c r="P78" s="141">
        <f>[2]!DPTEST(P6:P53)</f>
        <v>0.13008257345809215</v>
      </c>
      <c r="Q78" s="141">
        <f>[2]!DPTEST(Q6:Q53)</f>
        <v>1.6308356618744968E-3</v>
      </c>
      <c r="R78" s="141">
        <f>[2]!DPTEST(R6:R53)</f>
        <v>1.1257653868015471E-2</v>
      </c>
      <c r="S78" s="141">
        <f>[2]!DPTEST(S6:S53)</f>
        <v>2.0998574842055029E-2</v>
      </c>
      <c r="T78" s="141">
        <f>[2]!DPTEST(T6:T53)</f>
        <v>4.6986164632691896E-3</v>
      </c>
      <c r="U78" s="141">
        <f>[2]!DPTEST(U6:U53)</f>
        <v>1.1920426021515551E-3</v>
      </c>
      <c r="V78" s="141">
        <f>[2]!DPTEST(V6:V53)</f>
        <v>5.3174176902648362E-2</v>
      </c>
    </row>
    <row r="79" spans="1:22" s="3" customFormat="1" x14ac:dyDescent="0.35">
      <c r="A79" s="61" t="s">
        <v>85</v>
      </c>
      <c r="B79" s="141" t="str">
        <f>IF(B78&gt;0.05,"Oui","Non")</f>
        <v>Non</v>
      </c>
      <c r="C79" s="141" t="str">
        <f t="shared" ref="C79:V79" si="15">IF(C78&gt;0.05,"Oui","Non")</f>
        <v>Non</v>
      </c>
      <c r="D79" s="141" t="str">
        <f t="shared" si="15"/>
        <v>Non</v>
      </c>
      <c r="E79" s="141" t="str">
        <f t="shared" si="15"/>
        <v>Non</v>
      </c>
      <c r="F79" s="141" t="str">
        <f t="shared" si="15"/>
        <v>Oui</v>
      </c>
      <c r="G79" s="141" t="str">
        <f t="shared" si="15"/>
        <v>Non</v>
      </c>
      <c r="H79" s="141" t="str">
        <f t="shared" si="15"/>
        <v>Oui</v>
      </c>
      <c r="I79" s="141" t="str">
        <f t="shared" si="15"/>
        <v>Oui</v>
      </c>
      <c r="J79" s="141" t="str">
        <f t="shared" si="15"/>
        <v>Oui</v>
      </c>
      <c r="K79" s="141" t="str">
        <f t="shared" si="15"/>
        <v>Oui</v>
      </c>
      <c r="L79" s="141" t="str">
        <f t="shared" si="15"/>
        <v>Oui</v>
      </c>
      <c r="M79" s="141" t="str">
        <f t="shared" si="15"/>
        <v>Non</v>
      </c>
      <c r="N79" s="141"/>
      <c r="O79" s="141" t="str">
        <f t="shared" si="15"/>
        <v>Oui</v>
      </c>
      <c r="P79" s="141" t="str">
        <f t="shared" si="15"/>
        <v>Oui</v>
      </c>
      <c r="Q79" s="141" t="str">
        <f t="shared" si="15"/>
        <v>Non</v>
      </c>
      <c r="R79" s="141" t="str">
        <f t="shared" si="15"/>
        <v>Non</v>
      </c>
      <c r="S79" s="141" t="str">
        <f t="shared" si="15"/>
        <v>Non</v>
      </c>
      <c r="T79" s="141" t="str">
        <f t="shared" si="15"/>
        <v>Non</v>
      </c>
      <c r="U79" s="141" t="str">
        <f t="shared" si="15"/>
        <v>Non</v>
      </c>
      <c r="V79" s="141" t="str">
        <f t="shared" si="15"/>
        <v>Oui</v>
      </c>
    </row>
    <row r="80" spans="1:22" s="3" customFormat="1" x14ac:dyDescent="0.35">
      <c r="A80" s="61" t="s">
        <v>122</v>
      </c>
      <c r="B80" s="141" t="str">
        <f>IF(COUNTIF(B79:I79, "Non")=0, "Oui","Non")</f>
        <v>Non</v>
      </c>
      <c r="C80" s="141"/>
      <c r="D80" s="141"/>
      <c r="E80" s="141"/>
      <c r="F80" s="141"/>
      <c r="G80" s="141"/>
      <c r="H80" s="141"/>
      <c r="I80" s="141"/>
      <c r="J80" s="141" t="str">
        <f>IF(COUNTIF(J79:M79, "Non")&gt;0, "Oui","Non")</f>
        <v>Oui</v>
      </c>
      <c r="K80" s="141"/>
      <c r="L80" s="141"/>
      <c r="M80" s="141"/>
      <c r="N80" s="141"/>
      <c r="O80" s="141"/>
      <c r="P80" s="141"/>
      <c r="Q80" s="141"/>
      <c r="R80" s="141" t="str">
        <f>IF(COUNTIF(R79:V79, "Non")&gt;0, "Oui","Non")</f>
        <v>Oui</v>
      </c>
      <c r="S80" s="141"/>
      <c r="T80" s="141"/>
      <c r="U80" s="141"/>
      <c r="V80" s="141"/>
    </row>
    <row r="81" spans="1:22" s="3" customFormat="1" x14ac:dyDescent="0.35">
      <c r="A81" s="61" t="s">
        <v>82</v>
      </c>
      <c r="B81" s="141"/>
      <c r="C81" s="141" t="str">
        <f t="shared" ref="C81:I81" si="16">IF($B80="Non","Kruskal-Wallis","ANOVA")</f>
        <v>Kruskal-Wallis</v>
      </c>
      <c r="D81" s="141" t="str">
        <f t="shared" si="16"/>
        <v>Kruskal-Wallis</v>
      </c>
      <c r="E81" s="141" t="str">
        <f t="shared" si="16"/>
        <v>Kruskal-Wallis</v>
      </c>
      <c r="F81" s="141" t="str">
        <f t="shared" si="16"/>
        <v>Kruskal-Wallis</v>
      </c>
      <c r="G81" s="141" t="str">
        <f t="shared" si="16"/>
        <v>Kruskal-Wallis</v>
      </c>
      <c r="H81" s="141" t="str">
        <f t="shared" si="16"/>
        <v>Kruskal-Wallis</v>
      </c>
      <c r="I81" s="141" t="str">
        <f t="shared" si="16"/>
        <v>Kruskal-Wallis</v>
      </c>
      <c r="J81" s="141" t="str">
        <f t="shared" ref="J81:M81" si="17">IF($B79="Non",IF(J79="Non","Mann Withney",IF(J79="Oui","Mann Withney","")),IF($B79="Oui",IF(J79="Oui","T-Test Welch",IF(J79="Non","Mann Withney",""))))</f>
        <v>Mann Withney</v>
      </c>
      <c r="K81" s="141" t="str">
        <f t="shared" si="17"/>
        <v>Mann Withney</v>
      </c>
      <c r="L81" s="141" t="str">
        <f t="shared" si="17"/>
        <v>Mann Withney</v>
      </c>
      <c r="M81" s="141" t="str">
        <f t="shared" si="17"/>
        <v>Mann Withney</v>
      </c>
      <c r="N81" s="141"/>
      <c r="O81" s="141" t="str">
        <f>IF($B79="Non",IF(O79="Non","Mann Withney",IF(O79="Oui","Mann Withney","")),IF($B79="Oui",IF(O79="Oui","T-Test Welch",IF(O79="Non","Mann Withney",""))))</f>
        <v>Mann Withney</v>
      </c>
      <c r="P81" s="141" t="str">
        <f t="shared" ref="P81:V81" si="18">IF($O79="Non",IF(P79="Non","Mann Withney",IF(P$79="Oui","Mann Withney","")),IF($O79="Oui",IF(P79="Oui","T-Test Welch",IF(P79="Non","Mann Withney",""))))</f>
        <v>T-Test Welch</v>
      </c>
      <c r="Q81" s="141" t="str">
        <f t="shared" si="18"/>
        <v>Mann Withney</v>
      </c>
      <c r="R81" s="141" t="str">
        <f t="shared" si="18"/>
        <v>Mann Withney</v>
      </c>
      <c r="S81" s="141" t="str">
        <f t="shared" si="18"/>
        <v>Mann Withney</v>
      </c>
      <c r="T81" s="141" t="str">
        <f t="shared" si="18"/>
        <v>Mann Withney</v>
      </c>
      <c r="U81" s="141" t="str">
        <f t="shared" si="18"/>
        <v>Mann Withney</v>
      </c>
      <c r="V81" s="141" t="str">
        <f t="shared" si="18"/>
        <v>T-Test Welch</v>
      </c>
    </row>
    <row r="82" spans="1:22" s="3" customFormat="1" x14ac:dyDescent="0.35">
      <c r="A82" s="61" t="s">
        <v>83</v>
      </c>
      <c r="B82" s="141"/>
      <c r="C82" s="206">
        <v>0.99990000000000001</v>
      </c>
      <c r="D82" s="206">
        <v>0.99990000000000001</v>
      </c>
      <c r="E82" s="206">
        <v>0.16470000000000001</v>
      </c>
      <c r="F82" s="206">
        <v>2.8E-3</v>
      </c>
      <c r="G82" s="206">
        <v>1E-4</v>
      </c>
      <c r="H82" s="206">
        <v>1E-4</v>
      </c>
      <c r="I82" s="206">
        <v>0.99990000000000001</v>
      </c>
      <c r="J82" s="206">
        <v>0.99990000000000001</v>
      </c>
      <c r="K82" s="206">
        <v>0.99990000000000001</v>
      </c>
      <c r="L82" s="206">
        <v>1E-4</v>
      </c>
      <c r="M82" s="206">
        <v>1E-4</v>
      </c>
      <c r="N82" s="141"/>
      <c r="O82" s="206">
        <v>1E-4</v>
      </c>
      <c r="P82" s="206">
        <v>1E-4</v>
      </c>
      <c r="Q82" s="206">
        <v>1E-4</v>
      </c>
      <c r="R82" s="141">
        <v>0.99990000000000001</v>
      </c>
      <c r="S82" s="206">
        <v>1E-4</v>
      </c>
      <c r="T82" s="206">
        <v>1E-4</v>
      </c>
      <c r="U82" s="206">
        <v>1E-4</v>
      </c>
      <c r="V82" s="206">
        <v>1E-4</v>
      </c>
    </row>
    <row r="83" spans="1:22" s="3" customFormat="1" ht="15" thickBot="1" x14ac:dyDescent="0.4">
      <c r="A83" s="62" t="s">
        <v>84</v>
      </c>
      <c r="B83" s="142"/>
      <c r="C83" s="142" t="str">
        <f t="shared" ref="C83:O83" si="19">IF(C82&gt;0.05,"NS",IF(C82&gt;0.01,"*",IF(C82&gt;0.001,"**","***")))</f>
        <v>NS</v>
      </c>
      <c r="D83" s="142" t="str">
        <f t="shared" si="19"/>
        <v>NS</v>
      </c>
      <c r="E83" s="142" t="str">
        <f t="shared" si="19"/>
        <v>NS</v>
      </c>
      <c r="F83" s="142" t="str">
        <f t="shared" si="19"/>
        <v>**</v>
      </c>
      <c r="G83" s="142" t="str">
        <f t="shared" si="19"/>
        <v>***</v>
      </c>
      <c r="H83" s="142" t="str">
        <f t="shared" si="19"/>
        <v>***</v>
      </c>
      <c r="I83" s="142" t="str">
        <f t="shared" si="19"/>
        <v>NS</v>
      </c>
      <c r="J83" s="142" t="str">
        <f t="shared" si="19"/>
        <v>NS</v>
      </c>
      <c r="K83" s="142" t="str">
        <f t="shared" si="19"/>
        <v>NS</v>
      </c>
      <c r="L83" s="142" t="str">
        <f t="shared" si="19"/>
        <v>***</v>
      </c>
      <c r="M83" s="142" t="str">
        <f t="shared" si="19"/>
        <v>***</v>
      </c>
      <c r="N83" s="142"/>
      <c r="O83" s="142" t="str">
        <f t="shared" si="19"/>
        <v>***</v>
      </c>
      <c r="P83" s="142" t="str">
        <f t="shared" ref="P83" si="20">IF(P82&gt;0.05,"NS",IF(P82&gt;0.01,"*",IF(P82&gt;0.001,"**","***")))</f>
        <v>***</v>
      </c>
      <c r="Q83" s="142" t="str">
        <f t="shared" ref="Q83:V83" si="21">IF(Q82&gt;0.05,"NS",IF(Q82&gt;0.01,"*",IF(Q82&gt;0.001,"**","***")))</f>
        <v>***</v>
      </c>
      <c r="R83" s="142" t="str">
        <f t="shared" si="21"/>
        <v>NS</v>
      </c>
      <c r="S83" s="142" t="str">
        <f t="shared" si="21"/>
        <v>***</v>
      </c>
      <c r="T83" s="142" t="str">
        <f t="shared" si="21"/>
        <v>***</v>
      </c>
      <c r="U83" s="142" t="str">
        <f t="shared" si="21"/>
        <v>***</v>
      </c>
      <c r="V83" s="142" t="str">
        <f t="shared" si="21"/>
        <v>***</v>
      </c>
    </row>
    <row r="84" spans="1:22" s="1" customFormat="1" x14ac:dyDescent="0.35"/>
    <row r="85" spans="1:22" s="1" customFormat="1" x14ac:dyDescent="0.35">
      <c r="A85" s="2" t="s">
        <v>39</v>
      </c>
    </row>
    <row r="86" spans="1:22" x14ac:dyDescent="0.35">
      <c r="A86" s="1" t="s">
        <v>23</v>
      </c>
      <c r="B86" s="1">
        <f>B56+(3*B57)</f>
        <v>0.58190590143434862</v>
      </c>
    </row>
    <row r="87" spans="1:22" x14ac:dyDescent="0.35">
      <c r="A87" s="1" t="s">
        <v>24</v>
      </c>
      <c r="B87" s="1">
        <f>B56+(10*B57)</f>
        <v>1.584341703462488</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43" t="s">
        <v>57</v>
      </c>
      <c r="B93" s="244"/>
      <c r="C93" s="244"/>
      <c r="D93" s="244"/>
      <c r="E93" s="244"/>
      <c r="F93" s="244"/>
      <c r="G93" s="244"/>
      <c r="H93" s="244"/>
      <c r="I93" s="244"/>
      <c r="J93" s="244"/>
      <c r="K93" s="244"/>
      <c r="L93" s="244"/>
      <c r="M93" s="244"/>
      <c r="N93" s="244"/>
      <c r="O93" s="244"/>
      <c r="P93" s="244"/>
      <c r="Q93" s="244"/>
      <c r="R93" s="244"/>
      <c r="S93" s="244"/>
      <c r="T93" s="244"/>
      <c r="U93" s="244"/>
      <c r="V93" s="244"/>
    </row>
    <row r="94" spans="1:22" x14ac:dyDescent="0.35">
      <c r="B94" s="198">
        <f t="shared" ref="B94:V94" si="22">B75/$B$75</f>
        <v>1</v>
      </c>
      <c r="C94" s="198">
        <f t="shared" si="22"/>
        <v>1.2036587048546723</v>
      </c>
      <c r="D94" s="198">
        <f t="shared" si="22"/>
        <v>1.1060769596172497</v>
      </c>
      <c r="E94" s="198">
        <f t="shared" si="22"/>
        <v>4.8632897269265341</v>
      </c>
      <c r="F94" s="198">
        <f t="shared" si="22"/>
        <v>10.33814918676663</v>
      </c>
      <c r="G94" s="198">
        <f t="shared" si="22"/>
        <v>16.422401900732272</v>
      </c>
      <c r="H94" s="198">
        <f>H75/$B$75</f>
        <v>24.571244881879675</v>
      </c>
      <c r="I94" s="198">
        <f t="shared" si="22"/>
        <v>1.3893424560031085</v>
      </c>
      <c r="J94" s="198">
        <f t="shared" si="22"/>
        <v>0.91978994831543859</v>
      </c>
      <c r="K94" s="198">
        <f t="shared" si="22"/>
        <v>1.0292858341532152</v>
      </c>
      <c r="L94" s="198">
        <f t="shared" si="22"/>
        <v>6.2315971513932684</v>
      </c>
      <c r="M94" s="198">
        <f t="shared" si="22"/>
        <v>12.803770401292415</v>
      </c>
      <c r="N94" s="198">
        <f t="shared" si="22"/>
        <v>0</v>
      </c>
      <c r="O94" s="198">
        <f t="shared" si="22"/>
        <v>6.5663952844493956</v>
      </c>
      <c r="P94" s="198">
        <f t="shared" si="22"/>
        <v>20.542736757123446</v>
      </c>
      <c r="Q94" s="198">
        <f t="shared" si="22"/>
        <v>0.76544179745055163</v>
      </c>
      <c r="R94" s="198">
        <f t="shared" si="22"/>
        <v>8.8205910104778926</v>
      </c>
      <c r="S94" s="198">
        <f t="shared" si="22"/>
        <v>15.676689659776345</v>
      </c>
      <c r="T94" s="198">
        <f t="shared" si="22"/>
        <v>16.946337688630734</v>
      </c>
      <c r="U94" s="198">
        <f t="shared" si="22"/>
        <v>18.906804175264622</v>
      </c>
      <c r="V94" s="198">
        <f t="shared" si="22"/>
        <v>21.233644304697101</v>
      </c>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43" t="s">
        <v>104</v>
      </c>
      <c r="B1" s="244"/>
      <c r="C1" s="244"/>
      <c r="D1" s="244"/>
      <c r="E1" s="244"/>
      <c r="F1" s="244"/>
      <c r="G1" s="244"/>
      <c r="H1" s="244"/>
      <c r="I1" s="244"/>
      <c r="J1" s="244"/>
      <c r="K1" s="244"/>
      <c r="L1" s="244"/>
      <c r="M1" s="244"/>
      <c r="N1" s="244"/>
      <c r="O1" s="245"/>
    </row>
    <row r="2" spans="1:15" s="48" customFormat="1" ht="26.5" thickBot="1" x14ac:dyDescent="0.4">
      <c r="A2" s="243" t="s">
        <v>105</v>
      </c>
      <c r="B2" s="244"/>
      <c r="C2" s="244"/>
      <c r="D2" s="244"/>
      <c r="E2" s="244"/>
      <c r="F2" s="244"/>
      <c r="G2" s="244"/>
      <c r="H2" s="244"/>
      <c r="I2" s="244"/>
      <c r="J2" s="244"/>
      <c r="K2" s="244"/>
      <c r="L2" s="244"/>
      <c r="M2" s="244"/>
      <c r="N2" s="244"/>
      <c r="O2" s="245"/>
    </row>
    <row r="3" spans="1:15" s="77" customFormat="1" ht="15.5" x14ac:dyDescent="0.35">
      <c r="H3" s="78"/>
      <c r="I3" s="78"/>
      <c r="J3" s="78"/>
      <c r="K3" s="78"/>
      <c r="L3" s="78"/>
      <c r="M3" s="78"/>
      <c r="N3" s="78"/>
    </row>
    <row r="4" spans="1:15" s="77" customFormat="1" ht="15.5" x14ac:dyDescent="0.35">
      <c r="O4"/>
    </row>
    <row r="5" spans="1:15" s="77" customFormat="1" ht="45.75" customHeight="1" thickBot="1" x14ac:dyDescent="0.4">
      <c r="A5" s="79"/>
      <c r="B5" s="88" t="s">
        <v>25</v>
      </c>
      <c r="C5" s="88" t="s">
        <v>26</v>
      </c>
      <c r="D5" s="88" t="s">
        <v>27</v>
      </c>
      <c r="E5" s="89" t="s">
        <v>64</v>
      </c>
      <c r="F5" s="126" t="s">
        <v>80</v>
      </c>
      <c r="G5" s="95" t="s">
        <v>42</v>
      </c>
      <c r="H5" s="95" t="s">
        <v>65</v>
      </c>
      <c r="I5" s="95" t="s">
        <v>66</v>
      </c>
      <c r="J5" s="96" t="s">
        <v>77</v>
      </c>
      <c r="K5" s="96" t="s">
        <v>67</v>
      </c>
      <c r="L5" s="97" t="s">
        <v>76</v>
      </c>
      <c r="M5" s="97" t="s">
        <v>68</v>
      </c>
      <c r="N5" s="97" t="s">
        <v>69</v>
      </c>
      <c r="O5"/>
    </row>
    <row r="6" spans="1:15" s="77" customFormat="1" ht="15.5" x14ac:dyDescent="0.35">
      <c r="A6" s="80" t="s">
        <v>28</v>
      </c>
      <c r="B6" s="100">
        <v>64</v>
      </c>
      <c r="C6" s="80"/>
      <c r="D6" s="80"/>
      <c r="E6" s="90"/>
      <c r="F6" s="91"/>
      <c r="G6" s="128">
        <f>IF(F6="NS","NC",ROUND(B6,2-(1+INT(LOG10(ABS(B6))))))</f>
        <v>64</v>
      </c>
      <c r="H6" s="120"/>
      <c r="I6" s="120"/>
      <c r="J6" s="121"/>
      <c r="K6" s="122"/>
      <c r="L6" s="124"/>
      <c r="M6" s="121"/>
      <c r="N6" s="92"/>
      <c r="O6"/>
    </row>
    <row r="7" spans="1:15" s="77" customFormat="1" ht="15.5" x14ac:dyDescent="0.35">
      <c r="A7" s="80" t="str">
        <f>'Page de garde'!A15</f>
        <v>BPA-1mg/L</v>
      </c>
      <c r="B7" s="99"/>
      <c r="C7" s="81"/>
      <c r="D7" s="81"/>
      <c r="E7" s="82"/>
      <c r="F7" s="98"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3" t="str">
        <f>IF(H7="Non",CONCATENATE(VLOOKUP(A7,liste_groupe[],5,FALSE),"-",VLOOKUP(A7,liste_groupe[],3,FALSE),VLOOKUP(A7,liste_groupe[],4,FALSE)," : ",ROUND(K7,0),"%"),CONCATENATE(VLOOKUP(A7,liste_groupe[],5,FALSE)," : ",ROUND(K7,0),"%"))</f>
        <v>BPA-1mg/L : 0%</v>
      </c>
      <c r="O7"/>
    </row>
    <row r="8" spans="1:15" s="77" customFormat="1" ht="15.5" x14ac:dyDescent="0.35">
      <c r="A8" s="80" t="str">
        <f>'Page de garde'!A16</f>
        <v>BPA-2mg/L</v>
      </c>
      <c r="B8" s="99"/>
      <c r="C8" s="83"/>
      <c r="D8" s="81"/>
      <c r="E8" s="82"/>
      <c r="F8" s="98"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3" t="str">
        <f>IF(H8="Non",CONCATENATE(VLOOKUP(A8,liste_groupe[],5,FALSE),"-",VLOOKUP(A8,liste_groupe[],3,FALSE),VLOOKUP(A8,liste_groupe[],4,FALSE)," : ",ROUND(K8,0),"%"),CONCATENATE(VLOOKUP(A8,liste_groupe[],5,FALSE)," : ",ROUND(K8,0),"%"))</f>
        <v>BPA-2mg/L : 0%</v>
      </c>
      <c r="O8"/>
    </row>
    <row r="9" spans="1:15" s="77" customFormat="1" ht="15.5" x14ac:dyDescent="0.35">
      <c r="A9" s="80" t="str">
        <f>'Page de garde'!A17</f>
        <v>BPA-3mg/L</v>
      </c>
      <c r="B9" s="99"/>
      <c r="C9" s="83"/>
      <c r="D9" s="81"/>
      <c r="E9" s="82"/>
      <c r="F9" s="98"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3" t="str">
        <f>IF(H9="Non",CONCATENATE(VLOOKUP(A9,liste_groupe[],5,FALSE),"-",VLOOKUP(A9,liste_groupe[],3,FALSE),VLOOKUP(A9,liste_groupe[],4,FALSE)," : ",ROUND(K9,0),"%"),CONCATENATE(VLOOKUP(A9,liste_groupe[],5,FALSE)," : ",ROUND(K9,0),"%"))</f>
        <v>BPA-3mg/L : 0%</v>
      </c>
      <c r="O9"/>
    </row>
    <row r="10" spans="1:15" s="77" customFormat="1" ht="15.5" x14ac:dyDescent="0.35">
      <c r="A10" s="80" t="str">
        <f>'Page de garde'!A18</f>
        <v>BPA-4mg/L</v>
      </c>
      <c r="B10" s="100"/>
      <c r="C10" s="80"/>
      <c r="D10" s="85"/>
      <c r="E10" s="82"/>
      <c r="F10" s="98" t="str">
        <f>HLOOKUP(A10,'pooled normalised values'!$B$74:$V$83,10,FALSE)</f>
        <v>***</v>
      </c>
      <c r="G10" s="128" t="e">
        <f t="shared" si="0"/>
        <v>#NUM!</v>
      </c>
      <c r="H10" s="119" t="str">
        <f>IF(VLOOKUP(A10,liste_groupe[],4,FALSE)="%",VLOOKUP(A10,liste_groupe[],3,FALSE)/100,IF(ISBLANK(VLOOKUP(A10,liste_groupe[],4,FALSE)),"Non","Non"))</f>
        <v>Non</v>
      </c>
      <c r="I10" s="128" t="e">
        <f t="shared" si="1"/>
        <v>#NUM!</v>
      </c>
      <c r="J10" s="129">
        <v>64</v>
      </c>
      <c r="K10" s="130" t="e">
        <f t="shared" si="2"/>
        <v>#NUM!</v>
      </c>
      <c r="L10" s="125"/>
      <c r="M10" s="131" t="e">
        <f t="shared" si="3"/>
        <v>#NUM!</v>
      </c>
      <c r="N10" s="93" t="e">
        <f>IF(H10="Non",CONCATENATE(VLOOKUP(A10,liste_groupe[],5,FALSE),"-",VLOOKUP(A10,liste_groupe[],3,FALSE),VLOOKUP(A10,liste_groupe[],4,FALSE)," : ",ROUND(K10,0),"%"),CONCATENATE(VLOOKUP(A10,liste_groupe[],5,FALSE)," : ",ROUND(K10,0),"%"))</f>
        <v>#NUM!</v>
      </c>
      <c r="O10"/>
    </row>
    <row r="11" spans="1:15" s="77" customFormat="1" ht="15.5" x14ac:dyDescent="0.35">
      <c r="A11" s="80" t="str">
        <f>'Page de garde'!A19</f>
        <v>BPA-5mg/L</v>
      </c>
      <c r="B11" s="100"/>
      <c r="C11" s="80"/>
      <c r="D11" s="85"/>
      <c r="E11" s="82"/>
      <c r="F11" s="98" t="str">
        <f>HLOOKUP(A11,'pooled normalised values'!$B$74:$V$83,10,FALSE)</f>
        <v>***</v>
      </c>
      <c r="G11" s="128" t="e">
        <f t="shared" si="0"/>
        <v>#NUM!</v>
      </c>
      <c r="H11" s="119" t="str">
        <f>IF(VLOOKUP(A11,liste_groupe[],4,FALSE)="%",VLOOKUP(A11,liste_groupe[],3,FALSE)/100,IF(ISBLANK(VLOOKUP(A11,liste_groupe[],4,FALSE)),"Non","Non"))</f>
        <v>Non</v>
      </c>
      <c r="I11" s="128" t="e">
        <f t="shared" si="1"/>
        <v>#NUM!</v>
      </c>
      <c r="J11" s="129">
        <v>64</v>
      </c>
      <c r="K11" s="130" t="e">
        <f t="shared" si="2"/>
        <v>#NUM!</v>
      </c>
      <c r="L11" s="125"/>
      <c r="M11" s="131" t="e">
        <f t="shared" si="3"/>
        <v>#NUM!</v>
      </c>
      <c r="N11" s="93" t="e">
        <f>IF(H11="Non",CONCATENATE(VLOOKUP(A11,liste_groupe[],5,FALSE),"-",VLOOKUP(A11,liste_groupe[],3,FALSE),VLOOKUP(A11,liste_groupe[],4,FALSE)," : ",ROUND(K11,0),"%"),CONCATENATE(VLOOKUP(A11,liste_groupe[],5,FALSE)," : ",ROUND(K11,0),"%"))</f>
        <v>#NUM!</v>
      </c>
      <c r="O11"/>
    </row>
    <row r="12" spans="1:15" s="77" customFormat="1" ht="15.5" x14ac:dyDescent="0.35">
      <c r="A12" s="80" t="str">
        <f>'Page de garde'!A20</f>
        <v xml:space="preserve"> </v>
      </c>
      <c r="B12" s="100"/>
      <c r="C12" s="80"/>
      <c r="D12" s="85"/>
      <c r="E12" s="82"/>
      <c r="F12" s="98"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3" t="e">
        <f>IF(H12="Non",CONCATENATE(VLOOKUP(A12,liste_groupe[],5,FALSE),"-",VLOOKUP(A12,liste_groupe[],3,FALSE),VLOOKUP(A12,liste_groupe[],4,FALSE)," : ",ROUND(K12,0),"%"),CONCATENATE(VLOOKUP(A12,liste_groupe[],5,FALSE)," : ",ROUND(K12,0),"%"))</f>
        <v>#N/A</v>
      </c>
      <c r="O12"/>
    </row>
    <row r="13" spans="1:15" s="77" customFormat="1" ht="15.5" x14ac:dyDescent="0.35">
      <c r="A13" s="80" t="str">
        <f>'Page de garde'!A21</f>
        <v xml:space="preserve"> </v>
      </c>
      <c r="B13" s="100"/>
      <c r="C13" s="80"/>
      <c r="D13" s="80"/>
      <c r="E13" s="82"/>
      <c r="F13" s="98"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3" t="e">
        <f>IF(H13="Non",CONCATENATE(VLOOKUP(A13,liste_groupe[],5,FALSE),"-",VLOOKUP(A13,liste_groupe[],3,FALSE),VLOOKUP(A13,liste_groupe[],4,FALSE)," : ",ROUND(K13,0),"%"),CONCATENATE(VLOOKUP(A13,liste_groupe[],5,FALSE)," : ",ROUND(K13,0),"%"))</f>
        <v>#N/A</v>
      </c>
      <c r="O13"/>
    </row>
    <row r="14" spans="1:15" s="77" customFormat="1" ht="15.5" x14ac:dyDescent="0.35">
      <c r="A14" s="80" t="str">
        <f>'Page de garde'!A22</f>
        <v xml:space="preserve"> </v>
      </c>
      <c r="B14" s="100"/>
      <c r="C14" s="80"/>
      <c r="D14" s="80"/>
      <c r="E14" s="82"/>
      <c r="F14" s="98"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3" t="e">
        <f>IF(H14="Non",CONCATENATE(VLOOKUP(A14,liste_groupe[],5,FALSE),"-",VLOOKUP(A14,liste_groupe[],3,FALSE),VLOOKUP(A14,liste_groupe[],4,FALSE)," : ",ROUND(K14,0),"%"),CONCATENATE(VLOOKUP(A14,liste_groupe[],5,FALSE)," : ",ROUND(K14,0),"%"))</f>
        <v>#N/A</v>
      </c>
      <c r="O14" s="1"/>
    </row>
    <row r="15" spans="1:15" s="77" customFormat="1" ht="15.5" x14ac:dyDescent="0.35">
      <c r="A15" s="80" t="str">
        <f>'Page de garde'!A23</f>
        <v xml:space="preserve"> </v>
      </c>
      <c r="B15" s="100"/>
      <c r="C15" s="80"/>
      <c r="D15" s="80"/>
      <c r="E15" s="82"/>
      <c r="F15" s="98"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3" t="e">
        <f>IF(H15="Non",CONCATENATE(VLOOKUP(A15,liste_groupe[],5,FALSE),"-",VLOOKUP(A15,liste_groupe[],3,FALSE),VLOOKUP(A15,liste_groupe[],4,FALSE)," : ",ROUND(K15,0),"%"),CONCATENATE(VLOOKUP(A15,liste_groupe[],5,FALSE)," : ",ROUND(K15,0),"%"))</f>
        <v>#N/A</v>
      </c>
      <c r="O15" s="1"/>
    </row>
    <row r="16" spans="1:15" s="77" customFormat="1" ht="15.5" x14ac:dyDescent="0.35">
      <c r="A16" s="80" t="str">
        <f>'Page de garde'!A24</f>
        <v xml:space="preserve"> </v>
      </c>
      <c r="B16" s="100"/>
      <c r="C16" s="80"/>
      <c r="D16" s="80"/>
      <c r="E16" s="82"/>
      <c r="F16" s="98"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3" t="e">
        <f>IF(H16="Non",CONCATENATE(VLOOKUP(A16,liste_groupe[],5,FALSE),"-",VLOOKUP(A16,liste_groupe[],3,FALSE),VLOOKUP(A16,liste_groupe[],4,FALSE)," : ",ROUND(K16,0),"%"),CONCATENATE(VLOOKUP(A16,liste_groupe[],5,FALSE)," : ",ROUND(K16,0),"%"))</f>
        <v>#N/A</v>
      </c>
      <c r="O16" s="1"/>
    </row>
    <row r="17" spans="1:15" s="77" customFormat="1" ht="15.5" x14ac:dyDescent="0.35">
      <c r="A17" s="80" t="str">
        <f>'Page de garde'!A25</f>
        <v xml:space="preserve"> </v>
      </c>
      <c r="B17" s="100"/>
      <c r="C17" s="80"/>
      <c r="D17" s="80"/>
      <c r="E17" s="82"/>
      <c r="F17" s="98"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3" t="e">
        <f>IF(H17="Non",CONCATENATE(VLOOKUP(A17,liste_groupe[],5,FALSE),"-",VLOOKUP(A17,liste_groupe[],3,FALSE),VLOOKUP(A17,liste_groupe[],4,FALSE)," : ",ROUND(K17,0),"%"),CONCATENATE(VLOOKUP(A17,liste_groupe[],5,FALSE)," : ",ROUND(K17,0),"%"))</f>
        <v>#N/A</v>
      </c>
      <c r="O17" s="1"/>
    </row>
    <row r="18" spans="1:15" s="77" customFormat="1" ht="15.5" x14ac:dyDescent="0.35">
      <c r="A18" s="80" t="str">
        <f>'Page de garde'!A26</f>
        <v xml:space="preserve"> </v>
      </c>
      <c r="B18" s="100"/>
      <c r="C18" s="80"/>
      <c r="D18" s="80"/>
      <c r="E18" s="82"/>
      <c r="F18" s="98"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3" t="e">
        <f>IF(H18="Non",CONCATENATE(VLOOKUP(A18,liste_groupe[],5,FALSE),"-",VLOOKUP(A18,liste_groupe[],3,FALSE),VLOOKUP(A18,liste_groupe[],4,FALSE)," : ",ROUND(K18,0),"%"),CONCATENATE(VLOOKUP(A18,liste_groupe[],5,FALSE)," : ",ROUND(K18,0),"%"))</f>
        <v>#N/A</v>
      </c>
      <c r="O18" s="1"/>
    </row>
    <row r="19" spans="1:15" s="77" customFormat="1" ht="15.5" x14ac:dyDescent="0.35">
      <c r="A19" s="80" t="str">
        <f>'Page de garde'!A27</f>
        <v xml:space="preserve"> </v>
      </c>
      <c r="B19" s="100"/>
      <c r="C19" s="80"/>
      <c r="D19" s="80"/>
      <c r="E19" s="82"/>
      <c r="F19" s="98"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3" t="e">
        <f>IF(H19="Non",CONCATENATE(VLOOKUP(A19,liste_groupe[],5,FALSE),"-",VLOOKUP(A19,liste_groupe[],3,FALSE),VLOOKUP(A19,liste_groupe[],4,FALSE)," : ",ROUND(K19,0),"%"),CONCATENATE(VLOOKUP(A19,liste_groupe[],5,FALSE)," : ",ROUND(K19,0),"%"))</f>
        <v>#N/A</v>
      </c>
      <c r="O19" s="1"/>
    </row>
    <row r="20" spans="1:15" s="77" customFormat="1" ht="15.5" x14ac:dyDescent="0.35">
      <c r="A20" s="80" t="str">
        <f>'Page de garde'!A28</f>
        <v xml:space="preserve"> </v>
      </c>
      <c r="B20" s="100"/>
      <c r="C20" s="80"/>
      <c r="D20" s="80"/>
      <c r="E20" s="82"/>
      <c r="F20" s="98"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3" t="e">
        <f>IF(H20="Non",CONCATENATE(VLOOKUP(A20,liste_groupe[],5,FALSE),"-",VLOOKUP(A20,liste_groupe[],3,FALSE),VLOOKUP(A20,liste_groupe[],4,FALSE)," : ",ROUND(K20,0),"%"),CONCATENATE(VLOOKUP(A20,liste_groupe[],5,FALSE)," : ",ROUND(K20,0),"%"))</f>
        <v>#N/A</v>
      </c>
      <c r="O20" s="1"/>
    </row>
    <row r="21" spans="1:15" s="77" customFormat="1" ht="15.5" x14ac:dyDescent="0.35">
      <c r="A21" s="80" t="str">
        <f>'Page de garde'!A29</f>
        <v xml:space="preserve"> </v>
      </c>
      <c r="B21" s="100"/>
      <c r="C21" s="80"/>
      <c r="D21" s="80"/>
      <c r="E21" s="82"/>
      <c r="F21" s="98"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3" t="e">
        <f>IF(H21="Non",CONCATENATE(VLOOKUP(A21,liste_groupe[],5,FALSE),"-",VLOOKUP(A21,liste_groupe[],3,FALSE),VLOOKUP(A21,liste_groupe[],4,FALSE)," : ",ROUND(K21,0),"%"),CONCATENATE(VLOOKUP(A21,liste_groupe[],5,FALSE)," : ",ROUND(K21,0),"%"))</f>
        <v>#N/A</v>
      </c>
      <c r="O21" s="1"/>
    </row>
    <row r="22" spans="1:15" s="77" customFormat="1" ht="15.5" x14ac:dyDescent="0.35">
      <c r="A22" s="80" t="str">
        <f>'Page de garde'!A30</f>
        <v xml:space="preserve"> </v>
      </c>
      <c r="B22" s="100"/>
      <c r="C22" s="80"/>
      <c r="D22" s="80"/>
      <c r="E22" s="82"/>
      <c r="F22" s="98"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3" t="e">
        <f>IF(H22="Non",CONCATENATE(VLOOKUP(A22,liste_groupe[],5,FALSE),"-",VLOOKUP(A22,liste_groupe[],3,FALSE),VLOOKUP(A22,liste_groupe[],4,FALSE)," : ",ROUND(K22,0),"%"),CONCATENATE(VLOOKUP(A22,liste_groupe[],5,FALSE)," : ",ROUND(K22,0),"%"))</f>
        <v>#N/A</v>
      </c>
      <c r="O22" s="1"/>
    </row>
    <row r="23" spans="1:15" s="77" customFormat="1" ht="15.5" x14ac:dyDescent="0.35">
      <c r="A23" s="80" t="str">
        <f>'Page de garde'!A31</f>
        <v xml:space="preserve"> </v>
      </c>
      <c r="B23" s="100"/>
      <c r="C23" s="80"/>
      <c r="D23" s="80"/>
      <c r="E23" s="82"/>
      <c r="F23" s="98"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3" t="e">
        <f>IF(H23="Non",CONCATENATE(VLOOKUP(A23,liste_groupe[],5,FALSE),"-",VLOOKUP(A23,liste_groupe[],3,FALSE),VLOOKUP(A23,liste_groupe[],4,FALSE)," : ",ROUND(K23,0),"%"),CONCATENATE(VLOOKUP(A23,liste_groupe[],5,FALSE)," : ",ROUND(K23,0),"%"))</f>
        <v>#N/A</v>
      </c>
      <c r="O23" s="1"/>
    </row>
    <row r="24" spans="1:15" s="77" customFormat="1" ht="15.5" x14ac:dyDescent="0.35">
      <c r="A24" s="80" t="str">
        <f>'Page de garde'!A32</f>
        <v xml:space="preserve"> </v>
      </c>
      <c r="B24" s="100"/>
      <c r="C24" s="80"/>
      <c r="D24" s="80"/>
      <c r="E24" s="82"/>
      <c r="F24" s="98"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3" t="e">
        <f>IF(H24="Non",CONCATENATE(VLOOKUP(A24,liste_groupe[],5,FALSE),"-",VLOOKUP(A24,liste_groupe[],3,FALSE),VLOOKUP(A24,liste_groupe[],4,FALSE)," : ",ROUND(K24,0),"%"),CONCATENATE(VLOOKUP(A24,liste_groupe[],5,FALSE)," : ",ROUND(K24,0),"%"))</f>
        <v>#N/A</v>
      </c>
      <c r="O24" s="1"/>
    </row>
    <row r="25" spans="1:15" s="77" customFormat="1" ht="15.5" x14ac:dyDescent="0.35">
      <c r="A25" s="80" t="str">
        <f>'Page de garde'!A33</f>
        <v xml:space="preserve"> </v>
      </c>
      <c r="B25" s="100"/>
      <c r="C25" s="80"/>
      <c r="D25" s="80"/>
      <c r="E25" s="82"/>
      <c r="F25" s="98"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3" t="e">
        <f>IF(H25="Non",CONCATENATE(VLOOKUP(A25,liste_groupe[],5,FALSE),"-",VLOOKUP(A25,liste_groupe[],3,FALSE),VLOOKUP(A25,liste_groupe[],4,FALSE)," : ",ROUND(K25,0),"%"),CONCATENATE(VLOOKUP(A25,liste_groupe[],5,FALSE)," : ",ROUND(K25,0),"%"))</f>
        <v>#N/A</v>
      </c>
      <c r="O25" s="1"/>
    </row>
    <row r="26" spans="1:15" s="77" customFormat="1" ht="15.5" x14ac:dyDescent="0.35">
      <c r="A26" s="80" t="str">
        <f>'Page de garde'!A34</f>
        <v xml:space="preserve"> </v>
      </c>
      <c r="B26" s="99"/>
      <c r="C26" s="86"/>
      <c r="D26" s="86"/>
      <c r="E26" s="82"/>
      <c r="F26" s="98"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3" t="e">
        <f>IF(H26="Non",CONCATENATE(VLOOKUP(A26,liste_groupe[],5,FALSE),"-",VLOOKUP(A26,liste_groupe[],3,FALSE),VLOOKUP(A26,liste_groupe[],4,FALSE)," : ",ROUND(K26,0),"%"),CONCATENATE(VLOOKUP(A26,liste_groupe[],5,FALSE)," : ",ROUND(K26,0),"%"))</f>
        <v>#N/A</v>
      </c>
      <c r="O26"/>
    </row>
    <row r="27" spans="1:15" s="77" customFormat="1" ht="15.5" x14ac:dyDescent="0.35">
      <c r="A27"/>
      <c r="B27"/>
      <c r="C27"/>
      <c r="D27"/>
      <c r="E27"/>
      <c r="F27"/>
      <c r="G27"/>
      <c r="H27"/>
      <c r="I27"/>
      <c r="J27"/>
      <c r="K27"/>
      <c r="L27"/>
      <c r="M27"/>
      <c r="N27"/>
      <c r="O27" s="1"/>
    </row>
    <row r="28" spans="1:15" s="77" customFormat="1" ht="31.5" thickBot="1" x14ac:dyDescent="0.4">
      <c r="A28"/>
      <c r="B28" s="88" t="s">
        <v>25</v>
      </c>
      <c r="C28" s="88" t="s">
        <v>26</v>
      </c>
      <c r="D28" s="88" t="s">
        <v>27</v>
      </c>
      <c r="E28" s="89" t="s">
        <v>64</v>
      </c>
      <c r="F28" s="126" t="s">
        <v>80</v>
      </c>
      <c r="G28" s="95" t="s">
        <v>42</v>
      </c>
      <c r="H28" s="95" t="s">
        <v>65</v>
      </c>
      <c r="I28" s="95" t="s">
        <v>66</v>
      </c>
      <c r="J28" s="96" t="s">
        <v>77</v>
      </c>
      <c r="K28" s="96" t="s">
        <v>67</v>
      </c>
      <c r="L28" s="97" t="s">
        <v>76</v>
      </c>
      <c r="M28" s="97" t="s">
        <v>68</v>
      </c>
      <c r="N28" s="97" t="s">
        <v>69</v>
      </c>
      <c r="O28" s="1"/>
    </row>
    <row r="29" spans="1:15" s="77" customFormat="1" ht="15.5" x14ac:dyDescent="0.35">
      <c r="A29" s="84" t="s">
        <v>29</v>
      </c>
      <c r="B29" s="100"/>
      <c r="C29" s="80"/>
      <c r="D29" s="80"/>
      <c r="E29" s="82"/>
      <c r="F29" s="91"/>
      <c r="G29" s="133"/>
      <c r="H29" s="120"/>
      <c r="I29" s="120"/>
      <c r="J29" s="121"/>
      <c r="K29" s="122"/>
      <c r="L29" s="124"/>
      <c r="M29" s="121"/>
      <c r="N29" s="92"/>
      <c r="O29"/>
    </row>
    <row r="30" spans="1:15" s="77" customFormat="1" ht="15.5" x14ac:dyDescent="0.35">
      <c r="A30" s="84" t="s">
        <v>31</v>
      </c>
      <c r="B30" s="100"/>
      <c r="C30" s="80"/>
      <c r="D30" s="80"/>
      <c r="E30" s="82"/>
      <c r="F30" s="91"/>
      <c r="G30" s="132" t="e">
        <f>IF(F30="NS","NC",ROUND(B30-$B$29,2-(1+INT(LOG10(ABS(B30-$B$29))))))</f>
        <v>#NUM!</v>
      </c>
      <c r="H30" s="120"/>
      <c r="I30" s="133"/>
      <c r="J30" s="134"/>
      <c r="K30" s="135"/>
      <c r="L30" s="134"/>
      <c r="M30" s="134"/>
      <c r="N30" s="136"/>
      <c r="O30"/>
    </row>
    <row r="31" spans="1:15" s="77" customFormat="1" ht="15.5" x14ac:dyDescent="0.35">
      <c r="A31" s="84" t="s">
        <v>30</v>
      </c>
      <c r="B31" s="100"/>
      <c r="C31" s="80"/>
      <c r="D31" s="80"/>
      <c r="E31" s="82"/>
      <c r="F31" s="91"/>
      <c r="G31" s="132" t="e">
        <f t="shared" ref="G31:G51" si="6">IF(F31="NS","NC",ROUND(B31-$B$29,2-(1+INT(LOG10(ABS(B31-$B$29))))))</f>
        <v>#NUM!</v>
      </c>
      <c r="H31" s="120"/>
      <c r="I31" s="133"/>
      <c r="J31" s="134"/>
      <c r="K31" s="135"/>
      <c r="L31" s="134"/>
      <c r="M31" s="134"/>
      <c r="N31" s="136"/>
    </row>
    <row r="32" spans="1:15" s="77" customFormat="1" ht="15.5" x14ac:dyDescent="0.35">
      <c r="A32" s="127" t="str">
        <f>'Page de garde'!A39</f>
        <v>BPA-1mg/L + Testostérone</v>
      </c>
      <c r="B32" s="100"/>
      <c r="C32" s="80"/>
      <c r="D32" s="80"/>
      <c r="E32" s="82"/>
      <c r="F32" s="94"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BPA-1mg/L : 0%</v>
      </c>
    </row>
    <row r="33" spans="1:14" s="77" customFormat="1" ht="15.5" x14ac:dyDescent="0.35">
      <c r="A33" s="127" t="str">
        <f>'Page de garde'!A40</f>
        <v>BPA-2mg/L + Testostérone</v>
      </c>
      <c r="B33" s="99"/>
      <c r="C33" s="87"/>
      <c r="D33" s="87"/>
      <c r="E33" s="82"/>
      <c r="F33" s="94" t="str">
        <f>HLOOKUP(A33,'pooled normalised values'!$B$74:$V$83,10,FALSE)</f>
        <v>***</v>
      </c>
      <c r="G33" s="132" t="e">
        <f>IF(F33="NS","NC",ROUND(B33-$B$29,2-(1+INT(LOG10(ABS(B33-$B$29))))))</f>
        <v>#NUM!</v>
      </c>
      <c r="H33" s="123" t="str">
        <f>IF(VLOOKUP(A33,liste_groupe[],4,FALSE)="%",VLOOKUP(A33,liste_groupe[],3,FALSE)/100,IF(ISBLANK(VLOOKUP(A33,liste_groupe[],4,FALSE)),"Non","Non"))</f>
        <v>Non</v>
      </c>
      <c r="I33" s="132" t="e">
        <f t="shared" ref="I33:I51" si="7">IF(F33="NS","NC",IF(H33="Non",G33,G33*(1/H33)))</f>
        <v>#NUM!</v>
      </c>
      <c r="J33" s="137" t="e">
        <f t="shared" ref="J33:J51" si="8">IF(G33&lt;0,$G$31,$G$30)</f>
        <v>#NUM!</v>
      </c>
      <c r="K33" s="138" t="e">
        <f t="shared" ref="K33:K51" si="9">IF(F33="NS",0,IF(I33&lt;0,-ROUND(I33/J33*100,0),ROUND(I33/J33*100,0)))</f>
        <v>#NUM!</v>
      </c>
      <c r="L33" s="139"/>
      <c r="M33" s="131" t="e">
        <f t="shared" ref="M33:M51" si="10">IF(I33&lt;0,IF(K33&lt;-100,-125,K33),IF(K33&gt;100,125,K33))</f>
        <v>#NUM!</v>
      </c>
      <c r="N33" s="140" t="e">
        <f>IF(H33="Non",CONCATENATE(VLOOKUP(A33,liste_groupe[],5,FALSE),"-",VLOOKUP(A33,liste_groupe[],3,FALSE),VLOOKUP(A33,liste_groupe[],4,FALSE)," : ",ROUND(K33,0),"%"),CONCATENATE(VLOOKUP(A33,liste_groupe[],5,FALSE)," : ",ROUND(K33,0),"%"))</f>
        <v>#NUM!</v>
      </c>
    </row>
    <row r="34" spans="1:14" s="77" customFormat="1" ht="15.5" x14ac:dyDescent="0.35">
      <c r="A34" s="127" t="str">
        <f>'Page de garde'!A41</f>
        <v>BPA-3mg/L + Testostérone</v>
      </c>
      <c r="B34" s="100"/>
      <c r="C34" s="80"/>
      <c r="D34" s="80"/>
      <c r="E34" s="82"/>
      <c r="F34" s="94"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7" customFormat="1" ht="15.5" x14ac:dyDescent="0.35">
      <c r="A35" s="127" t="str">
        <f>'Page de garde'!A42</f>
        <v>BPA-4mg/L + Testostérone</v>
      </c>
      <c r="B35" s="99"/>
      <c r="C35" s="87"/>
      <c r="D35" s="87"/>
      <c r="E35" s="82"/>
      <c r="F35" s="94"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7" customFormat="1" ht="15.5" x14ac:dyDescent="0.35">
      <c r="A36" s="127" t="str">
        <f>'Page de garde'!A43</f>
        <v>BPA-5mg/L + Testostérone</v>
      </c>
      <c r="B36" s="99"/>
      <c r="C36" s="87"/>
      <c r="D36" s="87"/>
      <c r="E36" s="82"/>
      <c r="F36" s="94"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7" customFormat="1" ht="15.5" x14ac:dyDescent="0.35">
      <c r="A37" s="127" t="str">
        <f>'Page de garde'!A44</f>
        <v>0-00 + Testostérone</v>
      </c>
      <c r="B37" s="99"/>
      <c r="C37" s="87"/>
      <c r="D37" s="87"/>
      <c r="E37" s="82"/>
      <c r="F37" s="94"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7" customFormat="1" ht="15.5" x14ac:dyDescent="0.35">
      <c r="A38" s="127" t="str">
        <f>'Page de garde'!A45</f>
        <v>0-00 + Testostérone</v>
      </c>
      <c r="B38" s="99"/>
      <c r="C38" s="87"/>
      <c r="D38" s="87"/>
      <c r="E38" s="82"/>
      <c r="F38" s="94"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7" customFormat="1" ht="15.5" x14ac:dyDescent="0.35">
      <c r="A39" s="127" t="str">
        <f>'Page de garde'!A46</f>
        <v>0-00 + Testostérone</v>
      </c>
      <c r="B39" s="99"/>
      <c r="C39" s="87"/>
      <c r="D39" s="87"/>
      <c r="E39" s="82"/>
      <c r="F39" s="94"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7" customFormat="1" ht="15.5" x14ac:dyDescent="0.35">
      <c r="A40" s="127" t="str">
        <f>'Page de garde'!A47</f>
        <v>0-00 + Testostérone</v>
      </c>
      <c r="B40" s="99"/>
      <c r="C40" s="87"/>
      <c r="D40" s="87"/>
      <c r="E40" s="82"/>
      <c r="F40" s="94"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7" customFormat="1" ht="15.5" x14ac:dyDescent="0.35">
      <c r="A41" s="127" t="str">
        <f>'Page de garde'!A48</f>
        <v>0-00 + Testostérone</v>
      </c>
      <c r="B41" s="99"/>
      <c r="C41" s="87"/>
      <c r="D41" s="87"/>
      <c r="E41" s="82"/>
      <c r="F41" s="94"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7" customFormat="1" ht="15.5" x14ac:dyDescent="0.35">
      <c r="A42" s="127" t="str">
        <f>'Page de garde'!A49</f>
        <v>0-00 + Testostérone</v>
      </c>
      <c r="B42" s="99"/>
      <c r="C42" s="87"/>
      <c r="D42" s="87"/>
      <c r="E42" s="82"/>
      <c r="F42" s="94"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7" customFormat="1" ht="15.5" x14ac:dyDescent="0.35">
      <c r="A43" s="127" t="str">
        <f>'Page de garde'!A50</f>
        <v>0-00 + Testostérone</v>
      </c>
      <c r="B43" s="99"/>
      <c r="C43" s="87"/>
      <c r="D43" s="87"/>
      <c r="E43" s="82"/>
      <c r="F43" s="94"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7" customFormat="1" ht="15.5" x14ac:dyDescent="0.35">
      <c r="A44" s="127" t="str">
        <f>'Page de garde'!A51</f>
        <v>0-00 + Testostérone</v>
      </c>
      <c r="B44" s="99"/>
      <c r="C44" s="87"/>
      <c r="D44" s="87"/>
      <c r="E44" s="82"/>
      <c r="F44" s="94"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7" customFormat="1" ht="15.5" x14ac:dyDescent="0.35">
      <c r="A45" s="127" t="str">
        <f>'Page de garde'!A52</f>
        <v>0-00 + Testostérone</v>
      </c>
      <c r="B45" s="99"/>
      <c r="C45" s="87"/>
      <c r="D45" s="87"/>
      <c r="E45" s="82"/>
      <c r="F45" s="94"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7" customFormat="1" ht="15.5" x14ac:dyDescent="0.35">
      <c r="A46" s="127" t="str">
        <f>'Page de garde'!A53</f>
        <v>0-00 + Testostérone</v>
      </c>
      <c r="B46" s="99"/>
      <c r="C46" s="87"/>
      <c r="D46" s="87"/>
      <c r="E46" s="82"/>
      <c r="F46" s="94"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7" customFormat="1" ht="15.5" x14ac:dyDescent="0.35">
      <c r="A47" s="127" t="str">
        <f>'Page de garde'!A54</f>
        <v>0-00 + Testostérone</v>
      </c>
      <c r="B47" s="99"/>
      <c r="C47" s="87"/>
      <c r="D47" s="87"/>
      <c r="E47" s="82"/>
      <c r="F47" s="94"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7" customFormat="1" ht="15.5" x14ac:dyDescent="0.35">
      <c r="A48" s="127" t="str">
        <f>'Page de garde'!A55</f>
        <v>0-00 + Testostérone</v>
      </c>
      <c r="B48" s="99"/>
      <c r="C48" s="87"/>
      <c r="D48" s="87"/>
      <c r="E48" s="82"/>
      <c r="F48" s="94"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7" customFormat="1" ht="15.5" x14ac:dyDescent="0.35">
      <c r="A49" s="127" t="str">
        <f>'Page de garde'!A56</f>
        <v>0-00 + Testostérone</v>
      </c>
      <c r="B49" s="99"/>
      <c r="C49" s="87"/>
      <c r="D49" s="87"/>
      <c r="E49" s="82"/>
      <c r="F49" s="94"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7" customFormat="1" ht="15.5" x14ac:dyDescent="0.35">
      <c r="A50" s="127" t="str">
        <f>'Page de garde'!A57</f>
        <v>0-00 + Testostérone</v>
      </c>
      <c r="B50" s="99"/>
      <c r="C50" s="87"/>
      <c r="D50" s="87"/>
      <c r="E50" s="82"/>
      <c r="F50" s="94"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7" customFormat="1" ht="15.5" x14ac:dyDescent="0.35">
      <c r="A51" s="127" t="str">
        <f>'Page de garde'!A58</f>
        <v>0-00 + Testostérone</v>
      </c>
      <c r="B51" s="99"/>
      <c r="C51" s="87"/>
      <c r="D51" s="87"/>
      <c r="E51" s="82"/>
      <c r="F51" s="94"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7" customFormat="1" ht="16" thickBot="1" x14ac:dyDescent="0.4">
      <c r="E52" s="78"/>
      <c r="F52" s="78"/>
      <c r="G52" s="78"/>
      <c r="H52" s="78"/>
      <c r="I52" s="78"/>
      <c r="J52" s="78"/>
      <c r="K52" s="78"/>
      <c r="L52" s="78"/>
      <c r="M52" s="78"/>
      <c r="N52" s="78"/>
    </row>
    <row r="53" spans="1:15" s="48" customFormat="1" ht="26.5" thickBot="1" x14ac:dyDescent="0.4">
      <c r="A53" s="243" t="s">
        <v>60</v>
      </c>
      <c r="B53" s="244"/>
      <c r="C53" s="244"/>
      <c r="D53" s="244"/>
      <c r="E53" s="244"/>
      <c r="F53" s="244"/>
      <c r="G53" s="244"/>
      <c r="H53" s="244"/>
      <c r="I53" s="244"/>
      <c r="J53" s="244"/>
      <c r="K53" s="244"/>
      <c r="L53" s="244"/>
      <c r="M53" s="244"/>
      <c r="N53" s="244"/>
      <c r="O53" s="245"/>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0" customWidth="1"/>
    <col min="2" max="2" width="46.26953125" style="180" customWidth="1"/>
    <col min="3" max="3" width="15.26953125" style="180" customWidth="1"/>
    <col min="4" max="4" width="24.7265625" style="180" customWidth="1"/>
    <col min="5" max="5" width="24.453125" style="180" customWidth="1"/>
    <col min="6" max="6" width="23.1796875" style="180" customWidth="1"/>
    <col min="7" max="7" width="21.26953125" style="180" customWidth="1"/>
    <col min="8" max="16384" width="11.453125" style="180"/>
  </cols>
  <sheetData>
    <row r="1" spans="1:7" ht="29.5" thickBot="1" x14ac:dyDescent="0.4">
      <c r="A1" s="185" t="s">
        <v>132</v>
      </c>
      <c r="B1" s="186" t="s">
        <v>133</v>
      </c>
      <c r="C1" s="186" t="s">
        <v>139</v>
      </c>
      <c r="D1" s="186" t="s">
        <v>138</v>
      </c>
      <c r="E1" s="186" t="s">
        <v>140</v>
      </c>
      <c r="F1" s="187" t="s">
        <v>141</v>
      </c>
      <c r="G1" s="188" t="s">
        <v>142</v>
      </c>
    </row>
    <row r="2" spans="1:7" ht="58" x14ac:dyDescent="0.35">
      <c r="A2" s="181" t="s">
        <v>134</v>
      </c>
      <c r="B2" s="182" t="s">
        <v>135</v>
      </c>
      <c r="C2" s="182" t="s">
        <v>136</v>
      </c>
      <c r="D2" s="182" t="s">
        <v>143</v>
      </c>
      <c r="E2" s="182" t="s">
        <v>137</v>
      </c>
      <c r="F2" s="183" t="s">
        <v>136</v>
      </c>
      <c r="G2" s="184"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0.15229055770800312</v>
      </c>
      <c r="D2" s="17" t="s">
        <v>9</v>
      </c>
      <c r="E2" s="18"/>
      <c r="F2" s="19" t="str">
        <f>'pooled normalised values'!J74</f>
        <v>BPA-2mg/L</v>
      </c>
      <c r="G2" s="19" t="str">
        <f>'pooled normalised values'!K74</f>
        <v>BPA-3mg/L</v>
      </c>
      <c r="H2" s="19" t="str">
        <f>'pooled normalised values'!L74</f>
        <v>BPA-4mg/L</v>
      </c>
      <c r="I2" s="19" t="str">
        <f>'pooled normalised values'!M74</f>
        <v>BPA-5mg/L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BPA-1mg/L + Testostérone</v>
      </c>
      <c r="W2" s="19" t="str">
        <f>'pooled normalised values'!S74</f>
        <v>BPA-2mg/L + Testostérone</v>
      </c>
      <c r="X2" s="19" t="str">
        <f>'pooled normalised values'!T74</f>
        <v>BPA-3mg/L + Testostérone</v>
      </c>
      <c r="Y2" s="19" t="str">
        <f>'pooled normalised values'!U74</f>
        <v>BPA-4mg/L + Testostérone</v>
      </c>
      <c r="Z2" s="19" t="str">
        <f>'pooled normalised values'!V74</f>
        <v>BPA-5mg/L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0.14007532420317351</v>
      </c>
      <c r="G3" s="19">
        <f>HLOOKUP(G2,'pooled normalised values'!C74:W83,2,FALSE)</f>
        <v>0.15675051372414034</v>
      </c>
      <c r="H3" s="19">
        <f>HLOOKUP(H2,'pooled normalised values'!C74:X83,2,FALSE)</f>
        <v>0.94901340559728442</v>
      </c>
      <c r="I3" s="19">
        <f>HLOOKUP(I2,'pooled normalised values'!D74:Y83,2,FALSE)</f>
        <v>1.9498933351780448</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1.3432927242998771</v>
      </c>
      <c r="W3" s="19">
        <f>HLOOKUP(W2,'pooled normalised values'!N74:AM83,2,FALSE)</f>
        <v>2.3874118113026253</v>
      </c>
      <c r="X3" s="19">
        <f>HLOOKUP(X2,'pooled normalised values'!N74:AN83,2,FALSE)</f>
        <v>2.5807672177097269</v>
      </c>
      <c r="Y3" s="19">
        <f>HLOOKUP(Y2,'pooled normalised values'!N74:AO83,2,FALSE)</f>
        <v>2.8793277523270513</v>
      </c>
      <c r="Z3" s="19">
        <f>HLOOKUP(Z2,'pooled normalised values'!N74:AP83,2,FALSE)</f>
        <v>3.2336835333356859</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1.0000000000000002</v>
      </c>
      <c r="D4" s="21" t="s">
        <v>2</v>
      </c>
      <c r="E4" s="22"/>
      <c r="F4" s="19">
        <f>HLOOKUP(F2,'pooled normalised values'!B74:V83,3,FALSE)</f>
        <v>1.8465488268766504E-2</v>
      </c>
      <c r="G4" s="19">
        <f>HLOOKUP(G2,'pooled normalised values'!C74:W83,3,FALSE)</f>
        <v>2.2157779662519372E-2</v>
      </c>
      <c r="H4" s="19">
        <f>HLOOKUP(H2,'pooled normalised values'!C74:X83,3,FALSE)</f>
        <v>0.14868152513357488</v>
      </c>
      <c r="I4" s="19">
        <f>HLOOKUP(I2,'pooled normalised values'!D74:Y83,3,FALSE)</f>
        <v>0.30308135839246209</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0.22165521420248929</v>
      </c>
      <c r="W4" s="19">
        <f>HLOOKUP(W2,'pooled normalised values'!N74:AM83,3,FALSE)</f>
        <v>0.23903111070727129</v>
      </c>
      <c r="X4" s="19">
        <f>HLOOKUP(X2,'pooled normalised values'!N74:AN83,3,FALSE)</f>
        <v>0.23689778890634489</v>
      </c>
      <c r="Y4" s="19">
        <f>HLOOKUP(Y2,'pooled normalised values'!N74:AO83,3,FALSE)</f>
        <v>0.30376905743441812</v>
      </c>
      <c r="Z4" s="19">
        <f>HLOOKUP(Z2,'pooled normalised values'!N74:AP83,3,FALSE)</f>
        <v>0.36647030697039523</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3.1284648375910251</v>
      </c>
      <c r="D5" s="23" t="s">
        <v>11</v>
      </c>
      <c r="E5" s="22"/>
      <c r="F5" s="19" t="str">
        <f>HLOOKUP(F2,'pooled normalised values'!B74:V83,10,FALSE)</f>
        <v>NS</v>
      </c>
      <c r="G5" s="19" t="str">
        <f>HLOOKUP(G2,'pooled normalised values'!C74:W83,10,FALSE)</f>
        <v>NS</v>
      </c>
      <c r="H5" s="19" t="str">
        <f>HLOOKUP(H2,'pooled normalised values'!C74:X83,10,FALSE)</f>
        <v>***</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0.11656955822676086</v>
      </c>
      <c r="D6" s="21" t="s">
        <v>12</v>
      </c>
      <c r="E6" s="24">
        <f>$B$2</f>
        <v>0.15229055770800312</v>
      </c>
      <c r="F6" s="24">
        <f>$B$2</f>
        <v>0.15229055770800312</v>
      </c>
      <c r="G6" s="24">
        <f t="shared" ref="G6:R6" si="0">$B$2</f>
        <v>0.15229055770800312</v>
      </c>
      <c r="H6" s="24">
        <f t="shared" si="0"/>
        <v>0.15229055770800312</v>
      </c>
      <c r="I6" s="24">
        <f t="shared" si="0"/>
        <v>0.15229055770800312</v>
      </c>
      <c r="J6" s="24">
        <f t="shared" si="0"/>
        <v>0.15229055770800312</v>
      </c>
      <c r="K6" s="24">
        <f t="shared" si="0"/>
        <v>0.15229055770800312</v>
      </c>
      <c r="L6" s="24">
        <f t="shared" si="0"/>
        <v>0.15229055770800312</v>
      </c>
      <c r="M6" s="24">
        <f t="shared" si="0"/>
        <v>0.15229055770800312</v>
      </c>
      <c r="N6" s="24">
        <f t="shared" si="0"/>
        <v>0.15229055770800312</v>
      </c>
      <c r="O6" s="24">
        <f t="shared" si="0"/>
        <v>0.15229055770800312</v>
      </c>
      <c r="P6" s="24">
        <f t="shared" si="0"/>
        <v>0.15229055770800312</v>
      </c>
      <c r="Q6" s="24">
        <f t="shared" si="0"/>
        <v>0.15229055770800312</v>
      </c>
      <c r="R6" s="24">
        <f t="shared" si="0"/>
        <v>0.15229055770800312</v>
      </c>
      <c r="S6" s="24">
        <f>$B$2</f>
        <v>0.15229055770800312</v>
      </c>
      <c r="T6" s="24">
        <f>$B$2</f>
        <v>0.15229055770800312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0.11656955822676086</v>
      </c>
      <c r="V8" s="25">
        <f t="shared" ref="V8:AJ8" si="2">$B$6</f>
        <v>0.11656955822676086</v>
      </c>
      <c r="W8" s="25">
        <f t="shared" si="2"/>
        <v>0.11656955822676086</v>
      </c>
      <c r="X8" s="25">
        <f t="shared" si="2"/>
        <v>0.11656955822676086</v>
      </c>
      <c r="Y8" s="25">
        <f t="shared" si="2"/>
        <v>0.11656955822676086</v>
      </c>
      <c r="Z8" s="25">
        <f t="shared" si="2"/>
        <v>0.11656955822676086</v>
      </c>
      <c r="AA8" s="25">
        <f t="shared" si="2"/>
        <v>0.11656955822676086</v>
      </c>
      <c r="AB8" s="25">
        <f t="shared" si="2"/>
        <v>0.11656955822676086</v>
      </c>
      <c r="AC8" s="25">
        <f t="shared" si="2"/>
        <v>0.11656955822676086</v>
      </c>
      <c r="AD8" s="25">
        <f t="shared" si="2"/>
        <v>0.11656955822676086</v>
      </c>
      <c r="AE8" s="25">
        <f t="shared" si="2"/>
        <v>0.11656955822676086</v>
      </c>
      <c r="AF8" s="25">
        <f t="shared" si="2"/>
        <v>0.11656955822676086</v>
      </c>
      <c r="AG8" s="25">
        <f t="shared" si="2"/>
        <v>0.11656955822676086</v>
      </c>
      <c r="AH8" s="25">
        <f t="shared" si="2"/>
        <v>0.11656955822676086</v>
      </c>
      <c r="AI8" s="25">
        <f t="shared" si="2"/>
        <v>0.11656955822676086</v>
      </c>
      <c r="AJ8" s="25">
        <f t="shared" si="2"/>
        <v>0.11656955822676086</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3.0118952793642642</v>
      </c>
      <c r="V9" s="25">
        <f>$B$5-V8</f>
        <v>3.0118952793642642</v>
      </c>
      <c r="W9" s="25">
        <f t="shared" ref="W9:AH9" si="4">$B$5-W8</f>
        <v>3.0118952793642642</v>
      </c>
      <c r="X9" s="25">
        <f t="shared" si="4"/>
        <v>3.0118952793642642</v>
      </c>
      <c r="Y9" s="25">
        <f t="shared" si="4"/>
        <v>3.0118952793642642</v>
      </c>
      <c r="Z9" s="25">
        <f t="shared" si="4"/>
        <v>3.0118952793642642</v>
      </c>
      <c r="AA9" s="25">
        <f t="shared" si="4"/>
        <v>3.0118952793642642</v>
      </c>
      <c r="AB9" s="25">
        <f t="shared" si="4"/>
        <v>3.0118952793642642</v>
      </c>
      <c r="AC9" s="25">
        <f t="shared" si="4"/>
        <v>3.0118952793642642</v>
      </c>
      <c r="AD9" s="25">
        <f t="shared" si="4"/>
        <v>3.0118952793642642</v>
      </c>
      <c r="AE9" s="25">
        <f t="shared" si="4"/>
        <v>3.0118952793642642</v>
      </c>
      <c r="AF9" s="25">
        <f t="shared" si="4"/>
        <v>3.0118952793642642</v>
      </c>
      <c r="AG9" s="25">
        <f t="shared" si="4"/>
        <v>3.0118952793642642</v>
      </c>
      <c r="AH9" s="25">
        <f t="shared" si="4"/>
        <v>3.0118952793642642</v>
      </c>
      <c r="AI9" s="25">
        <f>$B$5-AI8</f>
        <v>3.0118952793642642</v>
      </c>
      <c r="AJ9" s="25">
        <f>$B$5-AJ8</f>
        <v>3.0118952793642642</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-0.51189527936426416</v>
      </c>
      <c r="V10" s="25">
        <f>2.5-V9</f>
        <v>-0.51189527936426416</v>
      </c>
      <c r="W10" s="25">
        <f t="shared" ref="W10:AH10" si="6">2.5-W9</f>
        <v>-0.51189527936426416</v>
      </c>
      <c r="X10" s="25">
        <f t="shared" si="6"/>
        <v>-0.51189527936426416</v>
      </c>
      <c r="Y10" s="25">
        <f t="shared" si="6"/>
        <v>-0.51189527936426416</v>
      </c>
      <c r="Z10" s="25">
        <f t="shared" si="6"/>
        <v>-0.51189527936426416</v>
      </c>
      <c r="AA10" s="25">
        <f t="shared" si="6"/>
        <v>-0.51189527936426416</v>
      </c>
      <c r="AB10" s="25">
        <f t="shared" si="6"/>
        <v>-0.51189527936426416</v>
      </c>
      <c r="AC10" s="25">
        <f t="shared" si="6"/>
        <v>-0.51189527936426416</v>
      </c>
      <c r="AD10" s="25">
        <f t="shared" si="6"/>
        <v>-0.51189527936426416</v>
      </c>
      <c r="AE10" s="25">
        <f t="shared" si="6"/>
        <v>-0.51189527936426416</v>
      </c>
      <c r="AF10" s="25">
        <f t="shared" si="6"/>
        <v>-0.51189527936426416</v>
      </c>
      <c r="AG10" s="25">
        <f t="shared" si="6"/>
        <v>-0.51189527936426416</v>
      </c>
      <c r="AH10" s="25">
        <f t="shared" si="6"/>
        <v>-0.51189527936426416</v>
      </c>
      <c r="AI10" s="25">
        <f>2.5-AI9</f>
        <v>-0.51189527936426416</v>
      </c>
      <c r="AJ10" s="25">
        <f>2.5-AJ9</f>
        <v>-0.51189527936426416</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0.15229055770800312</v>
      </c>
      <c r="D2" s="17" t="s">
        <v>9</v>
      </c>
      <c r="E2" s="18"/>
      <c r="F2" s="19" t="str">
        <f>'pooled normalised values'!J74</f>
        <v>BPA-2mg/L</v>
      </c>
      <c r="G2" s="18"/>
      <c r="H2" s="20"/>
      <c r="I2" s="19" t="str">
        <f>'pooled normalised values'!R74</f>
        <v>BPA-1mg/L + Testostérone</v>
      </c>
      <c r="J2" s="20"/>
      <c r="K2" s="17" t="s">
        <v>9</v>
      </c>
    </row>
    <row r="3" spans="1:11" x14ac:dyDescent="0.25">
      <c r="A3" s="17" t="s">
        <v>71</v>
      </c>
      <c r="B3" s="63">
        <f>'summary results'!E6</f>
        <v>0</v>
      </c>
      <c r="D3" s="21" t="s">
        <v>10</v>
      </c>
      <c r="E3" s="22"/>
      <c r="F3" s="19">
        <f>HLOOKUP(F2,'pooled normalised values'!B74:V83,2,FALSE)</f>
        <v>0.14007532420317351</v>
      </c>
      <c r="G3" s="22"/>
      <c r="H3" s="20"/>
      <c r="I3" s="19">
        <f>HLOOKUP(I2,'pooled normalised values'!N74:AL83,2,FALSE)</f>
        <v>1.3432927242998771</v>
      </c>
      <c r="J3" s="20"/>
      <c r="K3" s="21" t="s">
        <v>10</v>
      </c>
    </row>
    <row r="4" spans="1:11" x14ac:dyDescent="0.25">
      <c r="A4" s="17" t="s">
        <v>72</v>
      </c>
      <c r="B4" s="63">
        <f>'pooled normalised values'!O75</f>
        <v>1.0000000000000002</v>
      </c>
      <c r="D4" s="21" t="s">
        <v>2</v>
      </c>
      <c r="E4" s="22"/>
      <c r="F4" s="19">
        <f>HLOOKUP(F2,'pooled normalised values'!B74:V83,3,FALSE)</f>
        <v>1.8465488268766504E-2</v>
      </c>
      <c r="G4" s="22"/>
      <c r="H4" s="20"/>
      <c r="I4" s="19">
        <f>HLOOKUP(I2,'pooled normalised values'!N74:AL83,3,FALSE)</f>
        <v>0.22165521420248929</v>
      </c>
      <c r="J4" s="20"/>
      <c r="K4" s="21" t="s">
        <v>2</v>
      </c>
    </row>
    <row r="5" spans="1:11" x14ac:dyDescent="0.25">
      <c r="A5" s="17" t="s">
        <v>73</v>
      </c>
      <c r="B5" s="63">
        <f>'pooled normalised values'!P75</f>
        <v>3.1284648375910251</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0.11656955822676086</v>
      </c>
      <c r="D6" s="21" t="s">
        <v>12</v>
      </c>
      <c r="E6" s="24">
        <f>$B$2</f>
        <v>0.15229055770800312</v>
      </c>
      <c r="F6" s="24">
        <f>$B$2</f>
        <v>0.15229055770800312</v>
      </c>
      <c r="G6" s="24">
        <f>$B$2</f>
        <v>0.15229055770800312</v>
      </c>
      <c r="H6" s="25"/>
      <c r="I6" s="25"/>
      <c r="J6" s="25"/>
      <c r="K6" s="21" t="s">
        <v>12</v>
      </c>
    </row>
    <row r="7" spans="1:11" x14ac:dyDescent="0.25">
      <c r="B7" s="26"/>
      <c r="D7" s="26" t="s">
        <v>13</v>
      </c>
      <c r="E7" s="24"/>
      <c r="F7" s="24"/>
      <c r="G7" s="27"/>
      <c r="H7" s="25">
        <f t="shared" ref="H7:J7" si="0">$B$4</f>
        <v>1.0000000000000002</v>
      </c>
      <c r="I7" s="25">
        <f t="shared" si="0"/>
        <v>1.0000000000000002</v>
      </c>
      <c r="J7" s="25">
        <f t="shared" si="0"/>
        <v>1.0000000000000002</v>
      </c>
      <c r="K7" s="26" t="s">
        <v>13</v>
      </c>
    </row>
    <row r="8" spans="1:11" x14ac:dyDescent="0.25">
      <c r="D8" s="28" t="s">
        <v>14</v>
      </c>
      <c r="E8" s="24">
        <v>0</v>
      </c>
      <c r="F8" s="24">
        <v>0</v>
      </c>
      <c r="G8" s="27">
        <v>0</v>
      </c>
      <c r="H8" s="25">
        <f>$B$6</f>
        <v>0.11656955822676086</v>
      </c>
      <c r="I8" s="25">
        <f t="shared" ref="I8:J8" si="1">$B$6</f>
        <v>0.11656955822676086</v>
      </c>
      <c r="J8" s="25">
        <f t="shared" si="1"/>
        <v>0.11656955822676086</v>
      </c>
      <c r="K8" s="28" t="s">
        <v>14</v>
      </c>
    </row>
    <row r="9" spans="1:11" x14ac:dyDescent="0.25">
      <c r="D9" s="28" t="s">
        <v>15</v>
      </c>
      <c r="E9" s="29">
        <f>$B$3-E8</f>
        <v>0</v>
      </c>
      <c r="F9" s="29">
        <f>$B$3-F8</f>
        <v>0</v>
      </c>
      <c r="G9" s="29">
        <f>$B$3-G8</f>
        <v>0</v>
      </c>
      <c r="H9" s="25">
        <f>$B$5-H8</f>
        <v>3.0118952793642642</v>
      </c>
      <c r="I9" s="25">
        <f>$B$5-I8</f>
        <v>3.0118952793642642</v>
      </c>
      <c r="J9" s="25">
        <f>$B$5-J8</f>
        <v>3.0118952793642642</v>
      </c>
      <c r="K9" s="28" t="s">
        <v>15</v>
      </c>
    </row>
    <row r="10" spans="1:11" x14ac:dyDescent="0.25">
      <c r="D10" s="28" t="s">
        <v>16</v>
      </c>
      <c r="E10" s="27">
        <f t="shared" ref="E10:J10" si="2">2.5-E9</f>
        <v>2.5</v>
      </c>
      <c r="F10" s="27">
        <f t="shared" si="2"/>
        <v>2.5</v>
      </c>
      <c r="G10" s="27">
        <f t="shared" si="2"/>
        <v>2.5</v>
      </c>
      <c r="H10" s="25">
        <f t="shared" si="2"/>
        <v>-0.51189527936426416</v>
      </c>
      <c r="I10" s="25">
        <f t="shared" si="2"/>
        <v>-0.51189527936426416</v>
      </c>
      <c r="J10" s="25">
        <f t="shared" si="2"/>
        <v>-0.51189527936426416</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5" t="s">
        <v>102</v>
      </c>
      <c r="B1" s="145" t="s">
        <v>103</v>
      </c>
      <c r="C1" s="143" t="s">
        <v>86</v>
      </c>
      <c r="D1" s="143" t="s">
        <v>87</v>
      </c>
      <c r="E1" s="144" t="s">
        <v>88</v>
      </c>
      <c r="F1" s="144" t="s">
        <v>89</v>
      </c>
      <c r="G1" s="143" t="s">
        <v>90</v>
      </c>
      <c r="H1" s="143" t="s">
        <v>91</v>
      </c>
      <c r="I1" s="143" t="s">
        <v>92</v>
      </c>
      <c r="J1" s="143" t="s">
        <v>93</v>
      </c>
      <c r="K1" s="143" t="s">
        <v>94</v>
      </c>
      <c r="L1" s="143" t="s">
        <v>95</v>
      </c>
      <c r="M1" s="143" t="s">
        <v>96</v>
      </c>
      <c r="N1" s="143" t="s">
        <v>97</v>
      </c>
      <c r="Q1" s="246" t="s">
        <v>99</v>
      </c>
      <c r="R1" s="246"/>
      <c r="S1" s="246"/>
      <c r="U1" s="246" t="s">
        <v>98</v>
      </c>
      <c r="V1" s="246"/>
      <c r="W1" s="246"/>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202" t="s">
        <v>7</v>
      </c>
      <c r="R2" s="198" t="s">
        <v>131</v>
      </c>
      <c r="U2" s="202" t="s">
        <v>7</v>
      </c>
      <c r="V2" s="198" t="s">
        <v>131</v>
      </c>
    </row>
    <row r="3" spans="1:23" x14ac:dyDescent="0.35">
      <c r="A3" s="1" t="str">
        <f>Q7</f>
        <v>BPA-1mg/L</v>
      </c>
      <c r="B3" t="str">
        <f t="shared" si="0"/>
        <v>BPA-1mg/L + Testostérone</v>
      </c>
      <c r="D3" t="str">
        <f>CONCATENATE(VLOOKUP(Tableau3[[#This Row],[Nom ND]],liste_groupe[],3,FALSE),VLOOKUP(Tableau3[[#This Row],[Nom ND]],liste_groupe[],4,FALSE))</f>
        <v>1mg/L</v>
      </c>
      <c r="E3">
        <f>HLOOKUP(Tableau3[[#This Row],[Nom ND]],'pooled normalised values'!$B$74:$V$83,4,FALSE)</f>
        <v>38.934245600310845</v>
      </c>
      <c r="F3" t="str">
        <f>HLOOKUP(Tableau3[[#This Row],[Nom ND]],'pooled normalised values'!$B$74:$V$83,8,FALSE)</f>
        <v>Kruskal-Wallis</v>
      </c>
      <c r="G3" t="str">
        <f>VLOOKUP(Tableau3[[#This Row],[Nom ND]],'summary results'!$A$6:$N$26,9,FALSE)</f>
        <v>NC</v>
      </c>
      <c r="H3">
        <f>VLOOKUP(Tableau3[[#This Row],[Nom ND]],'summary results'!$A$6:$N$26,11,FALSE)</f>
        <v>0</v>
      </c>
      <c r="I3">
        <f>HLOOKUP(Tableau3[[#This Row],[Nom D]],'pooled normalised values'!$B$74:$V$83,4,FALSE)</f>
        <v>34.329272429987697</v>
      </c>
      <c r="J3" t="str">
        <f>HLOOKUP(Tableau3[[#This Row],[Nom D]],'pooled normalised values'!$B$74:$V$83,8,FALSE)</f>
        <v>Mann Withney</v>
      </c>
      <c r="K3" t="str">
        <f>VLOOKUP(Tableau3[[#This Row],[Nom D]],'summary results'!$A$29:$N$51,9,FALSE)</f>
        <v>NC</v>
      </c>
      <c r="L3">
        <f>VLOOKUP(Tableau3[[#This Row],[Nom D]],'summary results'!$A$29:$N$51,11,FALSE)</f>
        <v>0</v>
      </c>
      <c r="M3" s="1" t="e">
        <f>'summary results'!$G$30</f>
        <v>#NUM!</v>
      </c>
      <c r="N3" s="1" t="e">
        <f>'summary results'!$G$31</f>
        <v>#NUM!</v>
      </c>
      <c r="Q3" s="202" t="s">
        <v>78</v>
      </c>
      <c r="R3" s="198" t="s">
        <v>106</v>
      </c>
      <c r="U3" s="202" t="s">
        <v>78</v>
      </c>
      <c r="V3" s="198" t="s">
        <v>50</v>
      </c>
    </row>
    <row r="4" spans="1:23" x14ac:dyDescent="0.35">
      <c r="A4" s="1" t="str">
        <f t="shared" ref="A4:A15" si="1">Q8</f>
        <v>BPA-2mg/L</v>
      </c>
      <c r="B4" s="44" t="str">
        <f t="shared" ref="B4:B15" si="2">U8</f>
        <v>BPA-2mg/L + Testostérone</v>
      </c>
      <c r="D4" s="44" t="str">
        <f>CONCATENATE(VLOOKUP(Tableau3[[#This Row],[Nom ND]],liste_groupe[],3,FALSE),VLOOKUP(Tableau3[[#This Row],[Nom ND]],liste_groupe[],4,FALSE))</f>
        <v>2mg/L</v>
      </c>
      <c r="E4" s="44">
        <f>HLOOKUP(Tableau3[[#This Row],[Nom ND]],'pooled normalised values'!$B$74:$V$83,4,FALSE)</f>
        <v>-8.0210051684561421</v>
      </c>
      <c r="F4" s="44" t="str">
        <f>HLOOKUP(Tableau3[[#This Row],[Nom ND]],'pooled normalised values'!$B$74:$V$83,8,FALSE)</f>
        <v>Mann Withney</v>
      </c>
      <c r="G4" s="44" t="str">
        <f>VLOOKUP(Tableau3[[#This Row],[Nom ND]],'summary results'!$A$6:$N$26,9,FALSE)</f>
        <v>NC</v>
      </c>
      <c r="H4" s="44">
        <f>VLOOKUP(Tableau3[[#This Row],[Nom ND]],'summary results'!$A$6:$N$26,11,FALSE)</f>
        <v>0</v>
      </c>
      <c r="I4" s="44">
        <f>HLOOKUP(Tableau3[[#This Row],[Nom D]],'pooled normalised values'!$B$74:$V$83,4,FALSE)</f>
        <v>138.74118113026248</v>
      </c>
      <c r="J4" s="44" t="str">
        <f>HLOOKUP(Tableau3[[#This Row],[Nom D]],'pooled normalised values'!$B$74:$V$83,8,FALSE)</f>
        <v>Mann Withney</v>
      </c>
      <c r="K4" s="44" t="e">
        <f>VLOOKUP(Tableau3[[#This Row],[Nom D]],'summary results'!$A$29:$N$51,9,FALSE)</f>
        <v>#NUM!</v>
      </c>
      <c r="L4" s="44" t="e">
        <f>VLOOKUP(Tableau3[[#This Row],[Nom D]],'summary results'!$A$29:$N$51,11,FALSE)</f>
        <v>#NUM!</v>
      </c>
      <c r="M4" t="e">
        <f>'summary results'!$G$30</f>
        <v>#NUM!</v>
      </c>
      <c r="N4" t="e">
        <f>'summary results'!$G$31</f>
        <v>#NUM!</v>
      </c>
    </row>
    <row r="5" spans="1:23" x14ac:dyDescent="0.35">
      <c r="A5" s="1" t="str">
        <f t="shared" si="1"/>
        <v>BPA-3mg/L</v>
      </c>
      <c r="B5" s="44" t="str">
        <f t="shared" si="2"/>
        <v>BPA-3mg/L + Testostérone</v>
      </c>
      <c r="D5" s="44" t="str">
        <f>CONCATENATE(VLOOKUP(Tableau3[[#This Row],[Nom ND]],liste_groupe[],3,FALSE),VLOOKUP(Tableau3[[#This Row],[Nom ND]],liste_groupe[],4,FALSE))</f>
        <v>3mg/L</v>
      </c>
      <c r="E5" s="44">
        <f>HLOOKUP(Tableau3[[#This Row],[Nom ND]],'pooled normalised values'!$B$74:$V$83,4,FALSE)</f>
        <v>2.928583415321512</v>
      </c>
      <c r="F5" s="44" t="str">
        <f>HLOOKUP(Tableau3[[#This Row],[Nom ND]],'pooled normalised values'!$B$74:$V$83,8,FALSE)</f>
        <v>Mann Withney</v>
      </c>
      <c r="G5" s="44" t="str">
        <f>VLOOKUP(Tableau3[[#This Row],[Nom ND]],'summary results'!$A$6:$N$26,9,FALSE)</f>
        <v>NC</v>
      </c>
      <c r="H5" s="44">
        <f>VLOOKUP(Tableau3[[#This Row],[Nom ND]],'summary results'!$A$6:$N$26,11,FALSE)</f>
        <v>0</v>
      </c>
      <c r="I5" s="44">
        <f>HLOOKUP(Tableau3[[#This Row],[Nom D]],'pooled normalised values'!$B$74:$V$83,4,FALSE)</f>
        <v>158.07672177097265</v>
      </c>
      <c r="J5" s="44" t="str">
        <f>HLOOKUP(Tableau3[[#This Row],[Nom D]],'pooled normalised values'!$B$74:$V$83,8,FALSE)</f>
        <v>Mann Withney</v>
      </c>
      <c r="K5" s="44" t="e">
        <f>VLOOKUP(Tableau3[[#This Row],[Nom D]],'summary results'!$A$29:$N$51,9,FALSE)</f>
        <v>#NUM!</v>
      </c>
      <c r="L5" s="44" t="e">
        <f>VLOOKUP(Tableau3[[#This Row],[Nom D]],'summary results'!$A$29:$N$51,11,FALSE)</f>
        <v>#NUM!</v>
      </c>
      <c r="M5" t="e">
        <f>'summary results'!$G$30</f>
        <v>#NUM!</v>
      </c>
      <c r="N5" t="e">
        <f>'summary results'!$G$31</f>
        <v>#NUM!</v>
      </c>
      <c r="Q5" s="202" t="s">
        <v>100</v>
      </c>
      <c r="U5" s="202" t="s">
        <v>100</v>
      </c>
    </row>
    <row r="6" spans="1:23" x14ac:dyDescent="0.35">
      <c r="A6" s="1" t="str">
        <f t="shared" si="1"/>
        <v>BPA-4mg/L</v>
      </c>
      <c r="B6" s="44" t="str">
        <f t="shared" si="2"/>
        <v>BPA-4mg/L + Testostérone</v>
      </c>
      <c r="D6" s="44" t="str">
        <f>CONCATENATE(VLOOKUP(Tableau3[[#This Row],[Nom ND]],liste_groupe[],3,FALSE),VLOOKUP(Tableau3[[#This Row],[Nom ND]],liste_groupe[],4,FALSE))</f>
        <v>4mg/L</v>
      </c>
      <c r="E6" s="44">
        <f>HLOOKUP(Tableau3[[#This Row],[Nom ND]],'pooled normalised values'!$B$74:$V$83,4,FALSE)</f>
        <v>523.15971513932686</v>
      </c>
      <c r="F6" s="44" t="str">
        <f>HLOOKUP(Tableau3[[#This Row],[Nom ND]],'pooled normalised values'!$B$74:$V$83,8,FALSE)</f>
        <v>Mann Withney</v>
      </c>
      <c r="G6" s="44" t="e">
        <f>VLOOKUP(Tableau3[[#This Row],[Nom ND]],'summary results'!$A$6:$N$26,9,FALSE)</f>
        <v>#NUM!</v>
      </c>
      <c r="H6" s="44" t="e">
        <f>VLOOKUP(Tableau3[[#This Row],[Nom ND]],'summary results'!$A$6:$N$26,11,FALSE)</f>
        <v>#NUM!</v>
      </c>
      <c r="I6" s="44">
        <f>HLOOKUP(Tableau3[[#This Row],[Nom D]],'pooled normalised values'!$B$74:$V$83,4,FALSE)</f>
        <v>187.93277523270507</v>
      </c>
      <c r="J6" s="44" t="str">
        <f>HLOOKUP(Tableau3[[#This Row],[Nom D]],'pooled normalised values'!$B$74:$V$83,8,FALSE)</f>
        <v>Mann Withney</v>
      </c>
      <c r="K6" s="44" t="e">
        <f>VLOOKUP(Tableau3[[#This Row],[Nom D]],'summary results'!$A$29:$N$51,9,FALSE)</f>
        <v>#NUM!</v>
      </c>
      <c r="L6" s="44" t="e">
        <f>VLOOKUP(Tableau3[[#This Row],[Nom D]],'summary results'!$A$29:$N$51,11,FALSE)</f>
        <v>#NUM!</v>
      </c>
      <c r="M6" t="e">
        <f>'summary results'!$G$30</f>
        <v>#NUM!</v>
      </c>
      <c r="N6" t="e">
        <f>'summary results'!$G$31</f>
        <v>#NUM!</v>
      </c>
      <c r="Q6" s="203" t="s">
        <v>112</v>
      </c>
      <c r="U6" s="203" t="s">
        <v>101</v>
      </c>
    </row>
    <row r="7" spans="1:23" x14ac:dyDescent="0.35">
      <c r="A7" s="1" t="str">
        <f t="shared" si="1"/>
        <v>BPA-5mg/L</v>
      </c>
      <c r="B7" s="44" t="str">
        <f t="shared" si="2"/>
        <v>BPA-5mg/L + Testostérone</v>
      </c>
      <c r="D7" s="44" t="str">
        <f>CONCATENATE(VLOOKUP(Tableau3[[#This Row],[Nom ND]],liste_groupe[],3,FALSE),VLOOKUP(Tableau3[[#This Row],[Nom ND]],liste_groupe[],4,FALSE))</f>
        <v>5mg/L</v>
      </c>
      <c r="E7" s="44">
        <f>HLOOKUP(Tableau3[[#This Row],[Nom ND]],'pooled normalised values'!$B$74:$V$83,4,FALSE)</f>
        <v>1180.3770401292415</v>
      </c>
      <c r="F7" s="44" t="str">
        <f>HLOOKUP(Tableau3[[#This Row],[Nom ND]],'pooled normalised values'!$B$74:$V$83,8,FALSE)</f>
        <v>Mann Withney</v>
      </c>
      <c r="G7" s="44" t="e">
        <f>VLOOKUP(Tableau3[[#This Row],[Nom ND]],'summary results'!$A$6:$N$26,9,FALSE)</f>
        <v>#NUM!</v>
      </c>
      <c r="H7" s="44" t="e">
        <f>VLOOKUP(Tableau3[[#This Row],[Nom ND]],'summary results'!$A$6:$N$26,11,FALSE)</f>
        <v>#NUM!</v>
      </c>
      <c r="I7" s="44">
        <f>HLOOKUP(Tableau3[[#This Row],[Nom D]],'pooled normalised values'!$B$74:$V$83,4,FALSE)</f>
        <v>223.36835333356856</v>
      </c>
      <c r="J7" s="44" t="str">
        <f>HLOOKUP(Tableau3[[#This Row],[Nom D]],'pooled normalised values'!$B$74:$V$83,8,FALSE)</f>
        <v>T-Test Welch</v>
      </c>
      <c r="K7" s="44" t="e">
        <f>VLOOKUP(Tableau3[[#This Row],[Nom D]],'summary results'!$A$29:$N$51,9,FALSE)</f>
        <v>#NUM!</v>
      </c>
      <c r="L7" s="44" t="e">
        <f>VLOOKUP(Tableau3[[#This Row],[Nom D]],'summary results'!$A$29:$N$51,11,FALSE)</f>
        <v>#NUM!</v>
      </c>
      <c r="M7" t="e">
        <f>'summary results'!$G$30</f>
        <v>#NUM!</v>
      </c>
      <c r="N7" t="e">
        <f>'summary results'!$G$31</f>
        <v>#NUM!</v>
      </c>
      <c r="Q7" s="203" t="s">
        <v>1208</v>
      </c>
      <c r="U7" s="203" t="s">
        <v>3262</v>
      </c>
    </row>
    <row r="8" spans="1:23" x14ac:dyDescent="0.35">
      <c r="A8" s="1">
        <f t="shared" si="1"/>
        <v>0</v>
      </c>
      <c r="B8" s="44">
        <f t="shared" si="2"/>
        <v>0</v>
      </c>
      <c r="D8" s="44" t="e">
        <f>CONCATENATE(VLOOKUP(Tableau3[[#This Row],[Nom ND]],liste_groupe[],3,FALSE),VLOOKUP(Tableau3[[#This Row],[Nom ND]],liste_groupe[],4,FALSE))</f>
        <v>#N/A</v>
      </c>
      <c r="E8" s="146"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c r="Q8" s="203" t="s">
        <v>1209</v>
      </c>
      <c r="U8" s="203" t="s">
        <v>3263</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c r="Q9" s="203" t="s">
        <v>1210</v>
      </c>
      <c r="U9" s="203" t="s">
        <v>3264</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c r="Q10" s="203" t="s">
        <v>1211</v>
      </c>
      <c r="U10" s="203" t="s">
        <v>3265</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c r="Q11" s="203" t="s">
        <v>1212</v>
      </c>
      <c r="U11" s="203" t="s">
        <v>3266</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5CC3EB-25CE-48CD-A0FC-7F8659B01307}"/>
</file>

<file path=customXml/itemProps2.xml><?xml version="1.0" encoding="utf-8"?>
<ds:datastoreItem xmlns:ds="http://schemas.openxmlformats.org/officeDocument/2006/customXml" ds:itemID="{DA1898DB-3027-4535-9F24-A9EFAD010D0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2022-10-05T13:54:16Z</dcterms:modified>
</cp:coreProperties>
</file>